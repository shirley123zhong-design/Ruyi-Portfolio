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hirl\Desktop\SDU\Data Analytics in Accounting\Assignment\Before14-04\1. Excel part 2\ETL Assignment\Done\"/>
    </mc:Choice>
  </mc:AlternateContent>
  <xr:revisionPtr revIDLastSave="0" documentId="13_ncr:1_{B7FEC438-A9B4-4A00-B16F-439D4002641E}" xr6:coauthVersionLast="47" xr6:coauthVersionMax="47" xr10:uidLastSave="{00000000-0000-0000-0000-000000000000}"/>
  <bookViews>
    <workbookView xWindow="-108" yWindow="-108" windowWidth="30936" windowHeight="16776" tabRatio="744" activeTab="7" xr2:uid="{00000000-000D-0000-FFFF-FFFF00000000}"/>
  </bookViews>
  <sheets>
    <sheet name="JELineItems" sheetId="4" r:id="rId1"/>
    <sheet name="BusinessUnits" sheetId="8" r:id="rId2"/>
    <sheet name="ChartOfAccounts" sheetId="2" r:id="rId3"/>
    <sheet name="PreparerInfo" sheetId="9" r:id="rId4"/>
    <sheet name="Source" sheetId="11" r:id="rId5"/>
    <sheet name="Case 4 solution" sheetId="13" r:id="rId6"/>
    <sheet name="use Xloopup" sheetId="14" r:id="rId7"/>
    <sheet name="use VLookup" sheetId="15" r:id="rId8"/>
  </sheets>
  <definedNames>
    <definedName name="_xlnm._FilterDatabase" localSheetId="0" hidden="1">JELineItems!$A$1:$J$790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3" i="15" l="1"/>
  <c r="Q4" i="15"/>
  <c r="Q5" i="15"/>
  <c r="Q6" i="15"/>
  <c r="Q7" i="15"/>
  <c r="Q8" i="15"/>
  <c r="Q9" i="15"/>
  <c r="Q10" i="15"/>
  <c r="Q11" i="15"/>
  <c r="Q12" i="15"/>
  <c r="Q13" i="15"/>
  <c r="Q14" i="15"/>
  <c r="Q15" i="15"/>
  <c r="Q16" i="15"/>
  <c r="Q17" i="15"/>
  <c r="Q18" i="15"/>
  <c r="Q19" i="15"/>
  <c r="Q20" i="15"/>
  <c r="Q21" i="15"/>
  <c r="Q22" i="15"/>
  <c r="Q23" i="15"/>
  <c r="Q24" i="15"/>
  <c r="Q25" i="15"/>
  <c r="Q26" i="15"/>
  <c r="Q27" i="15"/>
  <c r="Q28" i="15"/>
  <c r="Q29" i="15"/>
  <c r="Q30" i="15"/>
  <c r="Q31" i="15"/>
  <c r="Q32" i="15"/>
  <c r="Q33" i="15"/>
  <c r="Q34" i="15"/>
  <c r="Q35" i="15"/>
  <c r="Q36" i="15"/>
  <c r="Q37" i="15"/>
  <c r="Q38" i="15"/>
  <c r="Q39" i="15"/>
  <c r="Q40" i="15"/>
  <c r="Q41" i="15"/>
  <c r="Q42" i="15"/>
  <c r="Q43" i="15"/>
  <c r="Q44" i="15"/>
  <c r="Q45" i="15"/>
  <c r="Q46" i="15"/>
  <c r="Q47" i="15"/>
  <c r="Q48" i="15"/>
  <c r="Q49" i="15"/>
  <c r="Q50" i="15"/>
  <c r="Q51" i="15"/>
  <c r="Q52" i="15"/>
  <c r="Q53" i="15"/>
  <c r="Q54" i="15"/>
  <c r="Q55" i="15"/>
  <c r="Q56" i="15"/>
  <c r="Q57" i="15"/>
  <c r="Q58" i="15"/>
  <c r="Q59" i="15"/>
  <c r="Q60" i="15"/>
  <c r="Q61" i="15"/>
  <c r="Q62" i="15"/>
  <c r="Q63" i="15"/>
  <c r="Q64" i="15"/>
  <c r="Q65" i="15"/>
  <c r="Q66" i="15"/>
  <c r="Q67" i="15"/>
  <c r="Q68" i="15"/>
  <c r="Q69" i="15"/>
  <c r="Q70" i="15"/>
  <c r="Q71" i="15"/>
  <c r="Q72" i="15"/>
  <c r="Q73" i="15"/>
  <c r="Q74" i="15"/>
  <c r="Q75" i="15"/>
  <c r="Q76" i="15"/>
  <c r="Q77" i="15"/>
  <c r="Q78" i="15"/>
  <c r="Q79" i="15"/>
  <c r="Q80" i="15"/>
  <c r="Q81" i="15"/>
  <c r="Q82" i="15"/>
  <c r="Q83" i="15"/>
  <c r="Q84" i="15"/>
  <c r="Q85" i="15"/>
  <c r="Q86" i="15"/>
  <c r="Q87" i="15"/>
  <c r="Q88" i="15"/>
  <c r="Q89" i="15"/>
  <c r="Q90" i="15"/>
  <c r="Q91" i="15"/>
  <c r="Q92" i="15"/>
  <c r="Q93" i="15"/>
  <c r="Q94" i="15"/>
  <c r="Q95" i="15"/>
  <c r="Q96" i="15"/>
  <c r="Q97" i="15"/>
  <c r="Q98" i="15"/>
  <c r="Q99" i="15"/>
  <c r="Q100" i="15"/>
  <c r="Q101" i="15"/>
  <c r="Q102" i="15"/>
  <c r="Q103" i="15"/>
  <c r="Q104" i="15"/>
  <c r="Q105" i="15"/>
  <c r="Q106" i="15"/>
  <c r="Q107" i="15"/>
  <c r="Q108" i="15"/>
  <c r="Q109" i="15"/>
  <c r="Q110" i="15"/>
  <c r="Q111" i="15"/>
  <c r="Q112" i="15"/>
  <c r="Q113" i="15"/>
  <c r="Q114" i="15"/>
  <c r="Q115" i="15"/>
  <c r="Q116" i="15"/>
  <c r="Q117" i="15"/>
  <c r="Q118" i="15"/>
  <c r="Q119" i="15"/>
  <c r="Q120" i="15"/>
  <c r="Q121" i="15"/>
  <c r="Q122" i="15"/>
  <c r="Q123" i="15"/>
  <c r="Q124" i="15"/>
  <c r="Q125" i="15"/>
  <c r="Q126" i="15"/>
  <c r="Q127" i="15"/>
  <c r="Q128" i="15"/>
  <c r="Q129" i="15"/>
  <c r="Q130" i="15"/>
  <c r="Q131" i="15"/>
  <c r="Q132" i="15"/>
  <c r="Q133" i="15"/>
  <c r="Q134" i="15"/>
  <c r="Q135" i="15"/>
  <c r="Q136" i="15"/>
  <c r="Q137" i="15"/>
  <c r="Q138" i="15"/>
  <c r="Q139" i="15"/>
  <c r="Q140" i="15"/>
  <c r="Q141" i="15"/>
  <c r="Q142" i="15"/>
  <c r="Q143" i="15"/>
  <c r="Q144" i="15"/>
  <c r="Q145" i="15"/>
  <c r="Q146" i="15"/>
  <c r="Q147" i="15"/>
  <c r="Q148" i="15"/>
  <c r="Q149" i="15"/>
  <c r="Q150" i="15"/>
  <c r="Q151" i="15"/>
  <c r="Q152" i="15"/>
  <c r="Q153" i="15"/>
  <c r="Q154" i="15"/>
  <c r="Q155" i="15"/>
  <c r="Q156" i="15"/>
  <c r="Q157" i="15"/>
  <c r="Q158" i="15"/>
  <c r="Q159" i="15"/>
  <c r="Q160" i="15"/>
  <c r="Q161" i="15"/>
  <c r="Q162" i="15"/>
  <c r="Q163" i="15"/>
  <c r="Q164" i="15"/>
  <c r="Q165" i="15"/>
  <c r="Q166" i="15"/>
  <c r="Q167" i="15"/>
  <c r="Q168" i="15"/>
  <c r="Q169" i="15"/>
  <c r="Q170" i="15"/>
  <c r="Q171" i="15"/>
  <c r="Q172" i="15"/>
  <c r="Q173" i="15"/>
  <c r="Q174" i="15"/>
  <c r="Q175" i="15"/>
  <c r="Q176" i="15"/>
  <c r="Q177" i="15"/>
  <c r="Q178" i="15"/>
  <c r="Q179" i="15"/>
  <c r="Q180" i="15"/>
  <c r="Q181" i="15"/>
  <c r="Q182" i="15"/>
  <c r="Q183" i="15"/>
  <c r="Q184" i="15"/>
  <c r="Q185" i="15"/>
  <c r="Q186" i="15"/>
  <c r="Q187" i="15"/>
  <c r="Q188" i="15"/>
  <c r="Q189" i="15"/>
  <c r="Q190" i="15"/>
  <c r="Q191" i="15"/>
  <c r="Q192" i="15"/>
  <c r="Q193" i="15"/>
  <c r="Q194" i="15"/>
  <c r="Q195" i="15"/>
  <c r="Q196" i="15"/>
  <c r="Q197" i="15"/>
  <c r="Q198" i="15"/>
  <c r="Q199" i="15"/>
  <c r="Q200" i="15"/>
  <c r="Q201" i="15"/>
  <c r="Q202" i="15"/>
  <c r="Q203" i="15"/>
  <c r="Q204" i="15"/>
  <c r="Q205" i="15"/>
  <c r="Q206" i="15"/>
  <c r="Q207" i="15"/>
  <c r="Q208" i="15"/>
  <c r="Q209" i="15"/>
  <c r="Q210" i="15"/>
  <c r="Q211" i="15"/>
  <c r="Q212" i="15"/>
  <c r="Q213" i="15"/>
  <c r="Q214" i="15"/>
  <c r="Q215" i="15"/>
  <c r="Q216" i="15"/>
  <c r="Q217" i="15"/>
  <c r="Q218" i="15"/>
  <c r="Q219" i="15"/>
  <c r="Q220" i="15"/>
  <c r="Q221" i="15"/>
  <c r="Q222" i="15"/>
  <c r="Q223" i="15"/>
  <c r="Q224" i="15"/>
  <c r="Q225" i="15"/>
  <c r="Q226" i="15"/>
  <c r="Q227" i="15"/>
  <c r="Q228" i="15"/>
  <c r="Q229" i="15"/>
  <c r="Q230" i="15"/>
  <c r="Q231" i="15"/>
  <c r="Q232" i="15"/>
  <c r="Q233" i="15"/>
  <c r="Q234" i="15"/>
  <c r="Q235" i="15"/>
  <c r="Q236" i="15"/>
  <c r="Q237" i="15"/>
  <c r="Q238" i="15"/>
  <c r="Q239" i="15"/>
  <c r="Q240" i="15"/>
  <c r="Q241" i="15"/>
  <c r="Q242" i="15"/>
  <c r="Q243" i="15"/>
  <c r="Q244" i="15"/>
  <c r="Q245" i="15"/>
  <c r="Q246" i="15"/>
  <c r="Q247" i="15"/>
  <c r="Q248" i="15"/>
  <c r="Q249" i="15"/>
  <c r="Q250" i="15"/>
  <c r="Q251" i="15"/>
  <c r="Q252" i="15"/>
  <c r="Q253" i="15"/>
  <c r="Q254" i="15"/>
  <c r="Q255" i="15"/>
  <c r="Q256" i="15"/>
  <c r="Q257" i="15"/>
  <c r="Q258" i="15"/>
  <c r="Q259" i="15"/>
  <c r="Q260" i="15"/>
  <c r="Q261" i="15"/>
  <c r="Q262" i="15"/>
  <c r="Q263" i="15"/>
  <c r="Q264" i="15"/>
  <c r="Q265" i="15"/>
  <c r="Q266" i="15"/>
  <c r="Q267" i="15"/>
  <c r="Q268" i="15"/>
  <c r="Q269" i="15"/>
  <c r="Q270" i="15"/>
  <c r="Q271" i="15"/>
  <c r="Q272" i="15"/>
  <c r="Q273" i="15"/>
  <c r="Q274" i="15"/>
  <c r="Q275" i="15"/>
  <c r="Q276" i="15"/>
  <c r="Q277" i="15"/>
  <c r="Q278" i="15"/>
  <c r="Q279" i="15"/>
  <c r="Q280" i="15"/>
  <c r="Q281" i="15"/>
  <c r="Q282" i="15"/>
  <c r="Q283" i="15"/>
  <c r="Q284" i="15"/>
  <c r="Q285" i="15"/>
  <c r="Q286" i="15"/>
  <c r="Q287" i="15"/>
  <c r="Q288" i="15"/>
  <c r="Q289" i="15"/>
  <c r="Q290" i="15"/>
  <c r="Q291" i="15"/>
  <c r="Q292" i="15"/>
  <c r="Q293" i="15"/>
  <c r="Q294" i="15"/>
  <c r="Q295" i="15"/>
  <c r="Q296" i="15"/>
  <c r="Q297" i="15"/>
  <c r="Q298" i="15"/>
  <c r="Q299" i="15"/>
  <c r="Q300" i="15"/>
  <c r="Q301" i="15"/>
  <c r="Q302" i="15"/>
  <c r="Q303" i="15"/>
  <c r="Q304" i="15"/>
  <c r="Q305" i="15"/>
  <c r="Q306" i="15"/>
  <c r="Q307" i="15"/>
  <c r="Q308" i="15"/>
  <c r="Q309" i="15"/>
  <c r="Q310" i="15"/>
  <c r="Q311" i="15"/>
  <c r="Q312" i="15"/>
  <c r="Q313" i="15"/>
  <c r="Q314" i="15"/>
  <c r="Q315" i="15"/>
  <c r="Q316" i="15"/>
  <c r="Q317" i="15"/>
  <c r="Q318" i="15"/>
  <c r="Q319" i="15"/>
  <c r="Q320" i="15"/>
  <c r="Q321" i="15"/>
  <c r="Q322" i="15"/>
  <c r="Q323" i="15"/>
  <c r="Q324" i="15"/>
  <c r="Q325" i="15"/>
  <c r="Q326" i="15"/>
  <c r="Q327" i="15"/>
  <c r="Q328" i="15"/>
  <c r="Q329" i="15"/>
  <c r="Q330" i="15"/>
  <c r="Q331" i="15"/>
  <c r="Q332" i="15"/>
  <c r="Q333" i="15"/>
  <c r="Q334" i="15"/>
  <c r="Q335" i="15"/>
  <c r="Q336" i="15"/>
  <c r="Q337" i="15"/>
  <c r="Q338" i="15"/>
  <c r="Q339" i="15"/>
  <c r="Q340" i="15"/>
  <c r="Q341" i="15"/>
  <c r="Q342" i="15"/>
  <c r="Q343" i="15"/>
  <c r="Q344" i="15"/>
  <c r="Q345" i="15"/>
  <c r="Q346" i="15"/>
  <c r="Q347" i="15"/>
  <c r="Q348" i="15"/>
  <c r="Q349" i="15"/>
  <c r="Q350" i="15"/>
  <c r="Q351" i="15"/>
  <c r="Q352" i="15"/>
  <c r="Q353" i="15"/>
  <c r="Q354" i="15"/>
  <c r="Q355" i="15"/>
  <c r="Q356" i="15"/>
  <c r="Q357" i="15"/>
  <c r="Q358" i="15"/>
  <c r="Q359" i="15"/>
  <c r="Q360" i="15"/>
  <c r="Q361" i="15"/>
  <c r="Q362" i="15"/>
  <c r="Q363" i="15"/>
  <c r="Q364" i="15"/>
  <c r="Q365" i="15"/>
  <c r="Q366" i="15"/>
  <c r="Q367" i="15"/>
  <c r="Q368" i="15"/>
  <c r="Q369" i="15"/>
  <c r="Q370" i="15"/>
  <c r="Q371" i="15"/>
  <c r="Q372" i="15"/>
  <c r="Q373" i="15"/>
  <c r="Q374" i="15"/>
  <c r="Q375" i="15"/>
  <c r="Q376" i="15"/>
  <c r="Q377" i="15"/>
  <c r="Q378" i="15"/>
  <c r="Q379" i="15"/>
  <c r="Q380" i="15"/>
  <c r="Q381" i="15"/>
  <c r="Q382" i="15"/>
  <c r="Q383" i="15"/>
  <c r="Q384" i="15"/>
  <c r="Q385" i="15"/>
  <c r="Q386" i="15"/>
  <c r="Q387" i="15"/>
  <c r="Q388" i="15"/>
  <c r="Q389" i="15"/>
  <c r="Q390" i="15"/>
  <c r="Q391" i="15"/>
  <c r="Q392" i="15"/>
  <c r="Q393" i="15"/>
  <c r="Q394" i="15"/>
  <c r="Q395" i="15"/>
  <c r="Q396" i="15"/>
  <c r="Q397" i="15"/>
  <c r="Q398" i="15"/>
  <c r="Q399" i="15"/>
  <c r="Q400" i="15"/>
  <c r="Q401" i="15"/>
  <c r="Q402" i="15"/>
  <c r="Q403" i="15"/>
  <c r="Q404" i="15"/>
  <c r="Q405" i="15"/>
  <c r="Q406" i="15"/>
  <c r="Q407" i="15"/>
  <c r="Q408" i="15"/>
  <c r="Q409" i="15"/>
  <c r="Q410" i="15"/>
  <c r="Q411" i="15"/>
  <c r="Q412" i="15"/>
  <c r="Q413" i="15"/>
  <c r="Q414" i="15"/>
  <c r="Q415" i="15"/>
  <c r="Q416" i="15"/>
  <c r="Q417" i="15"/>
  <c r="Q418" i="15"/>
  <c r="Q419" i="15"/>
  <c r="Q420" i="15"/>
  <c r="Q421" i="15"/>
  <c r="Q422" i="15"/>
  <c r="Q423" i="15"/>
  <c r="Q424" i="15"/>
  <c r="Q425" i="15"/>
  <c r="Q426" i="15"/>
  <c r="Q427" i="15"/>
  <c r="Q428" i="15"/>
  <c r="Q429" i="15"/>
  <c r="Q430" i="15"/>
  <c r="Q431" i="15"/>
  <c r="Q432" i="15"/>
  <c r="Q433" i="15"/>
  <c r="Q434" i="15"/>
  <c r="Q435" i="15"/>
  <c r="Q436" i="15"/>
  <c r="Q437" i="15"/>
  <c r="Q438" i="15"/>
  <c r="Q439" i="15"/>
  <c r="Q440" i="15"/>
  <c r="Q441" i="15"/>
  <c r="Q442" i="15"/>
  <c r="Q443" i="15"/>
  <c r="Q444" i="15"/>
  <c r="Q445" i="15"/>
  <c r="Q446" i="15"/>
  <c r="Q447" i="15"/>
  <c r="Q448" i="15"/>
  <c r="Q449" i="15"/>
  <c r="Q450" i="15"/>
  <c r="Q451" i="15"/>
  <c r="Q452" i="15"/>
  <c r="Q453" i="15"/>
  <c r="Q454" i="15"/>
  <c r="Q455" i="15"/>
  <c r="Q456" i="15"/>
  <c r="Q457" i="15"/>
  <c r="Q458" i="15"/>
  <c r="Q459" i="15"/>
  <c r="Q460" i="15"/>
  <c r="Q461" i="15"/>
  <c r="Q462" i="15"/>
  <c r="Q463" i="15"/>
  <c r="Q464" i="15"/>
  <c r="Q465" i="15"/>
  <c r="Q466" i="15"/>
  <c r="Q467" i="15"/>
  <c r="Q468" i="15"/>
  <c r="Q469" i="15"/>
  <c r="Q470" i="15"/>
  <c r="Q471" i="15"/>
  <c r="Q472" i="15"/>
  <c r="Q473" i="15"/>
  <c r="Q474" i="15"/>
  <c r="Q475" i="15"/>
  <c r="Q476" i="15"/>
  <c r="Q477" i="15"/>
  <c r="Q478" i="15"/>
  <c r="Q479" i="15"/>
  <c r="Q480" i="15"/>
  <c r="Q481" i="15"/>
  <c r="Q482" i="15"/>
  <c r="Q483" i="15"/>
  <c r="Q484" i="15"/>
  <c r="Q485" i="15"/>
  <c r="Q486" i="15"/>
  <c r="Q487" i="15"/>
  <c r="Q488" i="15"/>
  <c r="Q489" i="15"/>
  <c r="Q490" i="15"/>
  <c r="Q491" i="15"/>
  <c r="Q492" i="15"/>
  <c r="Q493" i="15"/>
  <c r="Q494" i="15"/>
  <c r="Q495" i="15"/>
  <c r="Q496" i="15"/>
  <c r="Q497" i="15"/>
  <c r="Q498" i="15"/>
  <c r="Q499" i="15"/>
  <c r="Q500" i="15"/>
  <c r="Q501" i="15"/>
  <c r="Q502" i="15"/>
  <c r="Q503" i="15"/>
  <c r="Q504" i="15"/>
  <c r="Q505" i="15"/>
  <c r="Q506" i="15"/>
  <c r="Q507" i="15"/>
  <c r="Q508" i="15"/>
  <c r="Q509" i="15"/>
  <c r="Q510" i="15"/>
  <c r="Q511" i="15"/>
  <c r="Q512" i="15"/>
  <c r="Q513" i="15"/>
  <c r="Q514" i="15"/>
  <c r="Q515" i="15"/>
  <c r="Q516" i="15"/>
  <c r="Q517" i="15"/>
  <c r="Q518" i="15"/>
  <c r="Q519" i="15"/>
  <c r="Q520" i="15"/>
  <c r="Q521" i="15"/>
  <c r="Q522" i="15"/>
  <c r="Q523" i="15"/>
  <c r="Q524" i="15"/>
  <c r="Q525" i="15"/>
  <c r="Q526" i="15"/>
  <c r="Q527" i="15"/>
  <c r="Q528" i="15"/>
  <c r="Q529" i="15"/>
  <c r="Q530" i="15"/>
  <c r="Q531" i="15"/>
  <c r="Q532" i="15"/>
  <c r="Q533" i="15"/>
  <c r="Q534" i="15"/>
  <c r="Q535" i="15"/>
  <c r="Q536" i="15"/>
  <c r="Q537" i="15"/>
  <c r="Q538" i="15"/>
  <c r="Q539" i="15"/>
  <c r="Q540" i="15"/>
  <c r="Q541" i="15"/>
  <c r="Q542" i="15"/>
  <c r="Q543" i="15"/>
  <c r="Q544" i="15"/>
  <c r="Q545" i="15"/>
  <c r="Q546" i="15"/>
  <c r="Q547" i="15"/>
  <c r="Q548" i="15"/>
  <c r="Q549" i="15"/>
  <c r="Q550" i="15"/>
  <c r="Q551" i="15"/>
  <c r="Q552" i="15"/>
  <c r="Q553" i="15"/>
  <c r="Q554" i="15"/>
  <c r="Q555" i="15"/>
  <c r="Q556" i="15"/>
  <c r="Q557" i="15"/>
  <c r="Q558" i="15"/>
  <c r="Q559" i="15"/>
  <c r="Q560" i="15"/>
  <c r="Q561" i="15"/>
  <c r="Q562" i="15"/>
  <c r="Q563" i="15"/>
  <c r="Q564" i="15"/>
  <c r="Q565" i="15"/>
  <c r="Q566" i="15"/>
  <c r="Q567" i="15"/>
  <c r="Q568" i="15"/>
  <c r="Q569" i="15"/>
  <c r="Q570" i="15"/>
  <c r="Q571" i="15"/>
  <c r="Q572" i="15"/>
  <c r="Q573" i="15"/>
  <c r="Q574" i="15"/>
  <c r="Q575" i="15"/>
  <c r="Q576" i="15"/>
  <c r="Q577" i="15"/>
  <c r="Q578" i="15"/>
  <c r="Q579" i="15"/>
  <c r="Q580" i="15"/>
  <c r="Q581" i="15"/>
  <c r="Q582" i="15"/>
  <c r="Q583" i="15"/>
  <c r="Q584" i="15"/>
  <c r="Q585" i="15"/>
  <c r="Q586" i="15"/>
  <c r="Q587" i="15"/>
  <c r="Q588" i="15"/>
  <c r="Q589" i="15"/>
  <c r="Q590" i="15"/>
  <c r="Q591" i="15"/>
  <c r="Q592" i="15"/>
  <c r="Q593" i="15"/>
  <c r="Q594" i="15"/>
  <c r="Q595" i="15"/>
  <c r="Q596" i="15"/>
  <c r="Q597" i="15"/>
  <c r="Q598" i="15"/>
  <c r="Q599" i="15"/>
  <c r="Q600" i="15"/>
  <c r="Q601" i="15"/>
  <c r="Q602" i="15"/>
  <c r="Q603" i="15"/>
  <c r="Q604" i="15"/>
  <c r="Q605" i="15"/>
  <c r="Q606" i="15"/>
  <c r="Q607" i="15"/>
  <c r="Q608" i="15"/>
  <c r="Q609" i="15"/>
  <c r="Q610" i="15"/>
  <c r="Q611" i="15"/>
  <c r="Q612" i="15"/>
  <c r="Q613" i="15"/>
  <c r="Q614" i="15"/>
  <c r="Q615" i="15"/>
  <c r="Q616" i="15"/>
  <c r="Q617" i="15"/>
  <c r="Q618" i="15"/>
  <c r="Q619" i="15"/>
  <c r="Q620" i="15"/>
  <c r="Q621" i="15"/>
  <c r="Q622" i="15"/>
  <c r="Q623" i="15"/>
  <c r="Q624" i="15"/>
  <c r="Q625" i="15"/>
  <c r="Q626" i="15"/>
  <c r="Q627" i="15"/>
  <c r="Q628" i="15"/>
  <c r="Q629" i="15"/>
  <c r="Q630" i="15"/>
  <c r="Q631" i="15"/>
  <c r="Q632" i="15"/>
  <c r="Q633" i="15"/>
  <c r="Q634" i="15"/>
  <c r="Q635" i="15"/>
  <c r="Q636" i="15"/>
  <c r="Q637" i="15"/>
  <c r="Q638" i="15"/>
  <c r="Q639" i="15"/>
  <c r="Q640" i="15"/>
  <c r="Q641" i="15"/>
  <c r="Q642" i="15"/>
  <c r="Q643" i="15"/>
  <c r="Q644" i="15"/>
  <c r="Q645" i="15"/>
  <c r="Q646" i="15"/>
  <c r="Q647" i="15"/>
  <c r="Q648" i="15"/>
  <c r="Q649" i="15"/>
  <c r="Q650" i="15"/>
  <c r="Q651" i="15"/>
  <c r="Q652" i="15"/>
  <c r="Q653" i="15"/>
  <c r="Q654" i="15"/>
  <c r="Q655" i="15"/>
  <c r="Q656" i="15"/>
  <c r="Q657" i="15"/>
  <c r="Q658" i="15"/>
  <c r="Q659" i="15"/>
  <c r="Q660" i="15"/>
  <c r="Q661" i="15"/>
  <c r="Q662" i="15"/>
  <c r="Q663" i="15"/>
  <c r="Q664" i="15"/>
  <c r="Q665" i="15"/>
  <c r="Q666" i="15"/>
  <c r="Q667" i="15"/>
  <c r="Q668" i="15"/>
  <c r="Q669" i="15"/>
  <c r="Q670" i="15"/>
  <c r="Q671" i="15"/>
  <c r="Q672" i="15"/>
  <c r="Q673" i="15"/>
  <c r="Q674" i="15"/>
  <c r="Q675" i="15"/>
  <c r="Q676" i="15"/>
  <c r="Q677" i="15"/>
  <c r="Q678" i="15"/>
  <c r="Q679" i="15"/>
  <c r="Q680" i="15"/>
  <c r="Q681" i="15"/>
  <c r="Q682" i="15"/>
  <c r="Q683" i="15"/>
  <c r="Q684" i="15"/>
  <c r="Q685" i="15"/>
  <c r="Q686" i="15"/>
  <c r="Q687" i="15"/>
  <c r="Q688" i="15"/>
  <c r="Q689" i="15"/>
  <c r="Q690" i="15"/>
  <c r="Q691" i="15"/>
  <c r="Q692" i="15"/>
  <c r="Q693" i="15"/>
  <c r="Q694" i="15"/>
  <c r="Q695" i="15"/>
  <c r="Q696" i="15"/>
  <c r="Q697" i="15"/>
  <c r="Q698" i="15"/>
  <c r="Q699" i="15"/>
  <c r="Q700" i="15"/>
  <c r="Q701" i="15"/>
  <c r="Q702" i="15"/>
  <c r="Q703" i="15"/>
  <c r="Q704" i="15"/>
  <c r="Q705" i="15"/>
  <c r="Q706" i="15"/>
  <c r="Q707" i="15"/>
  <c r="Q708" i="15"/>
  <c r="Q709" i="15"/>
  <c r="Q710" i="15"/>
  <c r="Q711" i="15"/>
  <c r="Q712" i="15"/>
  <c r="Q713" i="15"/>
  <c r="Q714" i="15"/>
  <c r="Q715" i="15"/>
  <c r="Q716" i="15"/>
  <c r="Q717" i="15"/>
  <c r="Q718" i="15"/>
  <c r="Q719" i="15"/>
  <c r="Q720" i="15"/>
  <c r="Q721" i="15"/>
  <c r="Q722" i="15"/>
  <c r="Q723" i="15"/>
  <c r="Q724" i="15"/>
  <c r="Q725" i="15"/>
  <c r="Q726" i="15"/>
  <c r="Q727" i="15"/>
  <c r="Q728" i="15"/>
  <c r="Q729" i="15"/>
  <c r="Q730" i="15"/>
  <c r="Q731" i="15"/>
  <c r="Q732" i="15"/>
  <c r="Q733" i="15"/>
  <c r="Q734" i="15"/>
  <c r="Q735" i="15"/>
  <c r="Q736" i="15"/>
  <c r="Q737" i="15"/>
  <c r="Q738" i="15"/>
  <c r="Q739" i="15"/>
  <c r="Q740" i="15"/>
  <c r="Q741" i="15"/>
  <c r="Q742" i="15"/>
  <c r="Q743" i="15"/>
  <c r="Q744" i="15"/>
  <c r="Q745" i="15"/>
  <c r="Q746" i="15"/>
  <c r="Q747" i="15"/>
  <c r="Q748" i="15"/>
  <c r="Q749" i="15"/>
  <c r="Q750" i="15"/>
  <c r="Q751" i="15"/>
  <c r="Q752" i="15"/>
  <c r="Q753" i="15"/>
  <c r="Q754" i="15"/>
  <c r="Q755" i="15"/>
  <c r="Q756" i="15"/>
  <c r="Q757" i="15"/>
  <c r="Q758" i="15"/>
  <c r="Q759" i="15"/>
  <c r="Q760" i="15"/>
  <c r="Q761" i="15"/>
  <c r="Q762" i="15"/>
  <c r="Q763" i="15"/>
  <c r="Q764" i="15"/>
  <c r="Q765" i="15"/>
  <c r="Q766" i="15"/>
  <c r="Q767" i="15"/>
  <c r="Q768" i="15"/>
  <c r="Q769" i="15"/>
  <c r="Q770" i="15"/>
  <c r="Q771" i="15"/>
  <c r="Q772" i="15"/>
  <c r="Q773" i="15"/>
  <c r="Q774" i="15"/>
  <c r="Q775" i="15"/>
  <c r="Q776" i="15"/>
  <c r="Q777" i="15"/>
  <c r="Q778" i="15"/>
  <c r="Q779" i="15"/>
  <c r="Q780" i="15"/>
  <c r="Q781" i="15"/>
  <c r="Q782" i="15"/>
  <c r="Q783" i="15"/>
  <c r="Q784" i="15"/>
  <c r="Q785" i="15"/>
  <c r="Q786" i="15"/>
  <c r="Q787" i="15"/>
  <c r="Q788" i="15"/>
  <c r="Q789" i="15"/>
  <c r="Q790" i="15"/>
  <c r="Q2" i="15"/>
  <c r="P3" i="15"/>
  <c r="P4" i="15"/>
  <c r="P5" i="15"/>
  <c r="P6" i="15"/>
  <c r="P7" i="15"/>
  <c r="P8" i="15"/>
  <c r="P9" i="15"/>
  <c r="P10" i="15"/>
  <c r="P11" i="15"/>
  <c r="P12" i="15"/>
  <c r="P13" i="15"/>
  <c r="P14" i="15"/>
  <c r="P15" i="15"/>
  <c r="P16" i="15"/>
  <c r="P17" i="15"/>
  <c r="P18" i="15"/>
  <c r="P19" i="15"/>
  <c r="P20" i="15"/>
  <c r="P21" i="15"/>
  <c r="P22" i="15"/>
  <c r="P23" i="15"/>
  <c r="P24" i="15"/>
  <c r="P25" i="15"/>
  <c r="P26" i="15"/>
  <c r="P27" i="15"/>
  <c r="P28" i="15"/>
  <c r="P29" i="15"/>
  <c r="P30" i="15"/>
  <c r="P31" i="15"/>
  <c r="P32" i="15"/>
  <c r="P33" i="15"/>
  <c r="P34" i="15"/>
  <c r="P35" i="15"/>
  <c r="P36" i="15"/>
  <c r="P37" i="15"/>
  <c r="P38" i="15"/>
  <c r="P39" i="15"/>
  <c r="P40" i="15"/>
  <c r="P41" i="15"/>
  <c r="P42" i="15"/>
  <c r="P43" i="15"/>
  <c r="P44" i="15"/>
  <c r="P45" i="15"/>
  <c r="P46" i="15"/>
  <c r="P47" i="15"/>
  <c r="P48" i="15"/>
  <c r="P49" i="15"/>
  <c r="P50" i="15"/>
  <c r="P51" i="15"/>
  <c r="P52" i="15"/>
  <c r="P53" i="15"/>
  <c r="P54" i="15"/>
  <c r="P55" i="15"/>
  <c r="P56" i="15"/>
  <c r="P57" i="15"/>
  <c r="P58" i="15"/>
  <c r="P59" i="15"/>
  <c r="P60" i="15"/>
  <c r="P61" i="15"/>
  <c r="P62" i="15"/>
  <c r="P63" i="15"/>
  <c r="P64" i="15"/>
  <c r="P65" i="15"/>
  <c r="P66" i="15"/>
  <c r="P67" i="15"/>
  <c r="P68" i="15"/>
  <c r="P69" i="15"/>
  <c r="P70" i="15"/>
  <c r="P71" i="15"/>
  <c r="P72" i="15"/>
  <c r="P73" i="15"/>
  <c r="P74" i="15"/>
  <c r="P75" i="15"/>
  <c r="P76" i="15"/>
  <c r="P77" i="15"/>
  <c r="P78" i="15"/>
  <c r="P79" i="15"/>
  <c r="P80" i="15"/>
  <c r="P81" i="15"/>
  <c r="P82" i="15"/>
  <c r="P83" i="15"/>
  <c r="P84" i="15"/>
  <c r="P85" i="15"/>
  <c r="P86" i="15"/>
  <c r="P87" i="15"/>
  <c r="P88" i="15"/>
  <c r="P89" i="15"/>
  <c r="P90" i="15"/>
  <c r="P91" i="15"/>
  <c r="P92" i="15"/>
  <c r="P93" i="15"/>
  <c r="P94" i="15"/>
  <c r="P95" i="15"/>
  <c r="P96" i="15"/>
  <c r="P97" i="15"/>
  <c r="P98" i="15"/>
  <c r="P99" i="15"/>
  <c r="P100" i="15"/>
  <c r="P101" i="15"/>
  <c r="P102" i="15"/>
  <c r="P103" i="15"/>
  <c r="P104" i="15"/>
  <c r="P105" i="15"/>
  <c r="P106" i="15"/>
  <c r="P107" i="15"/>
  <c r="P108" i="15"/>
  <c r="P109" i="15"/>
  <c r="P110" i="15"/>
  <c r="P111" i="15"/>
  <c r="P112" i="15"/>
  <c r="P113" i="15"/>
  <c r="P114" i="15"/>
  <c r="P115" i="15"/>
  <c r="P116" i="15"/>
  <c r="P117" i="15"/>
  <c r="P118" i="15"/>
  <c r="P119" i="15"/>
  <c r="P120" i="15"/>
  <c r="P121" i="15"/>
  <c r="P122" i="15"/>
  <c r="P123" i="15"/>
  <c r="P124" i="15"/>
  <c r="P125" i="15"/>
  <c r="P126" i="15"/>
  <c r="P127" i="15"/>
  <c r="P128" i="15"/>
  <c r="P129" i="15"/>
  <c r="P130" i="15"/>
  <c r="P131" i="15"/>
  <c r="P132" i="15"/>
  <c r="P133" i="15"/>
  <c r="P134" i="15"/>
  <c r="P135" i="15"/>
  <c r="P136" i="15"/>
  <c r="P137" i="15"/>
  <c r="P138" i="15"/>
  <c r="P139" i="15"/>
  <c r="P140" i="15"/>
  <c r="P141" i="15"/>
  <c r="P142" i="15"/>
  <c r="P143" i="15"/>
  <c r="P144" i="15"/>
  <c r="P145" i="15"/>
  <c r="P146" i="15"/>
  <c r="P147" i="15"/>
  <c r="P148" i="15"/>
  <c r="P149" i="15"/>
  <c r="P150" i="15"/>
  <c r="P151" i="15"/>
  <c r="P152" i="15"/>
  <c r="P153" i="15"/>
  <c r="P154" i="15"/>
  <c r="P155" i="15"/>
  <c r="P156" i="15"/>
  <c r="P157" i="15"/>
  <c r="P158" i="15"/>
  <c r="P159" i="15"/>
  <c r="P160" i="15"/>
  <c r="P161" i="15"/>
  <c r="P162" i="15"/>
  <c r="P163" i="15"/>
  <c r="P164" i="15"/>
  <c r="P165" i="15"/>
  <c r="P166" i="15"/>
  <c r="P167" i="15"/>
  <c r="P168" i="15"/>
  <c r="P169" i="15"/>
  <c r="P170" i="15"/>
  <c r="P171" i="15"/>
  <c r="P172" i="15"/>
  <c r="P173" i="15"/>
  <c r="P174" i="15"/>
  <c r="P175" i="15"/>
  <c r="P176" i="15"/>
  <c r="P177" i="15"/>
  <c r="P178" i="15"/>
  <c r="P179" i="15"/>
  <c r="P180" i="15"/>
  <c r="P181" i="15"/>
  <c r="P182" i="15"/>
  <c r="P183" i="15"/>
  <c r="P184" i="15"/>
  <c r="P185" i="15"/>
  <c r="P186" i="15"/>
  <c r="P187" i="15"/>
  <c r="P188" i="15"/>
  <c r="P189" i="15"/>
  <c r="P190" i="15"/>
  <c r="P191" i="15"/>
  <c r="P192" i="15"/>
  <c r="P193" i="15"/>
  <c r="P194" i="15"/>
  <c r="P195" i="15"/>
  <c r="P196" i="15"/>
  <c r="P197" i="15"/>
  <c r="P198" i="15"/>
  <c r="P199" i="15"/>
  <c r="P200" i="15"/>
  <c r="P201" i="15"/>
  <c r="P202" i="15"/>
  <c r="P203" i="15"/>
  <c r="P204" i="15"/>
  <c r="P205" i="15"/>
  <c r="P206" i="15"/>
  <c r="P207" i="15"/>
  <c r="P208" i="15"/>
  <c r="P209" i="15"/>
  <c r="P210" i="15"/>
  <c r="P211" i="15"/>
  <c r="P212" i="15"/>
  <c r="P213" i="15"/>
  <c r="P214" i="15"/>
  <c r="P215" i="15"/>
  <c r="P216" i="15"/>
  <c r="P217" i="15"/>
  <c r="P218" i="15"/>
  <c r="P219" i="15"/>
  <c r="P220" i="15"/>
  <c r="P221" i="15"/>
  <c r="P222" i="15"/>
  <c r="P223" i="15"/>
  <c r="P224" i="15"/>
  <c r="P225" i="15"/>
  <c r="P226" i="15"/>
  <c r="P227" i="15"/>
  <c r="P228" i="15"/>
  <c r="P229" i="15"/>
  <c r="P230" i="15"/>
  <c r="P231" i="15"/>
  <c r="P232" i="15"/>
  <c r="P233" i="15"/>
  <c r="P234" i="15"/>
  <c r="P235" i="15"/>
  <c r="P236" i="15"/>
  <c r="P237" i="15"/>
  <c r="P238" i="15"/>
  <c r="P239" i="15"/>
  <c r="P240" i="15"/>
  <c r="P241" i="15"/>
  <c r="P242" i="15"/>
  <c r="P243" i="15"/>
  <c r="P244" i="15"/>
  <c r="P245" i="15"/>
  <c r="P246" i="15"/>
  <c r="P247" i="15"/>
  <c r="P248" i="15"/>
  <c r="P249" i="15"/>
  <c r="P250" i="15"/>
  <c r="P251" i="15"/>
  <c r="P252" i="15"/>
  <c r="P253" i="15"/>
  <c r="P254" i="15"/>
  <c r="P255" i="15"/>
  <c r="P256" i="15"/>
  <c r="P257" i="15"/>
  <c r="P258" i="15"/>
  <c r="P259" i="15"/>
  <c r="P260" i="15"/>
  <c r="P261" i="15"/>
  <c r="P262" i="15"/>
  <c r="P263" i="15"/>
  <c r="P264" i="15"/>
  <c r="P265" i="15"/>
  <c r="P266" i="15"/>
  <c r="P267" i="15"/>
  <c r="P268" i="15"/>
  <c r="P269" i="15"/>
  <c r="P270" i="15"/>
  <c r="P271" i="15"/>
  <c r="P272" i="15"/>
  <c r="P273" i="15"/>
  <c r="P274" i="15"/>
  <c r="P275" i="15"/>
  <c r="P276" i="15"/>
  <c r="P277" i="15"/>
  <c r="P278" i="15"/>
  <c r="P279" i="15"/>
  <c r="P280" i="15"/>
  <c r="P281" i="15"/>
  <c r="P282" i="15"/>
  <c r="P283" i="15"/>
  <c r="P284" i="15"/>
  <c r="P285" i="15"/>
  <c r="P286" i="15"/>
  <c r="P287" i="15"/>
  <c r="P288" i="15"/>
  <c r="P289" i="15"/>
  <c r="P290" i="15"/>
  <c r="P291" i="15"/>
  <c r="P292" i="15"/>
  <c r="P293" i="15"/>
  <c r="P294" i="15"/>
  <c r="P295" i="15"/>
  <c r="P296" i="15"/>
  <c r="P297" i="15"/>
  <c r="P298" i="15"/>
  <c r="P299" i="15"/>
  <c r="P300" i="15"/>
  <c r="P301" i="15"/>
  <c r="P302" i="15"/>
  <c r="P303" i="15"/>
  <c r="P304" i="15"/>
  <c r="P305" i="15"/>
  <c r="P306" i="15"/>
  <c r="P307" i="15"/>
  <c r="P308" i="15"/>
  <c r="P309" i="15"/>
  <c r="P310" i="15"/>
  <c r="P311" i="15"/>
  <c r="P312" i="15"/>
  <c r="P313" i="15"/>
  <c r="P314" i="15"/>
  <c r="P315" i="15"/>
  <c r="P316" i="15"/>
  <c r="P317" i="15"/>
  <c r="P318" i="15"/>
  <c r="P319" i="15"/>
  <c r="P320" i="15"/>
  <c r="P321" i="15"/>
  <c r="P322" i="15"/>
  <c r="P323" i="15"/>
  <c r="P324" i="15"/>
  <c r="P325" i="15"/>
  <c r="P326" i="15"/>
  <c r="P327" i="15"/>
  <c r="P328" i="15"/>
  <c r="P329" i="15"/>
  <c r="P330" i="15"/>
  <c r="P331" i="15"/>
  <c r="P332" i="15"/>
  <c r="P333" i="15"/>
  <c r="P334" i="15"/>
  <c r="P335" i="15"/>
  <c r="P336" i="15"/>
  <c r="P337" i="15"/>
  <c r="P338" i="15"/>
  <c r="P339" i="15"/>
  <c r="P340" i="15"/>
  <c r="P341" i="15"/>
  <c r="P342" i="15"/>
  <c r="P343" i="15"/>
  <c r="P344" i="15"/>
  <c r="P345" i="15"/>
  <c r="P346" i="15"/>
  <c r="P347" i="15"/>
  <c r="P348" i="15"/>
  <c r="P349" i="15"/>
  <c r="P350" i="15"/>
  <c r="P351" i="15"/>
  <c r="P352" i="15"/>
  <c r="P353" i="15"/>
  <c r="P354" i="15"/>
  <c r="P355" i="15"/>
  <c r="P356" i="15"/>
  <c r="P357" i="15"/>
  <c r="P358" i="15"/>
  <c r="P359" i="15"/>
  <c r="P360" i="15"/>
  <c r="P361" i="15"/>
  <c r="P362" i="15"/>
  <c r="P363" i="15"/>
  <c r="P364" i="15"/>
  <c r="P365" i="15"/>
  <c r="P366" i="15"/>
  <c r="P367" i="15"/>
  <c r="P368" i="15"/>
  <c r="P369" i="15"/>
  <c r="P370" i="15"/>
  <c r="P371" i="15"/>
  <c r="P372" i="15"/>
  <c r="P373" i="15"/>
  <c r="P374" i="15"/>
  <c r="P375" i="15"/>
  <c r="P376" i="15"/>
  <c r="P377" i="15"/>
  <c r="P378" i="15"/>
  <c r="P379" i="15"/>
  <c r="P380" i="15"/>
  <c r="P381" i="15"/>
  <c r="P382" i="15"/>
  <c r="P383" i="15"/>
  <c r="P384" i="15"/>
  <c r="P385" i="15"/>
  <c r="P386" i="15"/>
  <c r="P387" i="15"/>
  <c r="P388" i="15"/>
  <c r="P389" i="15"/>
  <c r="P390" i="15"/>
  <c r="P391" i="15"/>
  <c r="P392" i="15"/>
  <c r="P393" i="15"/>
  <c r="P394" i="15"/>
  <c r="P395" i="15"/>
  <c r="P396" i="15"/>
  <c r="P397" i="15"/>
  <c r="P398" i="15"/>
  <c r="P399" i="15"/>
  <c r="P400" i="15"/>
  <c r="P401" i="15"/>
  <c r="P402" i="15"/>
  <c r="P403" i="15"/>
  <c r="P404" i="15"/>
  <c r="P405" i="15"/>
  <c r="P406" i="15"/>
  <c r="P407" i="15"/>
  <c r="P408" i="15"/>
  <c r="P409" i="15"/>
  <c r="P410" i="15"/>
  <c r="P411" i="15"/>
  <c r="P412" i="15"/>
  <c r="P413" i="15"/>
  <c r="P414" i="15"/>
  <c r="P415" i="15"/>
  <c r="P416" i="15"/>
  <c r="P417" i="15"/>
  <c r="P418" i="15"/>
  <c r="P419" i="15"/>
  <c r="P420" i="15"/>
  <c r="P421" i="15"/>
  <c r="P422" i="15"/>
  <c r="P423" i="15"/>
  <c r="P424" i="15"/>
  <c r="P425" i="15"/>
  <c r="P426" i="15"/>
  <c r="P427" i="15"/>
  <c r="P428" i="15"/>
  <c r="P429" i="15"/>
  <c r="P430" i="15"/>
  <c r="P431" i="15"/>
  <c r="P432" i="15"/>
  <c r="P433" i="15"/>
  <c r="P434" i="15"/>
  <c r="P435" i="15"/>
  <c r="P436" i="15"/>
  <c r="P437" i="15"/>
  <c r="P438" i="15"/>
  <c r="P439" i="15"/>
  <c r="P440" i="15"/>
  <c r="P441" i="15"/>
  <c r="P442" i="15"/>
  <c r="P443" i="15"/>
  <c r="P444" i="15"/>
  <c r="P445" i="15"/>
  <c r="P446" i="15"/>
  <c r="P447" i="15"/>
  <c r="P448" i="15"/>
  <c r="P449" i="15"/>
  <c r="P450" i="15"/>
  <c r="P451" i="15"/>
  <c r="P452" i="15"/>
  <c r="P453" i="15"/>
  <c r="P454" i="15"/>
  <c r="P455" i="15"/>
  <c r="P456" i="15"/>
  <c r="P457" i="15"/>
  <c r="P458" i="15"/>
  <c r="P459" i="15"/>
  <c r="P460" i="15"/>
  <c r="P461" i="15"/>
  <c r="P462" i="15"/>
  <c r="P463" i="15"/>
  <c r="P464" i="15"/>
  <c r="P465" i="15"/>
  <c r="P466" i="15"/>
  <c r="P467" i="15"/>
  <c r="P468" i="15"/>
  <c r="P469" i="15"/>
  <c r="P470" i="15"/>
  <c r="P471" i="15"/>
  <c r="P472" i="15"/>
  <c r="P473" i="15"/>
  <c r="P474" i="15"/>
  <c r="P475" i="15"/>
  <c r="P476" i="15"/>
  <c r="P477" i="15"/>
  <c r="P478" i="15"/>
  <c r="P479" i="15"/>
  <c r="P480" i="15"/>
  <c r="P481" i="15"/>
  <c r="P482" i="15"/>
  <c r="P483" i="15"/>
  <c r="P484" i="15"/>
  <c r="P485" i="15"/>
  <c r="P486" i="15"/>
  <c r="P487" i="15"/>
  <c r="P488" i="15"/>
  <c r="P489" i="15"/>
  <c r="P490" i="15"/>
  <c r="P491" i="15"/>
  <c r="P492" i="15"/>
  <c r="P493" i="15"/>
  <c r="P494" i="15"/>
  <c r="P495" i="15"/>
  <c r="P496" i="15"/>
  <c r="P497" i="15"/>
  <c r="P498" i="15"/>
  <c r="P499" i="15"/>
  <c r="P500" i="15"/>
  <c r="P501" i="15"/>
  <c r="P502" i="15"/>
  <c r="P503" i="15"/>
  <c r="P504" i="15"/>
  <c r="P505" i="15"/>
  <c r="P506" i="15"/>
  <c r="P507" i="15"/>
  <c r="P508" i="15"/>
  <c r="P509" i="15"/>
  <c r="P510" i="15"/>
  <c r="P511" i="15"/>
  <c r="P512" i="15"/>
  <c r="P513" i="15"/>
  <c r="P514" i="15"/>
  <c r="P515" i="15"/>
  <c r="P516" i="15"/>
  <c r="P517" i="15"/>
  <c r="P518" i="15"/>
  <c r="P519" i="15"/>
  <c r="P520" i="15"/>
  <c r="P521" i="15"/>
  <c r="P522" i="15"/>
  <c r="P523" i="15"/>
  <c r="P524" i="15"/>
  <c r="P525" i="15"/>
  <c r="P526" i="15"/>
  <c r="P527" i="15"/>
  <c r="P528" i="15"/>
  <c r="P529" i="15"/>
  <c r="P530" i="15"/>
  <c r="P531" i="15"/>
  <c r="P532" i="15"/>
  <c r="P533" i="15"/>
  <c r="P534" i="15"/>
  <c r="P535" i="15"/>
  <c r="P536" i="15"/>
  <c r="P537" i="15"/>
  <c r="P538" i="15"/>
  <c r="P539" i="15"/>
  <c r="P540" i="15"/>
  <c r="P541" i="15"/>
  <c r="P542" i="15"/>
  <c r="P543" i="15"/>
  <c r="P544" i="15"/>
  <c r="P545" i="15"/>
  <c r="P546" i="15"/>
  <c r="P547" i="15"/>
  <c r="P548" i="15"/>
  <c r="P549" i="15"/>
  <c r="P550" i="15"/>
  <c r="P551" i="15"/>
  <c r="P552" i="15"/>
  <c r="P553" i="15"/>
  <c r="P554" i="15"/>
  <c r="P555" i="15"/>
  <c r="P556" i="15"/>
  <c r="P557" i="15"/>
  <c r="P558" i="15"/>
  <c r="P559" i="15"/>
  <c r="P560" i="15"/>
  <c r="P561" i="15"/>
  <c r="P562" i="15"/>
  <c r="P563" i="15"/>
  <c r="P564" i="15"/>
  <c r="P565" i="15"/>
  <c r="P566" i="15"/>
  <c r="P567" i="15"/>
  <c r="P568" i="15"/>
  <c r="P569" i="15"/>
  <c r="P570" i="15"/>
  <c r="P571" i="15"/>
  <c r="P572" i="15"/>
  <c r="P573" i="15"/>
  <c r="P574" i="15"/>
  <c r="P575" i="15"/>
  <c r="P576" i="15"/>
  <c r="P577" i="15"/>
  <c r="P578" i="15"/>
  <c r="P579" i="15"/>
  <c r="P580" i="15"/>
  <c r="P581" i="15"/>
  <c r="P582" i="15"/>
  <c r="P583" i="15"/>
  <c r="P584" i="15"/>
  <c r="P585" i="15"/>
  <c r="P586" i="15"/>
  <c r="P587" i="15"/>
  <c r="P588" i="15"/>
  <c r="P589" i="15"/>
  <c r="P590" i="15"/>
  <c r="P591" i="15"/>
  <c r="P592" i="15"/>
  <c r="P593" i="15"/>
  <c r="P594" i="15"/>
  <c r="P595" i="15"/>
  <c r="P596" i="15"/>
  <c r="P597" i="15"/>
  <c r="P598" i="15"/>
  <c r="P599" i="15"/>
  <c r="P600" i="15"/>
  <c r="P601" i="15"/>
  <c r="P602" i="15"/>
  <c r="P603" i="15"/>
  <c r="P604" i="15"/>
  <c r="P605" i="15"/>
  <c r="P606" i="15"/>
  <c r="P607" i="15"/>
  <c r="P608" i="15"/>
  <c r="P609" i="15"/>
  <c r="P610" i="15"/>
  <c r="P611" i="15"/>
  <c r="P612" i="15"/>
  <c r="P613" i="15"/>
  <c r="P614" i="15"/>
  <c r="P615" i="15"/>
  <c r="P616" i="15"/>
  <c r="P617" i="15"/>
  <c r="P618" i="15"/>
  <c r="P619" i="15"/>
  <c r="P620" i="15"/>
  <c r="P621" i="15"/>
  <c r="P622" i="15"/>
  <c r="P623" i="15"/>
  <c r="P624" i="15"/>
  <c r="P625" i="15"/>
  <c r="P626" i="15"/>
  <c r="P627" i="15"/>
  <c r="P628" i="15"/>
  <c r="P629" i="15"/>
  <c r="P630" i="15"/>
  <c r="P631" i="15"/>
  <c r="P632" i="15"/>
  <c r="P633" i="15"/>
  <c r="P634" i="15"/>
  <c r="P635" i="15"/>
  <c r="P636" i="15"/>
  <c r="P637" i="15"/>
  <c r="P638" i="15"/>
  <c r="P639" i="15"/>
  <c r="P640" i="15"/>
  <c r="P641" i="15"/>
  <c r="P642" i="15"/>
  <c r="P643" i="15"/>
  <c r="P644" i="15"/>
  <c r="P645" i="15"/>
  <c r="P646" i="15"/>
  <c r="P647" i="15"/>
  <c r="P648" i="15"/>
  <c r="P649" i="15"/>
  <c r="P650" i="15"/>
  <c r="P651" i="15"/>
  <c r="P652" i="15"/>
  <c r="P653" i="15"/>
  <c r="P654" i="15"/>
  <c r="P655" i="15"/>
  <c r="P656" i="15"/>
  <c r="P657" i="15"/>
  <c r="P658" i="15"/>
  <c r="P659" i="15"/>
  <c r="P660" i="15"/>
  <c r="P661" i="15"/>
  <c r="P662" i="15"/>
  <c r="P663" i="15"/>
  <c r="P664" i="15"/>
  <c r="P665" i="15"/>
  <c r="P666" i="15"/>
  <c r="P667" i="15"/>
  <c r="P668" i="15"/>
  <c r="P669" i="15"/>
  <c r="P670" i="15"/>
  <c r="P671" i="15"/>
  <c r="P672" i="15"/>
  <c r="P673" i="15"/>
  <c r="P674" i="15"/>
  <c r="P675" i="15"/>
  <c r="P676" i="15"/>
  <c r="P677" i="15"/>
  <c r="P678" i="15"/>
  <c r="P679" i="15"/>
  <c r="P680" i="15"/>
  <c r="P681" i="15"/>
  <c r="P682" i="15"/>
  <c r="P683" i="15"/>
  <c r="P684" i="15"/>
  <c r="P685" i="15"/>
  <c r="P686" i="15"/>
  <c r="P687" i="15"/>
  <c r="P688" i="15"/>
  <c r="P689" i="15"/>
  <c r="P690" i="15"/>
  <c r="P691" i="15"/>
  <c r="P692" i="15"/>
  <c r="P693" i="15"/>
  <c r="P694" i="15"/>
  <c r="P695" i="15"/>
  <c r="P696" i="15"/>
  <c r="P697" i="15"/>
  <c r="P698" i="15"/>
  <c r="P699" i="15"/>
  <c r="P700" i="15"/>
  <c r="P701" i="15"/>
  <c r="P702" i="15"/>
  <c r="P703" i="15"/>
  <c r="P704" i="15"/>
  <c r="P705" i="15"/>
  <c r="P706" i="15"/>
  <c r="P707" i="15"/>
  <c r="P708" i="15"/>
  <c r="P709" i="15"/>
  <c r="P710" i="15"/>
  <c r="P711" i="15"/>
  <c r="P712" i="15"/>
  <c r="P713" i="15"/>
  <c r="P714" i="15"/>
  <c r="P715" i="15"/>
  <c r="P716" i="15"/>
  <c r="P717" i="15"/>
  <c r="P718" i="15"/>
  <c r="P719" i="15"/>
  <c r="P720" i="15"/>
  <c r="P721" i="15"/>
  <c r="P722" i="15"/>
  <c r="P723" i="15"/>
  <c r="P724" i="15"/>
  <c r="P725" i="15"/>
  <c r="P726" i="15"/>
  <c r="P727" i="15"/>
  <c r="P728" i="15"/>
  <c r="P729" i="15"/>
  <c r="P730" i="15"/>
  <c r="P731" i="15"/>
  <c r="P732" i="15"/>
  <c r="P733" i="15"/>
  <c r="P734" i="15"/>
  <c r="P735" i="15"/>
  <c r="P736" i="15"/>
  <c r="P737" i="15"/>
  <c r="P738" i="15"/>
  <c r="P739" i="15"/>
  <c r="P740" i="15"/>
  <c r="P741" i="15"/>
  <c r="P742" i="15"/>
  <c r="P743" i="15"/>
  <c r="P744" i="15"/>
  <c r="P745" i="15"/>
  <c r="P746" i="15"/>
  <c r="P747" i="15"/>
  <c r="P748" i="15"/>
  <c r="P749" i="15"/>
  <c r="P750" i="15"/>
  <c r="P751" i="15"/>
  <c r="P752" i="15"/>
  <c r="P753" i="15"/>
  <c r="P754" i="15"/>
  <c r="P755" i="15"/>
  <c r="P756" i="15"/>
  <c r="P757" i="15"/>
  <c r="P758" i="15"/>
  <c r="P759" i="15"/>
  <c r="P760" i="15"/>
  <c r="P761" i="15"/>
  <c r="P762" i="15"/>
  <c r="P763" i="15"/>
  <c r="P764" i="15"/>
  <c r="P765" i="15"/>
  <c r="P766" i="15"/>
  <c r="P767" i="15"/>
  <c r="P768" i="15"/>
  <c r="P769" i="15"/>
  <c r="P770" i="15"/>
  <c r="P771" i="15"/>
  <c r="P772" i="15"/>
  <c r="P773" i="15"/>
  <c r="P774" i="15"/>
  <c r="P775" i="15"/>
  <c r="P776" i="15"/>
  <c r="P777" i="15"/>
  <c r="P778" i="15"/>
  <c r="P779" i="15"/>
  <c r="P780" i="15"/>
  <c r="P781" i="15"/>
  <c r="P782" i="15"/>
  <c r="P783" i="15"/>
  <c r="P784" i="15"/>
  <c r="P785" i="15"/>
  <c r="P786" i="15"/>
  <c r="P787" i="15"/>
  <c r="P788" i="15"/>
  <c r="P789" i="15"/>
  <c r="P790" i="15"/>
  <c r="P2" i="15"/>
  <c r="O2" i="15"/>
  <c r="P2" i="14" a="1"/>
  <c r="P2" i="14" s="1"/>
  <c r="P3" i="14" a="1"/>
  <c r="P3" i="14" s="1"/>
  <c r="P4" i="14" a="1"/>
  <c r="P4" i="14" s="1"/>
  <c r="P5" i="14" a="1"/>
  <c r="P5" i="14" s="1"/>
  <c r="P6" i="14" a="1"/>
  <c r="P6" i="14" s="1"/>
  <c r="P7" i="14" a="1"/>
  <c r="P7" i="14" s="1"/>
  <c r="P8" i="14" a="1"/>
  <c r="P8" i="14" s="1"/>
  <c r="P9" i="14" a="1"/>
  <c r="P9" i="14"/>
  <c r="P10" i="14" a="1"/>
  <c r="P10" i="14"/>
  <c r="P11" i="14" a="1"/>
  <c r="P11" i="14" s="1"/>
  <c r="P12" i="14" a="1"/>
  <c r="P12" i="14" s="1"/>
  <c r="P13" i="14" a="1"/>
  <c r="P13" i="14" s="1"/>
  <c r="P14" i="14" a="1"/>
  <c r="P14" i="14" s="1"/>
  <c r="P15" i="14" a="1"/>
  <c r="P15" i="14" s="1"/>
  <c r="P16" i="14" a="1"/>
  <c r="P16" i="14"/>
  <c r="P17" i="14" a="1"/>
  <c r="P17" i="14" s="1"/>
  <c r="P18" i="14" a="1"/>
  <c r="P18" i="14" s="1"/>
  <c r="P19" i="14" a="1"/>
  <c r="P19" i="14" s="1"/>
  <c r="P20" i="14" a="1"/>
  <c r="P20" i="14" s="1"/>
  <c r="P21" i="14" a="1"/>
  <c r="P21" i="14" s="1"/>
  <c r="P22" i="14" a="1"/>
  <c r="P22" i="14" s="1"/>
  <c r="P23" i="14" a="1"/>
  <c r="P23" i="14"/>
  <c r="P24" i="14" a="1"/>
  <c r="P24" i="14"/>
  <c r="P25" i="14" a="1"/>
  <c r="P25" i="14" s="1"/>
  <c r="P26" i="14" a="1"/>
  <c r="P26" i="14"/>
  <c r="P27" i="14" a="1"/>
  <c r="P27" i="14" s="1"/>
  <c r="P28" i="14" a="1"/>
  <c r="P28" i="14" s="1"/>
  <c r="P29" i="14" a="1"/>
  <c r="P29" i="14" s="1"/>
  <c r="P30" i="14" a="1"/>
  <c r="P30" i="14" s="1"/>
  <c r="P31" i="14" a="1"/>
  <c r="P31" i="14"/>
  <c r="P32" i="14" a="1"/>
  <c r="P32" i="14"/>
  <c r="P33" i="14" a="1"/>
  <c r="P33" i="14"/>
  <c r="P34" i="14" a="1"/>
  <c r="P34" i="14"/>
  <c r="P35" i="14" a="1"/>
  <c r="P35" i="14" s="1"/>
  <c r="P36" i="14" a="1"/>
  <c r="P36" i="14" s="1"/>
  <c r="P37" i="14" a="1"/>
  <c r="P37" i="14" s="1"/>
  <c r="P38" i="14" a="1"/>
  <c r="P38" i="14" s="1"/>
  <c r="P39" i="14" a="1"/>
  <c r="P39" i="14" s="1"/>
  <c r="P40" i="14" a="1"/>
  <c r="P40" i="14" s="1"/>
  <c r="P41" i="14" a="1"/>
  <c r="P41" i="14"/>
  <c r="P42" i="14" a="1"/>
  <c r="P42" i="14"/>
  <c r="P43" i="14" a="1"/>
  <c r="P43" i="14" s="1"/>
  <c r="P44" i="14" a="1"/>
  <c r="P44" i="14" s="1"/>
  <c r="P45" i="14" a="1"/>
  <c r="P45" i="14" s="1"/>
  <c r="P46" i="14" a="1"/>
  <c r="P46" i="14" s="1"/>
  <c r="P47" i="14" a="1"/>
  <c r="P47" i="14" s="1"/>
  <c r="P48" i="14" a="1"/>
  <c r="P48" i="14" s="1"/>
  <c r="P49" i="14" a="1"/>
  <c r="P49" i="14" s="1"/>
  <c r="P50" i="14" a="1"/>
  <c r="P50" i="14" s="1"/>
  <c r="P51" i="14" a="1"/>
  <c r="P51" i="14" s="1"/>
  <c r="P52" i="14" a="1"/>
  <c r="P52" i="14" s="1"/>
  <c r="P53" i="14" a="1"/>
  <c r="P53" i="14" s="1"/>
  <c r="P54" i="14" a="1"/>
  <c r="P54" i="14" s="1"/>
  <c r="P55" i="14" a="1"/>
  <c r="P55" i="14"/>
  <c r="P56" i="14" a="1"/>
  <c r="P56" i="14"/>
  <c r="P57" i="14" a="1"/>
  <c r="P57" i="14" s="1"/>
  <c r="P58" i="14" a="1"/>
  <c r="P58" i="14" s="1"/>
  <c r="P59" i="14" a="1"/>
  <c r="P59" i="14" s="1"/>
  <c r="P60" i="14" a="1"/>
  <c r="P60" i="14" s="1"/>
  <c r="P61" i="14" a="1"/>
  <c r="P61" i="14" s="1"/>
  <c r="P62" i="14" a="1"/>
  <c r="P62" i="14" s="1"/>
  <c r="P63" i="14" a="1"/>
  <c r="P63" i="14"/>
  <c r="P64" i="14" a="1"/>
  <c r="P64" i="14"/>
  <c r="P65" i="14" a="1"/>
  <c r="P65" i="14"/>
  <c r="P66" i="14" a="1"/>
  <c r="P66" i="14"/>
  <c r="P67" i="14" a="1"/>
  <c r="P67" i="14" s="1"/>
  <c r="P68" i="14" a="1"/>
  <c r="P68" i="14" s="1"/>
  <c r="P69" i="14" a="1"/>
  <c r="P69" i="14" s="1"/>
  <c r="P70" i="14" a="1"/>
  <c r="P70" i="14" s="1"/>
  <c r="P71" i="14" a="1"/>
  <c r="P71" i="14" s="1"/>
  <c r="P72" i="14" a="1"/>
  <c r="P72" i="14" s="1"/>
  <c r="P73" i="14" a="1"/>
  <c r="P73" i="14"/>
  <c r="P74" i="14" a="1"/>
  <c r="P74" i="14"/>
  <c r="P75" i="14" a="1"/>
  <c r="P75" i="14" s="1"/>
  <c r="P76" i="14" a="1"/>
  <c r="P76" i="14" s="1"/>
  <c r="P77" i="14" a="1"/>
  <c r="P77" i="14" s="1"/>
  <c r="P78" i="14" a="1"/>
  <c r="P78" i="14" s="1"/>
  <c r="P79" i="14" a="1"/>
  <c r="P79" i="14" s="1"/>
  <c r="P80" i="14" a="1"/>
  <c r="P80" i="14" s="1"/>
  <c r="P81" i="14" a="1"/>
  <c r="P81" i="14" s="1"/>
  <c r="P82" i="14" a="1"/>
  <c r="P82" i="14" s="1"/>
  <c r="P83" i="14" a="1"/>
  <c r="P83" i="14" s="1"/>
  <c r="P84" i="14" a="1"/>
  <c r="P84" i="14" s="1"/>
  <c r="P85" i="14" a="1"/>
  <c r="P85" i="14" s="1"/>
  <c r="P86" i="14" a="1"/>
  <c r="P86" i="14" s="1"/>
  <c r="P87" i="14" a="1"/>
  <c r="P87" i="14"/>
  <c r="P88" i="14" a="1"/>
  <c r="P88" i="14"/>
  <c r="P89" i="14" a="1"/>
  <c r="P89" i="14" s="1"/>
  <c r="P90" i="14" a="1"/>
  <c r="P90" i="14" s="1"/>
  <c r="P91" i="14" a="1"/>
  <c r="P91" i="14" s="1"/>
  <c r="P92" i="14" a="1"/>
  <c r="P92" i="14" s="1"/>
  <c r="P93" i="14" a="1"/>
  <c r="P93" i="14" s="1"/>
  <c r="P94" i="14" a="1"/>
  <c r="P94" i="14" s="1"/>
  <c r="P95" i="14" a="1"/>
  <c r="P95" i="14"/>
  <c r="P96" i="14" a="1"/>
  <c r="P96" i="14"/>
  <c r="P97" i="14" a="1"/>
  <c r="P97" i="14"/>
  <c r="P98" i="14" a="1"/>
  <c r="P98" i="14"/>
  <c r="P99" i="14" a="1"/>
  <c r="P99" i="14" s="1"/>
  <c r="P100" i="14" a="1"/>
  <c r="P100" i="14" s="1"/>
  <c r="P101" i="14" a="1"/>
  <c r="P101" i="14" s="1"/>
  <c r="P102" i="14" a="1"/>
  <c r="P102" i="14" s="1"/>
  <c r="P103" i="14" a="1"/>
  <c r="P103" i="14" s="1"/>
  <c r="P104" i="14" a="1"/>
  <c r="P104" i="14" s="1"/>
  <c r="P105" i="14" a="1"/>
  <c r="P105" i="14"/>
  <c r="P106" i="14" a="1"/>
  <c r="P106" i="14"/>
  <c r="P107" i="14" a="1"/>
  <c r="P107" i="14" s="1"/>
  <c r="P108" i="14" a="1"/>
  <c r="P108" i="14" s="1"/>
  <c r="P109" i="14" a="1"/>
  <c r="P109" i="14" s="1"/>
  <c r="P110" i="14" a="1"/>
  <c r="P110" i="14" s="1"/>
  <c r="P111" i="14" a="1"/>
  <c r="P111" i="14" s="1"/>
  <c r="P112" i="14" a="1"/>
  <c r="P112" i="14" s="1"/>
  <c r="P113" i="14" a="1"/>
  <c r="P113" i="14" s="1"/>
  <c r="P114" i="14" a="1"/>
  <c r="P114" i="14" s="1"/>
  <c r="P115" i="14" a="1"/>
  <c r="P115" i="14" s="1"/>
  <c r="P116" i="14" a="1"/>
  <c r="P116" i="14" s="1"/>
  <c r="P117" i="14" a="1"/>
  <c r="P117" i="14" s="1"/>
  <c r="P118" i="14" a="1"/>
  <c r="P118" i="14" s="1"/>
  <c r="P119" i="14" a="1"/>
  <c r="P119" i="14"/>
  <c r="P120" i="14" a="1"/>
  <c r="P120" i="14"/>
  <c r="P121" i="14" a="1"/>
  <c r="P121" i="14" s="1"/>
  <c r="P122" i="14" a="1"/>
  <c r="P122" i="14" s="1"/>
  <c r="P123" i="14" a="1"/>
  <c r="P123" i="14" s="1"/>
  <c r="P124" i="14" a="1"/>
  <c r="P124" i="14" s="1"/>
  <c r="P125" i="14" a="1"/>
  <c r="P125" i="14" s="1"/>
  <c r="P126" i="14" a="1"/>
  <c r="P126" i="14" s="1"/>
  <c r="P127" i="14" a="1"/>
  <c r="P127" i="14"/>
  <c r="P128" i="14" a="1"/>
  <c r="P128" i="14"/>
  <c r="P129" i="14" a="1"/>
  <c r="P129" i="14"/>
  <c r="P130" i="14" a="1"/>
  <c r="P130" i="14"/>
  <c r="P131" i="14" a="1"/>
  <c r="P131" i="14" s="1"/>
  <c r="P132" i="14" a="1"/>
  <c r="P132" i="14" s="1"/>
  <c r="P133" i="14" a="1"/>
  <c r="P133" i="14" s="1"/>
  <c r="P134" i="14" a="1"/>
  <c r="P134" i="14" s="1"/>
  <c r="P135" i="14" a="1"/>
  <c r="P135" i="14" s="1"/>
  <c r="P136" i="14" a="1"/>
  <c r="P136" i="14" s="1"/>
  <c r="P137" i="14" a="1"/>
  <c r="P137" i="14"/>
  <c r="P138" i="14" a="1"/>
  <c r="P138" i="14"/>
  <c r="P139" i="14" a="1"/>
  <c r="P139" i="14" s="1"/>
  <c r="P140" i="14" a="1"/>
  <c r="P140" i="14" s="1"/>
  <c r="P141" i="14" a="1"/>
  <c r="P141" i="14" s="1"/>
  <c r="P142" i="14" a="1"/>
  <c r="P142" i="14" s="1"/>
  <c r="P143" i="14" a="1"/>
  <c r="P143" i="14" s="1"/>
  <c r="P144" i="14" a="1"/>
  <c r="P144" i="14" s="1"/>
  <c r="P145" i="14" a="1"/>
  <c r="P145" i="14" s="1"/>
  <c r="P146" i="14" a="1"/>
  <c r="P146" i="14" s="1"/>
  <c r="P147" i="14" a="1"/>
  <c r="P147" i="14" s="1"/>
  <c r="P148" i="14" a="1"/>
  <c r="P148" i="14" s="1"/>
  <c r="P149" i="14" a="1"/>
  <c r="P149" i="14" s="1"/>
  <c r="P150" i="14" a="1"/>
  <c r="P150" i="14" s="1"/>
  <c r="P151" i="14" a="1"/>
  <c r="P151" i="14"/>
  <c r="P152" i="14" a="1"/>
  <c r="P152" i="14"/>
  <c r="P153" i="14" a="1"/>
  <c r="P153" i="14" s="1"/>
  <c r="P154" i="14" a="1"/>
  <c r="P154" i="14" s="1"/>
  <c r="P155" i="14" a="1"/>
  <c r="P155" i="14" s="1"/>
  <c r="P156" i="14" a="1"/>
  <c r="P156" i="14" s="1"/>
  <c r="P157" i="14" a="1"/>
  <c r="P157" i="14" s="1"/>
  <c r="P158" i="14" a="1"/>
  <c r="P158" i="14" s="1"/>
  <c r="P159" i="14" a="1"/>
  <c r="P159" i="14"/>
  <c r="P160" i="14" a="1"/>
  <c r="P160" i="14"/>
  <c r="P161" i="14" a="1"/>
  <c r="P161" i="14"/>
  <c r="P162" i="14" a="1"/>
  <c r="P162" i="14"/>
  <c r="P163" i="14" a="1"/>
  <c r="P163" i="14" s="1"/>
  <c r="P164" i="14" a="1"/>
  <c r="P164" i="14" s="1"/>
  <c r="P165" i="14" a="1"/>
  <c r="P165" i="14" s="1"/>
  <c r="P166" i="14" a="1"/>
  <c r="P166" i="14" s="1"/>
  <c r="P167" i="14" a="1"/>
  <c r="P167" i="14" s="1"/>
  <c r="P168" i="14" a="1"/>
  <c r="P168" i="14" s="1"/>
  <c r="P169" i="14" a="1"/>
  <c r="P169" i="14"/>
  <c r="P170" i="14" a="1"/>
  <c r="P170" i="14"/>
  <c r="P171" i="14" a="1"/>
  <c r="P171" i="14" s="1"/>
  <c r="P172" i="14" a="1"/>
  <c r="P172" i="14" s="1"/>
  <c r="P173" i="14" a="1"/>
  <c r="P173" i="14" s="1"/>
  <c r="P174" i="14" a="1"/>
  <c r="P174" i="14" s="1"/>
  <c r="P175" i="14" a="1"/>
  <c r="P175" i="14" s="1"/>
  <c r="P176" i="14" a="1"/>
  <c r="P176" i="14" s="1"/>
  <c r="P177" i="14" a="1"/>
  <c r="P177" i="14" s="1"/>
  <c r="P178" i="14" a="1"/>
  <c r="P178" i="14" s="1"/>
  <c r="P179" i="14" a="1"/>
  <c r="P179" i="14" s="1"/>
  <c r="P180" i="14" a="1"/>
  <c r="P180" i="14" s="1"/>
  <c r="P181" i="14" a="1"/>
  <c r="P181" i="14" s="1"/>
  <c r="P182" i="14" a="1"/>
  <c r="P182" i="14" s="1"/>
  <c r="P183" i="14" a="1"/>
  <c r="P183" i="14"/>
  <c r="P184" i="14" a="1"/>
  <c r="P184" i="14"/>
  <c r="P185" i="14" a="1"/>
  <c r="P185" i="14" s="1"/>
  <c r="P186" i="14" a="1"/>
  <c r="P186" i="14" s="1"/>
  <c r="P187" i="14" a="1"/>
  <c r="P187" i="14" s="1"/>
  <c r="P188" i="14" a="1"/>
  <c r="P188" i="14" s="1"/>
  <c r="P189" i="14" a="1"/>
  <c r="P189" i="14" s="1"/>
  <c r="P190" i="14" a="1"/>
  <c r="P190" i="14" s="1"/>
  <c r="P191" i="14" a="1"/>
  <c r="P191" i="14"/>
  <c r="P192" i="14" a="1"/>
  <c r="P192" i="14"/>
  <c r="P193" i="14" a="1"/>
  <c r="P193" i="14"/>
  <c r="P194" i="14" a="1"/>
  <c r="P194" i="14"/>
  <c r="P195" i="14" a="1"/>
  <c r="P195" i="14" s="1"/>
  <c r="P196" i="14" a="1"/>
  <c r="P196" i="14" s="1"/>
  <c r="P197" i="14" a="1"/>
  <c r="P197" i="14" s="1"/>
  <c r="P198" i="14" a="1"/>
  <c r="P198" i="14" s="1"/>
  <c r="P199" i="14" a="1"/>
  <c r="P199" i="14" s="1"/>
  <c r="P200" i="14" a="1"/>
  <c r="P200" i="14" s="1"/>
  <c r="P201" i="14" a="1"/>
  <c r="P201" i="14"/>
  <c r="P202" i="14" a="1"/>
  <c r="P202" i="14"/>
  <c r="P203" i="14" a="1"/>
  <c r="P203" i="14" s="1"/>
  <c r="P204" i="14" a="1"/>
  <c r="P204" i="14" s="1"/>
  <c r="P205" i="14" a="1"/>
  <c r="P205" i="14" s="1"/>
  <c r="P206" i="14" a="1"/>
  <c r="P206" i="14" s="1"/>
  <c r="P207" i="14" a="1"/>
  <c r="P207" i="14" s="1"/>
  <c r="P208" i="14" a="1"/>
  <c r="P208" i="14" s="1"/>
  <c r="P209" i="14" a="1"/>
  <c r="P209" i="14" s="1"/>
  <c r="P210" i="14" a="1"/>
  <c r="P210" i="14" s="1"/>
  <c r="P211" i="14" a="1"/>
  <c r="P211" i="14" s="1"/>
  <c r="P212" i="14" a="1"/>
  <c r="P212" i="14" s="1"/>
  <c r="P213" i="14" a="1"/>
  <c r="P213" i="14" s="1"/>
  <c r="P214" i="14" a="1"/>
  <c r="P214" i="14" s="1"/>
  <c r="P215" i="14" a="1"/>
  <c r="P215" i="14"/>
  <c r="P216" i="14" a="1"/>
  <c r="P216" i="14"/>
  <c r="P217" i="14" a="1"/>
  <c r="P217" i="14" s="1"/>
  <c r="P218" i="14" a="1"/>
  <c r="P218" i="14" s="1"/>
  <c r="P219" i="14" a="1"/>
  <c r="P219" i="14" s="1"/>
  <c r="P220" i="14" a="1"/>
  <c r="P220" i="14" s="1"/>
  <c r="P221" i="14" a="1"/>
  <c r="P221" i="14" s="1"/>
  <c r="P222" i="14" a="1"/>
  <c r="P222" i="14" s="1"/>
  <c r="P223" i="14" a="1"/>
  <c r="P223" i="14"/>
  <c r="P224" i="14" a="1"/>
  <c r="P224" i="14"/>
  <c r="P225" i="14" a="1"/>
  <c r="P225" i="14"/>
  <c r="P226" i="14" a="1"/>
  <c r="P226" i="14"/>
  <c r="P227" i="14" a="1"/>
  <c r="P227" i="14" s="1"/>
  <c r="P228" i="14" a="1"/>
  <c r="P228" i="14" s="1"/>
  <c r="P229" i="14" a="1"/>
  <c r="P229" i="14" s="1"/>
  <c r="P230" i="14" a="1"/>
  <c r="P230" i="14" s="1"/>
  <c r="P231" i="14" a="1"/>
  <c r="P231" i="14" s="1"/>
  <c r="P232" i="14" a="1"/>
  <c r="P232" i="14" s="1"/>
  <c r="P233" i="14" a="1"/>
  <c r="P233" i="14"/>
  <c r="P234" i="14" a="1"/>
  <c r="P234" i="14"/>
  <c r="P235" i="14" a="1"/>
  <c r="P235" i="14" s="1"/>
  <c r="P236" i="14" a="1"/>
  <c r="P236" i="14" s="1"/>
  <c r="P237" i="14" a="1"/>
  <c r="P237" i="14" s="1"/>
  <c r="P238" i="14" a="1"/>
  <c r="P238" i="14" s="1"/>
  <c r="P239" i="14" a="1"/>
  <c r="P239" i="14" s="1"/>
  <c r="P240" i="14" a="1"/>
  <c r="P240" i="14" s="1"/>
  <c r="P241" i="14" a="1"/>
  <c r="P241" i="14" s="1"/>
  <c r="P242" i="14" a="1"/>
  <c r="P242" i="14" s="1"/>
  <c r="P243" i="14" a="1"/>
  <c r="P243" i="14" s="1"/>
  <c r="P244" i="14" a="1"/>
  <c r="P244" i="14" s="1"/>
  <c r="P245" i="14" a="1"/>
  <c r="P245" i="14" s="1"/>
  <c r="P246" i="14" a="1"/>
  <c r="P246" i="14" s="1"/>
  <c r="P247" i="14" a="1"/>
  <c r="P247" i="14"/>
  <c r="P248" i="14" a="1"/>
  <c r="P248" i="14"/>
  <c r="P249" i="14" a="1"/>
  <c r="P249" i="14" s="1"/>
  <c r="P250" i="14" a="1"/>
  <c r="P250" i="14" s="1"/>
  <c r="P251" i="14" a="1"/>
  <c r="P251" i="14" s="1"/>
  <c r="P252" i="14" a="1"/>
  <c r="P252" i="14" s="1"/>
  <c r="P253" i="14" a="1"/>
  <c r="P253" i="14" s="1"/>
  <c r="P254" i="14" a="1"/>
  <c r="P254" i="14" s="1"/>
  <c r="P255" i="14" a="1"/>
  <c r="P255" i="14"/>
  <c r="P256" i="14" a="1"/>
  <c r="P256" i="14"/>
  <c r="P257" i="14" a="1"/>
  <c r="P257" i="14"/>
  <c r="P258" i="14" a="1"/>
  <c r="P258" i="14"/>
  <c r="P259" i="14" a="1"/>
  <c r="P259" i="14" s="1"/>
  <c r="P260" i="14" a="1"/>
  <c r="P260" i="14" s="1"/>
  <c r="P261" i="14" a="1"/>
  <c r="P261" i="14" s="1"/>
  <c r="P262" i="14" a="1"/>
  <c r="P262" i="14" s="1"/>
  <c r="P263" i="14" a="1"/>
  <c r="P263" i="14" s="1"/>
  <c r="P264" i="14" a="1"/>
  <c r="P264" i="14" s="1"/>
  <c r="P265" i="14" a="1"/>
  <c r="P265" i="14"/>
  <c r="P266" i="14" a="1"/>
  <c r="P266" i="14"/>
  <c r="P267" i="14" a="1"/>
  <c r="P267" i="14" s="1"/>
  <c r="P268" i="14" a="1"/>
  <c r="P268" i="14" s="1"/>
  <c r="P269" i="14" a="1"/>
  <c r="P269" i="14" s="1"/>
  <c r="P270" i="14" a="1"/>
  <c r="P270" i="14" s="1"/>
  <c r="P271" i="14" a="1"/>
  <c r="P271" i="14" s="1"/>
  <c r="P272" i="14" a="1"/>
  <c r="P272" i="14" s="1"/>
  <c r="P273" i="14" a="1"/>
  <c r="P273" i="14" s="1"/>
  <c r="P274" i="14" a="1"/>
  <c r="P274" i="14" s="1"/>
  <c r="P275" i="14" a="1"/>
  <c r="P275" i="14" s="1"/>
  <c r="P276" i="14" a="1"/>
  <c r="P276" i="14" s="1"/>
  <c r="P277" i="14" a="1"/>
  <c r="P277" i="14" s="1"/>
  <c r="P278" i="14" a="1"/>
  <c r="P278" i="14" s="1"/>
  <c r="P279" i="14" a="1"/>
  <c r="P279" i="14"/>
  <c r="P280" i="14" a="1"/>
  <c r="P280" i="14"/>
  <c r="P281" i="14" a="1"/>
  <c r="P281" i="14" s="1"/>
  <c r="P282" i="14" a="1"/>
  <c r="P282" i="14" s="1"/>
  <c r="P283" i="14" a="1"/>
  <c r="P283" i="14" s="1"/>
  <c r="P284" i="14" a="1"/>
  <c r="P284" i="14" s="1"/>
  <c r="P285" i="14" a="1"/>
  <c r="P285" i="14" s="1"/>
  <c r="P286" i="14" a="1"/>
  <c r="P286" i="14" s="1"/>
  <c r="P287" i="14" a="1"/>
  <c r="P287" i="14"/>
  <c r="P288" i="14" a="1"/>
  <c r="P288" i="14"/>
  <c r="P289" i="14" a="1"/>
  <c r="P289" i="14"/>
  <c r="P290" i="14" a="1"/>
  <c r="P290" i="14"/>
  <c r="P291" i="14" a="1"/>
  <c r="P291" i="14" s="1"/>
  <c r="P292" i="14" a="1"/>
  <c r="P292" i="14" s="1"/>
  <c r="P293" i="14" a="1"/>
  <c r="P293" i="14" s="1"/>
  <c r="P294" i="14" a="1"/>
  <c r="P294" i="14" s="1"/>
  <c r="P295" i="14" a="1"/>
  <c r="P295" i="14" s="1"/>
  <c r="P296" i="14" a="1"/>
  <c r="P296" i="14" s="1"/>
  <c r="P297" i="14" a="1"/>
  <c r="P297" i="14"/>
  <c r="P298" i="14" a="1"/>
  <c r="P298" i="14"/>
  <c r="P299" i="14" a="1"/>
  <c r="P299" i="14" s="1"/>
  <c r="P300" i="14" a="1"/>
  <c r="P300" i="14" s="1"/>
  <c r="P301" i="14" a="1"/>
  <c r="P301" i="14" s="1"/>
  <c r="P302" i="14" a="1"/>
  <c r="P302" i="14" s="1"/>
  <c r="P303" i="14" a="1"/>
  <c r="P303" i="14" s="1"/>
  <c r="P304" i="14" a="1"/>
  <c r="P304" i="14" s="1"/>
  <c r="P305" i="14" a="1"/>
  <c r="P305" i="14" s="1"/>
  <c r="P306" i="14" a="1"/>
  <c r="P306" i="14" s="1"/>
  <c r="P307" i="14" a="1"/>
  <c r="P307" i="14" s="1"/>
  <c r="P308" i="14" a="1"/>
  <c r="P308" i="14" s="1"/>
  <c r="P309" i="14" a="1"/>
  <c r="P309" i="14" s="1"/>
  <c r="P310" i="14" a="1"/>
  <c r="P310" i="14" s="1"/>
  <c r="P311" i="14" a="1"/>
  <c r="P311" i="14"/>
  <c r="P312" i="14" a="1"/>
  <c r="P312" i="14"/>
  <c r="P313" i="14" a="1"/>
  <c r="P313" i="14" s="1"/>
  <c r="P314" i="14" a="1"/>
  <c r="P314" i="14" s="1"/>
  <c r="P315" i="14" a="1"/>
  <c r="P315" i="14" s="1"/>
  <c r="P316" i="14" a="1"/>
  <c r="P316" i="14" s="1"/>
  <c r="P317" i="14" a="1"/>
  <c r="P317" i="14" s="1"/>
  <c r="P318" i="14" a="1"/>
  <c r="P318" i="14" s="1"/>
  <c r="P319" i="14" a="1"/>
  <c r="P319" i="14"/>
  <c r="P320" i="14" a="1"/>
  <c r="P320" i="14"/>
  <c r="P321" i="14" a="1"/>
  <c r="P321" i="14"/>
  <c r="P322" i="14" a="1"/>
  <c r="P322" i="14"/>
  <c r="P323" i="14" a="1"/>
  <c r="P323" i="14" s="1"/>
  <c r="P324" i="14" a="1"/>
  <c r="P324" i="14" s="1"/>
  <c r="P325" i="14" a="1"/>
  <c r="P325" i="14" s="1"/>
  <c r="P326" i="14" a="1"/>
  <c r="P326" i="14" s="1"/>
  <c r="P327" i="14" a="1"/>
  <c r="P327" i="14" s="1"/>
  <c r="P328" i="14" a="1"/>
  <c r="P328" i="14" s="1"/>
  <c r="P329" i="14" a="1"/>
  <c r="P329" i="14"/>
  <c r="P330" i="14" a="1"/>
  <c r="P330" i="14"/>
  <c r="P331" i="14" a="1"/>
  <c r="P331" i="14" s="1"/>
  <c r="P332" i="14" a="1"/>
  <c r="P332" i="14" s="1"/>
  <c r="P333" i="14" a="1"/>
  <c r="P333" i="14" s="1"/>
  <c r="P334" i="14" a="1"/>
  <c r="P334" i="14" s="1"/>
  <c r="P335" i="14" a="1"/>
  <c r="P335" i="14" s="1"/>
  <c r="P336" i="14" a="1"/>
  <c r="P336" i="14" s="1"/>
  <c r="P337" i="14" a="1"/>
  <c r="P337" i="14" s="1"/>
  <c r="P338" i="14" a="1"/>
  <c r="P338" i="14" s="1"/>
  <c r="P339" i="14" a="1"/>
  <c r="P339" i="14" s="1"/>
  <c r="P340" i="14" a="1"/>
  <c r="P340" i="14" s="1"/>
  <c r="P341" i="14" a="1"/>
  <c r="P341" i="14" s="1"/>
  <c r="P342" i="14" a="1"/>
  <c r="P342" i="14" s="1"/>
  <c r="P343" i="14" a="1"/>
  <c r="P343" i="14"/>
  <c r="P344" i="14" a="1"/>
  <c r="P344" i="14"/>
  <c r="P345" i="14" a="1"/>
  <c r="P345" i="14" s="1"/>
  <c r="P346" i="14" a="1"/>
  <c r="P346" i="14" s="1"/>
  <c r="P347" i="14" a="1"/>
  <c r="P347" i="14" s="1"/>
  <c r="P348" i="14" a="1"/>
  <c r="P348" i="14" s="1"/>
  <c r="P349" i="14" a="1"/>
  <c r="P349" i="14" s="1"/>
  <c r="P350" i="14" a="1"/>
  <c r="P350" i="14" s="1"/>
  <c r="P351" i="14" a="1"/>
  <c r="P351" i="14"/>
  <c r="P352" i="14" a="1"/>
  <c r="P352" i="14"/>
  <c r="P353" i="14" a="1"/>
  <c r="P353" i="14"/>
  <c r="P354" i="14" a="1"/>
  <c r="P354" i="14"/>
  <c r="P355" i="14" a="1"/>
  <c r="P355" i="14" s="1"/>
  <c r="P356" i="14" a="1"/>
  <c r="P356" i="14" s="1"/>
  <c r="P357" i="14" a="1"/>
  <c r="P357" i="14" s="1"/>
  <c r="P358" i="14" a="1"/>
  <c r="P358" i="14" s="1"/>
  <c r="P359" i="14" a="1"/>
  <c r="P359" i="14" s="1"/>
  <c r="P360" i="14" a="1"/>
  <c r="P360" i="14" s="1"/>
  <c r="P361" i="14" a="1"/>
  <c r="P361" i="14"/>
  <c r="P362" i="14" a="1"/>
  <c r="P362" i="14"/>
  <c r="P363" i="14" a="1"/>
  <c r="P363" i="14" s="1"/>
  <c r="P364" i="14" a="1"/>
  <c r="P364" i="14" s="1"/>
  <c r="P365" i="14" a="1"/>
  <c r="P365" i="14" s="1"/>
  <c r="P366" i="14" a="1"/>
  <c r="P366" i="14" s="1"/>
  <c r="P367" i="14" a="1"/>
  <c r="P367" i="14" s="1"/>
  <c r="P368" i="14" a="1"/>
  <c r="P368" i="14" s="1"/>
  <c r="P369" i="14" a="1"/>
  <c r="P369" i="14" s="1"/>
  <c r="P370" i="14" a="1"/>
  <c r="P370" i="14" s="1"/>
  <c r="P371" i="14" a="1"/>
  <c r="P371" i="14" s="1"/>
  <c r="P372" i="14" a="1"/>
  <c r="P372" i="14" s="1"/>
  <c r="P373" i="14" a="1"/>
  <c r="P373" i="14" s="1"/>
  <c r="P374" i="14" a="1"/>
  <c r="P374" i="14" s="1"/>
  <c r="P375" i="14" a="1"/>
  <c r="P375" i="14"/>
  <c r="P376" i="14" a="1"/>
  <c r="P376" i="14"/>
  <c r="P377" i="14" a="1"/>
  <c r="P377" i="14" s="1"/>
  <c r="P378" i="14" a="1"/>
  <c r="P378" i="14" s="1"/>
  <c r="P379" i="14" a="1"/>
  <c r="P379" i="14" s="1"/>
  <c r="P380" i="14" a="1"/>
  <c r="P380" i="14" s="1"/>
  <c r="P381" i="14" a="1"/>
  <c r="P381" i="14" s="1"/>
  <c r="P382" i="14" a="1"/>
  <c r="P382" i="14" s="1"/>
  <c r="P383" i="14" a="1"/>
  <c r="P383" i="14"/>
  <c r="P384" i="14" a="1"/>
  <c r="P384" i="14"/>
  <c r="P385" i="14" a="1"/>
  <c r="P385" i="14"/>
  <c r="P386" i="14" a="1"/>
  <c r="P386" i="14"/>
  <c r="P387" i="14" a="1"/>
  <c r="P387" i="14" s="1"/>
  <c r="P388" i="14" a="1"/>
  <c r="P388" i="14" s="1"/>
  <c r="P389" i="14" a="1"/>
  <c r="P389" i="14" s="1"/>
  <c r="P390" i="14" a="1"/>
  <c r="P390" i="14" s="1"/>
  <c r="P391" i="14" a="1"/>
  <c r="P391" i="14" s="1"/>
  <c r="P392" i="14" a="1"/>
  <c r="P392" i="14" s="1"/>
  <c r="P393" i="14" a="1"/>
  <c r="P393" i="14"/>
  <c r="P394" i="14" a="1"/>
  <c r="P394" i="14"/>
  <c r="P395" i="14" a="1"/>
  <c r="P395" i="14" s="1"/>
  <c r="P396" i="14" a="1"/>
  <c r="P396" i="14" s="1"/>
  <c r="P397" i="14" a="1"/>
  <c r="P397" i="14" s="1"/>
  <c r="P398" i="14" a="1"/>
  <c r="P398" i="14" s="1"/>
  <c r="P399" i="14" a="1"/>
  <c r="P399" i="14" s="1"/>
  <c r="P400" i="14" a="1"/>
  <c r="P400" i="14" s="1"/>
  <c r="P401" i="14" a="1"/>
  <c r="P401" i="14" s="1"/>
  <c r="P402" i="14" a="1"/>
  <c r="P402" i="14" s="1"/>
  <c r="P403" i="14" a="1"/>
  <c r="P403" i="14" s="1"/>
  <c r="P404" i="14" a="1"/>
  <c r="P404" i="14" s="1"/>
  <c r="P405" i="14" a="1"/>
  <c r="P405" i="14" s="1"/>
  <c r="P406" i="14" a="1"/>
  <c r="P406" i="14" s="1"/>
  <c r="P407" i="14" a="1"/>
  <c r="P407" i="14"/>
  <c r="P408" i="14" a="1"/>
  <c r="P408" i="14"/>
  <c r="P409" i="14" a="1"/>
  <c r="P409" i="14" s="1"/>
  <c r="P410" i="14" a="1"/>
  <c r="P410" i="14" s="1"/>
  <c r="P411" i="14" a="1"/>
  <c r="P411" i="14" s="1"/>
  <c r="P412" i="14" a="1"/>
  <c r="P412" i="14" s="1"/>
  <c r="P413" i="14" a="1"/>
  <c r="P413" i="14" s="1"/>
  <c r="P414" i="14" a="1"/>
  <c r="P414" i="14" s="1"/>
  <c r="P415" i="14" a="1"/>
  <c r="P415" i="14"/>
  <c r="P416" i="14" a="1"/>
  <c r="P416" i="14"/>
  <c r="P417" i="14" a="1"/>
  <c r="P417" i="14"/>
  <c r="P418" i="14" a="1"/>
  <c r="P418" i="14"/>
  <c r="P419" i="14" a="1"/>
  <c r="P419" i="14" s="1"/>
  <c r="P420" i="14" a="1"/>
  <c r="P420" i="14" s="1"/>
  <c r="P421" i="14" a="1"/>
  <c r="P421" i="14" s="1"/>
  <c r="P422" i="14" a="1"/>
  <c r="P422" i="14" s="1"/>
  <c r="P423" i="14" a="1"/>
  <c r="P423" i="14" s="1"/>
  <c r="P424" i="14" a="1"/>
  <c r="P424" i="14" s="1"/>
  <c r="P425" i="14" a="1"/>
  <c r="P425" i="14"/>
  <c r="P426" i="14" a="1"/>
  <c r="P426" i="14"/>
  <c r="P427" i="14" a="1"/>
  <c r="P427" i="14" s="1"/>
  <c r="P428" i="14" a="1"/>
  <c r="P428" i="14" s="1"/>
  <c r="P429" i="14" a="1"/>
  <c r="P429" i="14" s="1"/>
  <c r="P430" i="14" a="1"/>
  <c r="P430" i="14" s="1"/>
  <c r="P431" i="14" a="1"/>
  <c r="P431" i="14" s="1"/>
  <c r="P432" i="14" a="1"/>
  <c r="P432" i="14" s="1"/>
  <c r="P433" i="14" a="1"/>
  <c r="P433" i="14" s="1"/>
  <c r="P434" i="14" a="1"/>
  <c r="P434" i="14" s="1"/>
  <c r="P435" i="14" a="1"/>
  <c r="P435" i="14" s="1"/>
  <c r="P436" i="14" a="1"/>
  <c r="P436" i="14" s="1"/>
  <c r="P437" i="14" a="1"/>
  <c r="P437" i="14" s="1"/>
  <c r="P438" i="14" a="1"/>
  <c r="P438" i="14" s="1"/>
  <c r="P439" i="14" a="1"/>
  <c r="P439" i="14"/>
  <c r="P440" i="14" a="1"/>
  <c r="P440" i="14"/>
  <c r="P441" i="14" a="1"/>
  <c r="P441" i="14" s="1"/>
  <c r="P442" i="14" a="1"/>
  <c r="P442" i="14" s="1"/>
  <c r="P443" i="14" a="1"/>
  <c r="P443" i="14" s="1"/>
  <c r="P444" i="14" a="1"/>
  <c r="P444" i="14" s="1"/>
  <c r="P445" i="14" a="1"/>
  <c r="P445" i="14" s="1"/>
  <c r="P446" i="14" a="1"/>
  <c r="P446" i="14" s="1"/>
  <c r="P447" i="14" a="1"/>
  <c r="P447" i="14"/>
  <c r="P448" i="14" a="1"/>
  <c r="P448" i="14"/>
  <c r="P449" i="14" a="1"/>
  <c r="P449" i="14"/>
  <c r="P450" i="14" a="1"/>
  <c r="P450" i="14"/>
  <c r="P451" i="14" a="1"/>
  <c r="P451" i="14" s="1"/>
  <c r="P452" i="14" a="1"/>
  <c r="P452" i="14" s="1"/>
  <c r="P453" i="14" a="1"/>
  <c r="P453" i="14" s="1"/>
  <c r="P454" i="14" a="1"/>
  <c r="P454" i="14" s="1"/>
  <c r="P455" i="14" a="1"/>
  <c r="P455" i="14" s="1"/>
  <c r="P456" i="14" a="1"/>
  <c r="P456" i="14" s="1"/>
  <c r="P457" i="14" a="1"/>
  <c r="P457" i="14"/>
  <c r="P458" i="14" a="1"/>
  <c r="P458" i="14"/>
  <c r="P459" i="14" a="1"/>
  <c r="P459" i="14" s="1"/>
  <c r="P460" i="14" a="1"/>
  <c r="P460" i="14" s="1"/>
  <c r="P461" i="14" a="1"/>
  <c r="P461" i="14" s="1"/>
  <c r="P462" i="14" a="1"/>
  <c r="P462" i="14" s="1"/>
  <c r="P463" i="14" a="1"/>
  <c r="P463" i="14" s="1"/>
  <c r="P464" i="14" a="1"/>
  <c r="P464" i="14" s="1"/>
  <c r="P465" i="14" a="1"/>
  <c r="P465" i="14" s="1"/>
  <c r="P466" i="14" a="1"/>
  <c r="P466" i="14" s="1"/>
  <c r="P467" i="14" a="1"/>
  <c r="P467" i="14" s="1"/>
  <c r="P468" i="14" a="1"/>
  <c r="P468" i="14" s="1"/>
  <c r="P469" i="14" a="1"/>
  <c r="P469" i="14" s="1"/>
  <c r="P470" i="14" a="1"/>
  <c r="P470" i="14" s="1"/>
  <c r="P471" i="14" a="1"/>
  <c r="P471" i="14"/>
  <c r="P472" i="14" a="1"/>
  <c r="P472" i="14"/>
  <c r="P473" i="14" a="1"/>
  <c r="P473" i="14" s="1"/>
  <c r="P474" i="14" a="1"/>
  <c r="P474" i="14" s="1"/>
  <c r="P475" i="14" a="1"/>
  <c r="P475" i="14" s="1"/>
  <c r="P476" i="14" a="1"/>
  <c r="P476" i="14" s="1"/>
  <c r="P477" i="14" a="1"/>
  <c r="P477" i="14" s="1"/>
  <c r="P478" i="14" a="1"/>
  <c r="P478" i="14" s="1"/>
  <c r="P479" i="14" a="1"/>
  <c r="P479" i="14"/>
  <c r="P480" i="14" a="1"/>
  <c r="P480" i="14"/>
  <c r="P481" i="14" a="1"/>
  <c r="P481" i="14"/>
  <c r="P482" i="14" a="1"/>
  <c r="P482" i="14"/>
  <c r="P483" i="14" a="1"/>
  <c r="P483" i="14" s="1"/>
  <c r="P484" i="14" a="1"/>
  <c r="P484" i="14" s="1"/>
  <c r="P485" i="14" a="1"/>
  <c r="P485" i="14" s="1"/>
  <c r="P486" i="14" a="1"/>
  <c r="P486" i="14" s="1"/>
  <c r="P487" i="14" a="1"/>
  <c r="P487" i="14" s="1"/>
  <c r="P488" i="14" a="1"/>
  <c r="P488" i="14" s="1"/>
  <c r="P489" i="14" a="1"/>
  <c r="P489" i="14"/>
  <c r="P490" i="14" a="1"/>
  <c r="P490" i="14"/>
  <c r="P491" i="14" a="1"/>
  <c r="P491" i="14" s="1"/>
  <c r="P492" i="14" a="1"/>
  <c r="P492" i="14" s="1"/>
  <c r="P493" i="14" a="1"/>
  <c r="P493" i="14" s="1"/>
  <c r="P494" i="14" a="1"/>
  <c r="P494" i="14" s="1"/>
  <c r="P495" i="14" a="1"/>
  <c r="P495" i="14" s="1"/>
  <c r="P496" i="14" a="1"/>
  <c r="P496" i="14" s="1"/>
  <c r="P497" i="14" a="1"/>
  <c r="P497" i="14" s="1"/>
  <c r="P498" i="14" a="1"/>
  <c r="P498" i="14" s="1"/>
  <c r="P499" i="14" a="1"/>
  <c r="P499" i="14" s="1"/>
  <c r="P500" i="14" a="1"/>
  <c r="P500" i="14" s="1"/>
  <c r="P501" i="14" a="1"/>
  <c r="P501" i="14" s="1"/>
  <c r="P502" i="14" a="1"/>
  <c r="P502" i="14" s="1"/>
  <c r="P503" i="14" a="1"/>
  <c r="P503" i="14"/>
  <c r="P504" i="14" a="1"/>
  <c r="P504" i="14"/>
  <c r="P505" i="14" a="1"/>
  <c r="P505" i="14" s="1"/>
  <c r="P506" i="14" a="1"/>
  <c r="P506" i="14" s="1"/>
  <c r="P507" i="14" a="1"/>
  <c r="P507" i="14" s="1"/>
  <c r="P508" i="14" a="1"/>
  <c r="P508" i="14" s="1"/>
  <c r="P509" i="14" a="1"/>
  <c r="P509" i="14" s="1"/>
  <c r="P510" i="14" a="1"/>
  <c r="P510" i="14" s="1"/>
  <c r="P511" i="14" a="1"/>
  <c r="P511" i="14"/>
  <c r="P512" i="14" a="1"/>
  <c r="P512" i="14"/>
  <c r="P513" i="14" a="1"/>
  <c r="P513" i="14"/>
  <c r="P514" i="14" a="1"/>
  <c r="P514" i="14"/>
  <c r="P515" i="14" a="1"/>
  <c r="P515" i="14" s="1"/>
  <c r="P516" i="14" a="1"/>
  <c r="P516" i="14" s="1"/>
  <c r="P517" i="14" a="1"/>
  <c r="P517" i="14" s="1"/>
  <c r="P518" i="14" a="1"/>
  <c r="P518" i="14" s="1"/>
  <c r="P519" i="14" a="1"/>
  <c r="P519" i="14" s="1"/>
  <c r="P520" i="14" a="1"/>
  <c r="P520" i="14" s="1"/>
  <c r="P521" i="14" a="1"/>
  <c r="P521" i="14"/>
  <c r="P522" i="14" a="1"/>
  <c r="P522" i="14"/>
  <c r="P523" i="14" a="1"/>
  <c r="P523" i="14" s="1"/>
  <c r="P524" i="14" a="1"/>
  <c r="P524" i="14" s="1"/>
  <c r="P525" i="14" a="1"/>
  <c r="P525" i="14" s="1"/>
  <c r="P526" i="14" a="1"/>
  <c r="P526" i="14" s="1"/>
  <c r="P527" i="14" a="1"/>
  <c r="P527" i="14" s="1"/>
  <c r="P528" i="14" a="1"/>
  <c r="P528" i="14" s="1"/>
  <c r="P529" i="14" a="1"/>
  <c r="P529" i="14" s="1"/>
  <c r="P530" i="14" a="1"/>
  <c r="P530" i="14" s="1"/>
  <c r="P531" i="14" a="1"/>
  <c r="P531" i="14" s="1"/>
  <c r="P532" i="14" a="1"/>
  <c r="P532" i="14" s="1"/>
  <c r="P533" i="14" a="1"/>
  <c r="P533" i="14" s="1"/>
  <c r="P534" i="14" a="1"/>
  <c r="P534" i="14" s="1"/>
  <c r="P535" i="14" a="1"/>
  <c r="P535" i="14"/>
  <c r="P536" i="14" a="1"/>
  <c r="P536" i="14"/>
  <c r="P537" i="14" a="1"/>
  <c r="P537" i="14" s="1"/>
  <c r="P538" i="14" a="1"/>
  <c r="P538" i="14" s="1"/>
  <c r="P539" i="14" a="1"/>
  <c r="P539" i="14" s="1"/>
  <c r="P540" i="14" a="1"/>
  <c r="P540" i="14" s="1"/>
  <c r="P541" i="14" a="1"/>
  <c r="P541" i="14" s="1"/>
  <c r="P542" i="14" a="1"/>
  <c r="P542" i="14" s="1"/>
  <c r="P543" i="14" a="1"/>
  <c r="P543" i="14"/>
  <c r="P544" i="14" a="1"/>
  <c r="P544" i="14"/>
  <c r="P545" i="14" a="1"/>
  <c r="P545" i="14"/>
  <c r="P546" i="14" a="1"/>
  <c r="P546" i="14"/>
  <c r="P547" i="14" a="1"/>
  <c r="P547" i="14" s="1"/>
  <c r="P548" i="14" a="1"/>
  <c r="P548" i="14" s="1"/>
  <c r="P549" i="14" a="1"/>
  <c r="P549" i="14" s="1"/>
  <c r="P550" i="14" a="1"/>
  <c r="P550" i="14" s="1"/>
  <c r="P551" i="14" a="1"/>
  <c r="P551" i="14" s="1"/>
  <c r="P552" i="14" a="1"/>
  <c r="P552" i="14" s="1"/>
  <c r="P553" i="14" a="1"/>
  <c r="P553" i="14"/>
  <c r="P554" i="14" a="1"/>
  <c r="P554" i="14"/>
  <c r="P555" i="14" a="1"/>
  <c r="P555" i="14" s="1"/>
  <c r="P556" i="14" a="1"/>
  <c r="P556" i="14" s="1"/>
  <c r="P557" i="14" a="1"/>
  <c r="P557" i="14" s="1"/>
  <c r="P558" i="14" a="1"/>
  <c r="P558" i="14" s="1"/>
  <c r="P559" i="14" a="1"/>
  <c r="P559" i="14" s="1"/>
  <c r="P560" i="14" a="1"/>
  <c r="P560" i="14" s="1"/>
  <c r="P561" i="14" a="1"/>
  <c r="P561" i="14" s="1"/>
  <c r="P562" i="14" a="1"/>
  <c r="P562" i="14" s="1"/>
  <c r="P563" i="14" a="1"/>
  <c r="P563" i="14" s="1"/>
  <c r="P564" i="14" a="1"/>
  <c r="P564" i="14" s="1"/>
  <c r="P565" i="14" a="1"/>
  <c r="P565" i="14" s="1"/>
  <c r="P566" i="14" a="1"/>
  <c r="P566" i="14" s="1"/>
  <c r="P567" i="14" a="1"/>
  <c r="P567" i="14"/>
  <c r="P568" i="14" a="1"/>
  <c r="P568" i="14"/>
  <c r="P569" i="14" a="1"/>
  <c r="P569" i="14" s="1"/>
  <c r="P570" i="14" a="1"/>
  <c r="P570" i="14" s="1"/>
  <c r="P571" i="14" a="1"/>
  <c r="P571" i="14" s="1"/>
  <c r="P572" i="14" a="1"/>
  <c r="P572" i="14" s="1"/>
  <c r="P573" i="14" a="1"/>
  <c r="P573" i="14" s="1"/>
  <c r="P574" i="14" a="1"/>
  <c r="P574" i="14" s="1"/>
  <c r="P575" i="14" a="1"/>
  <c r="P575" i="14"/>
  <c r="P576" i="14" a="1"/>
  <c r="P576" i="14"/>
  <c r="P577" i="14" a="1"/>
  <c r="P577" i="14"/>
  <c r="P578" i="14" a="1"/>
  <c r="P578" i="14"/>
  <c r="P579" i="14" a="1"/>
  <c r="P579" i="14" s="1"/>
  <c r="P580" i="14" a="1"/>
  <c r="P580" i="14" s="1"/>
  <c r="P581" i="14" a="1"/>
  <c r="P581" i="14" s="1"/>
  <c r="P582" i="14" a="1"/>
  <c r="P582" i="14" s="1"/>
  <c r="P583" i="14" a="1"/>
  <c r="P583" i="14" s="1"/>
  <c r="P584" i="14" a="1"/>
  <c r="P584" i="14" s="1"/>
  <c r="P585" i="14" a="1"/>
  <c r="P585" i="14"/>
  <c r="P586" i="14" a="1"/>
  <c r="P586" i="14"/>
  <c r="P587" i="14" a="1"/>
  <c r="P587" i="14" s="1"/>
  <c r="P588" i="14" a="1"/>
  <c r="P588" i="14" s="1"/>
  <c r="P589" i="14" a="1"/>
  <c r="P589" i="14" s="1"/>
  <c r="P590" i="14" a="1"/>
  <c r="P590" i="14" s="1"/>
  <c r="P591" i="14" a="1"/>
  <c r="P591" i="14" s="1"/>
  <c r="P592" i="14" a="1"/>
  <c r="P592" i="14" s="1"/>
  <c r="P593" i="14" a="1"/>
  <c r="P593" i="14" s="1"/>
  <c r="P594" i="14" a="1"/>
  <c r="P594" i="14" s="1"/>
  <c r="P595" i="14" a="1"/>
  <c r="P595" i="14" s="1"/>
  <c r="P596" i="14" a="1"/>
  <c r="P596" i="14" s="1"/>
  <c r="P597" i="14" a="1"/>
  <c r="P597" i="14" s="1"/>
  <c r="P598" i="14" a="1"/>
  <c r="P598" i="14" s="1"/>
  <c r="P599" i="14" a="1"/>
  <c r="P599" i="14"/>
  <c r="P600" i="14" a="1"/>
  <c r="P600" i="14"/>
  <c r="P601" i="14" a="1"/>
  <c r="P601" i="14" s="1"/>
  <c r="P602" i="14" a="1"/>
  <c r="P602" i="14" s="1"/>
  <c r="P603" i="14" a="1"/>
  <c r="P603" i="14" s="1"/>
  <c r="P604" i="14" a="1"/>
  <c r="P604" i="14" s="1"/>
  <c r="P605" i="14" a="1"/>
  <c r="P605" i="14" s="1"/>
  <c r="P606" i="14" a="1"/>
  <c r="P606" i="14" s="1"/>
  <c r="P607" i="14" a="1"/>
  <c r="P607" i="14"/>
  <c r="P608" i="14" a="1"/>
  <c r="P608" i="14"/>
  <c r="P609" i="14" a="1"/>
  <c r="P609" i="14"/>
  <c r="P610" i="14" a="1"/>
  <c r="P610" i="14"/>
  <c r="P611" i="14" a="1"/>
  <c r="P611" i="14" s="1"/>
  <c r="P612" i="14" a="1"/>
  <c r="P612" i="14" s="1"/>
  <c r="P613" i="14" a="1"/>
  <c r="P613" i="14" s="1"/>
  <c r="P614" i="14" a="1"/>
  <c r="P614" i="14" s="1"/>
  <c r="P615" i="14" a="1"/>
  <c r="P615" i="14" s="1"/>
  <c r="P616" i="14" a="1"/>
  <c r="P616" i="14" s="1"/>
  <c r="P617" i="14" a="1"/>
  <c r="P617" i="14"/>
  <c r="P618" i="14" a="1"/>
  <c r="P618" i="14"/>
  <c r="P619" i="14" a="1"/>
  <c r="P619" i="14" s="1"/>
  <c r="P620" i="14" a="1"/>
  <c r="P620" i="14" s="1"/>
  <c r="P621" i="14" a="1"/>
  <c r="P621" i="14" s="1"/>
  <c r="P622" i="14" a="1"/>
  <c r="P622" i="14" s="1"/>
  <c r="P623" i="14" a="1"/>
  <c r="P623" i="14" s="1"/>
  <c r="P624" i="14" a="1"/>
  <c r="P624" i="14" s="1"/>
  <c r="P625" i="14" a="1"/>
  <c r="P625" i="14" s="1"/>
  <c r="P626" i="14" a="1"/>
  <c r="P626" i="14" s="1"/>
  <c r="P627" i="14" a="1"/>
  <c r="P627" i="14" s="1"/>
  <c r="P628" i="14" a="1"/>
  <c r="P628" i="14" s="1"/>
  <c r="P629" i="14" a="1"/>
  <c r="P629" i="14" s="1"/>
  <c r="P630" i="14" a="1"/>
  <c r="P630" i="14" s="1"/>
  <c r="P631" i="14" a="1"/>
  <c r="P631" i="14"/>
  <c r="P632" i="14" a="1"/>
  <c r="P632" i="14"/>
  <c r="P633" i="14" a="1"/>
  <c r="P633" i="14" s="1"/>
  <c r="P634" i="14" a="1"/>
  <c r="P634" i="14" s="1"/>
  <c r="P635" i="14" a="1"/>
  <c r="P635" i="14" s="1"/>
  <c r="P636" i="14" a="1"/>
  <c r="P636" i="14" s="1"/>
  <c r="P637" i="14" a="1"/>
  <c r="P637" i="14" s="1"/>
  <c r="P638" i="14" a="1"/>
  <c r="P638" i="14" s="1"/>
  <c r="P639" i="14" a="1"/>
  <c r="P639" i="14"/>
  <c r="P640" i="14" a="1"/>
  <c r="P640" i="14"/>
  <c r="P641" i="14" a="1"/>
  <c r="P641" i="14"/>
  <c r="P642" i="14" a="1"/>
  <c r="P642" i="14"/>
  <c r="P643" i="14" a="1"/>
  <c r="P643" i="14" s="1"/>
  <c r="P644" i="14" a="1"/>
  <c r="P644" i="14" s="1"/>
  <c r="P645" i="14" a="1"/>
  <c r="P645" i="14" s="1"/>
  <c r="P646" i="14" a="1"/>
  <c r="P646" i="14" s="1"/>
  <c r="P647" i="14" a="1"/>
  <c r="P647" i="14" s="1"/>
  <c r="P648" i="14" a="1"/>
  <c r="P648" i="14" s="1"/>
  <c r="P649" i="14" a="1"/>
  <c r="P649" i="14"/>
  <c r="P650" i="14" a="1"/>
  <c r="P650" i="14"/>
  <c r="P651" i="14" a="1"/>
  <c r="P651" i="14" s="1"/>
  <c r="P652" i="14" a="1"/>
  <c r="P652" i="14" s="1"/>
  <c r="P653" i="14" a="1"/>
  <c r="P653" i="14" s="1"/>
  <c r="P654" i="14" a="1"/>
  <c r="P654" i="14" s="1"/>
  <c r="P655" i="14" a="1"/>
  <c r="P655" i="14" s="1"/>
  <c r="P656" i="14" a="1"/>
  <c r="P656" i="14" s="1"/>
  <c r="P657" i="14" a="1"/>
  <c r="P657" i="14" s="1"/>
  <c r="P658" i="14" a="1"/>
  <c r="P658" i="14" s="1"/>
  <c r="P659" i="14" a="1"/>
  <c r="P659" i="14" s="1"/>
  <c r="P660" i="14" a="1"/>
  <c r="P660" i="14" s="1"/>
  <c r="P661" i="14" a="1"/>
  <c r="P661" i="14" s="1"/>
  <c r="P662" i="14" a="1"/>
  <c r="P662" i="14" s="1"/>
  <c r="P663" i="14" a="1"/>
  <c r="P663" i="14"/>
  <c r="P664" i="14" a="1"/>
  <c r="P664" i="14"/>
  <c r="P665" i="14" a="1"/>
  <c r="P665" i="14" s="1"/>
  <c r="P666" i="14" a="1"/>
  <c r="P666" i="14" s="1"/>
  <c r="P667" i="14" a="1"/>
  <c r="P667" i="14" s="1"/>
  <c r="P668" i="14" a="1"/>
  <c r="P668" i="14" s="1"/>
  <c r="P669" i="14" a="1"/>
  <c r="P669" i="14" s="1"/>
  <c r="P670" i="14" a="1"/>
  <c r="P670" i="14" s="1"/>
  <c r="P671" i="14" a="1"/>
  <c r="P671" i="14"/>
  <c r="P672" i="14" a="1"/>
  <c r="P672" i="14"/>
  <c r="P673" i="14" a="1"/>
  <c r="P673" i="14"/>
  <c r="P674" i="14" a="1"/>
  <c r="P674" i="14"/>
  <c r="P675" i="14" a="1"/>
  <c r="P675" i="14" s="1"/>
  <c r="P676" i="14" a="1"/>
  <c r="P676" i="14" s="1"/>
  <c r="P677" i="14" a="1"/>
  <c r="P677" i="14" s="1"/>
  <c r="P678" i="14" a="1"/>
  <c r="P678" i="14" s="1"/>
  <c r="P679" i="14" a="1"/>
  <c r="P679" i="14" s="1"/>
  <c r="P680" i="14" a="1"/>
  <c r="P680" i="14" s="1"/>
  <c r="P681" i="14" a="1"/>
  <c r="P681" i="14"/>
  <c r="P682" i="14" a="1"/>
  <c r="P682" i="14"/>
  <c r="P683" i="14" a="1"/>
  <c r="P683" i="14"/>
  <c r="P684" i="14" a="1"/>
  <c r="P684" i="14"/>
  <c r="P685" i="14" a="1"/>
  <c r="P685" i="14" s="1"/>
  <c r="P686" i="14" a="1"/>
  <c r="P686" i="14" s="1"/>
  <c r="P687" i="14" a="1"/>
  <c r="P687" i="14" s="1"/>
  <c r="P688" i="14" a="1"/>
  <c r="P688" i="14" s="1"/>
  <c r="P689" i="14" a="1"/>
  <c r="P689" i="14"/>
  <c r="P690" i="14" a="1"/>
  <c r="P690" i="14"/>
  <c r="P691" i="14" a="1"/>
  <c r="P691" i="14"/>
  <c r="P692" i="14" a="1"/>
  <c r="P692" i="14"/>
  <c r="P693" i="14" a="1"/>
  <c r="P693" i="14" s="1"/>
  <c r="P694" i="14" a="1"/>
  <c r="P694" i="14" s="1"/>
  <c r="P695" i="14" a="1"/>
  <c r="P695" i="14" s="1"/>
  <c r="P696" i="14" a="1"/>
  <c r="P696" i="14" s="1"/>
  <c r="P697" i="14" a="1"/>
  <c r="P697" i="14"/>
  <c r="P698" i="14" a="1"/>
  <c r="P698" i="14"/>
  <c r="P699" i="14" a="1"/>
  <c r="P699" i="14"/>
  <c r="P700" i="14" a="1"/>
  <c r="P700" i="14"/>
  <c r="P701" i="14" a="1"/>
  <c r="P701" i="14" s="1"/>
  <c r="P702" i="14" a="1"/>
  <c r="P702" i="14" s="1"/>
  <c r="P703" i="14" a="1"/>
  <c r="P703" i="14" s="1"/>
  <c r="P704" i="14" a="1"/>
  <c r="P704" i="14" s="1"/>
  <c r="P705" i="14" a="1"/>
  <c r="P705" i="14"/>
  <c r="P706" i="14" a="1"/>
  <c r="P706" i="14"/>
  <c r="P707" i="14" a="1"/>
  <c r="P707" i="14"/>
  <c r="P708" i="14" a="1"/>
  <c r="P708" i="14"/>
  <c r="P709" i="14" a="1"/>
  <c r="P709" i="14" s="1"/>
  <c r="P710" i="14" a="1"/>
  <c r="P710" i="14" s="1"/>
  <c r="P711" i="14" a="1"/>
  <c r="P711" i="14" s="1"/>
  <c r="P712" i="14" a="1"/>
  <c r="P712" i="14" s="1"/>
  <c r="P713" i="14" a="1"/>
  <c r="P713" i="14"/>
  <c r="P714" i="14" a="1"/>
  <c r="P714" i="14"/>
  <c r="P715" i="14" a="1"/>
  <c r="P715" i="14"/>
  <c r="P716" i="14" a="1"/>
  <c r="P716" i="14"/>
  <c r="P717" i="14" a="1"/>
  <c r="P717" i="14" s="1"/>
  <c r="P718" i="14" a="1"/>
  <c r="P718" i="14" s="1"/>
  <c r="P719" i="14" a="1"/>
  <c r="P719" i="14" s="1"/>
  <c r="P720" i="14" a="1"/>
  <c r="P720" i="14" s="1"/>
  <c r="P721" i="14" a="1"/>
  <c r="P721" i="14"/>
  <c r="P722" i="14" a="1"/>
  <c r="P722" i="14"/>
  <c r="P723" i="14" a="1"/>
  <c r="P723" i="14"/>
  <c r="P724" i="14" a="1"/>
  <c r="P724" i="14"/>
  <c r="P725" i="14" a="1"/>
  <c r="P725" i="14" s="1"/>
  <c r="P726" i="14" a="1"/>
  <c r="P726" i="14" s="1"/>
  <c r="P727" i="14" a="1"/>
  <c r="P727" i="14" s="1"/>
  <c r="P728" i="14" a="1"/>
  <c r="P728" i="14" s="1"/>
  <c r="P729" i="14" a="1"/>
  <c r="P729" i="14"/>
  <c r="P730" i="14" a="1"/>
  <c r="P730" i="14"/>
  <c r="P731" i="14" a="1"/>
  <c r="P731" i="14"/>
  <c r="P732" i="14" a="1"/>
  <c r="P732" i="14"/>
  <c r="P733" i="14" a="1"/>
  <c r="P733" i="14" s="1"/>
  <c r="P734" i="14" a="1"/>
  <c r="P734" i="14" s="1"/>
  <c r="P735" i="14" a="1"/>
  <c r="P735" i="14" s="1"/>
  <c r="P736" i="14" a="1"/>
  <c r="P736" i="14" s="1"/>
  <c r="P737" i="14" a="1"/>
  <c r="P737" i="14"/>
  <c r="P738" i="14" a="1"/>
  <c r="P738" i="14"/>
  <c r="P739" i="14" a="1"/>
  <c r="P739" i="14"/>
  <c r="P740" i="14" a="1"/>
  <c r="P740" i="14"/>
  <c r="P741" i="14" a="1"/>
  <c r="P741" i="14" s="1"/>
  <c r="P742" i="14" a="1"/>
  <c r="P742" i="14" s="1"/>
  <c r="P743" i="14" a="1"/>
  <c r="P743" i="14" s="1"/>
  <c r="P744" i="14" a="1"/>
  <c r="P744" i="14" s="1"/>
  <c r="P745" i="14" a="1"/>
  <c r="P745" i="14"/>
  <c r="P746" i="14" a="1"/>
  <c r="P746" i="14"/>
  <c r="P747" i="14" a="1"/>
  <c r="P747" i="14"/>
  <c r="P748" i="14" a="1"/>
  <c r="P748" i="14"/>
  <c r="P749" i="14" a="1"/>
  <c r="P749" i="14" s="1"/>
  <c r="P750" i="14" a="1"/>
  <c r="P750" i="14" s="1"/>
  <c r="P751" i="14" a="1"/>
  <c r="P751" i="14" s="1"/>
  <c r="P752" i="14" a="1"/>
  <c r="P752" i="14" s="1"/>
  <c r="P753" i="14" a="1"/>
  <c r="P753" i="14"/>
  <c r="P754" i="14" a="1"/>
  <c r="P754" i="14"/>
  <c r="P755" i="14" a="1"/>
  <c r="P755" i="14"/>
  <c r="P756" i="14" a="1"/>
  <c r="P756" i="14"/>
  <c r="P757" i="14" a="1"/>
  <c r="P757" i="14" s="1"/>
  <c r="P758" i="14" a="1"/>
  <c r="P758" i="14" s="1"/>
  <c r="P759" i="14" a="1"/>
  <c r="P759" i="14" s="1"/>
  <c r="P760" i="14" a="1"/>
  <c r="P760" i="14" s="1"/>
  <c r="P761" i="14" a="1"/>
  <c r="P761" i="14"/>
  <c r="P762" i="14" a="1"/>
  <c r="P762" i="14"/>
  <c r="P763" i="14" a="1"/>
  <c r="P763" i="14"/>
  <c r="P764" i="14" a="1"/>
  <c r="P764" i="14"/>
  <c r="P765" i="14" a="1"/>
  <c r="P765" i="14" s="1"/>
  <c r="P766" i="14" a="1"/>
  <c r="P766" i="14" s="1"/>
  <c r="P767" i="14" a="1"/>
  <c r="P767" i="14" s="1"/>
  <c r="P768" i="14" a="1"/>
  <c r="P768" i="14" s="1"/>
  <c r="P769" i="14" a="1"/>
  <c r="P769" i="14"/>
  <c r="P770" i="14" a="1"/>
  <c r="P770" i="14"/>
  <c r="P771" i="14" a="1"/>
  <c r="P771" i="14"/>
  <c r="P772" i="14" a="1"/>
  <c r="P772" i="14"/>
  <c r="P773" i="14" a="1"/>
  <c r="P773" i="14" s="1"/>
  <c r="P774" i="14" a="1"/>
  <c r="P774" i="14" s="1"/>
  <c r="P775" i="14" a="1"/>
  <c r="P775" i="14" s="1"/>
  <c r="P776" i="14" a="1"/>
  <c r="P776" i="14" s="1"/>
  <c r="P777" i="14" a="1"/>
  <c r="P777" i="14"/>
  <c r="P778" i="14" a="1"/>
  <c r="P778" i="14"/>
  <c r="P779" i="14" a="1"/>
  <c r="P779" i="14"/>
  <c r="P780" i="14" a="1"/>
  <c r="P780" i="14"/>
  <c r="P781" i="14" a="1"/>
  <c r="P781" i="14" s="1"/>
  <c r="P782" i="14" a="1"/>
  <c r="P782" i="14" s="1"/>
  <c r="P783" i="14" a="1"/>
  <c r="P783" i="14" s="1"/>
  <c r="P784" i="14" a="1"/>
  <c r="P784" i="14" s="1"/>
  <c r="P785" i="14" a="1"/>
  <c r="P785" i="14"/>
  <c r="P786" i="14" a="1"/>
  <c r="P786" i="14"/>
  <c r="P787" i="14" a="1"/>
  <c r="P787" i="14"/>
  <c r="P788" i="14" a="1"/>
  <c r="P788" i="14"/>
  <c r="P789" i="14" a="1"/>
  <c r="P789" i="14" s="1"/>
  <c r="P790" i="14" a="1"/>
  <c r="P790" i="14" s="1"/>
  <c r="M3" i="15"/>
  <c r="M4" i="15"/>
  <c r="M5" i="15"/>
  <c r="M6" i="15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33" i="15"/>
  <c r="M34" i="15"/>
  <c r="M35" i="15"/>
  <c r="M36" i="15"/>
  <c r="M37" i="15"/>
  <c r="M38" i="15"/>
  <c r="M39" i="15"/>
  <c r="M40" i="15"/>
  <c r="M41" i="15"/>
  <c r="M42" i="15"/>
  <c r="M43" i="15"/>
  <c r="M44" i="15"/>
  <c r="M45" i="15"/>
  <c r="M46" i="15"/>
  <c r="M47" i="15"/>
  <c r="M48" i="15"/>
  <c r="M49" i="15"/>
  <c r="M50" i="15"/>
  <c r="M51" i="15"/>
  <c r="M52" i="15"/>
  <c r="M53" i="15"/>
  <c r="M54" i="15"/>
  <c r="M55" i="15"/>
  <c r="M56" i="15"/>
  <c r="M57" i="15"/>
  <c r="M58" i="15"/>
  <c r="M59" i="15"/>
  <c r="M60" i="15"/>
  <c r="M61" i="15"/>
  <c r="M62" i="15"/>
  <c r="M63" i="15"/>
  <c r="M64" i="15"/>
  <c r="M65" i="15"/>
  <c r="M66" i="15"/>
  <c r="M67" i="15"/>
  <c r="M68" i="15"/>
  <c r="M69" i="15"/>
  <c r="M70" i="15"/>
  <c r="M71" i="15"/>
  <c r="M72" i="15"/>
  <c r="M73" i="15"/>
  <c r="M74" i="15"/>
  <c r="M75" i="15"/>
  <c r="M76" i="15"/>
  <c r="M77" i="15"/>
  <c r="M78" i="15"/>
  <c r="M79" i="15"/>
  <c r="M80" i="15"/>
  <c r="M81" i="15"/>
  <c r="M82" i="15"/>
  <c r="M83" i="15"/>
  <c r="M84" i="15"/>
  <c r="M85" i="15"/>
  <c r="M86" i="15"/>
  <c r="M87" i="15"/>
  <c r="M88" i="15"/>
  <c r="M89" i="15"/>
  <c r="M90" i="15"/>
  <c r="M91" i="15"/>
  <c r="M92" i="15"/>
  <c r="M93" i="15"/>
  <c r="M94" i="15"/>
  <c r="M95" i="15"/>
  <c r="M96" i="15"/>
  <c r="M97" i="15"/>
  <c r="M98" i="15"/>
  <c r="M99" i="15"/>
  <c r="M100" i="15"/>
  <c r="M101" i="15"/>
  <c r="M102" i="15"/>
  <c r="M103" i="15"/>
  <c r="M104" i="15"/>
  <c r="M105" i="15"/>
  <c r="M106" i="15"/>
  <c r="M107" i="15"/>
  <c r="M108" i="15"/>
  <c r="M109" i="15"/>
  <c r="M110" i="15"/>
  <c r="M111" i="15"/>
  <c r="M112" i="15"/>
  <c r="M113" i="15"/>
  <c r="M114" i="15"/>
  <c r="M115" i="15"/>
  <c r="M116" i="15"/>
  <c r="M117" i="15"/>
  <c r="M118" i="15"/>
  <c r="M119" i="15"/>
  <c r="M120" i="15"/>
  <c r="M121" i="15"/>
  <c r="M122" i="15"/>
  <c r="M123" i="15"/>
  <c r="M124" i="15"/>
  <c r="M125" i="15"/>
  <c r="M126" i="15"/>
  <c r="M127" i="15"/>
  <c r="M128" i="15"/>
  <c r="M129" i="15"/>
  <c r="M130" i="15"/>
  <c r="M131" i="15"/>
  <c r="M132" i="15"/>
  <c r="M133" i="15"/>
  <c r="M134" i="15"/>
  <c r="M135" i="15"/>
  <c r="M136" i="15"/>
  <c r="M137" i="15"/>
  <c r="M138" i="15"/>
  <c r="M139" i="15"/>
  <c r="M140" i="15"/>
  <c r="M141" i="15"/>
  <c r="M142" i="15"/>
  <c r="M143" i="15"/>
  <c r="M144" i="15"/>
  <c r="M145" i="15"/>
  <c r="M146" i="15"/>
  <c r="M147" i="15"/>
  <c r="M148" i="15"/>
  <c r="M149" i="15"/>
  <c r="M150" i="15"/>
  <c r="M151" i="15"/>
  <c r="M152" i="15"/>
  <c r="M153" i="15"/>
  <c r="M154" i="15"/>
  <c r="M155" i="15"/>
  <c r="M156" i="15"/>
  <c r="M157" i="15"/>
  <c r="M158" i="15"/>
  <c r="M159" i="15"/>
  <c r="M160" i="15"/>
  <c r="M161" i="15"/>
  <c r="M162" i="15"/>
  <c r="M163" i="15"/>
  <c r="M164" i="15"/>
  <c r="M165" i="15"/>
  <c r="M166" i="15"/>
  <c r="M167" i="15"/>
  <c r="M168" i="15"/>
  <c r="M169" i="15"/>
  <c r="M170" i="15"/>
  <c r="M171" i="15"/>
  <c r="M172" i="15"/>
  <c r="M173" i="15"/>
  <c r="M174" i="15"/>
  <c r="M175" i="15"/>
  <c r="M176" i="15"/>
  <c r="M177" i="15"/>
  <c r="M178" i="15"/>
  <c r="M179" i="15"/>
  <c r="M180" i="15"/>
  <c r="M181" i="15"/>
  <c r="M182" i="15"/>
  <c r="M183" i="15"/>
  <c r="M184" i="15"/>
  <c r="M185" i="15"/>
  <c r="M186" i="15"/>
  <c r="M187" i="15"/>
  <c r="M188" i="15"/>
  <c r="M189" i="15"/>
  <c r="M190" i="15"/>
  <c r="M191" i="15"/>
  <c r="M192" i="15"/>
  <c r="M193" i="15"/>
  <c r="M194" i="15"/>
  <c r="M195" i="15"/>
  <c r="M196" i="15"/>
  <c r="M197" i="15"/>
  <c r="M198" i="15"/>
  <c r="M199" i="15"/>
  <c r="M200" i="15"/>
  <c r="M201" i="15"/>
  <c r="M202" i="15"/>
  <c r="M203" i="15"/>
  <c r="M204" i="15"/>
  <c r="M205" i="15"/>
  <c r="M206" i="15"/>
  <c r="M207" i="15"/>
  <c r="M208" i="15"/>
  <c r="M209" i="15"/>
  <c r="M210" i="15"/>
  <c r="M211" i="15"/>
  <c r="M212" i="15"/>
  <c r="M213" i="15"/>
  <c r="M214" i="15"/>
  <c r="M215" i="15"/>
  <c r="M216" i="15"/>
  <c r="M217" i="15"/>
  <c r="M218" i="15"/>
  <c r="M219" i="15"/>
  <c r="M220" i="15"/>
  <c r="M221" i="15"/>
  <c r="M222" i="15"/>
  <c r="M223" i="15"/>
  <c r="M224" i="15"/>
  <c r="M225" i="15"/>
  <c r="M226" i="15"/>
  <c r="M227" i="15"/>
  <c r="M228" i="15"/>
  <c r="M229" i="15"/>
  <c r="M230" i="15"/>
  <c r="M231" i="15"/>
  <c r="M232" i="15"/>
  <c r="M233" i="15"/>
  <c r="M234" i="15"/>
  <c r="M235" i="15"/>
  <c r="M236" i="15"/>
  <c r="M237" i="15"/>
  <c r="M238" i="15"/>
  <c r="M239" i="15"/>
  <c r="M240" i="15"/>
  <c r="M241" i="15"/>
  <c r="M242" i="15"/>
  <c r="M243" i="15"/>
  <c r="M244" i="15"/>
  <c r="M245" i="15"/>
  <c r="M246" i="15"/>
  <c r="M247" i="15"/>
  <c r="M248" i="15"/>
  <c r="M249" i="15"/>
  <c r="M250" i="15"/>
  <c r="M251" i="15"/>
  <c r="M252" i="15"/>
  <c r="M253" i="15"/>
  <c r="M254" i="15"/>
  <c r="M255" i="15"/>
  <c r="M256" i="15"/>
  <c r="M257" i="15"/>
  <c r="M258" i="15"/>
  <c r="M259" i="15"/>
  <c r="M260" i="15"/>
  <c r="M261" i="15"/>
  <c r="M262" i="15"/>
  <c r="M263" i="15"/>
  <c r="M264" i="15"/>
  <c r="M265" i="15"/>
  <c r="M266" i="15"/>
  <c r="M267" i="15"/>
  <c r="M268" i="15"/>
  <c r="M269" i="15"/>
  <c r="M270" i="15"/>
  <c r="M271" i="15"/>
  <c r="M272" i="15"/>
  <c r="M273" i="15"/>
  <c r="M274" i="15"/>
  <c r="M275" i="15"/>
  <c r="M276" i="15"/>
  <c r="M277" i="15"/>
  <c r="M278" i="15"/>
  <c r="M279" i="15"/>
  <c r="M280" i="15"/>
  <c r="M281" i="15"/>
  <c r="M282" i="15"/>
  <c r="M283" i="15"/>
  <c r="M284" i="15"/>
  <c r="M285" i="15"/>
  <c r="M286" i="15"/>
  <c r="M287" i="15"/>
  <c r="M288" i="15"/>
  <c r="M289" i="15"/>
  <c r="M290" i="15"/>
  <c r="M291" i="15"/>
  <c r="M292" i="15"/>
  <c r="M293" i="15"/>
  <c r="M294" i="15"/>
  <c r="M295" i="15"/>
  <c r="M296" i="15"/>
  <c r="M297" i="15"/>
  <c r="M298" i="15"/>
  <c r="M299" i="15"/>
  <c r="M300" i="15"/>
  <c r="M301" i="15"/>
  <c r="M302" i="15"/>
  <c r="M303" i="15"/>
  <c r="M304" i="15"/>
  <c r="M305" i="15"/>
  <c r="M306" i="15"/>
  <c r="M307" i="15"/>
  <c r="M308" i="15"/>
  <c r="M309" i="15"/>
  <c r="M310" i="15"/>
  <c r="M311" i="15"/>
  <c r="M312" i="15"/>
  <c r="M313" i="15"/>
  <c r="M314" i="15"/>
  <c r="M315" i="15"/>
  <c r="M316" i="15"/>
  <c r="M317" i="15"/>
  <c r="M318" i="15"/>
  <c r="M319" i="15"/>
  <c r="M320" i="15"/>
  <c r="M321" i="15"/>
  <c r="M322" i="15"/>
  <c r="M323" i="15"/>
  <c r="M324" i="15"/>
  <c r="M325" i="15"/>
  <c r="M326" i="15"/>
  <c r="M327" i="15"/>
  <c r="M328" i="15"/>
  <c r="M329" i="15"/>
  <c r="M330" i="15"/>
  <c r="M331" i="15"/>
  <c r="M332" i="15"/>
  <c r="M333" i="15"/>
  <c r="M334" i="15"/>
  <c r="M335" i="15"/>
  <c r="M336" i="15"/>
  <c r="M337" i="15"/>
  <c r="M338" i="15"/>
  <c r="M339" i="15"/>
  <c r="M340" i="15"/>
  <c r="M341" i="15"/>
  <c r="M342" i="15"/>
  <c r="M343" i="15"/>
  <c r="M344" i="15"/>
  <c r="M345" i="15"/>
  <c r="M346" i="15"/>
  <c r="M347" i="15"/>
  <c r="M348" i="15"/>
  <c r="M349" i="15"/>
  <c r="M350" i="15"/>
  <c r="M351" i="15"/>
  <c r="M352" i="15"/>
  <c r="M353" i="15"/>
  <c r="M354" i="15"/>
  <c r="M355" i="15"/>
  <c r="M356" i="15"/>
  <c r="M357" i="15"/>
  <c r="M358" i="15"/>
  <c r="M359" i="15"/>
  <c r="M360" i="15"/>
  <c r="M361" i="15"/>
  <c r="M362" i="15"/>
  <c r="M363" i="15"/>
  <c r="M364" i="15"/>
  <c r="M365" i="15"/>
  <c r="M366" i="15"/>
  <c r="M367" i="15"/>
  <c r="M368" i="15"/>
  <c r="M369" i="15"/>
  <c r="M370" i="15"/>
  <c r="M371" i="15"/>
  <c r="M372" i="15"/>
  <c r="M373" i="15"/>
  <c r="M374" i="15"/>
  <c r="M375" i="15"/>
  <c r="M376" i="15"/>
  <c r="M377" i="15"/>
  <c r="M378" i="15"/>
  <c r="M379" i="15"/>
  <c r="M380" i="15"/>
  <c r="M381" i="15"/>
  <c r="M382" i="15"/>
  <c r="M383" i="15"/>
  <c r="M384" i="15"/>
  <c r="M385" i="15"/>
  <c r="M386" i="15"/>
  <c r="M387" i="15"/>
  <c r="M388" i="15"/>
  <c r="M389" i="15"/>
  <c r="M390" i="15"/>
  <c r="M391" i="15"/>
  <c r="M392" i="15"/>
  <c r="M393" i="15"/>
  <c r="M394" i="15"/>
  <c r="M395" i="15"/>
  <c r="M396" i="15"/>
  <c r="M397" i="15"/>
  <c r="M398" i="15"/>
  <c r="M399" i="15"/>
  <c r="M400" i="15"/>
  <c r="M401" i="15"/>
  <c r="M402" i="15"/>
  <c r="M403" i="15"/>
  <c r="M404" i="15"/>
  <c r="M405" i="15"/>
  <c r="M406" i="15"/>
  <c r="M407" i="15"/>
  <c r="M408" i="15"/>
  <c r="M409" i="15"/>
  <c r="M410" i="15"/>
  <c r="M411" i="15"/>
  <c r="M412" i="15"/>
  <c r="M413" i="15"/>
  <c r="M414" i="15"/>
  <c r="M415" i="15"/>
  <c r="M416" i="15"/>
  <c r="M417" i="15"/>
  <c r="M418" i="15"/>
  <c r="M419" i="15"/>
  <c r="M420" i="15"/>
  <c r="M421" i="15"/>
  <c r="M422" i="15"/>
  <c r="M423" i="15"/>
  <c r="M424" i="15"/>
  <c r="M425" i="15"/>
  <c r="M426" i="15"/>
  <c r="M427" i="15"/>
  <c r="M428" i="15"/>
  <c r="M429" i="15"/>
  <c r="M430" i="15"/>
  <c r="M431" i="15"/>
  <c r="M432" i="15"/>
  <c r="M433" i="15"/>
  <c r="M434" i="15"/>
  <c r="M435" i="15"/>
  <c r="M436" i="15"/>
  <c r="M437" i="15"/>
  <c r="M438" i="15"/>
  <c r="M439" i="15"/>
  <c r="M440" i="15"/>
  <c r="M441" i="15"/>
  <c r="M442" i="15"/>
  <c r="M443" i="15"/>
  <c r="M444" i="15"/>
  <c r="M445" i="15"/>
  <c r="M446" i="15"/>
  <c r="M447" i="15"/>
  <c r="M448" i="15"/>
  <c r="M449" i="15"/>
  <c r="M450" i="15"/>
  <c r="M451" i="15"/>
  <c r="M452" i="15"/>
  <c r="M453" i="15"/>
  <c r="M454" i="15"/>
  <c r="M455" i="15"/>
  <c r="M456" i="15"/>
  <c r="M457" i="15"/>
  <c r="M458" i="15"/>
  <c r="M459" i="15"/>
  <c r="M460" i="15"/>
  <c r="M461" i="15"/>
  <c r="M462" i="15"/>
  <c r="M463" i="15"/>
  <c r="M464" i="15"/>
  <c r="M465" i="15"/>
  <c r="M466" i="15"/>
  <c r="M467" i="15"/>
  <c r="M468" i="15"/>
  <c r="M469" i="15"/>
  <c r="M470" i="15"/>
  <c r="M471" i="15"/>
  <c r="M472" i="15"/>
  <c r="M473" i="15"/>
  <c r="M474" i="15"/>
  <c r="M475" i="15"/>
  <c r="M476" i="15"/>
  <c r="M477" i="15"/>
  <c r="M478" i="15"/>
  <c r="M479" i="15"/>
  <c r="M480" i="15"/>
  <c r="M481" i="15"/>
  <c r="M482" i="15"/>
  <c r="M483" i="15"/>
  <c r="M484" i="15"/>
  <c r="M485" i="15"/>
  <c r="M486" i="15"/>
  <c r="M487" i="15"/>
  <c r="M488" i="15"/>
  <c r="M489" i="15"/>
  <c r="M490" i="15"/>
  <c r="M491" i="15"/>
  <c r="M492" i="15"/>
  <c r="M493" i="15"/>
  <c r="M494" i="15"/>
  <c r="M495" i="15"/>
  <c r="M496" i="15"/>
  <c r="M497" i="15"/>
  <c r="M498" i="15"/>
  <c r="M499" i="15"/>
  <c r="M500" i="15"/>
  <c r="M501" i="15"/>
  <c r="M502" i="15"/>
  <c r="M503" i="15"/>
  <c r="M504" i="15"/>
  <c r="M505" i="15"/>
  <c r="M506" i="15"/>
  <c r="M507" i="15"/>
  <c r="M508" i="15"/>
  <c r="M509" i="15"/>
  <c r="M510" i="15"/>
  <c r="M511" i="15"/>
  <c r="M512" i="15"/>
  <c r="M513" i="15"/>
  <c r="M514" i="15"/>
  <c r="M515" i="15"/>
  <c r="M516" i="15"/>
  <c r="M517" i="15"/>
  <c r="M518" i="15"/>
  <c r="M519" i="15"/>
  <c r="M520" i="15"/>
  <c r="M521" i="15"/>
  <c r="M522" i="15"/>
  <c r="M523" i="15"/>
  <c r="M524" i="15"/>
  <c r="M525" i="15"/>
  <c r="M526" i="15"/>
  <c r="M527" i="15"/>
  <c r="M528" i="15"/>
  <c r="M529" i="15"/>
  <c r="M530" i="15"/>
  <c r="M531" i="15"/>
  <c r="M532" i="15"/>
  <c r="M533" i="15"/>
  <c r="M534" i="15"/>
  <c r="M535" i="15"/>
  <c r="M536" i="15"/>
  <c r="M537" i="15"/>
  <c r="M538" i="15"/>
  <c r="M539" i="15"/>
  <c r="M540" i="15"/>
  <c r="M541" i="15"/>
  <c r="M542" i="15"/>
  <c r="M543" i="15"/>
  <c r="M544" i="15"/>
  <c r="M545" i="15"/>
  <c r="M546" i="15"/>
  <c r="M547" i="15"/>
  <c r="M548" i="15"/>
  <c r="M549" i="15"/>
  <c r="M550" i="15"/>
  <c r="M551" i="15"/>
  <c r="M552" i="15"/>
  <c r="M553" i="15"/>
  <c r="M554" i="15"/>
  <c r="M555" i="15"/>
  <c r="M556" i="15"/>
  <c r="M557" i="15"/>
  <c r="M558" i="15"/>
  <c r="M559" i="15"/>
  <c r="M560" i="15"/>
  <c r="M561" i="15"/>
  <c r="M562" i="15"/>
  <c r="M563" i="15"/>
  <c r="M564" i="15"/>
  <c r="M565" i="15"/>
  <c r="M566" i="15"/>
  <c r="M567" i="15"/>
  <c r="M568" i="15"/>
  <c r="M569" i="15"/>
  <c r="M570" i="15"/>
  <c r="M571" i="15"/>
  <c r="M572" i="15"/>
  <c r="M573" i="15"/>
  <c r="M574" i="15"/>
  <c r="M575" i="15"/>
  <c r="M576" i="15"/>
  <c r="M577" i="15"/>
  <c r="M578" i="15"/>
  <c r="M579" i="15"/>
  <c r="M580" i="15"/>
  <c r="M581" i="15"/>
  <c r="M582" i="15"/>
  <c r="M583" i="15"/>
  <c r="M584" i="15"/>
  <c r="M585" i="15"/>
  <c r="M586" i="15"/>
  <c r="M587" i="15"/>
  <c r="M588" i="15"/>
  <c r="M589" i="15"/>
  <c r="M590" i="15"/>
  <c r="M591" i="15"/>
  <c r="M592" i="15"/>
  <c r="M593" i="15"/>
  <c r="M594" i="15"/>
  <c r="M595" i="15"/>
  <c r="M596" i="15"/>
  <c r="M597" i="15"/>
  <c r="M598" i="15"/>
  <c r="M599" i="15"/>
  <c r="M600" i="15"/>
  <c r="M601" i="15"/>
  <c r="M602" i="15"/>
  <c r="M603" i="15"/>
  <c r="M604" i="15"/>
  <c r="M605" i="15"/>
  <c r="M606" i="15"/>
  <c r="M607" i="15"/>
  <c r="M608" i="15"/>
  <c r="M609" i="15"/>
  <c r="M610" i="15"/>
  <c r="M611" i="15"/>
  <c r="M612" i="15"/>
  <c r="M613" i="15"/>
  <c r="M614" i="15"/>
  <c r="M615" i="15"/>
  <c r="M616" i="15"/>
  <c r="M617" i="15"/>
  <c r="M618" i="15"/>
  <c r="M619" i="15"/>
  <c r="M620" i="15"/>
  <c r="M621" i="15"/>
  <c r="M622" i="15"/>
  <c r="M623" i="15"/>
  <c r="M624" i="15"/>
  <c r="M625" i="15"/>
  <c r="M626" i="15"/>
  <c r="M627" i="15"/>
  <c r="M628" i="15"/>
  <c r="M629" i="15"/>
  <c r="M630" i="15"/>
  <c r="M631" i="15"/>
  <c r="M632" i="15"/>
  <c r="M633" i="15"/>
  <c r="M634" i="15"/>
  <c r="M635" i="15"/>
  <c r="M636" i="15"/>
  <c r="M637" i="15"/>
  <c r="M638" i="15"/>
  <c r="M639" i="15"/>
  <c r="M640" i="15"/>
  <c r="M641" i="15"/>
  <c r="M642" i="15"/>
  <c r="M643" i="15"/>
  <c r="M644" i="15"/>
  <c r="M645" i="15"/>
  <c r="M646" i="15"/>
  <c r="M647" i="15"/>
  <c r="M648" i="15"/>
  <c r="M649" i="15"/>
  <c r="M650" i="15"/>
  <c r="M651" i="15"/>
  <c r="M652" i="15"/>
  <c r="M653" i="15"/>
  <c r="M654" i="15"/>
  <c r="M655" i="15"/>
  <c r="M656" i="15"/>
  <c r="M657" i="15"/>
  <c r="M658" i="15"/>
  <c r="M659" i="15"/>
  <c r="M660" i="15"/>
  <c r="M661" i="15"/>
  <c r="M662" i="15"/>
  <c r="M663" i="15"/>
  <c r="M664" i="15"/>
  <c r="M665" i="15"/>
  <c r="M666" i="15"/>
  <c r="M667" i="15"/>
  <c r="M668" i="15"/>
  <c r="M669" i="15"/>
  <c r="M670" i="15"/>
  <c r="M671" i="15"/>
  <c r="M672" i="15"/>
  <c r="M673" i="15"/>
  <c r="M674" i="15"/>
  <c r="M675" i="15"/>
  <c r="M676" i="15"/>
  <c r="M677" i="15"/>
  <c r="M678" i="15"/>
  <c r="M679" i="15"/>
  <c r="M680" i="15"/>
  <c r="M681" i="15"/>
  <c r="M682" i="15"/>
  <c r="M683" i="15"/>
  <c r="M684" i="15"/>
  <c r="M685" i="15"/>
  <c r="M686" i="15"/>
  <c r="M687" i="15"/>
  <c r="M688" i="15"/>
  <c r="M689" i="15"/>
  <c r="M690" i="15"/>
  <c r="M691" i="15"/>
  <c r="M692" i="15"/>
  <c r="M693" i="15"/>
  <c r="M694" i="15"/>
  <c r="M695" i="15"/>
  <c r="M696" i="15"/>
  <c r="M697" i="15"/>
  <c r="M698" i="15"/>
  <c r="M699" i="15"/>
  <c r="M700" i="15"/>
  <c r="M701" i="15"/>
  <c r="M702" i="15"/>
  <c r="M703" i="15"/>
  <c r="M704" i="15"/>
  <c r="M705" i="15"/>
  <c r="M706" i="15"/>
  <c r="M707" i="15"/>
  <c r="M708" i="15"/>
  <c r="M709" i="15"/>
  <c r="M710" i="15"/>
  <c r="M711" i="15"/>
  <c r="M712" i="15"/>
  <c r="M713" i="15"/>
  <c r="M714" i="15"/>
  <c r="M715" i="15"/>
  <c r="M716" i="15"/>
  <c r="M717" i="15"/>
  <c r="M718" i="15"/>
  <c r="M719" i="15"/>
  <c r="M720" i="15"/>
  <c r="M721" i="15"/>
  <c r="M722" i="15"/>
  <c r="M723" i="15"/>
  <c r="M724" i="15"/>
  <c r="M725" i="15"/>
  <c r="M726" i="15"/>
  <c r="M727" i="15"/>
  <c r="M728" i="15"/>
  <c r="M729" i="15"/>
  <c r="M730" i="15"/>
  <c r="M731" i="15"/>
  <c r="M732" i="15"/>
  <c r="M733" i="15"/>
  <c r="M734" i="15"/>
  <c r="M735" i="15"/>
  <c r="M736" i="15"/>
  <c r="M737" i="15"/>
  <c r="M738" i="15"/>
  <c r="M739" i="15"/>
  <c r="M740" i="15"/>
  <c r="M741" i="15"/>
  <c r="M742" i="15"/>
  <c r="M743" i="15"/>
  <c r="M744" i="15"/>
  <c r="M745" i="15"/>
  <c r="M746" i="15"/>
  <c r="M747" i="15"/>
  <c r="M748" i="15"/>
  <c r="M749" i="15"/>
  <c r="M750" i="15"/>
  <c r="M751" i="15"/>
  <c r="M752" i="15"/>
  <c r="M753" i="15"/>
  <c r="M754" i="15"/>
  <c r="M755" i="15"/>
  <c r="M756" i="15"/>
  <c r="M757" i="15"/>
  <c r="M758" i="15"/>
  <c r="M759" i="15"/>
  <c r="M760" i="15"/>
  <c r="M761" i="15"/>
  <c r="M762" i="15"/>
  <c r="M763" i="15"/>
  <c r="M764" i="15"/>
  <c r="M765" i="15"/>
  <c r="M766" i="15"/>
  <c r="M767" i="15"/>
  <c r="M768" i="15"/>
  <c r="M769" i="15"/>
  <c r="M770" i="15"/>
  <c r="M771" i="15"/>
  <c r="M772" i="15"/>
  <c r="M773" i="15"/>
  <c r="M774" i="15"/>
  <c r="M775" i="15"/>
  <c r="M776" i="15"/>
  <c r="M777" i="15"/>
  <c r="M778" i="15"/>
  <c r="M779" i="15"/>
  <c r="M780" i="15"/>
  <c r="M781" i="15"/>
  <c r="M782" i="15"/>
  <c r="M783" i="15"/>
  <c r="M784" i="15"/>
  <c r="M785" i="15"/>
  <c r="M786" i="15"/>
  <c r="M787" i="15"/>
  <c r="M788" i="15"/>
  <c r="M789" i="15"/>
  <c r="M790" i="15"/>
  <c r="M2" i="15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38" i="15"/>
  <c r="O239" i="15"/>
  <c r="O240" i="15"/>
  <c r="O241" i="15"/>
  <c r="O242" i="15"/>
  <c r="O243" i="15"/>
  <c r="O244" i="15"/>
  <c r="O245" i="15"/>
  <c r="O246" i="15"/>
  <c r="O247" i="15"/>
  <c r="O248" i="15"/>
  <c r="O249" i="15"/>
  <c r="O250" i="15"/>
  <c r="O251" i="15"/>
  <c r="O252" i="15"/>
  <c r="O253" i="15"/>
  <c r="O254" i="15"/>
  <c r="O255" i="15"/>
  <c r="O256" i="15"/>
  <c r="O257" i="15"/>
  <c r="O258" i="15"/>
  <c r="O259" i="15"/>
  <c r="O260" i="15"/>
  <c r="O261" i="15"/>
  <c r="O262" i="15"/>
  <c r="O263" i="15"/>
  <c r="O264" i="15"/>
  <c r="O265" i="15"/>
  <c r="O266" i="15"/>
  <c r="O267" i="15"/>
  <c r="O268" i="15"/>
  <c r="O269" i="15"/>
  <c r="O270" i="15"/>
  <c r="O271" i="15"/>
  <c r="O272" i="15"/>
  <c r="O273" i="15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88" i="15"/>
  <c r="O289" i="15"/>
  <c r="O290" i="15"/>
  <c r="O291" i="15"/>
  <c r="O292" i="15"/>
  <c r="O293" i="15"/>
  <c r="O294" i="15"/>
  <c r="O295" i="15"/>
  <c r="O296" i="15"/>
  <c r="O297" i="15"/>
  <c r="O298" i="15"/>
  <c r="O299" i="15"/>
  <c r="O300" i="15"/>
  <c r="O301" i="15"/>
  <c r="O302" i="15"/>
  <c r="O303" i="15"/>
  <c r="O304" i="15"/>
  <c r="O305" i="15"/>
  <c r="O306" i="15"/>
  <c r="O307" i="15"/>
  <c r="O308" i="15"/>
  <c r="O309" i="15"/>
  <c r="O310" i="15"/>
  <c r="O311" i="15"/>
  <c r="O312" i="15"/>
  <c r="O313" i="15"/>
  <c r="O314" i="15"/>
  <c r="O315" i="15"/>
  <c r="O316" i="15"/>
  <c r="O317" i="15"/>
  <c r="O318" i="15"/>
  <c r="O319" i="15"/>
  <c r="O320" i="15"/>
  <c r="O321" i="15"/>
  <c r="O322" i="15"/>
  <c r="O323" i="15"/>
  <c r="O324" i="15"/>
  <c r="O325" i="15"/>
  <c r="O326" i="15"/>
  <c r="O327" i="15"/>
  <c r="O328" i="15"/>
  <c r="O329" i="15"/>
  <c r="O330" i="15"/>
  <c r="O331" i="15"/>
  <c r="O332" i="15"/>
  <c r="O333" i="15"/>
  <c r="O334" i="15"/>
  <c r="O335" i="15"/>
  <c r="O336" i="15"/>
  <c r="O337" i="15"/>
  <c r="O338" i="15"/>
  <c r="O339" i="15"/>
  <c r="O340" i="15"/>
  <c r="O341" i="15"/>
  <c r="O342" i="15"/>
  <c r="O343" i="15"/>
  <c r="O344" i="15"/>
  <c r="O345" i="15"/>
  <c r="O346" i="15"/>
  <c r="O347" i="15"/>
  <c r="O348" i="15"/>
  <c r="O349" i="15"/>
  <c r="O350" i="15"/>
  <c r="O351" i="15"/>
  <c r="O352" i="15"/>
  <c r="O353" i="15"/>
  <c r="O354" i="15"/>
  <c r="O355" i="15"/>
  <c r="O356" i="15"/>
  <c r="O357" i="15"/>
  <c r="O358" i="15"/>
  <c r="O359" i="15"/>
  <c r="O360" i="15"/>
  <c r="O361" i="15"/>
  <c r="O362" i="15"/>
  <c r="O363" i="15"/>
  <c r="O364" i="15"/>
  <c r="O365" i="15"/>
  <c r="O366" i="15"/>
  <c r="O367" i="15"/>
  <c r="O368" i="15"/>
  <c r="O369" i="15"/>
  <c r="O370" i="15"/>
  <c r="O371" i="15"/>
  <c r="O372" i="15"/>
  <c r="O373" i="15"/>
  <c r="O374" i="15"/>
  <c r="O375" i="15"/>
  <c r="O376" i="15"/>
  <c r="O377" i="15"/>
  <c r="O378" i="15"/>
  <c r="O379" i="15"/>
  <c r="O380" i="15"/>
  <c r="O381" i="15"/>
  <c r="O382" i="15"/>
  <c r="O383" i="15"/>
  <c r="O384" i="15"/>
  <c r="O385" i="15"/>
  <c r="O386" i="15"/>
  <c r="O387" i="15"/>
  <c r="O388" i="15"/>
  <c r="O389" i="15"/>
  <c r="O390" i="15"/>
  <c r="O391" i="15"/>
  <c r="O392" i="15"/>
  <c r="O393" i="15"/>
  <c r="O394" i="15"/>
  <c r="O395" i="15"/>
  <c r="O396" i="15"/>
  <c r="O397" i="15"/>
  <c r="O398" i="15"/>
  <c r="O399" i="15"/>
  <c r="O400" i="15"/>
  <c r="O401" i="15"/>
  <c r="O402" i="15"/>
  <c r="O403" i="15"/>
  <c r="O404" i="15"/>
  <c r="O405" i="15"/>
  <c r="O406" i="15"/>
  <c r="O407" i="15"/>
  <c r="O408" i="15"/>
  <c r="O409" i="15"/>
  <c r="O410" i="15"/>
  <c r="O411" i="15"/>
  <c r="O412" i="15"/>
  <c r="O413" i="15"/>
  <c r="O414" i="15"/>
  <c r="O415" i="15"/>
  <c r="O416" i="15"/>
  <c r="O417" i="15"/>
  <c r="O418" i="15"/>
  <c r="O419" i="15"/>
  <c r="O420" i="15"/>
  <c r="O421" i="15"/>
  <c r="O422" i="15"/>
  <c r="O423" i="15"/>
  <c r="O424" i="15"/>
  <c r="O425" i="15"/>
  <c r="O426" i="15"/>
  <c r="O427" i="15"/>
  <c r="O428" i="15"/>
  <c r="O429" i="15"/>
  <c r="O430" i="15"/>
  <c r="O431" i="15"/>
  <c r="O432" i="15"/>
  <c r="O433" i="15"/>
  <c r="O434" i="15"/>
  <c r="O435" i="15"/>
  <c r="O436" i="15"/>
  <c r="O437" i="15"/>
  <c r="O438" i="15"/>
  <c r="O439" i="15"/>
  <c r="O440" i="15"/>
  <c r="O441" i="15"/>
  <c r="O442" i="15"/>
  <c r="O443" i="15"/>
  <c r="O444" i="15"/>
  <c r="O445" i="15"/>
  <c r="O446" i="15"/>
  <c r="O447" i="15"/>
  <c r="O448" i="15"/>
  <c r="O449" i="15"/>
  <c r="O450" i="15"/>
  <c r="O451" i="15"/>
  <c r="O452" i="15"/>
  <c r="O453" i="15"/>
  <c r="O454" i="15"/>
  <c r="O455" i="15"/>
  <c r="O456" i="15"/>
  <c r="O457" i="15"/>
  <c r="O458" i="15"/>
  <c r="O459" i="15"/>
  <c r="O460" i="15"/>
  <c r="O461" i="15"/>
  <c r="O462" i="15"/>
  <c r="O463" i="15"/>
  <c r="O464" i="15"/>
  <c r="O465" i="15"/>
  <c r="O466" i="15"/>
  <c r="O467" i="15"/>
  <c r="O468" i="15"/>
  <c r="O469" i="15"/>
  <c r="O470" i="15"/>
  <c r="O471" i="15"/>
  <c r="O472" i="15"/>
  <c r="O473" i="15"/>
  <c r="O474" i="15"/>
  <c r="O475" i="15"/>
  <c r="O476" i="15"/>
  <c r="O477" i="15"/>
  <c r="O478" i="15"/>
  <c r="O479" i="15"/>
  <c r="O480" i="15"/>
  <c r="O481" i="15"/>
  <c r="O482" i="15"/>
  <c r="O483" i="15"/>
  <c r="O484" i="15"/>
  <c r="O485" i="15"/>
  <c r="O486" i="15"/>
  <c r="O487" i="15"/>
  <c r="O488" i="15"/>
  <c r="O489" i="15"/>
  <c r="O490" i="15"/>
  <c r="O491" i="15"/>
  <c r="O492" i="15"/>
  <c r="O493" i="15"/>
  <c r="O494" i="15"/>
  <c r="O495" i="15"/>
  <c r="O496" i="15"/>
  <c r="O497" i="15"/>
  <c r="O498" i="15"/>
  <c r="O499" i="15"/>
  <c r="O500" i="15"/>
  <c r="O501" i="15"/>
  <c r="O502" i="15"/>
  <c r="O503" i="15"/>
  <c r="O504" i="15"/>
  <c r="O505" i="15"/>
  <c r="O506" i="15"/>
  <c r="O507" i="15"/>
  <c r="O508" i="15"/>
  <c r="O509" i="15"/>
  <c r="O510" i="15"/>
  <c r="O511" i="15"/>
  <c r="O512" i="15"/>
  <c r="O513" i="15"/>
  <c r="O514" i="15"/>
  <c r="O515" i="15"/>
  <c r="O516" i="15"/>
  <c r="O517" i="15"/>
  <c r="O518" i="15"/>
  <c r="O519" i="15"/>
  <c r="O520" i="15"/>
  <c r="O521" i="15"/>
  <c r="O522" i="15"/>
  <c r="O523" i="15"/>
  <c r="O524" i="15"/>
  <c r="O525" i="15"/>
  <c r="O526" i="15"/>
  <c r="O527" i="15"/>
  <c r="O528" i="15"/>
  <c r="O529" i="15"/>
  <c r="O530" i="15"/>
  <c r="O531" i="15"/>
  <c r="O532" i="15"/>
  <c r="O533" i="15"/>
  <c r="O534" i="15"/>
  <c r="O535" i="15"/>
  <c r="O536" i="15"/>
  <c r="O537" i="15"/>
  <c r="O538" i="15"/>
  <c r="O539" i="15"/>
  <c r="O540" i="15"/>
  <c r="O541" i="15"/>
  <c r="O542" i="15"/>
  <c r="O543" i="15"/>
  <c r="O544" i="15"/>
  <c r="O545" i="15"/>
  <c r="O546" i="15"/>
  <c r="O547" i="15"/>
  <c r="O548" i="15"/>
  <c r="O549" i="15"/>
  <c r="O550" i="15"/>
  <c r="O551" i="15"/>
  <c r="O552" i="15"/>
  <c r="O553" i="15"/>
  <c r="O554" i="15"/>
  <c r="O555" i="15"/>
  <c r="O556" i="15"/>
  <c r="O557" i="15"/>
  <c r="O558" i="15"/>
  <c r="O559" i="15"/>
  <c r="O560" i="15"/>
  <c r="O561" i="15"/>
  <c r="O562" i="15"/>
  <c r="O563" i="15"/>
  <c r="O564" i="15"/>
  <c r="O565" i="15"/>
  <c r="O566" i="15"/>
  <c r="O567" i="15"/>
  <c r="O568" i="15"/>
  <c r="O569" i="15"/>
  <c r="O570" i="15"/>
  <c r="O571" i="15"/>
  <c r="O572" i="15"/>
  <c r="O573" i="15"/>
  <c r="O574" i="15"/>
  <c r="O575" i="15"/>
  <c r="O576" i="15"/>
  <c r="O577" i="15"/>
  <c r="O578" i="15"/>
  <c r="O579" i="15"/>
  <c r="O580" i="15"/>
  <c r="O581" i="15"/>
  <c r="O582" i="15"/>
  <c r="O583" i="15"/>
  <c r="O584" i="15"/>
  <c r="O585" i="15"/>
  <c r="O586" i="15"/>
  <c r="O587" i="15"/>
  <c r="O588" i="15"/>
  <c r="O589" i="15"/>
  <c r="O590" i="15"/>
  <c r="O591" i="15"/>
  <c r="O592" i="15"/>
  <c r="O593" i="15"/>
  <c r="O594" i="15"/>
  <c r="O595" i="15"/>
  <c r="O596" i="15"/>
  <c r="O597" i="15"/>
  <c r="O598" i="15"/>
  <c r="O599" i="15"/>
  <c r="O600" i="15"/>
  <c r="O601" i="15"/>
  <c r="O602" i="15"/>
  <c r="O603" i="15"/>
  <c r="O604" i="15"/>
  <c r="O605" i="15"/>
  <c r="O606" i="15"/>
  <c r="O607" i="15"/>
  <c r="O608" i="15"/>
  <c r="O609" i="15"/>
  <c r="O610" i="15"/>
  <c r="O611" i="15"/>
  <c r="O612" i="15"/>
  <c r="O613" i="15"/>
  <c r="O614" i="15"/>
  <c r="O615" i="15"/>
  <c r="O616" i="15"/>
  <c r="O617" i="15"/>
  <c r="O618" i="15"/>
  <c r="O619" i="15"/>
  <c r="O620" i="15"/>
  <c r="O621" i="15"/>
  <c r="O622" i="15"/>
  <c r="O623" i="15"/>
  <c r="O624" i="15"/>
  <c r="O625" i="15"/>
  <c r="O626" i="15"/>
  <c r="O627" i="15"/>
  <c r="O628" i="15"/>
  <c r="O629" i="15"/>
  <c r="O630" i="15"/>
  <c r="O631" i="15"/>
  <c r="O632" i="15"/>
  <c r="O633" i="15"/>
  <c r="O634" i="15"/>
  <c r="O635" i="15"/>
  <c r="O636" i="15"/>
  <c r="O637" i="15"/>
  <c r="O638" i="15"/>
  <c r="O639" i="15"/>
  <c r="O640" i="15"/>
  <c r="O641" i="15"/>
  <c r="O642" i="15"/>
  <c r="O643" i="15"/>
  <c r="O644" i="15"/>
  <c r="O645" i="15"/>
  <c r="O646" i="15"/>
  <c r="O647" i="15"/>
  <c r="O648" i="15"/>
  <c r="O649" i="15"/>
  <c r="O650" i="15"/>
  <c r="O651" i="15"/>
  <c r="O652" i="15"/>
  <c r="O653" i="15"/>
  <c r="O654" i="15"/>
  <c r="O655" i="15"/>
  <c r="O656" i="15"/>
  <c r="O657" i="15"/>
  <c r="O658" i="15"/>
  <c r="O659" i="15"/>
  <c r="O660" i="15"/>
  <c r="O661" i="15"/>
  <c r="O662" i="15"/>
  <c r="O663" i="15"/>
  <c r="O664" i="15"/>
  <c r="O665" i="15"/>
  <c r="O666" i="15"/>
  <c r="O667" i="15"/>
  <c r="O668" i="15"/>
  <c r="O669" i="15"/>
  <c r="O670" i="15"/>
  <c r="O671" i="15"/>
  <c r="O672" i="15"/>
  <c r="O673" i="15"/>
  <c r="O674" i="15"/>
  <c r="O675" i="15"/>
  <c r="O676" i="15"/>
  <c r="O677" i="15"/>
  <c r="O678" i="15"/>
  <c r="O679" i="15"/>
  <c r="O680" i="15"/>
  <c r="O681" i="15"/>
  <c r="O682" i="15"/>
  <c r="O683" i="15"/>
  <c r="O684" i="15"/>
  <c r="O685" i="15"/>
  <c r="O686" i="15"/>
  <c r="O687" i="15"/>
  <c r="O688" i="15"/>
  <c r="O689" i="15"/>
  <c r="O690" i="15"/>
  <c r="O691" i="15"/>
  <c r="O692" i="15"/>
  <c r="O693" i="15"/>
  <c r="O694" i="15"/>
  <c r="O695" i="15"/>
  <c r="O696" i="15"/>
  <c r="O697" i="15"/>
  <c r="O698" i="15"/>
  <c r="O699" i="15"/>
  <c r="O700" i="15"/>
  <c r="O701" i="15"/>
  <c r="O702" i="15"/>
  <c r="O703" i="15"/>
  <c r="O704" i="15"/>
  <c r="O705" i="15"/>
  <c r="O706" i="15"/>
  <c r="O707" i="15"/>
  <c r="O708" i="15"/>
  <c r="O709" i="15"/>
  <c r="O710" i="15"/>
  <c r="O711" i="15"/>
  <c r="O712" i="15"/>
  <c r="O713" i="15"/>
  <c r="O714" i="15"/>
  <c r="O715" i="15"/>
  <c r="O716" i="15"/>
  <c r="O717" i="15"/>
  <c r="O718" i="15"/>
  <c r="O719" i="15"/>
  <c r="O720" i="15"/>
  <c r="O721" i="15"/>
  <c r="O722" i="15"/>
  <c r="O723" i="15"/>
  <c r="O724" i="15"/>
  <c r="O725" i="15"/>
  <c r="O726" i="15"/>
  <c r="O727" i="15"/>
  <c r="O728" i="15"/>
  <c r="O729" i="15"/>
  <c r="O730" i="15"/>
  <c r="O731" i="15"/>
  <c r="O732" i="15"/>
  <c r="O733" i="15"/>
  <c r="O734" i="15"/>
  <c r="O735" i="15"/>
  <c r="O736" i="15"/>
  <c r="O737" i="15"/>
  <c r="O738" i="15"/>
  <c r="O739" i="15"/>
  <c r="O740" i="15"/>
  <c r="O741" i="15"/>
  <c r="O742" i="15"/>
  <c r="O743" i="15"/>
  <c r="O744" i="15"/>
  <c r="O745" i="15"/>
  <c r="O746" i="15"/>
  <c r="O747" i="15"/>
  <c r="O748" i="15"/>
  <c r="O749" i="15"/>
  <c r="O750" i="15"/>
  <c r="O751" i="15"/>
  <c r="O752" i="15"/>
  <c r="O753" i="15"/>
  <c r="O754" i="15"/>
  <c r="O755" i="15"/>
  <c r="O756" i="15"/>
  <c r="O757" i="15"/>
  <c r="O758" i="15"/>
  <c r="O759" i="15"/>
  <c r="O760" i="15"/>
  <c r="O761" i="15"/>
  <c r="O762" i="15"/>
  <c r="O763" i="15"/>
  <c r="O764" i="15"/>
  <c r="O765" i="15"/>
  <c r="O766" i="15"/>
  <c r="O767" i="15"/>
  <c r="O768" i="15"/>
  <c r="O769" i="15"/>
  <c r="O770" i="15"/>
  <c r="O771" i="15"/>
  <c r="O772" i="15"/>
  <c r="O773" i="15"/>
  <c r="O774" i="15"/>
  <c r="O775" i="15"/>
  <c r="O776" i="15"/>
  <c r="O777" i="15"/>
  <c r="O778" i="15"/>
  <c r="O779" i="15"/>
  <c r="O780" i="15"/>
  <c r="O781" i="15"/>
  <c r="O782" i="15"/>
  <c r="O783" i="15"/>
  <c r="O784" i="15"/>
  <c r="O785" i="15"/>
  <c r="O786" i="15"/>
  <c r="O787" i="15"/>
  <c r="O788" i="15"/>
  <c r="O789" i="15"/>
  <c r="O790" i="15"/>
  <c r="N3" i="15"/>
  <c r="N4" i="15"/>
  <c r="N5" i="15"/>
  <c r="N6" i="15"/>
  <c r="N7" i="15"/>
  <c r="N8" i="15"/>
  <c r="N9" i="15"/>
  <c r="N10" i="15"/>
  <c r="N11" i="15"/>
  <c r="N12" i="15"/>
  <c r="N13" i="15"/>
  <c r="N14" i="15"/>
  <c r="N15" i="15"/>
  <c r="N16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30" i="15"/>
  <c r="N31" i="15"/>
  <c r="N32" i="15"/>
  <c r="N33" i="15"/>
  <c r="N34" i="15"/>
  <c r="N35" i="15"/>
  <c r="N36" i="15"/>
  <c r="N37" i="15"/>
  <c r="N38" i="15"/>
  <c r="N39" i="15"/>
  <c r="N40" i="15"/>
  <c r="N41" i="15"/>
  <c r="N42" i="15"/>
  <c r="N43" i="15"/>
  <c r="N44" i="15"/>
  <c r="N45" i="15"/>
  <c r="N46" i="15"/>
  <c r="N47" i="15"/>
  <c r="N48" i="15"/>
  <c r="N49" i="15"/>
  <c r="N50" i="15"/>
  <c r="N51" i="15"/>
  <c r="N52" i="15"/>
  <c r="N53" i="15"/>
  <c r="N54" i="15"/>
  <c r="N55" i="15"/>
  <c r="N56" i="15"/>
  <c r="N57" i="15"/>
  <c r="N58" i="15"/>
  <c r="N59" i="15"/>
  <c r="N60" i="15"/>
  <c r="N61" i="15"/>
  <c r="N62" i="15"/>
  <c r="N63" i="15"/>
  <c r="N64" i="15"/>
  <c r="N65" i="15"/>
  <c r="N66" i="15"/>
  <c r="N67" i="15"/>
  <c r="N68" i="15"/>
  <c r="N69" i="15"/>
  <c r="N70" i="15"/>
  <c r="N71" i="15"/>
  <c r="N72" i="15"/>
  <c r="N73" i="15"/>
  <c r="N74" i="15"/>
  <c r="N75" i="15"/>
  <c r="N76" i="15"/>
  <c r="N77" i="15"/>
  <c r="N78" i="15"/>
  <c r="N79" i="15"/>
  <c r="N80" i="15"/>
  <c r="N81" i="15"/>
  <c r="N82" i="15"/>
  <c r="N83" i="15"/>
  <c r="N84" i="15"/>
  <c r="N85" i="15"/>
  <c r="N86" i="15"/>
  <c r="N87" i="15"/>
  <c r="N88" i="15"/>
  <c r="N89" i="15"/>
  <c r="N90" i="15"/>
  <c r="N91" i="15"/>
  <c r="N92" i="15"/>
  <c r="N93" i="15"/>
  <c r="N94" i="15"/>
  <c r="N95" i="15"/>
  <c r="N96" i="15"/>
  <c r="N97" i="15"/>
  <c r="N98" i="15"/>
  <c r="N99" i="15"/>
  <c r="N100" i="15"/>
  <c r="N101" i="15"/>
  <c r="N102" i="15"/>
  <c r="N103" i="15"/>
  <c r="N104" i="15"/>
  <c r="N105" i="15"/>
  <c r="N106" i="15"/>
  <c r="N107" i="15"/>
  <c r="N108" i="15"/>
  <c r="N109" i="15"/>
  <c r="N110" i="15"/>
  <c r="N111" i="15"/>
  <c r="N112" i="15"/>
  <c r="N113" i="15"/>
  <c r="N114" i="15"/>
  <c r="N115" i="15"/>
  <c r="N116" i="15"/>
  <c r="N117" i="15"/>
  <c r="N118" i="15"/>
  <c r="N119" i="15"/>
  <c r="N120" i="15"/>
  <c r="N121" i="15"/>
  <c r="N122" i="15"/>
  <c r="N123" i="15"/>
  <c r="N124" i="15"/>
  <c r="N125" i="15"/>
  <c r="N126" i="15"/>
  <c r="N127" i="15"/>
  <c r="N128" i="15"/>
  <c r="N129" i="15"/>
  <c r="N130" i="15"/>
  <c r="N131" i="15"/>
  <c r="N132" i="15"/>
  <c r="N133" i="15"/>
  <c r="N134" i="15"/>
  <c r="N135" i="15"/>
  <c r="N136" i="15"/>
  <c r="N137" i="15"/>
  <c r="N138" i="15"/>
  <c r="N139" i="15"/>
  <c r="N140" i="15"/>
  <c r="N141" i="15"/>
  <c r="N142" i="15"/>
  <c r="N143" i="15"/>
  <c r="N144" i="15"/>
  <c r="N145" i="15"/>
  <c r="N146" i="15"/>
  <c r="N147" i="15"/>
  <c r="N148" i="15"/>
  <c r="N149" i="15"/>
  <c r="N150" i="15"/>
  <c r="N151" i="15"/>
  <c r="N152" i="15"/>
  <c r="N153" i="15"/>
  <c r="N154" i="15"/>
  <c r="N155" i="15"/>
  <c r="N156" i="15"/>
  <c r="N157" i="15"/>
  <c r="N158" i="15"/>
  <c r="N159" i="15"/>
  <c r="N160" i="15"/>
  <c r="N161" i="15"/>
  <c r="N162" i="15"/>
  <c r="N163" i="15"/>
  <c r="N164" i="15"/>
  <c r="N165" i="15"/>
  <c r="N166" i="15"/>
  <c r="N167" i="15"/>
  <c r="N168" i="15"/>
  <c r="N169" i="15"/>
  <c r="N170" i="15"/>
  <c r="N171" i="15"/>
  <c r="N172" i="15"/>
  <c r="N173" i="15"/>
  <c r="N174" i="15"/>
  <c r="N175" i="15"/>
  <c r="N176" i="15"/>
  <c r="N177" i="15"/>
  <c r="N178" i="15"/>
  <c r="N179" i="15"/>
  <c r="N180" i="15"/>
  <c r="N181" i="15"/>
  <c r="N182" i="15"/>
  <c r="N183" i="15"/>
  <c r="N184" i="15"/>
  <c r="N185" i="15"/>
  <c r="N186" i="15"/>
  <c r="N187" i="15"/>
  <c r="N188" i="15"/>
  <c r="N189" i="15"/>
  <c r="N190" i="15"/>
  <c r="N191" i="15"/>
  <c r="N192" i="15"/>
  <c r="N193" i="15"/>
  <c r="N194" i="15"/>
  <c r="N195" i="15"/>
  <c r="N196" i="15"/>
  <c r="N197" i="15"/>
  <c r="N198" i="15"/>
  <c r="N199" i="15"/>
  <c r="N200" i="15"/>
  <c r="N201" i="15"/>
  <c r="N202" i="15"/>
  <c r="N203" i="15"/>
  <c r="N204" i="15"/>
  <c r="N205" i="15"/>
  <c r="N206" i="15"/>
  <c r="N207" i="15"/>
  <c r="N208" i="15"/>
  <c r="N209" i="15"/>
  <c r="N210" i="15"/>
  <c r="N211" i="15"/>
  <c r="N212" i="15"/>
  <c r="N213" i="15"/>
  <c r="N214" i="15"/>
  <c r="N215" i="15"/>
  <c r="N216" i="15"/>
  <c r="N217" i="15"/>
  <c r="N218" i="15"/>
  <c r="N219" i="15"/>
  <c r="N220" i="15"/>
  <c r="N221" i="15"/>
  <c r="N222" i="15"/>
  <c r="N223" i="15"/>
  <c r="N224" i="15"/>
  <c r="N225" i="15"/>
  <c r="N226" i="15"/>
  <c r="N227" i="15"/>
  <c r="N228" i="15"/>
  <c r="N229" i="15"/>
  <c r="N230" i="15"/>
  <c r="N231" i="15"/>
  <c r="N232" i="15"/>
  <c r="N233" i="15"/>
  <c r="N234" i="15"/>
  <c r="N235" i="15"/>
  <c r="N236" i="15"/>
  <c r="N237" i="15"/>
  <c r="N238" i="15"/>
  <c r="N239" i="15"/>
  <c r="N240" i="15"/>
  <c r="N241" i="15"/>
  <c r="N242" i="15"/>
  <c r="N243" i="15"/>
  <c r="N244" i="15"/>
  <c r="N245" i="15"/>
  <c r="N246" i="15"/>
  <c r="N247" i="15"/>
  <c r="N248" i="15"/>
  <c r="N249" i="15"/>
  <c r="N250" i="15"/>
  <c r="N251" i="15"/>
  <c r="N252" i="15"/>
  <c r="N253" i="15"/>
  <c r="N254" i="15"/>
  <c r="N255" i="15"/>
  <c r="N256" i="15"/>
  <c r="N257" i="15"/>
  <c r="N258" i="15"/>
  <c r="N259" i="15"/>
  <c r="N260" i="15"/>
  <c r="N261" i="15"/>
  <c r="N262" i="15"/>
  <c r="N263" i="15"/>
  <c r="N264" i="15"/>
  <c r="N265" i="15"/>
  <c r="N266" i="15"/>
  <c r="N267" i="15"/>
  <c r="N268" i="15"/>
  <c r="N269" i="15"/>
  <c r="N270" i="15"/>
  <c r="N271" i="15"/>
  <c r="N272" i="15"/>
  <c r="N273" i="15"/>
  <c r="N274" i="15"/>
  <c r="N275" i="15"/>
  <c r="N276" i="15"/>
  <c r="N277" i="15"/>
  <c r="N278" i="15"/>
  <c r="N279" i="15"/>
  <c r="N280" i="15"/>
  <c r="N281" i="15"/>
  <c r="N282" i="15"/>
  <c r="N283" i="15"/>
  <c r="N284" i="15"/>
  <c r="N285" i="15"/>
  <c r="N286" i="15"/>
  <c r="N287" i="15"/>
  <c r="N288" i="15"/>
  <c r="N289" i="15"/>
  <c r="N290" i="15"/>
  <c r="N291" i="15"/>
  <c r="N292" i="15"/>
  <c r="N293" i="15"/>
  <c r="N294" i="15"/>
  <c r="N295" i="15"/>
  <c r="N296" i="15"/>
  <c r="N297" i="15"/>
  <c r="N298" i="15"/>
  <c r="N299" i="15"/>
  <c r="N300" i="15"/>
  <c r="N301" i="15"/>
  <c r="N302" i="15"/>
  <c r="N303" i="15"/>
  <c r="N304" i="15"/>
  <c r="N305" i="15"/>
  <c r="N306" i="15"/>
  <c r="N307" i="15"/>
  <c r="N308" i="15"/>
  <c r="N309" i="15"/>
  <c r="N310" i="15"/>
  <c r="N311" i="15"/>
  <c r="N312" i="15"/>
  <c r="N313" i="15"/>
  <c r="N314" i="15"/>
  <c r="N315" i="15"/>
  <c r="N316" i="15"/>
  <c r="N317" i="15"/>
  <c r="N318" i="15"/>
  <c r="N319" i="15"/>
  <c r="N320" i="15"/>
  <c r="N321" i="15"/>
  <c r="N322" i="15"/>
  <c r="N323" i="15"/>
  <c r="N324" i="15"/>
  <c r="N325" i="15"/>
  <c r="N326" i="15"/>
  <c r="N327" i="15"/>
  <c r="N328" i="15"/>
  <c r="N329" i="15"/>
  <c r="N330" i="15"/>
  <c r="N331" i="15"/>
  <c r="N332" i="15"/>
  <c r="N333" i="15"/>
  <c r="N334" i="15"/>
  <c r="N335" i="15"/>
  <c r="N336" i="15"/>
  <c r="N337" i="15"/>
  <c r="N338" i="15"/>
  <c r="N339" i="15"/>
  <c r="N340" i="15"/>
  <c r="N341" i="15"/>
  <c r="N342" i="15"/>
  <c r="N343" i="15"/>
  <c r="N344" i="15"/>
  <c r="N345" i="15"/>
  <c r="N346" i="15"/>
  <c r="N347" i="15"/>
  <c r="N348" i="15"/>
  <c r="N349" i="15"/>
  <c r="N350" i="15"/>
  <c r="N351" i="15"/>
  <c r="N352" i="15"/>
  <c r="N353" i="15"/>
  <c r="N354" i="15"/>
  <c r="N355" i="15"/>
  <c r="N356" i="15"/>
  <c r="N357" i="15"/>
  <c r="N358" i="15"/>
  <c r="N359" i="15"/>
  <c r="N360" i="15"/>
  <c r="N361" i="15"/>
  <c r="N362" i="15"/>
  <c r="N363" i="15"/>
  <c r="N364" i="15"/>
  <c r="N365" i="15"/>
  <c r="N366" i="15"/>
  <c r="N367" i="15"/>
  <c r="N368" i="15"/>
  <c r="N369" i="15"/>
  <c r="N370" i="15"/>
  <c r="N371" i="15"/>
  <c r="N372" i="15"/>
  <c r="N373" i="15"/>
  <c r="N374" i="15"/>
  <c r="N375" i="15"/>
  <c r="N376" i="15"/>
  <c r="N377" i="15"/>
  <c r="N378" i="15"/>
  <c r="N379" i="15"/>
  <c r="N380" i="15"/>
  <c r="N381" i="15"/>
  <c r="N382" i="15"/>
  <c r="N383" i="15"/>
  <c r="N384" i="15"/>
  <c r="N385" i="15"/>
  <c r="N386" i="15"/>
  <c r="N387" i="15"/>
  <c r="N388" i="15"/>
  <c r="N389" i="15"/>
  <c r="N390" i="15"/>
  <c r="N391" i="15"/>
  <c r="N392" i="15"/>
  <c r="N393" i="15"/>
  <c r="N394" i="15"/>
  <c r="N395" i="15"/>
  <c r="N396" i="15"/>
  <c r="N397" i="15"/>
  <c r="N398" i="15"/>
  <c r="N399" i="15"/>
  <c r="N400" i="15"/>
  <c r="N401" i="15"/>
  <c r="N402" i="15"/>
  <c r="N403" i="15"/>
  <c r="N404" i="15"/>
  <c r="N405" i="15"/>
  <c r="N406" i="15"/>
  <c r="N407" i="15"/>
  <c r="N408" i="15"/>
  <c r="N409" i="15"/>
  <c r="N410" i="15"/>
  <c r="N411" i="15"/>
  <c r="N412" i="15"/>
  <c r="N413" i="15"/>
  <c r="N414" i="15"/>
  <c r="N415" i="15"/>
  <c r="N416" i="15"/>
  <c r="N417" i="15"/>
  <c r="N418" i="15"/>
  <c r="N419" i="15"/>
  <c r="N420" i="15"/>
  <c r="N421" i="15"/>
  <c r="N422" i="15"/>
  <c r="N423" i="15"/>
  <c r="N424" i="15"/>
  <c r="N425" i="15"/>
  <c r="N426" i="15"/>
  <c r="N427" i="15"/>
  <c r="N428" i="15"/>
  <c r="N429" i="15"/>
  <c r="N430" i="15"/>
  <c r="N431" i="15"/>
  <c r="N432" i="15"/>
  <c r="N433" i="15"/>
  <c r="N434" i="15"/>
  <c r="N435" i="15"/>
  <c r="N436" i="15"/>
  <c r="N437" i="15"/>
  <c r="N438" i="15"/>
  <c r="N439" i="15"/>
  <c r="N440" i="15"/>
  <c r="N441" i="15"/>
  <c r="N442" i="15"/>
  <c r="N443" i="15"/>
  <c r="N444" i="15"/>
  <c r="N445" i="15"/>
  <c r="N446" i="15"/>
  <c r="N447" i="15"/>
  <c r="N448" i="15"/>
  <c r="N449" i="15"/>
  <c r="N450" i="15"/>
  <c r="N451" i="15"/>
  <c r="N452" i="15"/>
  <c r="N453" i="15"/>
  <c r="N454" i="15"/>
  <c r="N455" i="15"/>
  <c r="N456" i="15"/>
  <c r="N457" i="15"/>
  <c r="N458" i="15"/>
  <c r="N459" i="15"/>
  <c r="N460" i="15"/>
  <c r="N461" i="15"/>
  <c r="N462" i="15"/>
  <c r="N463" i="15"/>
  <c r="N464" i="15"/>
  <c r="N465" i="15"/>
  <c r="N466" i="15"/>
  <c r="N467" i="15"/>
  <c r="N468" i="15"/>
  <c r="N469" i="15"/>
  <c r="N470" i="15"/>
  <c r="N471" i="15"/>
  <c r="N472" i="15"/>
  <c r="N473" i="15"/>
  <c r="N474" i="15"/>
  <c r="N475" i="15"/>
  <c r="N476" i="15"/>
  <c r="N477" i="15"/>
  <c r="N478" i="15"/>
  <c r="N479" i="15"/>
  <c r="N480" i="15"/>
  <c r="N481" i="15"/>
  <c r="N482" i="15"/>
  <c r="N483" i="15"/>
  <c r="N484" i="15"/>
  <c r="N485" i="15"/>
  <c r="N486" i="15"/>
  <c r="N487" i="15"/>
  <c r="N488" i="15"/>
  <c r="N489" i="15"/>
  <c r="N490" i="15"/>
  <c r="N491" i="15"/>
  <c r="N492" i="15"/>
  <c r="N493" i="15"/>
  <c r="N494" i="15"/>
  <c r="N495" i="15"/>
  <c r="N496" i="15"/>
  <c r="N497" i="15"/>
  <c r="N498" i="15"/>
  <c r="N499" i="15"/>
  <c r="N500" i="15"/>
  <c r="N501" i="15"/>
  <c r="N502" i="15"/>
  <c r="N503" i="15"/>
  <c r="N504" i="15"/>
  <c r="N505" i="15"/>
  <c r="N506" i="15"/>
  <c r="N507" i="15"/>
  <c r="N508" i="15"/>
  <c r="N509" i="15"/>
  <c r="N510" i="15"/>
  <c r="N511" i="15"/>
  <c r="N512" i="15"/>
  <c r="N513" i="15"/>
  <c r="N514" i="15"/>
  <c r="N515" i="15"/>
  <c r="N516" i="15"/>
  <c r="N517" i="15"/>
  <c r="N518" i="15"/>
  <c r="N519" i="15"/>
  <c r="N520" i="15"/>
  <c r="N521" i="15"/>
  <c r="N522" i="15"/>
  <c r="N523" i="15"/>
  <c r="N524" i="15"/>
  <c r="N525" i="15"/>
  <c r="N526" i="15"/>
  <c r="N527" i="15"/>
  <c r="N528" i="15"/>
  <c r="N529" i="15"/>
  <c r="N530" i="15"/>
  <c r="N531" i="15"/>
  <c r="N532" i="15"/>
  <c r="N533" i="15"/>
  <c r="N534" i="15"/>
  <c r="N535" i="15"/>
  <c r="N536" i="15"/>
  <c r="N537" i="15"/>
  <c r="N538" i="15"/>
  <c r="N539" i="15"/>
  <c r="N540" i="15"/>
  <c r="N541" i="15"/>
  <c r="N542" i="15"/>
  <c r="N543" i="15"/>
  <c r="N544" i="15"/>
  <c r="N545" i="15"/>
  <c r="N546" i="15"/>
  <c r="N547" i="15"/>
  <c r="N548" i="15"/>
  <c r="N549" i="15"/>
  <c r="N550" i="15"/>
  <c r="N551" i="15"/>
  <c r="N552" i="15"/>
  <c r="N553" i="15"/>
  <c r="N554" i="15"/>
  <c r="N555" i="15"/>
  <c r="N556" i="15"/>
  <c r="N557" i="15"/>
  <c r="N558" i="15"/>
  <c r="N559" i="15"/>
  <c r="N560" i="15"/>
  <c r="N561" i="15"/>
  <c r="N562" i="15"/>
  <c r="N563" i="15"/>
  <c r="N564" i="15"/>
  <c r="N565" i="15"/>
  <c r="N566" i="15"/>
  <c r="N567" i="15"/>
  <c r="N568" i="15"/>
  <c r="N569" i="15"/>
  <c r="N570" i="15"/>
  <c r="N571" i="15"/>
  <c r="N572" i="15"/>
  <c r="N573" i="15"/>
  <c r="N574" i="15"/>
  <c r="N575" i="15"/>
  <c r="N576" i="15"/>
  <c r="N577" i="15"/>
  <c r="N578" i="15"/>
  <c r="N579" i="15"/>
  <c r="N580" i="15"/>
  <c r="N581" i="15"/>
  <c r="N582" i="15"/>
  <c r="N583" i="15"/>
  <c r="N584" i="15"/>
  <c r="N585" i="15"/>
  <c r="N586" i="15"/>
  <c r="N587" i="15"/>
  <c r="N588" i="15"/>
  <c r="N589" i="15"/>
  <c r="N590" i="15"/>
  <c r="N591" i="15"/>
  <c r="N592" i="15"/>
  <c r="N593" i="15"/>
  <c r="N594" i="15"/>
  <c r="N595" i="15"/>
  <c r="N596" i="15"/>
  <c r="N597" i="15"/>
  <c r="N598" i="15"/>
  <c r="N599" i="15"/>
  <c r="N600" i="15"/>
  <c r="N601" i="15"/>
  <c r="N602" i="15"/>
  <c r="N603" i="15"/>
  <c r="N604" i="15"/>
  <c r="N605" i="15"/>
  <c r="N606" i="15"/>
  <c r="N607" i="15"/>
  <c r="N608" i="15"/>
  <c r="N609" i="15"/>
  <c r="N610" i="15"/>
  <c r="N611" i="15"/>
  <c r="N612" i="15"/>
  <c r="N613" i="15"/>
  <c r="N614" i="15"/>
  <c r="N615" i="15"/>
  <c r="N616" i="15"/>
  <c r="N617" i="15"/>
  <c r="N618" i="15"/>
  <c r="N619" i="15"/>
  <c r="N620" i="15"/>
  <c r="N621" i="15"/>
  <c r="N622" i="15"/>
  <c r="N623" i="15"/>
  <c r="N624" i="15"/>
  <c r="N625" i="15"/>
  <c r="N626" i="15"/>
  <c r="N627" i="15"/>
  <c r="N628" i="15"/>
  <c r="N629" i="15"/>
  <c r="N630" i="15"/>
  <c r="N631" i="15"/>
  <c r="N632" i="15"/>
  <c r="N633" i="15"/>
  <c r="N634" i="15"/>
  <c r="N635" i="15"/>
  <c r="N636" i="15"/>
  <c r="N637" i="15"/>
  <c r="N638" i="15"/>
  <c r="N639" i="15"/>
  <c r="N640" i="15"/>
  <c r="N641" i="15"/>
  <c r="N642" i="15"/>
  <c r="N643" i="15"/>
  <c r="N644" i="15"/>
  <c r="N645" i="15"/>
  <c r="N646" i="15"/>
  <c r="N647" i="15"/>
  <c r="N648" i="15"/>
  <c r="N649" i="15"/>
  <c r="N650" i="15"/>
  <c r="N651" i="15"/>
  <c r="N652" i="15"/>
  <c r="N653" i="15"/>
  <c r="N654" i="15"/>
  <c r="N655" i="15"/>
  <c r="N656" i="15"/>
  <c r="N657" i="15"/>
  <c r="N658" i="15"/>
  <c r="N659" i="15"/>
  <c r="N660" i="15"/>
  <c r="N661" i="15"/>
  <c r="N662" i="15"/>
  <c r="N663" i="15"/>
  <c r="N664" i="15"/>
  <c r="N665" i="15"/>
  <c r="N666" i="15"/>
  <c r="N667" i="15"/>
  <c r="N668" i="15"/>
  <c r="N669" i="15"/>
  <c r="N670" i="15"/>
  <c r="N671" i="15"/>
  <c r="N672" i="15"/>
  <c r="N673" i="15"/>
  <c r="N674" i="15"/>
  <c r="N675" i="15"/>
  <c r="N676" i="15"/>
  <c r="N677" i="15"/>
  <c r="N678" i="15"/>
  <c r="N679" i="15"/>
  <c r="N680" i="15"/>
  <c r="N681" i="15"/>
  <c r="N682" i="15"/>
  <c r="N683" i="15"/>
  <c r="N684" i="15"/>
  <c r="N685" i="15"/>
  <c r="N686" i="15"/>
  <c r="N687" i="15"/>
  <c r="N688" i="15"/>
  <c r="N689" i="15"/>
  <c r="N690" i="15"/>
  <c r="N691" i="15"/>
  <c r="N692" i="15"/>
  <c r="N693" i="15"/>
  <c r="N694" i="15"/>
  <c r="N695" i="15"/>
  <c r="N696" i="15"/>
  <c r="N697" i="15"/>
  <c r="N698" i="15"/>
  <c r="N699" i="15"/>
  <c r="N700" i="15"/>
  <c r="N701" i="15"/>
  <c r="N702" i="15"/>
  <c r="N703" i="15"/>
  <c r="N704" i="15"/>
  <c r="N705" i="15"/>
  <c r="N706" i="15"/>
  <c r="N707" i="15"/>
  <c r="N708" i="15"/>
  <c r="N709" i="15"/>
  <c r="N710" i="15"/>
  <c r="N711" i="15"/>
  <c r="N712" i="15"/>
  <c r="N713" i="15"/>
  <c r="N714" i="15"/>
  <c r="N715" i="15"/>
  <c r="N716" i="15"/>
  <c r="N717" i="15"/>
  <c r="N718" i="15"/>
  <c r="N719" i="15"/>
  <c r="N720" i="15"/>
  <c r="N721" i="15"/>
  <c r="N722" i="15"/>
  <c r="N723" i="15"/>
  <c r="N724" i="15"/>
  <c r="N725" i="15"/>
  <c r="N726" i="15"/>
  <c r="N727" i="15"/>
  <c r="N728" i="15"/>
  <c r="N729" i="15"/>
  <c r="N730" i="15"/>
  <c r="N731" i="15"/>
  <c r="N732" i="15"/>
  <c r="N733" i="15"/>
  <c r="N734" i="15"/>
  <c r="N735" i="15"/>
  <c r="N736" i="15"/>
  <c r="N737" i="15"/>
  <c r="N738" i="15"/>
  <c r="N739" i="15"/>
  <c r="N740" i="15"/>
  <c r="N741" i="15"/>
  <c r="N742" i="15"/>
  <c r="N743" i="15"/>
  <c r="N744" i="15"/>
  <c r="N745" i="15"/>
  <c r="N746" i="15"/>
  <c r="N747" i="15"/>
  <c r="N748" i="15"/>
  <c r="N749" i="15"/>
  <c r="N750" i="15"/>
  <c r="N751" i="15"/>
  <c r="N752" i="15"/>
  <c r="N753" i="15"/>
  <c r="N754" i="15"/>
  <c r="N755" i="15"/>
  <c r="N756" i="15"/>
  <c r="N757" i="15"/>
  <c r="N758" i="15"/>
  <c r="N759" i="15"/>
  <c r="N760" i="15"/>
  <c r="N761" i="15"/>
  <c r="N762" i="15"/>
  <c r="N763" i="15"/>
  <c r="N764" i="15"/>
  <c r="N765" i="15"/>
  <c r="N766" i="15"/>
  <c r="N767" i="15"/>
  <c r="N768" i="15"/>
  <c r="N769" i="15"/>
  <c r="N770" i="15"/>
  <c r="N771" i="15"/>
  <c r="N772" i="15"/>
  <c r="N773" i="15"/>
  <c r="N774" i="15"/>
  <c r="N775" i="15"/>
  <c r="N776" i="15"/>
  <c r="N777" i="15"/>
  <c r="N778" i="15"/>
  <c r="N779" i="15"/>
  <c r="N780" i="15"/>
  <c r="N781" i="15"/>
  <c r="N782" i="15"/>
  <c r="N783" i="15"/>
  <c r="N784" i="15"/>
  <c r="N785" i="15"/>
  <c r="N786" i="15"/>
  <c r="N787" i="15"/>
  <c r="N788" i="15"/>
  <c r="N789" i="15"/>
  <c r="N790" i="15"/>
  <c r="N2" i="15"/>
  <c r="O2" i="14"/>
  <c r="N2" i="14"/>
  <c r="Q3" i="14"/>
  <c r="Q4" i="14"/>
  <c r="Q5" i="14"/>
  <c r="Q6" i="14"/>
  <c r="Q7" i="14"/>
  <c r="Q8" i="14"/>
  <c r="Q9" i="14"/>
  <c r="Q10" i="14"/>
  <c r="Q11" i="14"/>
  <c r="Q12" i="14"/>
  <c r="Q13" i="14"/>
  <c r="Q14" i="14"/>
  <c r="Q15" i="14"/>
  <c r="Q16" i="14"/>
  <c r="Q17" i="14"/>
  <c r="Q18" i="14"/>
  <c r="Q19" i="14"/>
  <c r="Q20" i="14"/>
  <c r="Q21" i="14"/>
  <c r="Q22" i="14"/>
  <c r="Q23" i="14"/>
  <c r="Q24" i="14"/>
  <c r="Q25" i="14"/>
  <c r="Q26" i="14"/>
  <c r="Q27" i="14"/>
  <c r="Q28" i="14"/>
  <c r="Q29" i="14"/>
  <c r="Q30" i="14"/>
  <c r="Q31" i="14"/>
  <c r="Q32" i="14"/>
  <c r="Q33" i="14"/>
  <c r="Q34" i="14"/>
  <c r="Q35" i="14"/>
  <c r="Q36" i="14"/>
  <c r="Q37" i="14"/>
  <c r="Q38" i="14"/>
  <c r="Q39" i="14"/>
  <c r="Q40" i="14"/>
  <c r="Q41" i="14"/>
  <c r="Q42" i="14"/>
  <c r="Q43" i="14"/>
  <c r="Q44" i="14"/>
  <c r="Q45" i="14"/>
  <c r="Q46" i="14"/>
  <c r="Q47" i="14"/>
  <c r="Q48" i="14"/>
  <c r="Q49" i="14"/>
  <c r="Q50" i="14"/>
  <c r="Q51" i="14"/>
  <c r="Q52" i="14"/>
  <c r="Q53" i="14"/>
  <c r="Q54" i="14"/>
  <c r="Q55" i="14"/>
  <c r="Q56" i="14"/>
  <c r="Q57" i="14"/>
  <c r="Q58" i="14"/>
  <c r="Q59" i="14"/>
  <c r="Q60" i="14"/>
  <c r="Q61" i="14"/>
  <c r="Q62" i="14"/>
  <c r="Q63" i="14"/>
  <c r="Q64" i="14"/>
  <c r="Q65" i="14"/>
  <c r="Q66" i="14"/>
  <c r="Q67" i="14"/>
  <c r="Q68" i="14"/>
  <c r="Q69" i="14"/>
  <c r="Q70" i="14"/>
  <c r="Q71" i="14"/>
  <c r="Q72" i="14"/>
  <c r="Q73" i="14"/>
  <c r="Q74" i="14"/>
  <c r="Q75" i="14"/>
  <c r="Q76" i="14"/>
  <c r="Q77" i="14"/>
  <c r="Q78" i="14"/>
  <c r="Q79" i="14"/>
  <c r="Q80" i="14"/>
  <c r="Q81" i="14"/>
  <c r="Q82" i="14"/>
  <c r="Q83" i="14"/>
  <c r="Q84" i="14"/>
  <c r="Q85" i="14"/>
  <c r="Q86" i="14"/>
  <c r="Q87" i="14"/>
  <c r="Q88" i="14"/>
  <c r="Q89" i="14"/>
  <c r="Q90" i="14"/>
  <c r="Q91" i="14"/>
  <c r="Q92" i="14"/>
  <c r="Q93" i="14"/>
  <c r="Q94" i="14"/>
  <c r="Q95" i="14"/>
  <c r="Q96" i="14"/>
  <c r="Q97" i="14"/>
  <c r="Q98" i="14"/>
  <c r="Q99" i="14"/>
  <c r="Q100" i="14"/>
  <c r="Q101" i="14"/>
  <c r="Q102" i="14"/>
  <c r="Q103" i="14"/>
  <c r="Q104" i="14"/>
  <c r="Q105" i="14"/>
  <c r="Q106" i="14"/>
  <c r="Q107" i="14"/>
  <c r="Q108" i="14"/>
  <c r="Q109" i="14"/>
  <c r="Q110" i="14"/>
  <c r="Q111" i="14"/>
  <c r="Q112" i="14"/>
  <c r="Q113" i="14"/>
  <c r="Q114" i="14"/>
  <c r="Q115" i="14"/>
  <c r="Q116" i="14"/>
  <c r="Q117" i="14"/>
  <c r="Q118" i="14"/>
  <c r="Q119" i="14"/>
  <c r="Q120" i="14"/>
  <c r="Q121" i="14"/>
  <c r="Q122" i="14"/>
  <c r="Q123" i="14"/>
  <c r="Q124" i="14"/>
  <c r="Q125" i="14"/>
  <c r="Q126" i="14"/>
  <c r="Q127" i="14"/>
  <c r="Q128" i="14"/>
  <c r="Q129" i="14"/>
  <c r="Q130" i="14"/>
  <c r="Q131" i="14"/>
  <c r="Q132" i="14"/>
  <c r="Q133" i="14"/>
  <c r="Q134" i="14"/>
  <c r="Q135" i="14"/>
  <c r="Q136" i="14"/>
  <c r="Q137" i="14"/>
  <c r="Q138" i="14"/>
  <c r="Q139" i="14"/>
  <c r="Q140" i="14"/>
  <c r="Q141" i="14"/>
  <c r="Q142" i="14"/>
  <c r="Q143" i="14"/>
  <c r="Q144" i="14"/>
  <c r="Q145" i="14"/>
  <c r="Q146" i="14"/>
  <c r="Q147" i="14"/>
  <c r="Q148" i="14"/>
  <c r="Q149" i="14"/>
  <c r="Q150" i="14"/>
  <c r="Q151" i="14"/>
  <c r="Q152" i="14"/>
  <c r="Q153" i="14"/>
  <c r="Q154" i="14"/>
  <c r="Q155" i="14"/>
  <c r="Q156" i="14"/>
  <c r="Q157" i="14"/>
  <c r="Q158" i="14"/>
  <c r="Q159" i="14"/>
  <c r="Q160" i="14"/>
  <c r="Q161" i="14"/>
  <c r="Q162" i="14"/>
  <c r="Q163" i="14"/>
  <c r="Q164" i="14"/>
  <c r="Q165" i="14"/>
  <c r="Q166" i="14"/>
  <c r="Q167" i="14"/>
  <c r="Q168" i="14"/>
  <c r="Q169" i="14"/>
  <c r="Q170" i="14"/>
  <c r="Q171" i="14"/>
  <c r="Q172" i="14"/>
  <c r="Q173" i="14"/>
  <c r="Q174" i="14"/>
  <c r="Q175" i="14"/>
  <c r="Q176" i="14"/>
  <c r="Q177" i="14"/>
  <c r="Q178" i="14"/>
  <c r="Q179" i="14"/>
  <c r="Q180" i="14"/>
  <c r="Q181" i="14"/>
  <c r="Q182" i="14"/>
  <c r="Q183" i="14"/>
  <c r="Q184" i="14"/>
  <c r="Q185" i="14"/>
  <c r="Q186" i="14"/>
  <c r="Q187" i="14"/>
  <c r="Q188" i="14"/>
  <c r="Q189" i="14"/>
  <c r="Q190" i="14"/>
  <c r="Q191" i="14"/>
  <c r="Q192" i="14"/>
  <c r="Q193" i="14"/>
  <c r="Q194" i="14"/>
  <c r="Q195" i="14"/>
  <c r="Q196" i="14"/>
  <c r="Q197" i="14"/>
  <c r="Q198" i="14"/>
  <c r="Q199" i="14"/>
  <c r="Q200" i="14"/>
  <c r="Q201" i="14"/>
  <c r="Q202" i="14"/>
  <c r="Q203" i="14"/>
  <c r="Q204" i="14"/>
  <c r="Q205" i="14"/>
  <c r="Q206" i="14"/>
  <c r="Q207" i="14"/>
  <c r="Q208" i="14"/>
  <c r="Q209" i="14"/>
  <c r="Q210" i="14"/>
  <c r="Q211" i="14"/>
  <c r="Q212" i="14"/>
  <c r="Q213" i="14"/>
  <c r="Q214" i="14"/>
  <c r="Q215" i="14"/>
  <c r="Q216" i="14"/>
  <c r="Q217" i="14"/>
  <c r="Q218" i="14"/>
  <c r="Q219" i="14"/>
  <c r="Q220" i="14"/>
  <c r="Q221" i="14"/>
  <c r="Q222" i="14"/>
  <c r="Q223" i="14"/>
  <c r="Q224" i="14"/>
  <c r="Q225" i="14"/>
  <c r="Q226" i="14"/>
  <c r="Q227" i="14"/>
  <c r="Q228" i="14"/>
  <c r="Q229" i="14"/>
  <c r="Q230" i="14"/>
  <c r="Q231" i="14"/>
  <c r="Q232" i="14"/>
  <c r="Q233" i="14"/>
  <c r="Q234" i="14"/>
  <c r="Q235" i="14"/>
  <c r="Q236" i="14"/>
  <c r="Q237" i="14"/>
  <c r="Q238" i="14"/>
  <c r="Q239" i="14"/>
  <c r="Q240" i="14"/>
  <c r="Q241" i="14"/>
  <c r="Q242" i="14"/>
  <c r="Q243" i="14"/>
  <c r="Q244" i="14"/>
  <c r="Q245" i="14"/>
  <c r="Q246" i="14"/>
  <c r="Q247" i="14"/>
  <c r="Q248" i="14"/>
  <c r="Q249" i="14"/>
  <c r="Q250" i="14"/>
  <c r="Q251" i="14"/>
  <c r="Q252" i="14"/>
  <c r="Q253" i="14"/>
  <c r="Q254" i="14"/>
  <c r="Q255" i="14"/>
  <c r="Q256" i="14"/>
  <c r="Q257" i="14"/>
  <c r="Q258" i="14"/>
  <c r="Q259" i="14"/>
  <c r="Q260" i="14"/>
  <c r="Q261" i="14"/>
  <c r="Q262" i="14"/>
  <c r="Q263" i="14"/>
  <c r="Q264" i="14"/>
  <c r="Q265" i="14"/>
  <c r="Q266" i="14"/>
  <c r="Q267" i="14"/>
  <c r="Q268" i="14"/>
  <c r="Q269" i="14"/>
  <c r="Q270" i="14"/>
  <c r="Q271" i="14"/>
  <c r="Q272" i="14"/>
  <c r="Q273" i="14"/>
  <c r="Q274" i="14"/>
  <c r="Q275" i="14"/>
  <c r="Q276" i="14"/>
  <c r="Q277" i="14"/>
  <c r="Q278" i="14"/>
  <c r="Q279" i="14"/>
  <c r="Q280" i="14"/>
  <c r="Q281" i="14"/>
  <c r="Q282" i="14"/>
  <c r="Q283" i="14"/>
  <c r="Q284" i="14"/>
  <c r="Q285" i="14"/>
  <c r="Q286" i="14"/>
  <c r="Q287" i="14"/>
  <c r="Q288" i="14"/>
  <c r="Q289" i="14"/>
  <c r="Q290" i="14"/>
  <c r="Q291" i="14"/>
  <c r="Q292" i="14"/>
  <c r="Q293" i="14"/>
  <c r="Q294" i="14"/>
  <c r="Q295" i="14"/>
  <c r="Q296" i="14"/>
  <c r="Q297" i="14"/>
  <c r="Q298" i="14"/>
  <c r="Q299" i="14"/>
  <c r="Q300" i="14"/>
  <c r="Q301" i="14"/>
  <c r="Q302" i="14"/>
  <c r="Q303" i="14"/>
  <c r="Q304" i="14"/>
  <c r="Q305" i="14"/>
  <c r="Q306" i="14"/>
  <c r="Q307" i="14"/>
  <c r="Q308" i="14"/>
  <c r="Q309" i="14"/>
  <c r="Q310" i="14"/>
  <c r="Q311" i="14"/>
  <c r="Q312" i="14"/>
  <c r="Q313" i="14"/>
  <c r="Q314" i="14"/>
  <c r="Q315" i="14"/>
  <c r="Q316" i="14"/>
  <c r="Q317" i="14"/>
  <c r="Q318" i="14"/>
  <c r="Q319" i="14"/>
  <c r="Q320" i="14"/>
  <c r="Q321" i="14"/>
  <c r="Q322" i="14"/>
  <c r="Q323" i="14"/>
  <c r="Q324" i="14"/>
  <c r="Q325" i="14"/>
  <c r="Q326" i="14"/>
  <c r="Q327" i="14"/>
  <c r="Q328" i="14"/>
  <c r="Q329" i="14"/>
  <c r="Q330" i="14"/>
  <c r="Q331" i="14"/>
  <c r="Q332" i="14"/>
  <c r="Q333" i="14"/>
  <c r="Q334" i="14"/>
  <c r="Q335" i="14"/>
  <c r="Q336" i="14"/>
  <c r="Q337" i="14"/>
  <c r="Q338" i="14"/>
  <c r="Q339" i="14"/>
  <c r="Q340" i="14"/>
  <c r="Q341" i="14"/>
  <c r="Q342" i="14"/>
  <c r="Q343" i="14"/>
  <c r="Q344" i="14"/>
  <c r="Q345" i="14"/>
  <c r="Q346" i="14"/>
  <c r="Q347" i="14"/>
  <c r="Q348" i="14"/>
  <c r="Q349" i="14"/>
  <c r="Q350" i="14"/>
  <c r="Q351" i="14"/>
  <c r="Q352" i="14"/>
  <c r="Q353" i="14"/>
  <c r="Q354" i="14"/>
  <c r="Q355" i="14"/>
  <c r="Q356" i="14"/>
  <c r="Q357" i="14"/>
  <c r="Q358" i="14"/>
  <c r="Q359" i="14"/>
  <c r="Q360" i="14"/>
  <c r="Q361" i="14"/>
  <c r="Q362" i="14"/>
  <c r="Q363" i="14"/>
  <c r="Q364" i="14"/>
  <c r="Q365" i="14"/>
  <c r="Q366" i="14"/>
  <c r="Q367" i="14"/>
  <c r="Q368" i="14"/>
  <c r="Q369" i="14"/>
  <c r="Q370" i="14"/>
  <c r="Q371" i="14"/>
  <c r="Q372" i="14"/>
  <c r="Q373" i="14"/>
  <c r="Q374" i="14"/>
  <c r="Q375" i="14"/>
  <c r="Q376" i="14"/>
  <c r="Q377" i="14"/>
  <c r="Q378" i="14"/>
  <c r="Q379" i="14"/>
  <c r="Q380" i="14"/>
  <c r="Q381" i="14"/>
  <c r="Q382" i="14"/>
  <c r="Q383" i="14"/>
  <c r="Q384" i="14"/>
  <c r="Q385" i="14"/>
  <c r="Q386" i="14"/>
  <c r="Q387" i="14"/>
  <c r="Q388" i="14"/>
  <c r="Q389" i="14"/>
  <c r="Q390" i="14"/>
  <c r="Q391" i="14"/>
  <c r="Q392" i="14"/>
  <c r="Q393" i="14"/>
  <c r="Q394" i="14"/>
  <c r="Q395" i="14"/>
  <c r="Q396" i="14"/>
  <c r="Q397" i="14"/>
  <c r="Q398" i="14"/>
  <c r="Q399" i="14"/>
  <c r="Q400" i="14"/>
  <c r="Q401" i="14"/>
  <c r="Q402" i="14"/>
  <c r="Q403" i="14"/>
  <c r="Q404" i="14"/>
  <c r="Q405" i="14"/>
  <c r="Q406" i="14"/>
  <c r="Q407" i="14"/>
  <c r="Q408" i="14"/>
  <c r="Q409" i="14"/>
  <c r="Q410" i="14"/>
  <c r="Q411" i="14"/>
  <c r="Q412" i="14"/>
  <c r="Q413" i="14"/>
  <c r="Q414" i="14"/>
  <c r="Q415" i="14"/>
  <c r="Q416" i="14"/>
  <c r="Q417" i="14"/>
  <c r="Q418" i="14"/>
  <c r="Q419" i="14"/>
  <c r="Q420" i="14"/>
  <c r="Q421" i="14"/>
  <c r="Q422" i="14"/>
  <c r="Q423" i="14"/>
  <c r="Q424" i="14"/>
  <c r="Q425" i="14"/>
  <c r="Q426" i="14"/>
  <c r="Q427" i="14"/>
  <c r="Q428" i="14"/>
  <c r="Q429" i="14"/>
  <c r="Q430" i="14"/>
  <c r="Q431" i="14"/>
  <c r="Q432" i="14"/>
  <c r="Q433" i="14"/>
  <c r="Q434" i="14"/>
  <c r="Q435" i="14"/>
  <c r="Q436" i="14"/>
  <c r="Q437" i="14"/>
  <c r="Q438" i="14"/>
  <c r="Q439" i="14"/>
  <c r="Q440" i="14"/>
  <c r="Q441" i="14"/>
  <c r="Q442" i="14"/>
  <c r="Q443" i="14"/>
  <c r="Q444" i="14"/>
  <c r="Q445" i="14"/>
  <c r="Q446" i="14"/>
  <c r="Q447" i="14"/>
  <c r="Q448" i="14"/>
  <c r="Q449" i="14"/>
  <c r="Q450" i="14"/>
  <c r="Q451" i="14"/>
  <c r="Q452" i="14"/>
  <c r="Q453" i="14"/>
  <c r="Q454" i="14"/>
  <c r="Q455" i="14"/>
  <c r="Q456" i="14"/>
  <c r="Q457" i="14"/>
  <c r="Q458" i="14"/>
  <c r="Q459" i="14"/>
  <c r="Q460" i="14"/>
  <c r="Q461" i="14"/>
  <c r="Q462" i="14"/>
  <c r="Q463" i="14"/>
  <c r="Q464" i="14"/>
  <c r="Q465" i="14"/>
  <c r="Q466" i="14"/>
  <c r="Q467" i="14"/>
  <c r="Q468" i="14"/>
  <c r="Q469" i="14"/>
  <c r="Q470" i="14"/>
  <c r="Q471" i="14"/>
  <c r="Q472" i="14"/>
  <c r="Q473" i="14"/>
  <c r="Q474" i="14"/>
  <c r="Q475" i="14"/>
  <c r="Q476" i="14"/>
  <c r="Q477" i="14"/>
  <c r="Q478" i="14"/>
  <c r="Q479" i="14"/>
  <c r="Q480" i="14"/>
  <c r="Q481" i="14"/>
  <c r="Q482" i="14"/>
  <c r="Q483" i="14"/>
  <c r="Q484" i="14"/>
  <c r="Q485" i="14"/>
  <c r="Q486" i="14"/>
  <c r="Q487" i="14"/>
  <c r="Q488" i="14"/>
  <c r="Q489" i="14"/>
  <c r="Q490" i="14"/>
  <c r="Q491" i="14"/>
  <c r="Q492" i="14"/>
  <c r="Q493" i="14"/>
  <c r="Q494" i="14"/>
  <c r="Q495" i="14"/>
  <c r="Q496" i="14"/>
  <c r="Q497" i="14"/>
  <c r="Q498" i="14"/>
  <c r="Q499" i="14"/>
  <c r="Q500" i="14"/>
  <c r="Q501" i="14"/>
  <c r="Q502" i="14"/>
  <c r="Q503" i="14"/>
  <c r="Q504" i="14"/>
  <c r="Q505" i="14"/>
  <c r="Q506" i="14"/>
  <c r="Q507" i="14"/>
  <c r="Q508" i="14"/>
  <c r="Q509" i="14"/>
  <c r="Q510" i="14"/>
  <c r="Q511" i="14"/>
  <c r="Q512" i="14"/>
  <c r="Q513" i="14"/>
  <c r="Q514" i="14"/>
  <c r="Q515" i="14"/>
  <c r="Q516" i="14"/>
  <c r="Q517" i="14"/>
  <c r="Q518" i="14"/>
  <c r="Q519" i="14"/>
  <c r="Q520" i="14"/>
  <c r="Q521" i="14"/>
  <c r="Q522" i="14"/>
  <c r="Q523" i="14"/>
  <c r="Q524" i="14"/>
  <c r="Q525" i="14"/>
  <c r="Q526" i="14"/>
  <c r="Q527" i="14"/>
  <c r="Q528" i="14"/>
  <c r="Q529" i="14"/>
  <c r="Q530" i="14"/>
  <c r="Q531" i="14"/>
  <c r="Q532" i="14"/>
  <c r="Q533" i="14"/>
  <c r="Q534" i="14"/>
  <c r="Q535" i="14"/>
  <c r="Q536" i="14"/>
  <c r="Q537" i="14"/>
  <c r="Q538" i="14"/>
  <c r="Q539" i="14"/>
  <c r="Q540" i="14"/>
  <c r="Q541" i="14"/>
  <c r="Q542" i="14"/>
  <c r="Q543" i="14"/>
  <c r="Q544" i="14"/>
  <c r="Q545" i="14"/>
  <c r="Q546" i="14"/>
  <c r="Q547" i="14"/>
  <c r="Q548" i="14"/>
  <c r="Q549" i="14"/>
  <c r="Q550" i="14"/>
  <c r="Q551" i="14"/>
  <c r="Q552" i="14"/>
  <c r="Q553" i="14"/>
  <c r="Q554" i="14"/>
  <c r="Q555" i="14"/>
  <c r="Q556" i="14"/>
  <c r="Q557" i="14"/>
  <c r="Q558" i="14"/>
  <c r="Q559" i="14"/>
  <c r="Q560" i="14"/>
  <c r="Q561" i="14"/>
  <c r="Q562" i="14"/>
  <c r="Q563" i="14"/>
  <c r="Q564" i="14"/>
  <c r="Q565" i="14"/>
  <c r="Q566" i="14"/>
  <c r="Q567" i="14"/>
  <c r="Q568" i="14"/>
  <c r="Q569" i="14"/>
  <c r="Q570" i="14"/>
  <c r="Q571" i="14"/>
  <c r="Q572" i="14"/>
  <c r="Q573" i="14"/>
  <c r="Q574" i="14"/>
  <c r="Q575" i="14"/>
  <c r="Q576" i="14"/>
  <c r="Q577" i="14"/>
  <c r="Q578" i="14"/>
  <c r="Q579" i="14"/>
  <c r="Q580" i="14"/>
  <c r="Q581" i="14"/>
  <c r="Q582" i="14"/>
  <c r="Q583" i="14"/>
  <c r="Q584" i="14"/>
  <c r="Q585" i="14"/>
  <c r="Q586" i="14"/>
  <c r="Q587" i="14"/>
  <c r="Q588" i="14"/>
  <c r="Q589" i="14"/>
  <c r="Q590" i="14"/>
  <c r="Q591" i="14"/>
  <c r="Q592" i="14"/>
  <c r="Q593" i="14"/>
  <c r="Q594" i="14"/>
  <c r="Q595" i="14"/>
  <c r="Q596" i="14"/>
  <c r="Q597" i="14"/>
  <c r="Q598" i="14"/>
  <c r="Q599" i="14"/>
  <c r="Q600" i="14"/>
  <c r="Q601" i="14"/>
  <c r="Q602" i="14"/>
  <c r="Q603" i="14"/>
  <c r="Q604" i="14"/>
  <c r="Q605" i="14"/>
  <c r="Q606" i="14"/>
  <c r="Q607" i="14"/>
  <c r="Q608" i="14"/>
  <c r="Q609" i="14"/>
  <c r="Q610" i="14"/>
  <c r="Q611" i="14"/>
  <c r="Q612" i="14"/>
  <c r="Q613" i="14"/>
  <c r="Q614" i="14"/>
  <c r="Q615" i="14"/>
  <c r="Q616" i="14"/>
  <c r="Q617" i="14"/>
  <c r="Q618" i="14"/>
  <c r="Q619" i="14"/>
  <c r="Q620" i="14"/>
  <c r="Q621" i="14"/>
  <c r="Q622" i="14"/>
  <c r="Q623" i="14"/>
  <c r="Q624" i="14"/>
  <c r="Q625" i="14"/>
  <c r="Q626" i="14"/>
  <c r="Q627" i="14"/>
  <c r="Q628" i="14"/>
  <c r="Q629" i="14"/>
  <c r="Q630" i="14"/>
  <c r="Q631" i="14"/>
  <c r="Q632" i="14"/>
  <c r="Q633" i="14"/>
  <c r="Q634" i="14"/>
  <c r="Q635" i="14"/>
  <c r="Q636" i="14"/>
  <c r="Q637" i="14"/>
  <c r="Q638" i="14"/>
  <c r="Q639" i="14"/>
  <c r="Q640" i="14"/>
  <c r="Q641" i="14"/>
  <c r="Q642" i="14"/>
  <c r="Q643" i="14"/>
  <c r="Q644" i="14"/>
  <c r="Q645" i="14"/>
  <c r="Q646" i="14"/>
  <c r="Q647" i="14"/>
  <c r="Q648" i="14"/>
  <c r="Q649" i="14"/>
  <c r="Q650" i="14"/>
  <c r="Q651" i="14"/>
  <c r="Q652" i="14"/>
  <c r="Q653" i="14"/>
  <c r="Q654" i="14"/>
  <c r="Q655" i="14"/>
  <c r="Q656" i="14"/>
  <c r="Q657" i="14"/>
  <c r="Q658" i="14"/>
  <c r="Q659" i="14"/>
  <c r="Q660" i="14"/>
  <c r="Q661" i="14"/>
  <c r="Q662" i="14"/>
  <c r="Q663" i="14"/>
  <c r="Q664" i="14"/>
  <c r="Q665" i="14"/>
  <c r="Q666" i="14"/>
  <c r="Q667" i="14"/>
  <c r="Q668" i="14"/>
  <c r="Q669" i="14"/>
  <c r="Q670" i="14"/>
  <c r="Q671" i="14"/>
  <c r="Q672" i="14"/>
  <c r="Q673" i="14"/>
  <c r="Q674" i="14"/>
  <c r="Q675" i="14"/>
  <c r="Q676" i="14"/>
  <c r="Q677" i="14"/>
  <c r="Q678" i="14"/>
  <c r="Q679" i="14"/>
  <c r="Q680" i="14"/>
  <c r="Q681" i="14"/>
  <c r="Q682" i="14"/>
  <c r="Q683" i="14"/>
  <c r="Q684" i="14"/>
  <c r="Q685" i="14"/>
  <c r="Q686" i="14"/>
  <c r="Q687" i="14"/>
  <c r="Q688" i="14"/>
  <c r="Q689" i="14"/>
  <c r="Q690" i="14"/>
  <c r="Q691" i="14"/>
  <c r="Q692" i="14"/>
  <c r="Q693" i="14"/>
  <c r="Q694" i="14"/>
  <c r="Q695" i="14"/>
  <c r="Q696" i="14"/>
  <c r="Q697" i="14"/>
  <c r="Q698" i="14"/>
  <c r="Q699" i="14"/>
  <c r="Q700" i="14"/>
  <c r="Q701" i="14"/>
  <c r="Q702" i="14"/>
  <c r="Q703" i="14"/>
  <c r="Q704" i="14"/>
  <c r="Q705" i="14"/>
  <c r="Q706" i="14"/>
  <c r="Q707" i="14"/>
  <c r="Q708" i="14"/>
  <c r="Q709" i="14"/>
  <c r="Q710" i="14"/>
  <c r="Q711" i="14"/>
  <c r="Q712" i="14"/>
  <c r="Q713" i="14"/>
  <c r="Q714" i="14"/>
  <c r="Q715" i="14"/>
  <c r="Q716" i="14"/>
  <c r="Q717" i="14"/>
  <c r="Q718" i="14"/>
  <c r="Q719" i="14"/>
  <c r="Q720" i="14"/>
  <c r="Q721" i="14"/>
  <c r="Q722" i="14"/>
  <c r="Q723" i="14"/>
  <c r="Q724" i="14"/>
  <c r="Q725" i="14"/>
  <c r="Q726" i="14"/>
  <c r="Q727" i="14"/>
  <c r="Q728" i="14"/>
  <c r="Q729" i="14"/>
  <c r="Q730" i="14"/>
  <c r="Q731" i="14"/>
  <c r="Q732" i="14"/>
  <c r="Q733" i="14"/>
  <c r="Q734" i="14"/>
  <c r="Q735" i="14"/>
  <c r="Q736" i="14"/>
  <c r="Q737" i="14"/>
  <c r="Q738" i="14"/>
  <c r="Q739" i="14"/>
  <c r="Q740" i="14"/>
  <c r="Q741" i="14"/>
  <c r="Q742" i="14"/>
  <c r="Q743" i="14"/>
  <c r="Q744" i="14"/>
  <c r="Q745" i="14"/>
  <c r="Q746" i="14"/>
  <c r="Q747" i="14"/>
  <c r="Q748" i="14"/>
  <c r="Q749" i="14"/>
  <c r="Q750" i="14"/>
  <c r="Q751" i="14"/>
  <c r="Q752" i="14"/>
  <c r="Q753" i="14"/>
  <c r="Q754" i="14"/>
  <c r="Q755" i="14"/>
  <c r="Q756" i="14"/>
  <c r="Q757" i="14"/>
  <c r="Q758" i="14"/>
  <c r="Q759" i="14"/>
  <c r="Q760" i="14"/>
  <c r="Q761" i="14"/>
  <c r="Q762" i="14"/>
  <c r="Q763" i="14"/>
  <c r="Q764" i="14"/>
  <c r="Q765" i="14"/>
  <c r="Q766" i="14"/>
  <c r="Q767" i="14"/>
  <c r="Q768" i="14"/>
  <c r="Q769" i="14"/>
  <c r="Q770" i="14"/>
  <c r="Q771" i="14"/>
  <c r="Q772" i="14"/>
  <c r="Q773" i="14"/>
  <c r="Q774" i="14"/>
  <c r="Q775" i="14"/>
  <c r="Q776" i="14"/>
  <c r="Q777" i="14"/>
  <c r="Q778" i="14"/>
  <c r="Q779" i="14"/>
  <c r="Q780" i="14"/>
  <c r="Q781" i="14"/>
  <c r="Q782" i="14"/>
  <c r="Q783" i="14"/>
  <c r="Q784" i="14"/>
  <c r="Q785" i="14"/>
  <c r="Q786" i="14"/>
  <c r="Q787" i="14"/>
  <c r="Q788" i="14"/>
  <c r="Q789" i="14"/>
  <c r="Q790" i="14"/>
  <c r="Q2" i="14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132" i="14"/>
  <c r="O133" i="14"/>
  <c r="O134" i="14"/>
  <c r="O135" i="14"/>
  <c r="O136" i="14"/>
  <c r="O137" i="14"/>
  <c r="O138" i="14"/>
  <c r="O139" i="14"/>
  <c r="O140" i="14"/>
  <c r="O141" i="14"/>
  <c r="O142" i="14"/>
  <c r="O143" i="14"/>
  <c r="O144" i="14"/>
  <c r="O145" i="14"/>
  <c r="O146" i="14"/>
  <c r="O147" i="14"/>
  <c r="O148" i="14"/>
  <c r="O149" i="14"/>
  <c r="O150" i="14"/>
  <c r="O151" i="14"/>
  <c r="O152" i="14"/>
  <c r="O153" i="14"/>
  <c r="O154" i="14"/>
  <c r="O155" i="14"/>
  <c r="O156" i="14"/>
  <c r="O157" i="14"/>
  <c r="O158" i="14"/>
  <c r="O159" i="14"/>
  <c r="O160" i="14"/>
  <c r="O161" i="14"/>
  <c r="O162" i="14"/>
  <c r="O163" i="14"/>
  <c r="O164" i="14"/>
  <c r="O165" i="14"/>
  <c r="O166" i="14"/>
  <c r="O167" i="14"/>
  <c r="O168" i="14"/>
  <c r="O169" i="14"/>
  <c r="O170" i="14"/>
  <c r="O171" i="14"/>
  <c r="O172" i="14"/>
  <c r="O173" i="14"/>
  <c r="O174" i="14"/>
  <c r="O175" i="14"/>
  <c r="O176" i="14"/>
  <c r="O177" i="14"/>
  <c r="O178" i="14"/>
  <c r="O179" i="14"/>
  <c r="O180" i="14"/>
  <c r="O181" i="14"/>
  <c r="O182" i="14"/>
  <c r="O183" i="14"/>
  <c r="O184" i="14"/>
  <c r="O185" i="14"/>
  <c r="O186" i="14"/>
  <c r="O187" i="14"/>
  <c r="O188" i="14"/>
  <c r="O189" i="14"/>
  <c r="O190" i="14"/>
  <c r="O191" i="14"/>
  <c r="O192" i="14"/>
  <c r="O193" i="14"/>
  <c r="O194" i="14"/>
  <c r="O195" i="14"/>
  <c r="O196" i="14"/>
  <c r="O197" i="14"/>
  <c r="O198" i="14"/>
  <c r="O199" i="14"/>
  <c r="O200" i="14"/>
  <c r="O201" i="14"/>
  <c r="O202" i="14"/>
  <c r="O203" i="14"/>
  <c r="O204" i="14"/>
  <c r="O205" i="14"/>
  <c r="O206" i="14"/>
  <c r="O207" i="14"/>
  <c r="O208" i="14"/>
  <c r="O209" i="14"/>
  <c r="O210" i="14"/>
  <c r="O211" i="14"/>
  <c r="O212" i="14"/>
  <c r="O213" i="14"/>
  <c r="O214" i="14"/>
  <c r="O215" i="14"/>
  <c r="O216" i="14"/>
  <c r="O217" i="14"/>
  <c r="O218" i="14"/>
  <c r="O219" i="14"/>
  <c r="O220" i="14"/>
  <c r="O221" i="14"/>
  <c r="O222" i="14"/>
  <c r="O223" i="14"/>
  <c r="O224" i="14"/>
  <c r="O225" i="14"/>
  <c r="O226" i="14"/>
  <c r="O227" i="14"/>
  <c r="O228" i="14"/>
  <c r="O229" i="14"/>
  <c r="O230" i="14"/>
  <c r="O231" i="14"/>
  <c r="O232" i="14"/>
  <c r="O233" i="14"/>
  <c r="O234" i="14"/>
  <c r="O235" i="14"/>
  <c r="O236" i="14"/>
  <c r="O237" i="14"/>
  <c r="O238" i="14"/>
  <c r="O239" i="14"/>
  <c r="O240" i="14"/>
  <c r="O241" i="14"/>
  <c r="O242" i="14"/>
  <c r="O243" i="14"/>
  <c r="O244" i="14"/>
  <c r="O245" i="14"/>
  <c r="O246" i="14"/>
  <c r="O247" i="14"/>
  <c r="O248" i="14"/>
  <c r="O249" i="14"/>
  <c r="O250" i="14"/>
  <c r="O251" i="14"/>
  <c r="O252" i="14"/>
  <c r="O253" i="14"/>
  <c r="O254" i="14"/>
  <c r="O255" i="14"/>
  <c r="O256" i="14"/>
  <c r="O257" i="14"/>
  <c r="O258" i="14"/>
  <c r="O259" i="14"/>
  <c r="O260" i="14"/>
  <c r="O261" i="14"/>
  <c r="O262" i="14"/>
  <c r="O263" i="14"/>
  <c r="O264" i="14"/>
  <c r="O265" i="14"/>
  <c r="O266" i="14"/>
  <c r="O267" i="14"/>
  <c r="O268" i="14"/>
  <c r="O269" i="14"/>
  <c r="O270" i="14"/>
  <c r="O271" i="14"/>
  <c r="O272" i="14"/>
  <c r="O273" i="14"/>
  <c r="O274" i="14"/>
  <c r="O275" i="14"/>
  <c r="O276" i="14"/>
  <c r="O277" i="14"/>
  <c r="O278" i="14"/>
  <c r="O279" i="14"/>
  <c r="O280" i="14"/>
  <c r="O281" i="14"/>
  <c r="O282" i="14"/>
  <c r="O283" i="14"/>
  <c r="O284" i="14"/>
  <c r="O285" i="14"/>
  <c r="O286" i="14"/>
  <c r="O287" i="14"/>
  <c r="O288" i="14"/>
  <c r="O289" i="14"/>
  <c r="O290" i="14"/>
  <c r="O291" i="14"/>
  <c r="O292" i="14"/>
  <c r="O293" i="14"/>
  <c r="O294" i="14"/>
  <c r="O295" i="14"/>
  <c r="O296" i="14"/>
  <c r="O297" i="14"/>
  <c r="O298" i="14"/>
  <c r="O299" i="14"/>
  <c r="O300" i="14"/>
  <c r="O301" i="14"/>
  <c r="O302" i="14"/>
  <c r="O303" i="14"/>
  <c r="O304" i="14"/>
  <c r="O305" i="14"/>
  <c r="O306" i="14"/>
  <c r="O307" i="14"/>
  <c r="O308" i="14"/>
  <c r="O309" i="14"/>
  <c r="O310" i="14"/>
  <c r="O311" i="14"/>
  <c r="O312" i="14"/>
  <c r="O313" i="14"/>
  <c r="O314" i="14"/>
  <c r="O315" i="14"/>
  <c r="O316" i="14"/>
  <c r="O317" i="14"/>
  <c r="O318" i="14"/>
  <c r="O319" i="14"/>
  <c r="O320" i="14"/>
  <c r="O321" i="14"/>
  <c r="O322" i="14"/>
  <c r="O323" i="14"/>
  <c r="O324" i="14"/>
  <c r="O325" i="14"/>
  <c r="O326" i="14"/>
  <c r="O327" i="14"/>
  <c r="O328" i="14"/>
  <c r="O329" i="14"/>
  <c r="O330" i="14"/>
  <c r="O331" i="14"/>
  <c r="O332" i="14"/>
  <c r="O333" i="14"/>
  <c r="O334" i="14"/>
  <c r="O335" i="14"/>
  <c r="O336" i="14"/>
  <c r="O337" i="14"/>
  <c r="O338" i="14"/>
  <c r="O339" i="14"/>
  <c r="O340" i="14"/>
  <c r="O341" i="14"/>
  <c r="O342" i="14"/>
  <c r="O343" i="14"/>
  <c r="O344" i="14"/>
  <c r="O345" i="14"/>
  <c r="O346" i="14"/>
  <c r="O347" i="14"/>
  <c r="O348" i="14"/>
  <c r="O349" i="14"/>
  <c r="O350" i="14"/>
  <c r="O351" i="14"/>
  <c r="O352" i="14"/>
  <c r="O353" i="14"/>
  <c r="O354" i="14"/>
  <c r="O355" i="14"/>
  <c r="O356" i="14"/>
  <c r="O357" i="14"/>
  <c r="O358" i="14"/>
  <c r="O359" i="14"/>
  <c r="O360" i="14"/>
  <c r="O361" i="14"/>
  <c r="O362" i="14"/>
  <c r="O363" i="14"/>
  <c r="O364" i="14"/>
  <c r="O365" i="14"/>
  <c r="O366" i="14"/>
  <c r="O367" i="14"/>
  <c r="O368" i="14"/>
  <c r="O369" i="14"/>
  <c r="O370" i="14"/>
  <c r="O371" i="14"/>
  <c r="O372" i="14"/>
  <c r="O373" i="14"/>
  <c r="O374" i="14"/>
  <c r="O375" i="14"/>
  <c r="O376" i="14"/>
  <c r="O377" i="14"/>
  <c r="O378" i="14"/>
  <c r="O379" i="14"/>
  <c r="O380" i="14"/>
  <c r="O381" i="14"/>
  <c r="O382" i="14"/>
  <c r="O383" i="14"/>
  <c r="O384" i="14"/>
  <c r="O385" i="14"/>
  <c r="O386" i="14"/>
  <c r="O387" i="14"/>
  <c r="O388" i="14"/>
  <c r="O389" i="14"/>
  <c r="O390" i="14"/>
  <c r="O391" i="14"/>
  <c r="O392" i="14"/>
  <c r="O393" i="14"/>
  <c r="O394" i="14"/>
  <c r="O395" i="14"/>
  <c r="O396" i="14"/>
  <c r="O397" i="14"/>
  <c r="O398" i="14"/>
  <c r="O399" i="14"/>
  <c r="O400" i="14"/>
  <c r="O401" i="14"/>
  <c r="O402" i="14"/>
  <c r="O403" i="14"/>
  <c r="O404" i="14"/>
  <c r="O405" i="14"/>
  <c r="O406" i="14"/>
  <c r="O407" i="14"/>
  <c r="O408" i="14"/>
  <c r="O409" i="14"/>
  <c r="O410" i="14"/>
  <c r="O411" i="14"/>
  <c r="O412" i="14"/>
  <c r="O413" i="14"/>
  <c r="O414" i="14"/>
  <c r="O415" i="14"/>
  <c r="O416" i="14"/>
  <c r="O417" i="14"/>
  <c r="O418" i="14"/>
  <c r="O419" i="14"/>
  <c r="O420" i="14"/>
  <c r="O421" i="14"/>
  <c r="O422" i="14"/>
  <c r="O423" i="14"/>
  <c r="O424" i="14"/>
  <c r="O425" i="14"/>
  <c r="O426" i="14"/>
  <c r="O427" i="14"/>
  <c r="O428" i="14"/>
  <c r="O429" i="14"/>
  <c r="O430" i="14"/>
  <c r="O431" i="14"/>
  <c r="O432" i="14"/>
  <c r="O433" i="14"/>
  <c r="O434" i="14"/>
  <c r="O435" i="14"/>
  <c r="O436" i="14"/>
  <c r="O437" i="14"/>
  <c r="O438" i="14"/>
  <c r="O439" i="14"/>
  <c r="O440" i="14"/>
  <c r="O441" i="14"/>
  <c r="O442" i="14"/>
  <c r="O443" i="14"/>
  <c r="O444" i="14"/>
  <c r="O445" i="14"/>
  <c r="O446" i="14"/>
  <c r="O447" i="14"/>
  <c r="O448" i="14"/>
  <c r="O449" i="14"/>
  <c r="O450" i="14"/>
  <c r="O451" i="14"/>
  <c r="O452" i="14"/>
  <c r="O453" i="14"/>
  <c r="O454" i="14"/>
  <c r="O455" i="14"/>
  <c r="O456" i="14"/>
  <c r="O457" i="14"/>
  <c r="O458" i="14"/>
  <c r="O459" i="14"/>
  <c r="O460" i="14"/>
  <c r="O461" i="14"/>
  <c r="O462" i="14"/>
  <c r="O463" i="14"/>
  <c r="O464" i="14"/>
  <c r="O465" i="14"/>
  <c r="O466" i="14"/>
  <c r="O467" i="14"/>
  <c r="O468" i="14"/>
  <c r="O469" i="14"/>
  <c r="O470" i="14"/>
  <c r="O471" i="14"/>
  <c r="O472" i="14"/>
  <c r="O473" i="14"/>
  <c r="O474" i="14"/>
  <c r="O475" i="14"/>
  <c r="O476" i="14"/>
  <c r="O477" i="14"/>
  <c r="O478" i="14"/>
  <c r="O479" i="14"/>
  <c r="O480" i="14"/>
  <c r="O481" i="14"/>
  <c r="O482" i="14"/>
  <c r="O483" i="14"/>
  <c r="O484" i="14"/>
  <c r="O485" i="14"/>
  <c r="O486" i="14"/>
  <c r="O487" i="14"/>
  <c r="O488" i="14"/>
  <c r="O489" i="14"/>
  <c r="O490" i="14"/>
  <c r="O491" i="14"/>
  <c r="O492" i="14"/>
  <c r="O493" i="14"/>
  <c r="O494" i="14"/>
  <c r="O495" i="14"/>
  <c r="O496" i="14"/>
  <c r="O497" i="14"/>
  <c r="O498" i="14"/>
  <c r="O499" i="14"/>
  <c r="O500" i="14"/>
  <c r="O501" i="14"/>
  <c r="O502" i="14"/>
  <c r="O503" i="14"/>
  <c r="O504" i="14"/>
  <c r="O505" i="14"/>
  <c r="O506" i="14"/>
  <c r="O507" i="14"/>
  <c r="O508" i="14"/>
  <c r="O509" i="14"/>
  <c r="O510" i="14"/>
  <c r="O511" i="14"/>
  <c r="O512" i="14"/>
  <c r="O513" i="14"/>
  <c r="O514" i="14"/>
  <c r="O515" i="14"/>
  <c r="O516" i="14"/>
  <c r="O517" i="14"/>
  <c r="O518" i="14"/>
  <c r="O519" i="14"/>
  <c r="O520" i="14"/>
  <c r="O521" i="14"/>
  <c r="O522" i="14"/>
  <c r="O523" i="14"/>
  <c r="O524" i="14"/>
  <c r="O525" i="14"/>
  <c r="O526" i="14"/>
  <c r="O527" i="14"/>
  <c r="O528" i="14"/>
  <c r="O529" i="14"/>
  <c r="O530" i="14"/>
  <c r="O531" i="14"/>
  <c r="O532" i="14"/>
  <c r="O533" i="14"/>
  <c r="O534" i="14"/>
  <c r="O535" i="14"/>
  <c r="O536" i="14"/>
  <c r="O537" i="14"/>
  <c r="O538" i="14"/>
  <c r="O539" i="14"/>
  <c r="O540" i="14"/>
  <c r="O541" i="14"/>
  <c r="O542" i="14"/>
  <c r="O543" i="14"/>
  <c r="O544" i="14"/>
  <c r="O545" i="14"/>
  <c r="O546" i="14"/>
  <c r="O547" i="14"/>
  <c r="O548" i="14"/>
  <c r="O549" i="14"/>
  <c r="O550" i="14"/>
  <c r="O551" i="14"/>
  <c r="O552" i="14"/>
  <c r="O553" i="14"/>
  <c r="O554" i="14"/>
  <c r="O555" i="14"/>
  <c r="O556" i="14"/>
  <c r="O557" i="14"/>
  <c r="O558" i="14"/>
  <c r="O559" i="14"/>
  <c r="O560" i="14"/>
  <c r="O561" i="14"/>
  <c r="O562" i="14"/>
  <c r="O563" i="14"/>
  <c r="O564" i="14"/>
  <c r="O565" i="14"/>
  <c r="O566" i="14"/>
  <c r="O567" i="14"/>
  <c r="O568" i="14"/>
  <c r="O569" i="14"/>
  <c r="O570" i="14"/>
  <c r="O571" i="14"/>
  <c r="O572" i="14"/>
  <c r="O573" i="14"/>
  <c r="O574" i="14"/>
  <c r="O575" i="14"/>
  <c r="O576" i="14"/>
  <c r="O577" i="14"/>
  <c r="O578" i="14"/>
  <c r="O579" i="14"/>
  <c r="O580" i="14"/>
  <c r="O581" i="14"/>
  <c r="O582" i="14"/>
  <c r="O583" i="14"/>
  <c r="O584" i="14"/>
  <c r="O585" i="14"/>
  <c r="O586" i="14"/>
  <c r="O587" i="14"/>
  <c r="O588" i="14"/>
  <c r="O589" i="14"/>
  <c r="O590" i="14"/>
  <c r="O591" i="14"/>
  <c r="O592" i="14"/>
  <c r="O593" i="14"/>
  <c r="O594" i="14"/>
  <c r="O595" i="14"/>
  <c r="O596" i="14"/>
  <c r="O597" i="14"/>
  <c r="O598" i="14"/>
  <c r="O599" i="14"/>
  <c r="O600" i="14"/>
  <c r="O601" i="14"/>
  <c r="O602" i="14"/>
  <c r="O603" i="14"/>
  <c r="O604" i="14"/>
  <c r="O605" i="14"/>
  <c r="O606" i="14"/>
  <c r="O607" i="14"/>
  <c r="O608" i="14"/>
  <c r="O609" i="14"/>
  <c r="O610" i="14"/>
  <c r="O611" i="14"/>
  <c r="O612" i="14"/>
  <c r="O613" i="14"/>
  <c r="O614" i="14"/>
  <c r="O615" i="14"/>
  <c r="O616" i="14"/>
  <c r="O617" i="14"/>
  <c r="O618" i="14"/>
  <c r="O619" i="14"/>
  <c r="O620" i="14"/>
  <c r="O621" i="14"/>
  <c r="O622" i="14"/>
  <c r="O623" i="14"/>
  <c r="O624" i="14"/>
  <c r="O625" i="14"/>
  <c r="O626" i="14"/>
  <c r="O627" i="14"/>
  <c r="O628" i="14"/>
  <c r="O629" i="14"/>
  <c r="O630" i="14"/>
  <c r="O631" i="14"/>
  <c r="O632" i="14"/>
  <c r="O633" i="14"/>
  <c r="O634" i="14"/>
  <c r="O635" i="14"/>
  <c r="O636" i="14"/>
  <c r="O637" i="14"/>
  <c r="O638" i="14"/>
  <c r="O639" i="14"/>
  <c r="O640" i="14"/>
  <c r="O641" i="14"/>
  <c r="O642" i="14"/>
  <c r="O643" i="14"/>
  <c r="O644" i="14"/>
  <c r="O645" i="14"/>
  <c r="O646" i="14"/>
  <c r="O647" i="14"/>
  <c r="O648" i="14"/>
  <c r="O649" i="14"/>
  <c r="O650" i="14"/>
  <c r="O651" i="14"/>
  <c r="O652" i="14"/>
  <c r="O653" i="14"/>
  <c r="O654" i="14"/>
  <c r="O655" i="14"/>
  <c r="O656" i="14"/>
  <c r="O657" i="14"/>
  <c r="O658" i="14"/>
  <c r="O659" i="14"/>
  <c r="O660" i="14"/>
  <c r="O661" i="14"/>
  <c r="O662" i="14"/>
  <c r="O663" i="14"/>
  <c r="O664" i="14"/>
  <c r="O665" i="14"/>
  <c r="O666" i="14"/>
  <c r="O667" i="14"/>
  <c r="O668" i="14"/>
  <c r="O669" i="14"/>
  <c r="O670" i="14"/>
  <c r="O671" i="14"/>
  <c r="O672" i="14"/>
  <c r="O673" i="14"/>
  <c r="O674" i="14"/>
  <c r="O675" i="14"/>
  <c r="O676" i="14"/>
  <c r="O677" i="14"/>
  <c r="O678" i="14"/>
  <c r="O679" i="14"/>
  <c r="O680" i="14"/>
  <c r="O681" i="14"/>
  <c r="O682" i="14"/>
  <c r="O683" i="14"/>
  <c r="O684" i="14"/>
  <c r="O685" i="14"/>
  <c r="O686" i="14"/>
  <c r="O687" i="14"/>
  <c r="O688" i="14"/>
  <c r="O689" i="14"/>
  <c r="O690" i="14"/>
  <c r="O691" i="14"/>
  <c r="O692" i="14"/>
  <c r="O693" i="14"/>
  <c r="O694" i="14"/>
  <c r="O695" i="14"/>
  <c r="O696" i="14"/>
  <c r="O697" i="14"/>
  <c r="O698" i="14"/>
  <c r="O699" i="14"/>
  <c r="O700" i="14"/>
  <c r="O701" i="14"/>
  <c r="O702" i="14"/>
  <c r="O703" i="14"/>
  <c r="O704" i="14"/>
  <c r="O705" i="14"/>
  <c r="O706" i="14"/>
  <c r="O707" i="14"/>
  <c r="O708" i="14"/>
  <c r="O709" i="14"/>
  <c r="O710" i="14"/>
  <c r="O711" i="14"/>
  <c r="O712" i="14"/>
  <c r="O713" i="14"/>
  <c r="O714" i="14"/>
  <c r="O715" i="14"/>
  <c r="O716" i="14"/>
  <c r="O717" i="14"/>
  <c r="O718" i="14"/>
  <c r="O719" i="14"/>
  <c r="O720" i="14"/>
  <c r="O721" i="14"/>
  <c r="O722" i="14"/>
  <c r="O723" i="14"/>
  <c r="O724" i="14"/>
  <c r="O725" i="14"/>
  <c r="O726" i="14"/>
  <c r="O727" i="14"/>
  <c r="O728" i="14"/>
  <c r="O729" i="14"/>
  <c r="O730" i="14"/>
  <c r="O731" i="14"/>
  <c r="O732" i="14"/>
  <c r="O733" i="14"/>
  <c r="O734" i="14"/>
  <c r="O735" i="14"/>
  <c r="O736" i="14"/>
  <c r="O737" i="14"/>
  <c r="O738" i="14"/>
  <c r="O739" i="14"/>
  <c r="O740" i="14"/>
  <c r="O741" i="14"/>
  <c r="O742" i="14"/>
  <c r="O743" i="14"/>
  <c r="O744" i="14"/>
  <c r="O745" i="14"/>
  <c r="O746" i="14"/>
  <c r="O747" i="14"/>
  <c r="O748" i="14"/>
  <c r="O749" i="14"/>
  <c r="O750" i="14"/>
  <c r="O751" i="14"/>
  <c r="O752" i="14"/>
  <c r="O753" i="14"/>
  <c r="O754" i="14"/>
  <c r="O755" i="14"/>
  <c r="O756" i="14"/>
  <c r="O757" i="14"/>
  <c r="O758" i="14"/>
  <c r="O759" i="14"/>
  <c r="O760" i="14"/>
  <c r="O761" i="14"/>
  <c r="O762" i="14"/>
  <c r="O763" i="14"/>
  <c r="O764" i="14"/>
  <c r="O765" i="14"/>
  <c r="O766" i="14"/>
  <c r="O767" i="14"/>
  <c r="O768" i="14"/>
  <c r="O769" i="14"/>
  <c r="O770" i="14"/>
  <c r="O771" i="14"/>
  <c r="O772" i="14"/>
  <c r="O773" i="14"/>
  <c r="O774" i="14"/>
  <c r="O775" i="14"/>
  <c r="O776" i="14"/>
  <c r="O777" i="14"/>
  <c r="O778" i="14"/>
  <c r="O779" i="14"/>
  <c r="O780" i="14"/>
  <c r="O781" i="14"/>
  <c r="O782" i="14"/>
  <c r="O783" i="14"/>
  <c r="O784" i="14"/>
  <c r="O785" i="14"/>
  <c r="O786" i="14"/>
  <c r="O787" i="14"/>
  <c r="O788" i="14"/>
  <c r="O789" i="14"/>
  <c r="O790" i="14"/>
  <c r="N3" i="14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59" i="14"/>
  <c r="N60" i="14"/>
  <c r="N61" i="14"/>
  <c r="N62" i="14"/>
  <c r="N63" i="14"/>
  <c r="N64" i="14"/>
  <c r="N65" i="14"/>
  <c r="N66" i="14"/>
  <c r="N67" i="14"/>
  <c r="N68" i="14"/>
  <c r="N69" i="14"/>
  <c r="N70" i="14"/>
  <c r="N71" i="14"/>
  <c r="N72" i="14"/>
  <c r="N73" i="14"/>
  <c r="N74" i="14"/>
  <c r="N75" i="14"/>
  <c r="N76" i="14"/>
  <c r="N77" i="14"/>
  <c r="N78" i="14"/>
  <c r="N79" i="14"/>
  <c r="N80" i="14"/>
  <c r="N81" i="14"/>
  <c r="N82" i="14"/>
  <c r="N83" i="14"/>
  <c r="N84" i="14"/>
  <c r="N85" i="14"/>
  <c r="N86" i="14"/>
  <c r="N87" i="14"/>
  <c r="N88" i="14"/>
  <c r="N89" i="14"/>
  <c r="N90" i="14"/>
  <c r="N91" i="14"/>
  <c r="N92" i="14"/>
  <c r="N93" i="14"/>
  <c r="N94" i="14"/>
  <c r="N95" i="14"/>
  <c r="N96" i="14"/>
  <c r="N97" i="14"/>
  <c r="N98" i="14"/>
  <c r="N99" i="14"/>
  <c r="N100" i="14"/>
  <c r="N101" i="14"/>
  <c r="N102" i="14"/>
  <c r="N103" i="14"/>
  <c r="N104" i="14"/>
  <c r="N105" i="14"/>
  <c r="N106" i="14"/>
  <c r="N107" i="14"/>
  <c r="N108" i="14"/>
  <c r="N109" i="14"/>
  <c r="N110" i="14"/>
  <c r="N111" i="14"/>
  <c r="N112" i="14"/>
  <c r="N113" i="14"/>
  <c r="N114" i="14"/>
  <c r="N115" i="14"/>
  <c r="N116" i="14"/>
  <c r="N117" i="14"/>
  <c r="N118" i="14"/>
  <c r="N119" i="14"/>
  <c r="N120" i="14"/>
  <c r="N121" i="14"/>
  <c r="N122" i="14"/>
  <c r="N123" i="14"/>
  <c r="N124" i="14"/>
  <c r="N125" i="14"/>
  <c r="N126" i="14"/>
  <c r="N127" i="14"/>
  <c r="N128" i="14"/>
  <c r="N129" i="14"/>
  <c r="N130" i="14"/>
  <c r="N131" i="14"/>
  <c r="N132" i="14"/>
  <c r="N133" i="14"/>
  <c r="N134" i="14"/>
  <c r="N135" i="14"/>
  <c r="N136" i="14"/>
  <c r="N137" i="14"/>
  <c r="N138" i="14"/>
  <c r="N139" i="14"/>
  <c r="N140" i="14"/>
  <c r="N141" i="14"/>
  <c r="N142" i="14"/>
  <c r="N143" i="14"/>
  <c r="N144" i="14"/>
  <c r="N145" i="14"/>
  <c r="N146" i="14"/>
  <c r="N147" i="14"/>
  <c r="N148" i="14"/>
  <c r="N149" i="14"/>
  <c r="N150" i="14"/>
  <c r="N151" i="14"/>
  <c r="N152" i="14"/>
  <c r="N153" i="14"/>
  <c r="N154" i="14"/>
  <c r="N155" i="14"/>
  <c r="N156" i="14"/>
  <c r="N157" i="14"/>
  <c r="N158" i="14"/>
  <c r="N159" i="14"/>
  <c r="N160" i="14"/>
  <c r="N161" i="14"/>
  <c r="N162" i="14"/>
  <c r="N163" i="14"/>
  <c r="N164" i="14"/>
  <c r="N165" i="14"/>
  <c r="N166" i="14"/>
  <c r="N167" i="14"/>
  <c r="N168" i="14"/>
  <c r="N169" i="14"/>
  <c r="N170" i="14"/>
  <c r="N171" i="14"/>
  <c r="N172" i="14"/>
  <c r="N173" i="14"/>
  <c r="N174" i="14"/>
  <c r="N175" i="14"/>
  <c r="N176" i="14"/>
  <c r="N177" i="14"/>
  <c r="N178" i="14"/>
  <c r="N179" i="14"/>
  <c r="N180" i="14"/>
  <c r="N181" i="14"/>
  <c r="N182" i="14"/>
  <c r="N183" i="14"/>
  <c r="N184" i="14"/>
  <c r="N185" i="14"/>
  <c r="N186" i="14"/>
  <c r="N187" i="14"/>
  <c r="N188" i="14"/>
  <c r="N189" i="14"/>
  <c r="N190" i="14"/>
  <c r="N191" i="14"/>
  <c r="N192" i="14"/>
  <c r="N193" i="14"/>
  <c r="N194" i="14"/>
  <c r="N195" i="14"/>
  <c r="N196" i="14"/>
  <c r="N197" i="14"/>
  <c r="N198" i="14"/>
  <c r="N199" i="14"/>
  <c r="N200" i="14"/>
  <c r="N201" i="14"/>
  <c r="N202" i="14"/>
  <c r="N203" i="14"/>
  <c r="N204" i="14"/>
  <c r="N205" i="14"/>
  <c r="N206" i="14"/>
  <c r="N207" i="14"/>
  <c r="N208" i="14"/>
  <c r="N209" i="14"/>
  <c r="N210" i="14"/>
  <c r="N211" i="14"/>
  <c r="N212" i="14"/>
  <c r="N213" i="14"/>
  <c r="N214" i="14"/>
  <c r="N215" i="14"/>
  <c r="N216" i="14"/>
  <c r="N217" i="14"/>
  <c r="N218" i="14"/>
  <c r="N219" i="14"/>
  <c r="N220" i="14"/>
  <c r="N221" i="14"/>
  <c r="N222" i="14"/>
  <c r="N223" i="14"/>
  <c r="N224" i="14"/>
  <c r="N225" i="14"/>
  <c r="N226" i="14"/>
  <c r="N227" i="14"/>
  <c r="N228" i="14"/>
  <c r="N229" i="14"/>
  <c r="N230" i="14"/>
  <c r="N231" i="14"/>
  <c r="N232" i="14"/>
  <c r="N233" i="14"/>
  <c r="N234" i="14"/>
  <c r="N235" i="14"/>
  <c r="N236" i="14"/>
  <c r="N237" i="14"/>
  <c r="N238" i="14"/>
  <c r="N239" i="14"/>
  <c r="N240" i="14"/>
  <c r="N241" i="14"/>
  <c r="N242" i="14"/>
  <c r="N243" i="14"/>
  <c r="N244" i="14"/>
  <c r="N245" i="14"/>
  <c r="N246" i="14"/>
  <c r="N247" i="14"/>
  <c r="N248" i="14"/>
  <c r="N249" i="14"/>
  <c r="N250" i="14"/>
  <c r="N251" i="14"/>
  <c r="N252" i="14"/>
  <c r="N253" i="14"/>
  <c r="N254" i="14"/>
  <c r="N255" i="14"/>
  <c r="N256" i="14"/>
  <c r="N257" i="14"/>
  <c r="N258" i="14"/>
  <c r="N259" i="14"/>
  <c r="N260" i="14"/>
  <c r="N261" i="14"/>
  <c r="N262" i="14"/>
  <c r="N263" i="14"/>
  <c r="N264" i="14"/>
  <c r="N265" i="14"/>
  <c r="N266" i="14"/>
  <c r="N267" i="14"/>
  <c r="N268" i="14"/>
  <c r="N269" i="14"/>
  <c r="N270" i="14"/>
  <c r="N271" i="14"/>
  <c r="N272" i="14"/>
  <c r="N273" i="14"/>
  <c r="N274" i="14"/>
  <c r="N275" i="14"/>
  <c r="N276" i="14"/>
  <c r="N277" i="14"/>
  <c r="N278" i="14"/>
  <c r="N279" i="14"/>
  <c r="N280" i="14"/>
  <c r="N281" i="14"/>
  <c r="N282" i="14"/>
  <c r="N283" i="14"/>
  <c r="N284" i="14"/>
  <c r="N285" i="14"/>
  <c r="N286" i="14"/>
  <c r="N287" i="14"/>
  <c r="N288" i="14"/>
  <c r="N289" i="14"/>
  <c r="N290" i="14"/>
  <c r="N291" i="14"/>
  <c r="N292" i="14"/>
  <c r="N293" i="14"/>
  <c r="N294" i="14"/>
  <c r="N295" i="14"/>
  <c r="N296" i="14"/>
  <c r="N297" i="14"/>
  <c r="N298" i="14"/>
  <c r="N299" i="14"/>
  <c r="N300" i="14"/>
  <c r="N301" i="14"/>
  <c r="N302" i="14"/>
  <c r="N303" i="14"/>
  <c r="N304" i="14"/>
  <c r="N305" i="14"/>
  <c r="N306" i="14"/>
  <c r="N307" i="14"/>
  <c r="N308" i="14"/>
  <c r="N309" i="14"/>
  <c r="N310" i="14"/>
  <c r="N311" i="14"/>
  <c r="N312" i="14"/>
  <c r="N313" i="14"/>
  <c r="N314" i="14"/>
  <c r="N315" i="14"/>
  <c r="N316" i="14"/>
  <c r="N317" i="14"/>
  <c r="N318" i="14"/>
  <c r="N319" i="14"/>
  <c r="N320" i="14"/>
  <c r="N321" i="14"/>
  <c r="N322" i="14"/>
  <c r="N323" i="14"/>
  <c r="N324" i="14"/>
  <c r="N325" i="14"/>
  <c r="N326" i="14"/>
  <c r="N327" i="14"/>
  <c r="N328" i="14"/>
  <c r="N329" i="14"/>
  <c r="N330" i="14"/>
  <c r="N331" i="14"/>
  <c r="N332" i="14"/>
  <c r="N333" i="14"/>
  <c r="N334" i="14"/>
  <c r="N335" i="14"/>
  <c r="N336" i="14"/>
  <c r="N337" i="14"/>
  <c r="N338" i="14"/>
  <c r="N339" i="14"/>
  <c r="N340" i="14"/>
  <c r="N341" i="14"/>
  <c r="N342" i="14"/>
  <c r="N343" i="14"/>
  <c r="N344" i="14"/>
  <c r="N345" i="14"/>
  <c r="N346" i="14"/>
  <c r="N347" i="14"/>
  <c r="N348" i="14"/>
  <c r="N349" i="14"/>
  <c r="N350" i="14"/>
  <c r="N351" i="14"/>
  <c r="N352" i="14"/>
  <c r="N353" i="14"/>
  <c r="N354" i="14"/>
  <c r="N355" i="14"/>
  <c r="N356" i="14"/>
  <c r="N357" i="14"/>
  <c r="N358" i="14"/>
  <c r="N359" i="14"/>
  <c r="N360" i="14"/>
  <c r="N361" i="14"/>
  <c r="N362" i="14"/>
  <c r="N363" i="14"/>
  <c r="N364" i="14"/>
  <c r="N365" i="14"/>
  <c r="N366" i="14"/>
  <c r="N367" i="14"/>
  <c r="N368" i="14"/>
  <c r="N369" i="14"/>
  <c r="N370" i="14"/>
  <c r="N371" i="14"/>
  <c r="N372" i="14"/>
  <c r="N373" i="14"/>
  <c r="N374" i="14"/>
  <c r="N375" i="14"/>
  <c r="N376" i="14"/>
  <c r="N377" i="14"/>
  <c r="N378" i="14"/>
  <c r="N379" i="14"/>
  <c r="N380" i="14"/>
  <c r="N381" i="14"/>
  <c r="N382" i="14"/>
  <c r="N383" i="14"/>
  <c r="N384" i="14"/>
  <c r="N385" i="14"/>
  <c r="N386" i="14"/>
  <c r="N387" i="14"/>
  <c r="N388" i="14"/>
  <c r="N389" i="14"/>
  <c r="N390" i="14"/>
  <c r="N391" i="14"/>
  <c r="N392" i="14"/>
  <c r="N393" i="14"/>
  <c r="N394" i="14"/>
  <c r="N395" i="14"/>
  <c r="N396" i="14"/>
  <c r="N397" i="14"/>
  <c r="N398" i="14"/>
  <c r="N399" i="14"/>
  <c r="N400" i="14"/>
  <c r="N401" i="14"/>
  <c r="N402" i="14"/>
  <c r="N403" i="14"/>
  <c r="N404" i="14"/>
  <c r="N405" i="14"/>
  <c r="N406" i="14"/>
  <c r="N407" i="14"/>
  <c r="N408" i="14"/>
  <c r="N409" i="14"/>
  <c r="N410" i="14"/>
  <c r="N411" i="14"/>
  <c r="N412" i="14"/>
  <c r="N413" i="14"/>
  <c r="N414" i="14"/>
  <c r="N415" i="14"/>
  <c r="N416" i="14"/>
  <c r="N417" i="14"/>
  <c r="N418" i="14"/>
  <c r="N419" i="14"/>
  <c r="N420" i="14"/>
  <c r="N421" i="14"/>
  <c r="N422" i="14"/>
  <c r="N423" i="14"/>
  <c r="N424" i="14"/>
  <c r="N425" i="14"/>
  <c r="N426" i="14"/>
  <c r="N427" i="14"/>
  <c r="N428" i="14"/>
  <c r="N429" i="14"/>
  <c r="N430" i="14"/>
  <c r="N431" i="14"/>
  <c r="N432" i="14"/>
  <c r="N433" i="14"/>
  <c r="N434" i="14"/>
  <c r="N435" i="14"/>
  <c r="N436" i="14"/>
  <c r="N437" i="14"/>
  <c r="N438" i="14"/>
  <c r="N439" i="14"/>
  <c r="N440" i="14"/>
  <c r="N441" i="14"/>
  <c r="N442" i="14"/>
  <c r="N443" i="14"/>
  <c r="N444" i="14"/>
  <c r="N445" i="14"/>
  <c r="N446" i="14"/>
  <c r="N447" i="14"/>
  <c r="N448" i="14"/>
  <c r="N449" i="14"/>
  <c r="N450" i="14"/>
  <c r="N451" i="14"/>
  <c r="N452" i="14"/>
  <c r="N453" i="14"/>
  <c r="N454" i="14"/>
  <c r="N455" i="14"/>
  <c r="N456" i="14"/>
  <c r="N457" i="14"/>
  <c r="N458" i="14"/>
  <c r="N459" i="14"/>
  <c r="N460" i="14"/>
  <c r="N461" i="14"/>
  <c r="N462" i="14"/>
  <c r="N463" i="14"/>
  <c r="N464" i="14"/>
  <c r="N465" i="14"/>
  <c r="N466" i="14"/>
  <c r="N467" i="14"/>
  <c r="N468" i="14"/>
  <c r="N469" i="14"/>
  <c r="N470" i="14"/>
  <c r="N471" i="14"/>
  <c r="N472" i="14"/>
  <c r="N473" i="14"/>
  <c r="N474" i="14"/>
  <c r="N475" i="14"/>
  <c r="N476" i="14"/>
  <c r="N477" i="14"/>
  <c r="N478" i="14"/>
  <c r="N479" i="14"/>
  <c r="N480" i="14"/>
  <c r="N481" i="14"/>
  <c r="N482" i="14"/>
  <c r="N483" i="14"/>
  <c r="N484" i="14"/>
  <c r="N485" i="14"/>
  <c r="N486" i="14"/>
  <c r="N487" i="14"/>
  <c r="N488" i="14"/>
  <c r="N489" i="14"/>
  <c r="N490" i="14"/>
  <c r="N491" i="14"/>
  <c r="N492" i="14"/>
  <c r="N493" i="14"/>
  <c r="N494" i="14"/>
  <c r="N495" i="14"/>
  <c r="N496" i="14"/>
  <c r="N497" i="14"/>
  <c r="N498" i="14"/>
  <c r="N499" i="14"/>
  <c r="N500" i="14"/>
  <c r="N501" i="14"/>
  <c r="N502" i="14"/>
  <c r="N503" i="14"/>
  <c r="N504" i="14"/>
  <c r="N505" i="14"/>
  <c r="N506" i="14"/>
  <c r="N507" i="14"/>
  <c r="N508" i="14"/>
  <c r="N509" i="14"/>
  <c r="N510" i="14"/>
  <c r="N511" i="14"/>
  <c r="N512" i="14"/>
  <c r="N513" i="14"/>
  <c r="N514" i="14"/>
  <c r="N515" i="14"/>
  <c r="N516" i="14"/>
  <c r="N517" i="14"/>
  <c r="N518" i="14"/>
  <c r="N519" i="14"/>
  <c r="N520" i="14"/>
  <c r="N521" i="14"/>
  <c r="N522" i="14"/>
  <c r="N523" i="14"/>
  <c r="N524" i="14"/>
  <c r="N525" i="14"/>
  <c r="N526" i="14"/>
  <c r="N527" i="14"/>
  <c r="N528" i="14"/>
  <c r="N529" i="14"/>
  <c r="N530" i="14"/>
  <c r="N531" i="14"/>
  <c r="N532" i="14"/>
  <c r="N533" i="14"/>
  <c r="N534" i="14"/>
  <c r="N535" i="14"/>
  <c r="N536" i="14"/>
  <c r="N537" i="14"/>
  <c r="N538" i="14"/>
  <c r="N539" i="14"/>
  <c r="N540" i="14"/>
  <c r="N541" i="14"/>
  <c r="N542" i="14"/>
  <c r="N543" i="14"/>
  <c r="N544" i="14"/>
  <c r="N545" i="14"/>
  <c r="N546" i="14"/>
  <c r="N547" i="14"/>
  <c r="N548" i="14"/>
  <c r="N549" i="14"/>
  <c r="N550" i="14"/>
  <c r="N551" i="14"/>
  <c r="N552" i="14"/>
  <c r="N553" i="14"/>
  <c r="N554" i="14"/>
  <c r="N555" i="14"/>
  <c r="N556" i="14"/>
  <c r="N557" i="14"/>
  <c r="N558" i="14"/>
  <c r="N559" i="14"/>
  <c r="N560" i="14"/>
  <c r="N561" i="14"/>
  <c r="N562" i="14"/>
  <c r="N563" i="14"/>
  <c r="N564" i="14"/>
  <c r="N565" i="14"/>
  <c r="N566" i="14"/>
  <c r="N567" i="14"/>
  <c r="N568" i="14"/>
  <c r="N569" i="14"/>
  <c r="N570" i="14"/>
  <c r="N571" i="14"/>
  <c r="N572" i="14"/>
  <c r="N573" i="14"/>
  <c r="N574" i="14"/>
  <c r="N575" i="14"/>
  <c r="N576" i="14"/>
  <c r="N577" i="14"/>
  <c r="N578" i="14"/>
  <c r="N579" i="14"/>
  <c r="N580" i="14"/>
  <c r="N581" i="14"/>
  <c r="N582" i="14"/>
  <c r="N583" i="14"/>
  <c r="N584" i="14"/>
  <c r="N585" i="14"/>
  <c r="N586" i="14"/>
  <c r="N587" i="14"/>
  <c r="N588" i="14"/>
  <c r="N589" i="14"/>
  <c r="N590" i="14"/>
  <c r="N591" i="14"/>
  <c r="N592" i="14"/>
  <c r="N593" i="14"/>
  <c r="N594" i="14"/>
  <c r="N595" i="14"/>
  <c r="N596" i="14"/>
  <c r="N597" i="14"/>
  <c r="N598" i="14"/>
  <c r="N599" i="14"/>
  <c r="N600" i="14"/>
  <c r="N601" i="14"/>
  <c r="N602" i="14"/>
  <c r="N603" i="14"/>
  <c r="N604" i="14"/>
  <c r="N605" i="14"/>
  <c r="N606" i="14"/>
  <c r="N607" i="14"/>
  <c r="N608" i="14"/>
  <c r="N609" i="14"/>
  <c r="N610" i="14"/>
  <c r="N611" i="14"/>
  <c r="N612" i="14"/>
  <c r="N613" i="14"/>
  <c r="N614" i="14"/>
  <c r="N615" i="14"/>
  <c r="N616" i="14"/>
  <c r="N617" i="14"/>
  <c r="N618" i="14"/>
  <c r="N619" i="14"/>
  <c r="N620" i="14"/>
  <c r="N621" i="14"/>
  <c r="N622" i="14"/>
  <c r="N623" i="14"/>
  <c r="N624" i="14"/>
  <c r="N625" i="14"/>
  <c r="N626" i="14"/>
  <c r="N627" i="14"/>
  <c r="N628" i="14"/>
  <c r="N629" i="14"/>
  <c r="N630" i="14"/>
  <c r="N631" i="14"/>
  <c r="N632" i="14"/>
  <c r="N633" i="14"/>
  <c r="N634" i="14"/>
  <c r="N635" i="14"/>
  <c r="N636" i="14"/>
  <c r="N637" i="14"/>
  <c r="N638" i="14"/>
  <c r="N639" i="14"/>
  <c r="N640" i="14"/>
  <c r="N641" i="14"/>
  <c r="N642" i="14"/>
  <c r="N643" i="14"/>
  <c r="N644" i="14"/>
  <c r="N645" i="14"/>
  <c r="N646" i="14"/>
  <c r="N647" i="14"/>
  <c r="N648" i="14"/>
  <c r="N649" i="14"/>
  <c r="N650" i="14"/>
  <c r="N651" i="14"/>
  <c r="N652" i="14"/>
  <c r="N653" i="14"/>
  <c r="N654" i="14"/>
  <c r="N655" i="14"/>
  <c r="N656" i="14"/>
  <c r="N657" i="14"/>
  <c r="N658" i="14"/>
  <c r="N659" i="14"/>
  <c r="N660" i="14"/>
  <c r="N661" i="14"/>
  <c r="N662" i="14"/>
  <c r="N663" i="14"/>
  <c r="N664" i="14"/>
  <c r="N665" i="14"/>
  <c r="N666" i="14"/>
  <c r="N667" i="14"/>
  <c r="N668" i="14"/>
  <c r="N669" i="14"/>
  <c r="N670" i="14"/>
  <c r="N671" i="14"/>
  <c r="N672" i="14"/>
  <c r="N673" i="14"/>
  <c r="N674" i="14"/>
  <c r="N675" i="14"/>
  <c r="N676" i="14"/>
  <c r="N677" i="14"/>
  <c r="N678" i="14"/>
  <c r="N679" i="14"/>
  <c r="N680" i="14"/>
  <c r="N681" i="14"/>
  <c r="N682" i="14"/>
  <c r="N683" i="14"/>
  <c r="N684" i="14"/>
  <c r="N685" i="14"/>
  <c r="N686" i="14"/>
  <c r="N687" i="14"/>
  <c r="N688" i="14"/>
  <c r="N689" i="14"/>
  <c r="N690" i="14"/>
  <c r="N691" i="14"/>
  <c r="N692" i="14"/>
  <c r="N693" i="14"/>
  <c r="N694" i="14"/>
  <c r="N695" i="14"/>
  <c r="N696" i="14"/>
  <c r="N697" i="14"/>
  <c r="N698" i="14"/>
  <c r="N699" i="14"/>
  <c r="N700" i="14"/>
  <c r="N701" i="14"/>
  <c r="N702" i="14"/>
  <c r="N703" i="14"/>
  <c r="N704" i="14"/>
  <c r="N705" i="14"/>
  <c r="N706" i="14"/>
  <c r="N707" i="14"/>
  <c r="N708" i="14"/>
  <c r="N709" i="14"/>
  <c r="N710" i="14"/>
  <c r="N711" i="14"/>
  <c r="N712" i="14"/>
  <c r="N713" i="14"/>
  <c r="N714" i="14"/>
  <c r="N715" i="14"/>
  <c r="N716" i="14"/>
  <c r="N717" i="14"/>
  <c r="N718" i="14"/>
  <c r="N719" i="14"/>
  <c r="N720" i="14"/>
  <c r="N721" i="14"/>
  <c r="N722" i="14"/>
  <c r="N723" i="14"/>
  <c r="N724" i="14"/>
  <c r="N725" i="14"/>
  <c r="N726" i="14"/>
  <c r="N727" i="14"/>
  <c r="N728" i="14"/>
  <c r="N729" i="14"/>
  <c r="N730" i="14"/>
  <c r="N731" i="14"/>
  <c r="N732" i="14"/>
  <c r="N733" i="14"/>
  <c r="N734" i="14"/>
  <c r="N735" i="14"/>
  <c r="N736" i="14"/>
  <c r="N737" i="14"/>
  <c r="N738" i="14"/>
  <c r="N739" i="14"/>
  <c r="N740" i="14"/>
  <c r="N741" i="14"/>
  <c r="N742" i="14"/>
  <c r="N743" i="14"/>
  <c r="N744" i="14"/>
  <c r="N745" i="14"/>
  <c r="N746" i="14"/>
  <c r="N747" i="14"/>
  <c r="N748" i="14"/>
  <c r="N749" i="14"/>
  <c r="N750" i="14"/>
  <c r="N751" i="14"/>
  <c r="N752" i="14"/>
  <c r="N753" i="14"/>
  <c r="N754" i="14"/>
  <c r="N755" i="14"/>
  <c r="N756" i="14"/>
  <c r="N757" i="14"/>
  <c r="N758" i="14"/>
  <c r="N759" i="14"/>
  <c r="N760" i="14"/>
  <c r="N761" i="14"/>
  <c r="N762" i="14"/>
  <c r="N763" i="14"/>
  <c r="N764" i="14"/>
  <c r="N765" i="14"/>
  <c r="N766" i="14"/>
  <c r="N767" i="14"/>
  <c r="N768" i="14"/>
  <c r="N769" i="14"/>
  <c r="N770" i="14"/>
  <c r="N771" i="14"/>
  <c r="N772" i="14"/>
  <c r="N773" i="14"/>
  <c r="N774" i="14"/>
  <c r="N775" i="14"/>
  <c r="N776" i="14"/>
  <c r="N777" i="14"/>
  <c r="N778" i="14"/>
  <c r="N779" i="14"/>
  <c r="N780" i="14"/>
  <c r="N781" i="14"/>
  <c r="N782" i="14"/>
  <c r="N783" i="14"/>
  <c r="N784" i="14"/>
  <c r="N785" i="14"/>
  <c r="N786" i="14"/>
  <c r="N787" i="14"/>
  <c r="N788" i="14"/>
  <c r="N789" i="14"/>
  <c r="N790" i="14"/>
  <c r="M3" i="14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M61" i="14"/>
  <c r="M62" i="14"/>
  <c r="M63" i="14"/>
  <c r="M64" i="14"/>
  <c r="M65" i="14"/>
  <c r="M66" i="14"/>
  <c r="M67" i="14"/>
  <c r="M68" i="14"/>
  <c r="M69" i="14"/>
  <c r="M70" i="14"/>
  <c r="M71" i="14"/>
  <c r="M72" i="14"/>
  <c r="M73" i="14"/>
  <c r="M74" i="14"/>
  <c r="M75" i="14"/>
  <c r="M76" i="14"/>
  <c r="M77" i="14"/>
  <c r="M78" i="14"/>
  <c r="M79" i="14"/>
  <c r="M80" i="14"/>
  <c r="M81" i="14"/>
  <c r="M82" i="14"/>
  <c r="M83" i="14"/>
  <c r="M84" i="14"/>
  <c r="M85" i="14"/>
  <c r="M86" i="14"/>
  <c r="M87" i="14"/>
  <c r="M88" i="14"/>
  <c r="M89" i="14"/>
  <c r="M90" i="14"/>
  <c r="M91" i="14"/>
  <c r="M92" i="14"/>
  <c r="M93" i="14"/>
  <c r="M94" i="14"/>
  <c r="M95" i="14"/>
  <c r="M96" i="14"/>
  <c r="M97" i="14"/>
  <c r="M98" i="14"/>
  <c r="M99" i="14"/>
  <c r="M100" i="14"/>
  <c r="M101" i="14"/>
  <c r="M102" i="14"/>
  <c r="M103" i="14"/>
  <c r="M104" i="14"/>
  <c r="M105" i="14"/>
  <c r="M106" i="14"/>
  <c r="M107" i="14"/>
  <c r="M108" i="14"/>
  <c r="M109" i="14"/>
  <c r="M110" i="14"/>
  <c r="M111" i="14"/>
  <c r="M112" i="14"/>
  <c r="M113" i="14"/>
  <c r="M114" i="14"/>
  <c r="M115" i="14"/>
  <c r="M116" i="14"/>
  <c r="M117" i="14"/>
  <c r="M118" i="14"/>
  <c r="M119" i="14"/>
  <c r="M120" i="14"/>
  <c r="M121" i="14"/>
  <c r="M122" i="14"/>
  <c r="M123" i="14"/>
  <c r="M124" i="14"/>
  <c r="M125" i="14"/>
  <c r="M126" i="14"/>
  <c r="M127" i="14"/>
  <c r="M128" i="14"/>
  <c r="M129" i="14"/>
  <c r="M130" i="14"/>
  <c r="M131" i="14"/>
  <c r="M132" i="14"/>
  <c r="M133" i="14"/>
  <c r="M134" i="14"/>
  <c r="M135" i="14"/>
  <c r="M136" i="14"/>
  <c r="M137" i="14"/>
  <c r="M138" i="14"/>
  <c r="M139" i="14"/>
  <c r="M140" i="14"/>
  <c r="M141" i="14"/>
  <c r="M142" i="14"/>
  <c r="M143" i="14"/>
  <c r="M144" i="14"/>
  <c r="M145" i="14"/>
  <c r="M146" i="14"/>
  <c r="M147" i="14"/>
  <c r="M148" i="14"/>
  <c r="M149" i="14"/>
  <c r="M150" i="14"/>
  <c r="M151" i="14"/>
  <c r="M152" i="14"/>
  <c r="M153" i="14"/>
  <c r="M154" i="14"/>
  <c r="M155" i="14"/>
  <c r="M156" i="14"/>
  <c r="M157" i="14"/>
  <c r="M158" i="14"/>
  <c r="M159" i="14"/>
  <c r="M160" i="14"/>
  <c r="M161" i="14"/>
  <c r="M162" i="14"/>
  <c r="M163" i="14"/>
  <c r="M164" i="14"/>
  <c r="M165" i="14"/>
  <c r="M166" i="14"/>
  <c r="M167" i="14"/>
  <c r="M168" i="14"/>
  <c r="M169" i="14"/>
  <c r="M170" i="14"/>
  <c r="M171" i="14"/>
  <c r="M172" i="14"/>
  <c r="M173" i="14"/>
  <c r="M174" i="14"/>
  <c r="M175" i="14"/>
  <c r="M176" i="14"/>
  <c r="M177" i="14"/>
  <c r="M178" i="14"/>
  <c r="M179" i="14"/>
  <c r="M180" i="14"/>
  <c r="M181" i="14"/>
  <c r="M182" i="14"/>
  <c r="M183" i="14"/>
  <c r="M184" i="14"/>
  <c r="M185" i="14"/>
  <c r="M186" i="14"/>
  <c r="M187" i="14"/>
  <c r="M188" i="14"/>
  <c r="M189" i="14"/>
  <c r="M190" i="14"/>
  <c r="M191" i="14"/>
  <c r="M192" i="14"/>
  <c r="M193" i="14"/>
  <c r="M194" i="14"/>
  <c r="M195" i="14"/>
  <c r="M196" i="14"/>
  <c r="M197" i="14"/>
  <c r="M198" i="14"/>
  <c r="M199" i="14"/>
  <c r="M200" i="14"/>
  <c r="M201" i="14"/>
  <c r="M202" i="14"/>
  <c r="M203" i="14"/>
  <c r="M204" i="14"/>
  <c r="M205" i="14"/>
  <c r="M206" i="14"/>
  <c r="M207" i="14"/>
  <c r="M208" i="14"/>
  <c r="M209" i="14"/>
  <c r="M210" i="14"/>
  <c r="M211" i="14"/>
  <c r="M212" i="14"/>
  <c r="M213" i="14"/>
  <c r="M214" i="14"/>
  <c r="M215" i="14"/>
  <c r="M216" i="14"/>
  <c r="M217" i="14"/>
  <c r="M218" i="14"/>
  <c r="M219" i="14"/>
  <c r="M220" i="14"/>
  <c r="M221" i="14"/>
  <c r="M222" i="14"/>
  <c r="M223" i="14"/>
  <c r="M224" i="14"/>
  <c r="M225" i="14"/>
  <c r="M226" i="14"/>
  <c r="M227" i="14"/>
  <c r="M228" i="14"/>
  <c r="M229" i="14"/>
  <c r="M230" i="14"/>
  <c r="M231" i="14"/>
  <c r="M232" i="14"/>
  <c r="M233" i="14"/>
  <c r="M234" i="14"/>
  <c r="M235" i="14"/>
  <c r="M236" i="14"/>
  <c r="M237" i="14"/>
  <c r="M238" i="14"/>
  <c r="M239" i="14"/>
  <c r="M240" i="14"/>
  <c r="M241" i="14"/>
  <c r="M242" i="14"/>
  <c r="M243" i="14"/>
  <c r="M244" i="14"/>
  <c r="M245" i="14"/>
  <c r="M246" i="14"/>
  <c r="M247" i="14"/>
  <c r="M248" i="14"/>
  <c r="M249" i="14"/>
  <c r="M250" i="14"/>
  <c r="M251" i="14"/>
  <c r="M252" i="14"/>
  <c r="M253" i="14"/>
  <c r="M254" i="14"/>
  <c r="M255" i="14"/>
  <c r="M256" i="14"/>
  <c r="M257" i="14"/>
  <c r="M258" i="14"/>
  <c r="M259" i="14"/>
  <c r="M260" i="14"/>
  <c r="M261" i="14"/>
  <c r="M262" i="14"/>
  <c r="M263" i="14"/>
  <c r="M264" i="14"/>
  <c r="M265" i="14"/>
  <c r="M266" i="14"/>
  <c r="M267" i="14"/>
  <c r="M268" i="14"/>
  <c r="M269" i="14"/>
  <c r="M270" i="14"/>
  <c r="M271" i="14"/>
  <c r="M272" i="14"/>
  <c r="M273" i="14"/>
  <c r="M274" i="14"/>
  <c r="M275" i="14"/>
  <c r="M276" i="14"/>
  <c r="M277" i="14"/>
  <c r="M278" i="14"/>
  <c r="M279" i="14"/>
  <c r="M280" i="14"/>
  <c r="M281" i="14"/>
  <c r="M282" i="14"/>
  <c r="M283" i="14"/>
  <c r="M284" i="14"/>
  <c r="M285" i="14"/>
  <c r="M286" i="14"/>
  <c r="M287" i="14"/>
  <c r="M288" i="14"/>
  <c r="M289" i="14"/>
  <c r="M290" i="14"/>
  <c r="M291" i="14"/>
  <c r="M292" i="14"/>
  <c r="M293" i="14"/>
  <c r="M294" i="14"/>
  <c r="M295" i="14"/>
  <c r="M296" i="14"/>
  <c r="M297" i="14"/>
  <c r="M298" i="14"/>
  <c r="M299" i="14"/>
  <c r="M300" i="14"/>
  <c r="M301" i="14"/>
  <c r="M302" i="14"/>
  <c r="M303" i="14"/>
  <c r="M304" i="14"/>
  <c r="M305" i="14"/>
  <c r="M306" i="14"/>
  <c r="M307" i="14"/>
  <c r="M308" i="14"/>
  <c r="M309" i="14"/>
  <c r="M310" i="14"/>
  <c r="M311" i="14"/>
  <c r="M312" i="14"/>
  <c r="M313" i="14"/>
  <c r="M314" i="14"/>
  <c r="M315" i="14"/>
  <c r="M316" i="14"/>
  <c r="M317" i="14"/>
  <c r="M318" i="14"/>
  <c r="M319" i="14"/>
  <c r="M320" i="14"/>
  <c r="M321" i="14"/>
  <c r="M322" i="14"/>
  <c r="M323" i="14"/>
  <c r="M324" i="14"/>
  <c r="M325" i="14"/>
  <c r="M326" i="14"/>
  <c r="M327" i="14"/>
  <c r="M328" i="14"/>
  <c r="M329" i="14"/>
  <c r="M330" i="14"/>
  <c r="M331" i="14"/>
  <c r="M332" i="14"/>
  <c r="M333" i="14"/>
  <c r="M334" i="14"/>
  <c r="M335" i="14"/>
  <c r="M336" i="14"/>
  <c r="M337" i="14"/>
  <c r="M338" i="14"/>
  <c r="M339" i="14"/>
  <c r="M340" i="14"/>
  <c r="M341" i="14"/>
  <c r="M342" i="14"/>
  <c r="M343" i="14"/>
  <c r="M344" i="14"/>
  <c r="M345" i="14"/>
  <c r="M346" i="14"/>
  <c r="M347" i="14"/>
  <c r="M348" i="14"/>
  <c r="M349" i="14"/>
  <c r="M350" i="14"/>
  <c r="M351" i="14"/>
  <c r="M352" i="14"/>
  <c r="M353" i="14"/>
  <c r="M354" i="14"/>
  <c r="M355" i="14"/>
  <c r="M356" i="14"/>
  <c r="M357" i="14"/>
  <c r="M358" i="14"/>
  <c r="M359" i="14"/>
  <c r="M360" i="14"/>
  <c r="M361" i="14"/>
  <c r="M362" i="14"/>
  <c r="M363" i="14"/>
  <c r="M364" i="14"/>
  <c r="M365" i="14"/>
  <c r="M366" i="14"/>
  <c r="M367" i="14"/>
  <c r="M368" i="14"/>
  <c r="M369" i="14"/>
  <c r="M370" i="14"/>
  <c r="M371" i="14"/>
  <c r="M372" i="14"/>
  <c r="M373" i="14"/>
  <c r="M374" i="14"/>
  <c r="M375" i="14"/>
  <c r="M376" i="14"/>
  <c r="M377" i="14"/>
  <c r="M378" i="14"/>
  <c r="M379" i="14"/>
  <c r="M380" i="14"/>
  <c r="M381" i="14"/>
  <c r="M382" i="14"/>
  <c r="M383" i="14"/>
  <c r="M384" i="14"/>
  <c r="M385" i="14"/>
  <c r="M386" i="14"/>
  <c r="M387" i="14"/>
  <c r="M388" i="14"/>
  <c r="M389" i="14"/>
  <c r="M390" i="14"/>
  <c r="M391" i="14"/>
  <c r="M392" i="14"/>
  <c r="M393" i="14"/>
  <c r="M394" i="14"/>
  <c r="M395" i="14"/>
  <c r="M396" i="14"/>
  <c r="M397" i="14"/>
  <c r="M398" i="14"/>
  <c r="M399" i="14"/>
  <c r="M400" i="14"/>
  <c r="M401" i="14"/>
  <c r="M402" i="14"/>
  <c r="M403" i="14"/>
  <c r="M404" i="14"/>
  <c r="M405" i="14"/>
  <c r="M406" i="14"/>
  <c r="M407" i="14"/>
  <c r="M408" i="14"/>
  <c r="M409" i="14"/>
  <c r="M410" i="14"/>
  <c r="M411" i="14"/>
  <c r="M412" i="14"/>
  <c r="M413" i="14"/>
  <c r="M414" i="14"/>
  <c r="M415" i="14"/>
  <c r="M416" i="14"/>
  <c r="M417" i="14"/>
  <c r="M418" i="14"/>
  <c r="M419" i="14"/>
  <c r="M420" i="14"/>
  <c r="M421" i="14"/>
  <c r="M422" i="14"/>
  <c r="M423" i="14"/>
  <c r="M424" i="14"/>
  <c r="M425" i="14"/>
  <c r="M426" i="14"/>
  <c r="M427" i="14"/>
  <c r="M428" i="14"/>
  <c r="M429" i="14"/>
  <c r="M430" i="14"/>
  <c r="M431" i="14"/>
  <c r="M432" i="14"/>
  <c r="M433" i="14"/>
  <c r="M434" i="14"/>
  <c r="M435" i="14"/>
  <c r="M436" i="14"/>
  <c r="M437" i="14"/>
  <c r="M438" i="14"/>
  <c r="M439" i="14"/>
  <c r="M440" i="14"/>
  <c r="M441" i="14"/>
  <c r="M442" i="14"/>
  <c r="M443" i="14"/>
  <c r="M444" i="14"/>
  <c r="M445" i="14"/>
  <c r="M446" i="14"/>
  <c r="M447" i="14"/>
  <c r="M448" i="14"/>
  <c r="M449" i="14"/>
  <c r="M450" i="14"/>
  <c r="M451" i="14"/>
  <c r="M452" i="14"/>
  <c r="M453" i="14"/>
  <c r="M454" i="14"/>
  <c r="M455" i="14"/>
  <c r="M456" i="14"/>
  <c r="M457" i="14"/>
  <c r="M458" i="14"/>
  <c r="M459" i="14"/>
  <c r="M460" i="14"/>
  <c r="M461" i="14"/>
  <c r="M462" i="14"/>
  <c r="M463" i="14"/>
  <c r="M464" i="14"/>
  <c r="M465" i="14"/>
  <c r="M466" i="14"/>
  <c r="M467" i="14"/>
  <c r="M468" i="14"/>
  <c r="M469" i="14"/>
  <c r="M470" i="14"/>
  <c r="M471" i="14"/>
  <c r="M472" i="14"/>
  <c r="M473" i="14"/>
  <c r="M474" i="14"/>
  <c r="M475" i="14"/>
  <c r="M476" i="14"/>
  <c r="M477" i="14"/>
  <c r="M478" i="14"/>
  <c r="M479" i="14"/>
  <c r="M480" i="14"/>
  <c r="M481" i="14"/>
  <c r="M482" i="14"/>
  <c r="M483" i="14"/>
  <c r="M484" i="14"/>
  <c r="M485" i="14"/>
  <c r="M486" i="14"/>
  <c r="M487" i="14"/>
  <c r="M488" i="14"/>
  <c r="M489" i="14"/>
  <c r="M490" i="14"/>
  <c r="M491" i="14"/>
  <c r="M492" i="14"/>
  <c r="M493" i="14"/>
  <c r="M494" i="14"/>
  <c r="M495" i="14"/>
  <c r="M496" i="14"/>
  <c r="M497" i="14"/>
  <c r="M498" i="14"/>
  <c r="M499" i="14"/>
  <c r="M500" i="14"/>
  <c r="M501" i="14"/>
  <c r="M502" i="14"/>
  <c r="M503" i="14"/>
  <c r="M504" i="14"/>
  <c r="M505" i="14"/>
  <c r="M506" i="14"/>
  <c r="M507" i="14"/>
  <c r="M508" i="14"/>
  <c r="M509" i="14"/>
  <c r="M510" i="14"/>
  <c r="M511" i="14"/>
  <c r="M512" i="14"/>
  <c r="M513" i="14"/>
  <c r="M514" i="14"/>
  <c r="M515" i="14"/>
  <c r="M516" i="14"/>
  <c r="M517" i="14"/>
  <c r="M518" i="14"/>
  <c r="M519" i="14"/>
  <c r="M520" i="14"/>
  <c r="M521" i="14"/>
  <c r="M522" i="14"/>
  <c r="M523" i="14"/>
  <c r="M524" i="14"/>
  <c r="M525" i="14"/>
  <c r="M526" i="14"/>
  <c r="M527" i="14"/>
  <c r="M528" i="14"/>
  <c r="M529" i="14"/>
  <c r="M530" i="14"/>
  <c r="M531" i="14"/>
  <c r="M532" i="14"/>
  <c r="M533" i="14"/>
  <c r="M534" i="14"/>
  <c r="M535" i="14"/>
  <c r="M536" i="14"/>
  <c r="M537" i="14"/>
  <c r="M538" i="14"/>
  <c r="M539" i="14"/>
  <c r="M540" i="14"/>
  <c r="M541" i="14"/>
  <c r="M542" i="14"/>
  <c r="M543" i="14"/>
  <c r="M544" i="14"/>
  <c r="M545" i="14"/>
  <c r="M546" i="14"/>
  <c r="M547" i="14"/>
  <c r="M548" i="14"/>
  <c r="M549" i="14"/>
  <c r="M550" i="14"/>
  <c r="M551" i="14"/>
  <c r="M552" i="14"/>
  <c r="M553" i="14"/>
  <c r="M554" i="14"/>
  <c r="M555" i="14"/>
  <c r="M556" i="14"/>
  <c r="M557" i="14"/>
  <c r="M558" i="14"/>
  <c r="M559" i="14"/>
  <c r="M560" i="14"/>
  <c r="M561" i="14"/>
  <c r="M562" i="14"/>
  <c r="M563" i="14"/>
  <c r="M564" i="14"/>
  <c r="M565" i="14"/>
  <c r="M566" i="14"/>
  <c r="M567" i="14"/>
  <c r="M568" i="14"/>
  <c r="M569" i="14"/>
  <c r="M570" i="14"/>
  <c r="M571" i="14"/>
  <c r="M572" i="14"/>
  <c r="M573" i="14"/>
  <c r="M574" i="14"/>
  <c r="M575" i="14"/>
  <c r="M576" i="14"/>
  <c r="M577" i="14"/>
  <c r="M578" i="14"/>
  <c r="M579" i="14"/>
  <c r="M580" i="14"/>
  <c r="M581" i="14"/>
  <c r="M582" i="14"/>
  <c r="M583" i="14"/>
  <c r="M584" i="14"/>
  <c r="M585" i="14"/>
  <c r="M586" i="14"/>
  <c r="M587" i="14"/>
  <c r="M588" i="14"/>
  <c r="M589" i="14"/>
  <c r="M590" i="14"/>
  <c r="M591" i="14"/>
  <c r="M592" i="14"/>
  <c r="M593" i="14"/>
  <c r="M594" i="14"/>
  <c r="M595" i="14"/>
  <c r="M596" i="14"/>
  <c r="M597" i="14"/>
  <c r="M598" i="14"/>
  <c r="M599" i="14"/>
  <c r="M600" i="14"/>
  <c r="M601" i="14"/>
  <c r="M602" i="14"/>
  <c r="M603" i="14"/>
  <c r="M604" i="14"/>
  <c r="M605" i="14"/>
  <c r="M606" i="14"/>
  <c r="M607" i="14"/>
  <c r="M608" i="14"/>
  <c r="M609" i="14"/>
  <c r="M610" i="14"/>
  <c r="M611" i="14"/>
  <c r="M612" i="14"/>
  <c r="M613" i="14"/>
  <c r="M614" i="14"/>
  <c r="M615" i="14"/>
  <c r="M616" i="14"/>
  <c r="M617" i="14"/>
  <c r="M618" i="14"/>
  <c r="M619" i="14"/>
  <c r="M620" i="14"/>
  <c r="M621" i="14"/>
  <c r="M622" i="14"/>
  <c r="M623" i="14"/>
  <c r="M624" i="14"/>
  <c r="M625" i="14"/>
  <c r="M626" i="14"/>
  <c r="M627" i="14"/>
  <c r="M628" i="14"/>
  <c r="M629" i="14"/>
  <c r="M630" i="14"/>
  <c r="M631" i="14"/>
  <c r="M632" i="14"/>
  <c r="M633" i="14"/>
  <c r="M634" i="14"/>
  <c r="M635" i="14"/>
  <c r="M636" i="14"/>
  <c r="M637" i="14"/>
  <c r="M638" i="14"/>
  <c r="M639" i="14"/>
  <c r="M640" i="14"/>
  <c r="M641" i="14"/>
  <c r="M642" i="14"/>
  <c r="M643" i="14"/>
  <c r="M644" i="14"/>
  <c r="M645" i="14"/>
  <c r="M646" i="14"/>
  <c r="M647" i="14"/>
  <c r="M648" i="14"/>
  <c r="M649" i="14"/>
  <c r="M650" i="14"/>
  <c r="M651" i="14"/>
  <c r="M652" i="14"/>
  <c r="M653" i="14"/>
  <c r="M654" i="14"/>
  <c r="M655" i="14"/>
  <c r="M656" i="14"/>
  <c r="M657" i="14"/>
  <c r="M658" i="14"/>
  <c r="M659" i="14"/>
  <c r="M660" i="14"/>
  <c r="M661" i="14"/>
  <c r="M662" i="14"/>
  <c r="M663" i="14"/>
  <c r="M664" i="14"/>
  <c r="M665" i="14"/>
  <c r="M666" i="14"/>
  <c r="M667" i="14"/>
  <c r="M668" i="14"/>
  <c r="M669" i="14"/>
  <c r="M670" i="14"/>
  <c r="M671" i="14"/>
  <c r="M672" i="14"/>
  <c r="M673" i="14"/>
  <c r="M674" i="14"/>
  <c r="M675" i="14"/>
  <c r="M676" i="14"/>
  <c r="M677" i="14"/>
  <c r="M678" i="14"/>
  <c r="M679" i="14"/>
  <c r="M680" i="14"/>
  <c r="M681" i="14"/>
  <c r="M682" i="14"/>
  <c r="M683" i="14"/>
  <c r="M684" i="14"/>
  <c r="M685" i="14"/>
  <c r="M686" i="14"/>
  <c r="M687" i="14"/>
  <c r="M688" i="14"/>
  <c r="M689" i="14"/>
  <c r="M690" i="14"/>
  <c r="M691" i="14"/>
  <c r="M692" i="14"/>
  <c r="M693" i="14"/>
  <c r="M694" i="14"/>
  <c r="M695" i="14"/>
  <c r="M696" i="14"/>
  <c r="M697" i="14"/>
  <c r="M698" i="14"/>
  <c r="M699" i="14"/>
  <c r="M700" i="14"/>
  <c r="M701" i="14"/>
  <c r="M702" i="14"/>
  <c r="M703" i="14"/>
  <c r="M704" i="14"/>
  <c r="M705" i="14"/>
  <c r="M706" i="14"/>
  <c r="M707" i="14"/>
  <c r="M708" i="14"/>
  <c r="M709" i="14"/>
  <c r="M710" i="14"/>
  <c r="M711" i="14"/>
  <c r="M712" i="14"/>
  <c r="M713" i="14"/>
  <c r="M714" i="14"/>
  <c r="M715" i="14"/>
  <c r="M716" i="14"/>
  <c r="M717" i="14"/>
  <c r="M718" i="14"/>
  <c r="M719" i="14"/>
  <c r="M720" i="14"/>
  <c r="M721" i="14"/>
  <c r="M722" i="14"/>
  <c r="M723" i="14"/>
  <c r="M724" i="14"/>
  <c r="M725" i="14"/>
  <c r="M726" i="14"/>
  <c r="M727" i="14"/>
  <c r="M728" i="14"/>
  <c r="M729" i="14"/>
  <c r="M730" i="14"/>
  <c r="M731" i="14"/>
  <c r="M732" i="14"/>
  <c r="M733" i="14"/>
  <c r="M734" i="14"/>
  <c r="M735" i="14"/>
  <c r="M736" i="14"/>
  <c r="M737" i="14"/>
  <c r="M738" i="14"/>
  <c r="M739" i="14"/>
  <c r="M740" i="14"/>
  <c r="M741" i="14"/>
  <c r="M742" i="14"/>
  <c r="M743" i="14"/>
  <c r="M744" i="14"/>
  <c r="M745" i="14"/>
  <c r="M746" i="14"/>
  <c r="M747" i="14"/>
  <c r="M748" i="14"/>
  <c r="M749" i="14"/>
  <c r="M750" i="14"/>
  <c r="M751" i="14"/>
  <c r="M752" i="14"/>
  <c r="M753" i="14"/>
  <c r="M754" i="14"/>
  <c r="M755" i="14"/>
  <c r="M756" i="14"/>
  <c r="M757" i="14"/>
  <c r="M758" i="14"/>
  <c r="M759" i="14"/>
  <c r="M760" i="14"/>
  <c r="M761" i="14"/>
  <c r="M762" i="14"/>
  <c r="M763" i="14"/>
  <c r="M764" i="14"/>
  <c r="M765" i="14"/>
  <c r="M766" i="14"/>
  <c r="M767" i="14"/>
  <c r="M768" i="14"/>
  <c r="M769" i="14"/>
  <c r="M770" i="14"/>
  <c r="M771" i="14"/>
  <c r="M772" i="14"/>
  <c r="M773" i="14"/>
  <c r="M774" i="14"/>
  <c r="M775" i="14"/>
  <c r="M776" i="14"/>
  <c r="M777" i="14"/>
  <c r="M778" i="14"/>
  <c r="M779" i="14"/>
  <c r="M780" i="14"/>
  <c r="M781" i="14"/>
  <c r="M782" i="14"/>
  <c r="M783" i="14"/>
  <c r="M784" i="14"/>
  <c r="M785" i="14"/>
  <c r="M786" i="14"/>
  <c r="M787" i="14"/>
  <c r="M788" i="14"/>
  <c r="M789" i="14"/>
  <c r="M790" i="14"/>
  <c r="M2" i="14"/>
  <c r="L3" i="14" a="1"/>
  <c r="L3" i="14" s="1"/>
  <c r="L4" i="14" a="1"/>
  <c r="L4" i="14" s="1"/>
  <c r="L5" i="14" a="1"/>
  <c r="L5" i="14" s="1"/>
  <c r="L6" i="14" a="1"/>
  <c r="L6" i="14" s="1"/>
  <c r="L7" i="14" a="1"/>
  <c r="L7" i="14" s="1"/>
  <c r="L8" i="14" a="1"/>
  <c r="L8" i="14"/>
  <c r="L9" i="14" a="1"/>
  <c r="L9" i="14" s="1"/>
  <c r="L10" i="14" a="1"/>
  <c r="L10" i="14" s="1"/>
  <c r="L11" i="14" a="1"/>
  <c r="L11" i="14" s="1"/>
  <c r="L12" i="14" a="1"/>
  <c r="L12" i="14" s="1"/>
  <c r="L13" i="14" a="1"/>
  <c r="L13" i="14"/>
  <c r="L14" i="14" a="1"/>
  <c r="L14" i="14" s="1"/>
  <c r="L15" i="14" a="1"/>
  <c r="L15" i="14"/>
  <c r="L16" i="14" a="1"/>
  <c r="L16" i="14" s="1"/>
  <c r="L17" i="14" a="1"/>
  <c r="L17" i="14"/>
  <c r="L18" i="14" a="1"/>
  <c r="L18" i="14" s="1"/>
  <c r="L19" i="14" a="1"/>
  <c r="L19" i="14" s="1"/>
  <c r="L20" i="14" a="1"/>
  <c r="L20" i="14" s="1"/>
  <c r="L21" i="14" a="1"/>
  <c r="L21" i="14"/>
  <c r="L22" i="14" a="1"/>
  <c r="L22" i="14" s="1"/>
  <c r="L23" i="14" a="1"/>
  <c r="L23" i="14"/>
  <c r="L24" i="14" a="1"/>
  <c r="L24" i="14"/>
  <c r="L25" i="14" a="1"/>
  <c r="L25" i="14"/>
  <c r="L26" i="14" a="1"/>
  <c r="L26" i="14" s="1"/>
  <c r="L27" i="14" a="1"/>
  <c r="L27" i="14" s="1"/>
  <c r="L28" i="14" a="1"/>
  <c r="L28" i="14" s="1"/>
  <c r="L29" i="14" a="1"/>
  <c r="L29" i="14"/>
  <c r="L30" i="14" a="1"/>
  <c r="L30" i="14" s="1"/>
  <c r="L31" i="14" a="1"/>
  <c r="L31" i="14"/>
  <c r="L32" i="14" a="1"/>
  <c r="L32" i="14"/>
  <c r="L33" i="14" a="1"/>
  <c r="L33" i="14"/>
  <c r="L34" i="14" a="1"/>
  <c r="L34" i="14" s="1"/>
  <c r="L35" i="14" a="1"/>
  <c r="L35" i="14" s="1"/>
  <c r="L36" i="14" a="1"/>
  <c r="L36" i="14" s="1"/>
  <c r="L37" i="14" a="1"/>
  <c r="L37" i="14"/>
  <c r="L38" i="14" a="1"/>
  <c r="L38" i="14" s="1"/>
  <c r="L39" i="14" a="1"/>
  <c r="L39" i="14"/>
  <c r="L40" i="14" a="1"/>
  <c r="L40" i="14"/>
  <c r="L41" i="14" a="1"/>
  <c r="L41" i="14"/>
  <c r="L42" i="14" a="1"/>
  <c r="L42" i="14" s="1"/>
  <c r="L43" i="14" a="1"/>
  <c r="L43" i="14" s="1"/>
  <c r="L44" i="14" a="1"/>
  <c r="L44" i="14" s="1"/>
  <c r="L45" i="14" a="1"/>
  <c r="L45" i="14"/>
  <c r="L46" i="14" a="1"/>
  <c r="L46" i="14" s="1"/>
  <c r="L47" i="14" a="1"/>
  <c r="L47" i="14" s="1"/>
  <c r="L48" i="14" a="1"/>
  <c r="L48" i="14"/>
  <c r="L49" i="14" a="1"/>
  <c r="L49" i="14"/>
  <c r="L50" i="14" a="1"/>
  <c r="L50" i="14" s="1"/>
  <c r="L51" i="14" a="1"/>
  <c r="L51" i="14" s="1"/>
  <c r="L52" i="14" a="1"/>
  <c r="L52" i="14" s="1"/>
  <c r="L53" i="14" a="1"/>
  <c r="L53" i="14"/>
  <c r="L54" i="14" a="1"/>
  <c r="L54" i="14" s="1"/>
  <c r="L55" i="14" a="1"/>
  <c r="L55" i="14" s="1"/>
  <c r="L56" i="14" a="1"/>
  <c r="L56" i="14"/>
  <c r="L57" i="14" a="1"/>
  <c r="L57" i="14" s="1"/>
  <c r="L58" i="14" a="1"/>
  <c r="L58" i="14"/>
  <c r="L59" i="14" a="1"/>
  <c r="L59" i="14" s="1"/>
  <c r="L60" i="14" a="1"/>
  <c r="L60" i="14" s="1"/>
  <c r="L61" i="14" a="1"/>
  <c r="L61" i="14"/>
  <c r="L62" i="14" a="1"/>
  <c r="L62" i="14" s="1"/>
  <c r="L63" i="14" a="1"/>
  <c r="L63" i="14" s="1"/>
  <c r="L64" i="14" a="1"/>
  <c r="L64" i="14" s="1"/>
  <c r="L65" i="14" a="1"/>
  <c r="L65" i="14" s="1"/>
  <c r="L66" i="14" a="1"/>
  <c r="L66" i="14"/>
  <c r="L67" i="14" a="1"/>
  <c r="L67" i="14" s="1"/>
  <c r="L68" i="14" a="1"/>
  <c r="L68" i="14" s="1"/>
  <c r="L69" i="14" a="1"/>
  <c r="L69" i="14"/>
  <c r="L70" i="14" a="1"/>
  <c r="L70" i="14" s="1"/>
  <c r="L71" i="14" a="1"/>
  <c r="L71" i="14" s="1"/>
  <c r="L72" i="14" a="1"/>
  <c r="L72" i="14" s="1"/>
  <c r="L73" i="14" a="1"/>
  <c r="L73" i="14" s="1"/>
  <c r="L74" i="14" a="1"/>
  <c r="L74" i="14" s="1"/>
  <c r="L75" i="14" a="1"/>
  <c r="L75" i="14" s="1"/>
  <c r="L76" i="14" a="1"/>
  <c r="L76" i="14" s="1"/>
  <c r="L77" i="14" a="1"/>
  <c r="L77" i="14"/>
  <c r="L78" i="14" a="1"/>
  <c r="L78" i="14" s="1"/>
  <c r="L79" i="14" a="1"/>
  <c r="L79" i="14" s="1"/>
  <c r="L80" i="14" a="1"/>
  <c r="L80" i="14"/>
  <c r="L81" i="14" a="1"/>
  <c r="L81" i="14" s="1"/>
  <c r="L82" i="14" a="1"/>
  <c r="L82" i="14" s="1"/>
  <c r="L83" i="14" a="1"/>
  <c r="L83" i="14" s="1"/>
  <c r="L84" i="14" a="1"/>
  <c r="L84" i="14" s="1"/>
  <c r="L85" i="14" a="1"/>
  <c r="L85" i="14" s="1"/>
  <c r="L86" i="14" a="1"/>
  <c r="L86" i="14" s="1"/>
  <c r="L87" i="14" a="1"/>
  <c r="L87" i="14" s="1"/>
  <c r="L88" i="14" a="1"/>
  <c r="L88" i="14"/>
  <c r="L89" i="14" a="1"/>
  <c r="L89" i="14"/>
  <c r="L90" i="14" a="1"/>
  <c r="L90" i="14" s="1"/>
  <c r="L91" i="14" a="1"/>
  <c r="L91" i="14" s="1"/>
  <c r="L92" i="14" a="1"/>
  <c r="L92" i="14" s="1"/>
  <c r="L93" i="14" a="1"/>
  <c r="L93" i="14" s="1"/>
  <c r="L94" i="14" a="1"/>
  <c r="L94" i="14" s="1"/>
  <c r="L95" i="14" a="1"/>
  <c r="L95" i="14" s="1"/>
  <c r="L96" i="14" a="1"/>
  <c r="L96" i="14" s="1"/>
  <c r="L97" i="14" a="1"/>
  <c r="L97" i="14" s="1"/>
  <c r="L98" i="14" a="1"/>
  <c r="L98" i="14" s="1"/>
  <c r="L99" i="14" a="1"/>
  <c r="L99" i="14" s="1"/>
  <c r="L100" i="14" a="1"/>
  <c r="L100" i="14" s="1"/>
  <c r="L101" i="14" a="1"/>
  <c r="L101" i="14" s="1"/>
  <c r="L102" i="14" a="1"/>
  <c r="L102" i="14" s="1"/>
  <c r="L103" i="14" a="1"/>
  <c r="L103" i="14" s="1"/>
  <c r="L104" i="14" a="1"/>
  <c r="L104" i="14" s="1"/>
  <c r="L105" i="14" a="1"/>
  <c r="L105" i="14" s="1"/>
  <c r="L106" i="14" a="1"/>
  <c r="L106" i="14" s="1"/>
  <c r="L107" i="14" a="1"/>
  <c r="L107" i="14" s="1"/>
  <c r="L108" i="14" a="1"/>
  <c r="L108" i="14" s="1"/>
  <c r="L109" i="14" a="1"/>
  <c r="L109" i="14" s="1"/>
  <c r="L110" i="14" a="1"/>
  <c r="L110" i="14" s="1"/>
  <c r="L111" i="14" a="1"/>
  <c r="L111" i="14" s="1"/>
  <c r="L112" i="14" a="1"/>
  <c r="L112" i="14" s="1"/>
  <c r="L113" i="14" a="1"/>
  <c r="L113" i="14" s="1"/>
  <c r="L114" i="14" a="1"/>
  <c r="L114" i="14" s="1"/>
  <c r="L115" i="14" a="1"/>
  <c r="L115" i="14" s="1"/>
  <c r="L116" i="14" a="1"/>
  <c r="L116" i="14" s="1"/>
  <c r="L117" i="14" a="1"/>
  <c r="L117" i="14" s="1"/>
  <c r="L118" i="14" a="1"/>
  <c r="L118" i="14" s="1"/>
  <c r="L119" i="14" a="1"/>
  <c r="L119" i="14" s="1"/>
  <c r="L120" i="14" a="1"/>
  <c r="L120" i="14" s="1"/>
  <c r="L121" i="14" a="1"/>
  <c r="L121" i="14" s="1"/>
  <c r="L122" i="14" a="1"/>
  <c r="L122" i="14" s="1"/>
  <c r="L123" i="14" a="1"/>
  <c r="L123" i="14" s="1"/>
  <c r="L124" i="14" a="1"/>
  <c r="L124" i="14" s="1"/>
  <c r="L125" i="14" a="1"/>
  <c r="L125" i="14" s="1"/>
  <c r="L126" i="14" a="1"/>
  <c r="L126" i="14" s="1"/>
  <c r="L127" i="14" a="1"/>
  <c r="L127" i="14" s="1"/>
  <c r="L128" i="14" a="1"/>
  <c r="L128" i="14" s="1"/>
  <c r="L129" i="14" a="1"/>
  <c r="L129" i="14"/>
  <c r="L130" i="14" a="1"/>
  <c r="L130" i="14" s="1"/>
  <c r="L131" i="14" a="1"/>
  <c r="L131" i="14" s="1"/>
  <c r="L132" i="14" a="1"/>
  <c r="L132" i="14" s="1"/>
  <c r="L133" i="14" a="1"/>
  <c r="L133" i="14" s="1"/>
  <c r="L134" i="14" a="1"/>
  <c r="L134" i="14" s="1"/>
  <c r="L135" i="14" a="1"/>
  <c r="L135" i="14" s="1"/>
  <c r="L136" i="14" a="1"/>
  <c r="L136" i="14" s="1"/>
  <c r="L137" i="14" a="1"/>
  <c r="L137" i="14" s="1"/>
  <c r="L138" i="14" a="1"/>
  <c r="L138" i="14" s="1"/>
  <c r="L139" i="14" a="1"/>
  <c r="L139" i="14" s="1"/>
  <c r="L140" i="14" a="1"/>
  <c r="L140" i="14" s="1"/>
  <c r="L141" i="14" a="1"/>
  <c r="L141" i="14" s="1"/>
  <c r="L142" i="14" a="1"/>
  <c r="L142" i="14" s="1"/>
  <c r="L143" i="14" a="1"/>
  <c r="L143" i="14" s="1"/>
  <c r="L144" i="14" a="1"/>
  <c r="L144" i="14" s="1"/>
  <c r="L145" i="14" a="1"/>
  <c r="L145" i="14" s="1"/>
  <c r="L146" i="14" a="1"/>
  <c r="L146" i="14" s="1"/>
  <c r="L147" i="14" a="1"/>
  <c r="L147" i="14" s="1"/>
  <c r="L148" i="14" a="1"/>
  <c r="L148" i="14" s="1"/>
  <c r="L149" i="14" a="1"/>
  <c r="L149" i="14" s="1"/>
  <c r="L150" i="14" a="1"/>
  <c r="L150" i="14" s="1"/>
  <c r="L151" i="14" a="1"/>
  <c r="L151" i="14" s="1"/>
  <c r="L152" i="14" a="1"/>
  <c r="L152" i="14" s="1"/>
  <c r="L153" i="14" a="1"/>
  <c r="L153" i="14" s="1"/>
  <c r="L154" i="14" a="1"/>
  <c r="L154" i="14" s="1"/>
  <c r="L155" i="14" a="1"/>
  <c r="L155" i="14" s="1"/>
  <c r="L156" i="14" a="1"/>
  <c r="L156" i="14" s="1"/>
  <c r="L157" i="14" a="1"/>
  <c r="L157" i="14" s="1"/>
  <c r="L158" i="14" a="1"/>
  <c r="L158" i="14" s="1"/>
  <c r="L159" i="14" a="1"/>
  <c r="L159" i="14" s="1"/>
  <c r="L160" i="14" a="1"/>
  <c r="L160" i="14" s="1"/>
  <c r="L161" i="14" a="1"/>
  <c r="L161" i="14"/>
  <c r="L162" i="14" a="1"/>
  <c r="L162" i="14" s="1"/>
  <c r="L163" i="14" a="1"/>
  <c r="L163" i="14" s="1"/>
  <c r="L164" i="14" a="1"/>
  <c r="L164" i="14" s="1"/>
  <c r="L165" i="14" a="1"/>
  <c r="L165" i="14" s="1"/>
  <c r="L166" i="14" a="1"/>
  <c r="L166" i="14" s="1"/>
  <c r="L167" i="14" a="1"/>
  <c r="L167" i="14" s="1"/>
  <c r="L168" i="14" a="1"/>
  <c r="L168" i="14" s="1"/>
  <c r="L169" i="14" a="1"/>
  <c r="L169" i="14" s="1"/>
  <c r="L170" i="14" a="1"/>
  <c r="L170" i="14" s="1"/>
  <c r="L171" i="14" a="1"/>
  <c r="L171" i="14" s="1"/>
  <c r="L172" i="14" a="1"/>
  <c r="L172" i="14" s="1"/>
  <c r="L173" i="14" a="1"/>
  <c r="L173" i="14" s="1"/>
  <c r="L174" i="14" a="1"/>
  <c r="L174" i="14" s="1"/>
  <c r="L175" i="14" a="1"/>
  <c r="L175" i="14" s="1"/>
  <c r="L176" i="14" a="1"/>
  <c r="L176" i="14" s="1"/>
  <c r="L177" i="14" a="1"/>
  <c r="L177" i="14" s="1"/>
  <c r="L178" i="14" a="1"/>
  <c r="L178" i="14" s="1"/>
  <c r="L179" i="14" a="1"/>
  <c r="L179" i="14" s="1"/>
  <c r="L180" i="14" a="1"/>
  <c r="L180" i="14" s="1"/>
  <c r="L181" i="14" a="1"/>
  <c r="L181" i="14" s="1"/>
  <c r="L182" i="14" a="1"/>
  <c r="L182" i="14" s="1"/>
  <c r="L183" i="14" a="1"/>
  <c r="L183" i="14" s="1"/>
  <c r="L184" i="14" a="1"/>
  <c r="L184" i="14" s="1"/>
  <c r="L185" i="14" a="1"/>
  <c r="L185" i="14" s="1"/>
  <c r="L186" i="14" a="1"/>
  <c r="L186" i="14" s="1"/>
  <c r="L187" i="14" a="1"/>
  <c r="L187" i="14" s="1"/>
  <c r="L188" i="14" a="1"/>
  <c r="L188" i="14" s="1"/>
  <c r="L189" i="14" a="1"/>
  <c r="L189" i="14" s="1"/>
  <c r="L190" i="14" a="1"/>
  <c r="L190" i="14" s="1"/>
  <c r="L191" i="14" a="1"/>
  <c r="L191" i="14" s="1"/>
  <c r="L192" i="14" a="1"/>
  <c r="L192" i="14" s="1"/>
  <c r="L193" i="14" a="1"/>
  <c r="L193" i="14"/>
  <c r="L194" i="14" a="1"/>
  <c r="L194" i="14" s="1"/>
  <c r="L195" i="14" a="1"/>
  <c r="L195" i="14" s="1"/>
  <c r="L196" i="14" a="1"/>
  <c r="L196" i="14" s="1"/>
  <c r="L197" i="14" a="1"/>
  <c r="L197" i="14" s="1"/>
  <c r="L198" i="14" a="1"/>
  <c r="L198" i="14" s="1"/>
  <c r="L199" i="14" a="1"/>
  <c r="L199" i="14" s="1"/>
  <c r="L200" i="14" a="1"/>
  <c r="L200" i="14" s="1"/>
  <c r="L201" i="14" a="1"/>
  <c r="L201" i="14" s="1"/>
  <c r="L202" i="14" a="1"/>
  <c r="L202" i="14" s="1"/>
  <c r="L203" i="14" a="1"/>
  <c r="L203" i="14" s="1"/>
  <c r="L204" i="14" a="1"/>
  <c r="L204" i="14" s="1"/>
  <c r="L205" i="14" a="1"/>
  <c r="L205" i="14" s="1"/>
  <c r="L206" i="14" a="1"/>
  <c r="L206" i="14" s="1"/>
  <c r="L207" i="14" a="1"/>
  <c r="L207" i="14" s="1"/>
  <c r="L208" i="14" a="1"/>
  <c r="L208" i="14" s="1"/>
  <c r="L209" i="14" a="1"/>
  <c r="L209" i="14" s="1"/>
  <c r="L210" i="14" a="1"/>
  <c r="L210" i="14" s="1"/>
  <c r="L211" i="14" a="1"/>
  <c r="L211" i="14" s="1"/>
  <c r="L212" i="14" a="1"/>
  <c r="L212" i="14" s="1"/>
  <c r="L213" i="14" a="1"/>
  <c r="L213" i="14" s="1"/>
  <c r="L214" i="14" a="1"/>
  <c r="L214" i="14" s="1"/>
  <c r="L215" i="14" a="1"/>
  <c r="L215" i="14" s="1"/>
  <c r="L216" i="14" a="1"/>
  <c r="L216" i="14" s="1"/>
  <c r="L217" i="14" a="1"/>
  <c r="L217" i="14" s="1"/>
  <c r="L218" i="14" a="1"/>
  <c r="L218" i="14" s="1"/>
  <c r="L219" i="14" a="1"/>
  <c r="L219" i="14" s="1"/>
  <c r="L220" i="14" a="1"/>
  <c r="L220" i="14" s="1"/>
  <c r="L221" i="14" a="1"/>
  <c r="L221" i="14" s="1"/>
  <c r="L222" i="14" a="1"/>
  <c r="L222" i="14" s="1"/>
  <c r="L223" i="14" a="1"/>
  <c r="L223" i="14" s="1"/>
  <c r="L224" i="14" a="1"/>
  <c r="L224" i="14" s="1"/>
  <c r="L225" i="14" a="1"/>
  <c r="L225" i="14"/>
  <c r="L226" i="14" a="1"/>
  <c r="L226" i="14" s="1"/>
  <c r="L227" i="14" a="1"/>
  <c r="L227" i="14" s="1"/>
  <c r="L228" i="14" a="1"/>
  <c r="L228" i="14" s="1"/>
  <c r="L229" i="14" a="1"/>
  <c r="L229" i="14" s="1"/>
  <c r="L230" i="14" a="1"/>
  <c r="L230" i="14" s="1"/>
  <c r="L231" i="14" a="1"/>
  <c r="L231" i="14" s="1"/>
  <c r="L232" i="14" a="1"/>
  <c r="L232" i="14" s="1"/>
  <c r="L233" i="14" a="1"/>
  <c r="L233" i="14" s="1"/>
  <c r="L234" i="14" a="1"/>
  <c r="L234" i="14" s="1"/>
  <c r="L235" i="14" a="1"/>
  <c r="L235" i="14" s="1"/>
  <c r="L236" i="14" a="1"/>
  <c r="L236" i="14" s="1"/>
  <c r="L237" i="14" a="1"/>
  <c r="L237" i="14" s="1"/>
  <c r="L238" i="14" a="1"/>
  <c r="L238" i="14" s="1"/>
  <c r="L239" i="14" a="1"/>
  <c r="L239" i="14" s="1"/>
  <c r="L240" i="14" a="1"/>
  <c r="L240" i="14" s="1"/>
  <c r="L241" i="14" a="1"/>
  <c r="L241" i="14" s="1"/>
  <c r="L242" i="14" a="1"/>
  <c r="L242" i="14" s="1"/>
  <c r="L243" i="14" a="1"/>
  <c r="L243" i="14" s="1"/>
  <c r="L244" i="14" a="1"/>
  <c r="L244" i="14" s="1"/>
  <c r="L245" i="14" a="1"/>
  <c r="L245" i="14" s="1"/>
  <c r="L246" i="14" a="1"/>
  <c r="L246" i="14" s="1"/>
  <c r="L247" i="14" a="1"/>
  <c r="L247" i="14" s="1"/>
  <c r="L248" i="14" a="1"/>
  <c r="L248" i="14" s="1"/>
  <c r="L249" i="14" a="1"/>
  <c r="L249" i="14" s="1"/>
  <c r="L250" i="14" a="1"/>
  <c r="L250" i="14" s="1"/>
  <c r="L251" i="14" a="1"/>
  <c r="L251" i="14" s="1"/>
  <c r="L252" i="14" a="1"/>
  <c r="L252" i="14" s="1"/>
  <c r="L253" i="14" a="1"/>
  <c r="L253" i="14" s="1"/>
  <c r="L254" i="14" a="1"/>
  <c r="L254" i="14" s="1"/>
  <c r="L255" i="14" a="1"/>
  <c r="L255" i="14" s="1"/>
  <c r="L256" i="14" a="1"/>
  <c r="L256" i="14" s="1"/>
  <c r="L257" i="14" a="1"/>
  <c r="L257" i="14"/>
  <c r="L258" i="14" a="1"/>
  <c r="L258" i="14" s="1"/>
  <c r="L259" i="14" a="1"/>
  <c r="L259" i="14" s="1"/>
  <c r="L260" i="14" a="1"/>
  <c r="L260" i="14" s="1"/>
  <c r="L261" i="14" a="1"/>
  <c r="L261" i="14" s="1"/>
  <c r="L262" i="14" a="1"/>
  <c r="L262" i="14" s="1"/>
  <c r="L263" i="14" a="1"/>
  <c r="L263" i="14" s="1"/>
  <c r="L264" i="14" a="1"/>
  <c r="L264" i="14" s="1"/>
  <c r="L265" i="14" a="1"/>
  <c r="L265" i="14" s="1"/>
  <c r="L266" i="14" a="1"/>
  <c r="L266" i="14" s="1"/>
  <c r="L267" i="14" a="1"/>
  <c r="L267" i="14" s="1"/>
  <c r="L268" i="14" a="1"/>
  <c r="L268" i="14" s="1"/>
  <c r="L269" i="14" a="1"/>
  <c r="L269" i="14" s="1"/>
  <c r="L270" i="14" a="1"/>
  <c r="L270" i="14" s="1"/>
  <c r="L271" i="14" a="1"/>
  <c r="L271" i="14" s="1"/>
  <c r="L272" i="14" a="1"/>
  <c r="L272" i="14" s="1"/>
  <c r="L273" i="14" a="1"/>
  <c r="L273" i="14" s="1"/>
  <c r="L274" i="14" a="1"/>
  <c r="L274" i="14" s="1"/>
  <c r="L275" i="14" a="1"/>
  <c r="L275" i="14" s="1"/>
  <c r="L276" i="14" a="1"/>
  <c r="L276" i="14" s="1"/>
  <c r="L277" i="14" a="1"/>
  <c r="L277" i="14" s="1"/>
  <c r="L278" i="14" a="1"/>
  <c r="L278" i="14" s="1"/>
  <c r="L279" i="14" a="1"/>
  <c r="L279" i="14" s="1"/>
  <c r="L280" i="14" a="1"/>
  <c r="L280" i="14" s="1"/>
  <c r="L281" i="14" a="1"/>
  <c r="L281" i="14" s="1"/>
  <c r="L282" i="14" a="1"/>
  <c r="L282" i="14" s="1"/>
  <c r="L283" i="14" a="1"/>
  <c r="L283" i="14" s="1"/>
  <c r="L284" i="14" a="1"/>
  <c r="L284" i="14" s="1"/>
  <c r="L285" i="14" a="1"/>
  <c r="L285" i="14" s="1"/>
  <c r="L286" i="14" a="1"/>
  <c r="L286" i="14" s="1"/>
  <c r="L287" i="14" a="1"/>
  <c r="L287" i="14" s="1"/>
  <c r="L288" i="14" a="1"/>
  <c r="L288" i="14" s="1"/>
  <c r="L289" i="14" a="1"/>
  <c r="L289" i="14"/>
  <c r="L290" i="14" a="1"/>
  <c r="L290" i="14" s="1"/>
  <c r="L291" i="14" a="1"/>
  <c r="L291" i="14" s="1"/>
  <c r="L292" i="14" a="1"/>
  <c r="L292" i="14" s="1"/>
  <c r="L293" i="14" a="1"/>
  <c r="L293" i="14" s="1"/>
  <c r="L294" i="14" a="1"/>
  <c r="L294" i="14" s="1"/>
  <c r="L295" i="14" a="1"/>
  <c r="L295" i="14" s="1"/>
  <c r="L296" i="14" a="1"/>
  <c r="L296" i="14" s="1"/>
  <c r="L297" i="14" a="1"/>
  <c r="L297" i="14" s="1"/>
  <c r="L298" i="14" a="1"/>
  <c r="L298" i="14" s="1"/>
  <c r="L299" i="14" a="1"/>
  <c r="L299" i="14" s="1"/>
  <c r="L300" i="14" a="1"/>
  <c r="L300" i="14" s="1"/>
  <c r="L301" i="14" a="1"/>
  <c r="L301" i="14" s="1"/>
  <c r="L302" i="14" a="1"/>
  <c r="L302" i="14" s="1"/>
  <c r="L303" i="14" a="1"/>
  <c r="L303" i="14" s="1"/>
  <c r="L304" i="14" a="1"/>
  <c r="L304" i="14" s="1"/>
  <c r="L305" i="14" a="1"/>
  <c r="L305" i="14" s="1"/>
  <c r="L306" i="14" a="1"/>
  <c r="L306" i="14" s="1"/>
  <c r="L307" i="14" a="1"/>
  <c r="L307" i="14" s="1"/>
  <c r="L308" i="14" a="1"/>
  <c r="L308" i="14" s="1"/>
  <c r="L309" i="14" a="1"/>
  <c r="L309" i="14" s="1"/>
  <c r="L310" i="14" a="1"/>
  <c r="L310" i="14" s="1"/>
  <c r="L311" i="14" a="1"/>
  <c r="L311" i="14" s="1"/>
  <c r="L312" i="14" a="1"/>
  <c r="L312" i="14" s="1"/>
  <c r="L313" i="14" a="1"/>
  <c r="L313" i="14" s="1"/>
  <c r="L314" i="14" a="1"/>
  <c r="L314" i="14" s="1"/>
  <c r="L315" i="14" a="1"/>
  <c r="L315" i="14" s="1"/>
  <c r="L316" i="14" a="1"/>
  <c r="L316" i="14" s="1"/>
  <c r="L317" i="14" a="1"/>
  <c r="L317" i="14" s="1"/>
  <c r="L318" i="14" a="1"/>
  <c r="L318" i="14" s="1"/>
  <c r="L319" i="14" a="1"/>
  <c r="L319" i="14" s="1"/>
  <c r="L320" i="14" a="1"/>
  <c r="L320" i="14" s="1"/>
  <c r="L321" i="14" a="1"/>
  <c r="L321" i="14"/>
  <c r="L322" i="14" a="1"/>
  <c r="L322" i="14" s="1"/>
  <c r="L323" i="14" a="1"/>
  <c r="L323" i="14" s="1"/>
  <c r="L324" i="14" a="1"/>
  <c r="L324" i="14" s="1"/>
  <c r="L325" i="14" a="1"/>
  <c r="L325" i="14" s="1"/>
  <c r="L326" i="14" a="1"/>
  <c r="L326" i="14" s="1"/>
  <c r="L327" i="14" a="1"/>
  <c r="L327" i="14" s="1"/>
  <c r="L328" i="14" a="1"/>
  <c r="L328" i="14" s="1"/>
  <c r="L329" i="14" a="1"/>
  <c r="L329" i="14" s="1"/>
  <c r="L330" i="14" a="1"/>
  <c r="L330" i="14" s="1"/>
  <c r="L331" i="14" a="1"/>
  <c r="L331" i="14" s="1"/>
  <c r="L332" i="14" a="1"/>
  <c r="L332" i="14" s="1"/>
  <c r="L333" i="14" a="1"/>
  <c r="L333" i="14" s="1"/>
  <c r="L334" i="14" a="1"/>
  <c r="L334" i="14" s="1"/>
  <c r="L335" i="14" a="1"/>
  <c r="L335" i="14" s="1"/>
  <c r="L336" i="14" a="1"/>
  <c r="L336" i="14" s="1"/>
  <c r="L337" i="14" a="1"/>
  <c r="L337" i="14" s="1"/>
  <c r="L338" i="14" a="1"/>
  <c r="L338" i="14" s="1"/>
  <c r="L339" i="14" a="1"/>
  <c r="L339" i="14" s="1"/>
  <c r="L340" i="14" a="1"/>
  <c r="L340" i="14" s="1"/>
  <c r="L341" i="14" a="1"/>
  <c r="L341" i="14" s="1"/>
  <c r="L342" i="14" a="1"/>
  <c r="L342" i="14" s="1"/>
  <c r="L343" i="14" a="1"/>
  <c r="L343" i="14" s="1"/>
  <c r="L344" i="14" a="1"/>
  <c r="L344" i="14" s="1"/>
  <c r="L345" i="14" a="1"/>
  <c r="L345" i="14" s="1"/>
  <c r="L346" i="14" a="1"/>
  <c r="L346" i="14" s="1"/>
  <c r="L347" i="14" a="1"/>
  <c r="L347" i="14" s="1"/>
  <c r="L348" i="14" a="1"/>
  <c r="L348" i="14" s="1"/>
  <c r="L349" i="14" a="1"/>
  <c r="L349" i="14" s="1"/>
  <c r="L350" i="14" a="1"/>
  <c r="L350" i="14" s="1"/>
  <c r="L351" i="14" a="1"/>
  <c r="L351" i="14" s="1"/>
  <c r="L352" i="14" a="1"/>
  <c r="L352" i="14" s="1"/>
  <c r="L353" i="14" a="1"/>
  <c r="L353" i="14"/>
  <c r="L354" i="14" a="1"/>
  <c r="L354" i="14" s="1"/>
  <c r="L355" i="14" a="1"/>
  <c r="L355" i="14" s="1"/>
  <c r="L356" i="14" a="1"/>
  <c r="L356" i="14" s="1"/>
  <c r="L357" i="14" a="1"/>
  <c r="L357" i="14" s="1"/>
  <c r="L358" i="14" a="1"/>
  <c r="L358" i="14" s="1"/>
  <c r="L359" i="14" a="1"/>
  <c r="L359" i="14" s="1"/>
  <c r="L360" i="14" a="1"/>
  <c r="L360" i="14" s="1"/>
  <c r="L361" i="14" a="1"/>
  <c r="L361" i="14" s="1"/>
  <c r="L362" i="14" a="1"/>
  <c r="L362" i="14" s="1"/>
  <c r="L363" i="14" a="1"/>
  <c r="L363" i="14" s="1"/>
  <c r="L364" i="14" a="1"/>
  <c r="L364" i="14" s="1"/>
  <c r="L365" i="14" a="1"/>
  <c r="L365" i="14" s="1"/>
  <c r="L366" i="14" a="1"/>
  <c r="L366" i="14" s="1"/>
  <c r="L367" i="14" a="1"/>
  <c r="L367" i="14" s="1"/>
  <c r="L368" i="14" a="1"/>
  <c r="L368" i="14" s="1"/>
  <c r="L369" i="14" a="1"/>
  <c r="L369" i="14" s="1"/>
  <c r="L370" i="14" a="1"/>
  <c r="L370" i="14" s="1"/>
  <c r="L371" i="14" a="1"/>
  <c r="L371" i="14" s="1"/>
  <c r="L372" i="14" a="1"/>
  <c r="L372" i="14" s="1"/>
  <c r="L373" i="14" a="1"/>
  <c r="L373" i="14" s="1"/>
  <c r="L374" i="14" a="1"/>
  <c r="L374" i="14" s="1"/>
  <c r="L375" i="14" a="1"/>
  <c r="L375" i="14" s="1"/>
  <c r="L376" i="14" a="1"/>
  <c r="L376" i="14" s="1"/>
  <c r="L377" i="14" a="1"/>
  <c r="L377" i="14" s="1"/>
  <c r="L378" i="14" a="1"/>
  <c r="L378" i="14" s="1"/>
  <c r="L379" i="14" a="1"/>
  <c r="L379" i="14" s="1"/>
  <c r="L380" i="14" a="1"/>
  <c r="L380" i="14" s="1"/>
  <c r="L381" i="14" a="1"/>
  <c r="L381" i="14" s="1"/>
  <c r="L382" i="14" a="1"/>
  <c r="L382" i="14" s="1"/>
  <c r="L383" i="14" a="1"/>
  <c r="L383" i="14" s="1"/>
  <c r="L384" i="14" a="1"/>
  <c r="L384" i="14" s="1"/>
  <c r="L385" i="14" a="1"/>
  <c r="L385" i="14"/>
  <c r="L386" i="14" a="1"/>
  <c r="L386" i="14" s="1"/>
  <c r="L387" i="14" a="1"/>
  <c r="L387" i="14" s="1"/>
  <c r="L388" i="14" a="1"/>
  <c r="L388" i="14" s="1"/>
  <c r="L389" i="14" a="1"/>
  <c r="L389" i="14" s="1"/>
  <c r="L390" i="14" a="1"/>
  <c r="L390" i="14" s="1"/>
  <c r="L391" i="14" a="1"/>
  <c r="L391" i="14" s="1"/>
  <c r="L392" i="14" a="1"/>
  <c r="L392" i="14" s="1"/>
  <c r="L393" i="14" a="1"/>
  <c r="L393" i="14" s="1"/>
  <c r="L394" i="14" a="1"/>
  <c r="L394" i="14" s="1"/>
  <c r="L395" i="14" a="1"/>
  <c r="L395" i="14" s="1"/>
  <c r="L396" i="14" a="1"/>
  <c r="L396" i="14" s="1"/>
  <c r="L397" i="14" a="1"/>
  <c r="L397" i="14" s="1"/>
  <c r="L398" i="14" a="1"/>
  <c r="L398" i="14" s="1"/>
  <c r="L399" i="14" a="1"/>
  <c r="L399" i="14" s="1"/>
  <c r="L400" i="14" a="1"/>
  <c r="L400" i="14" s="1"/>
  <c r="L401" i="14" a="1"/>
  <c r="L401" i="14" s="1"/>
  <c r="L402" i="14" a="1"/>
  <c r="L402" i="14" s="1"/>
  <c r="L403" i="14" a="1"/>
  <c r="L403" i="14" s="1"/>
  <c r="L404" i="14" a="1"/>
  <c r="L404" i="14" s="1"/>
  <c r="L405" i="14" a="1"/>
  <c r="L405" i="14" s="1"/>
  <c r="L406" i="14" a="1"/>
  <c r="L406" i="14" s="1"/>
  <c r="L407" i="14" a="1"/>
  <c r="L407" i="14" s="1"/>
  <c r="L408" i="14" a="1"/>
  <c r="L408" i="14" s="1"/>
  <c r="L409" i="14" a="1"/>
  <c r="L409" i="14" s="1"/>
  <c r="L410" i="14" a="1"/>
  <c r="L410" i="14" s="1"/>
  <c r="L411" i="14" a="1"/>
  <c r="L411" i="14" s="1"/>
  <c r="L412" i="14" a="1"/>
  <c r="L412" i="14" s="1"/>
  <c r="L413" i="14" a="1"/>
  <c r="L413" i="14" s="1"/>
  <c r="L414" i="14" a="1"/>
  <c r="L414" i="14" s="1"/>
  <c r="L415" i="14" a="1"/>
  <c r="L415" i="14" s="1"/>
  <c r="L416" i="14" a="1"/>
  <c r="L416" i="14" s="1"/>
  <c r="L417" i="14" a="1"/>
  <c r="L417" i="14" s="1"/>
  <c r="L418" i="14" a="1"/>
  <c r="L418" i="14" s="1"/>
  <c r="L419" i="14" a="1"/>
  <c r="L419" i="14" s="1"/>
  <c r="L420" i="14" a="1"/>
  <c r="L420" i="14" s="1"/>
  <c r="L421" i="14" a="1"/>
  <c r="L421" i="14" s="1"/>
  <c r="L422" i="14" a="1"/>
  <c r="L422" i="14" s="1"/>
  <c r="L423" i="14" a="1"/>
  <c r="L423" i="14" s="1"/>
  <c r="L424" i="14" a="1"/>
  <c r="L424" i="14" s="1"/>
  <c r="L425" i="14" a="1"/>
  <c r="L425" i="14" s="1"/>
  <c r="L426" i="14" a="1"/>
  <c r="L426" i="14" s="1"/>
  <c r="L427" i="14" a="1"/>
  <c r="L427" i="14" s="1"/>
  <c r="L428" i="14" a="1"/>
  <c r="L428" i="14" s="1"/>
  <c r="L429" i="14" a="1"/>
  <c r="L429" i="14" s="1"/>
  <c r="L430" i="14" a="1"/>
  <c r="L430" i="14" s="1"/>
  <c r="L431" i="14" a="1"/>
  <c r="L431" i="14" s="1"/>
  <c r="L432" i="14" a="1"/>
  <c r="L432" i="14" s="1"/>
  <c r="L433" i="14" a="1"/>
  <c r="L433" i="14" s="1"/>
  <c r="L434" i="14" a="1"/>
  <c r="L434" i="14" s="1"/>
  <c r="L435" i="14" a="1"/>
  <c r="L435" i="14" s="1"/>
  <c r="L436" i="14" a="1"/>
  <c r="L436" i="14" s="1"/>
  <c r="L437" i="14" a="1"/>
  <c r="L437" i="14" s="1"/>
  <c r="L438" i="14" a="1"/>
  <c r="L438" i="14" s="1"/>
  <c r="L439" i="14" a="1"/>
  <c r="L439" i="14" s="1"/>
  <c r="L440" i="14" a="1"/>
  <c r="L440" i="14" s="1"/>
  <c r="L441" i="14" a="1"/>
  <c r="L441" i="14" s="1"/>
  <c r="L442" i="14" a="1"/>
  <c r="L442" i="14" s="1"/>
  <c r="L443" i="14" a="1"/>
  <c r="L443" i="14" s="1"/>
  <c r="L444" i="14" a="1"/>
  <c r="L444" i="14" s="1"/>
  <c r="L445" i="14" a="1"/>
  <c r="L445" i="14" s="1"/>
  <c r="L446" i="14" a="1"/>
  <c r="L446" i="14" s="1"/>
  <c r="L447" i="14" a="1"/>
  <c r="L447" i="14" s="1"/>
  <c r="L448" i="14" a="1"/>
  <c r="L448" i="14" s="1"/>
  <c r="L449" i="14" a="1"/>
  <c r="L449" i="14" s="1"/>
  <c r="L450" i="14" a="1"/>
  <c r="L450" i="14" s="1"/>
  <c r="L451" i="14" a="1"/>
  <c r="L451" i="14" s="1"/>
  <c r="L452" i="14" a="1"/>
  <c r="L452" i="14" s="1"/>
  <c r="L453" i="14" a="1"/>
  <c r="L453" i="14" s="1"/>
  <c r="L454" i="14" a="1"/>
  <c r="L454" i="14" s="1"/>
  <c r="L455" i="14" a="1"/>
  <c r="L455" i="14" s="1"/>
  <c r="L456" i="14" a="1"/>
  <c r="L456" i="14" s="1"/>
  <c r="L457" i="14" a="1"/>
  <c r="L457" i="14" s="1"/>
  <c r="L458" i="14" a="1"/>
  <c r="L458" i="14" s="1"/>
  <c r="L459" i="14" a="1"/>
  <c r="L459" i="14" s="1"/>
  <c r="L460" i="14" a="1"/>
  <c r="L460" i="14" s="1"/>
  <c r="L461" i="14" a="1"/>
  <c r="L461" i="14" s="1"/>
  <c r="L462" i="14" a="1"/>
  <c r="L462" i="14" s="1"/>
  <c r="L463" i="14" a="1"/>
  <c r="L463" i="14" s="1"/>
  <c r="L464" i="14" a="1"/>
  <c r="L464" i="14" s="1"/>
  <c r="L465" i="14" a="1"/>
  <c r="L465" i="14" s="1"/>
  <c r="L466" i="14" a="1"/>
  <c r="L466" i="14" s="1"/>
  <c r="L467" i="14" a="1"/>
  <c r="L467" i="14" s="1"/>
  <c r="L468" i="14" a="1"/>
  <c r="L468" i="14" s="1"/>
  <c r="L469" i="14" a="1"/>
  <c r="L469" i="14" s="1"/>
  <c r="L470" i="14" a="1"/>
  <c r="L470" i="14" s="1"/>
  <c r="L471" i="14" a="1"/>
  <c r="L471" i="14" s="1"/>
  <c r="L472" i="14" a="1"/>
  <c r="L472" i="14" s="1"/>
  <c r="L473" i="14" a="1"/>
  <c r="L473" i="14" s="1"/>
  <c r="L474" i="14" a="1"/>
  <c r="L474" i="14" s="1"/>
  <c r="L475" i="14" a="1"/>
  <c r="L475" i="14" s="1"/>
  <c r="L476" i="14" a="1"/>
  <c r="L476" i="14" s="1"/>
  <c r="L477" i="14" a="1"/>
  <c r="L477" i="14" s="1"/>
  <c r="L478" i="14" a="1"/>
  <c r="L478" i="14" s="1"/>
  <c r="L479" i="14" a="1"/>
  <c r="L479" i="14" s="1"/>
  <c r="L480" i="14" a="1"/>
  <c r="L480" i="14" s="1"/>
  <c r="L481" i="14" a="1"/>
  <c r="L481" i="14" s="1"/>
  <c r="L482" i="14" a="1"/>
  <c r="L482" i="14"/>
  <c r="L483" i="14" a="1"/>
  <c r="L483" i="14" s="1"/>
  <c r="L484" i="14" a="1"/>
  <c r="L484" i="14" s="1"/>
  <c r="L485" i="14" a="1"/>
  <c r="L485" i="14" s="1"/>
  <c r="L486" i="14" a="1"/>
  <c r="L486" i="14" s="1"/>
  <c r="L487" i="14" a="1"/>
  <c r="L487" i="14" s="1"/>
  <c r="L488" i="14" a="1"/>
  <c r="L488" i="14" s="1"/>
  <c r="L489" i="14" a="1"/>
  <c r="L489" i="14" s="1"/>
  <c r="L490" i="14" a="1"/>
  <c r="L490" i="14" s="1"/>
  <c r="L491" i="14" a="1"/>
  <c r="L491" i="14" s="1"/>
  <c r="L492" i="14" a="1"/>
  <c r="L492" i="14" s="1"/>
  <c r="L493" i="14" a="1"/>
  <c r="L493" i="14"/>
  <c r="L494" i="14" a="1"/>
  <c r="L494" i="14" s="1"/>
  <c r="L495" i="14" a="1"/>
  <c r="L495" i="14" s="1"/>
  <c r="L496" i="14" a="1"/>
  <c r="L496" i="14" s="1"/>
  <c r="L497" i="14" a="1"/>
  <c r="L497" i="14" s="1"/>
  <c r="L498" i="14" a="1"/>
  <c r="L498" i="14" s="1"/>
  <c r="L499" i="14" a="1"/>
  <c r="L499" i="14" s="1"/>
  <c r="L500" i="14" a="1"/>
  <c r="L500" i="14" s="1"/>
  <c r="L501" i="14" a="1"/>
  <c r="L501" i="14" s="1"/>
  <c r="L502" i="14" a="1"/>
  <c r="L502" i="14" s="1"/>
  <c r="L503" i="14" a="1"/>
  <c r="L503" i="14" s="1"/>
  <c r="L504" i="14" a="1"/>
  <c r="L504" i="14"/>
  <c r="L505" i="14" a="1"/>
  <c r="L505" i="14" s="1"/>
  <c r="L506" i="14" a="1"/>
  <c r="L506" i="14" s="1"/>
  <c r="L507" i="14" a="1"/>
  <c r="L507" i="14" s="1"/>
  <c r="L508" i="14" a="1"/>
  <c r="L508" i="14" s="1"/>
  <c r="L509" i="14" a="1"/>
  <c r="L509" i="14" s="1"/>
  <c r="L510" i="14" a="1"/>
  <c r="L510" i="14" s="1"/>
  <c r="L511" i="14" a="1"/>
  <c r="L511" i="14" s="1"/>
  <c r="L512" i="14" a="1"/>
  <c r="L512" i="14" s="1"/>
  <c r="L513" i="14" a="1"/>
  <c r="L513" i="14" s="1"/>
  <c r="L514" i="14" a="1"/>
  <c r="L514" i="14"/>
  <c r="L515" i="14" a="1"/>
  <c r="L515" i="14" s="1"/>
  <c r="L516" i="14" a="1"/>
  <c r="L516" i="14" s="1"/>
  <c r="L517" i="14" a="1"/>
  <c r="L517" i="14" s="1"/>
  <c r="L518" i="14" a="1"/>
  <c r="L518" i="14" s="1"/>
  <c r="L519" i="14" a="1"/>
  <c r="L519" i="14" s="1"/>
  <c r="L520" i="14" a="1"/>
  <c r="L520" i="14" s="1"/>
  <c r="L521" i="14" a="1"/>
  <c r="L521" i="14" s="1"/>
  <c r="L522" i="14" a="1"/>
  <c r="L522" i="14" s="1"/>
  <c r="L523" i="14" a="1"/>
  <c r="L523" i="14" s="1"/>
  <c r="L524" i="14" a="1"/>
  <c r="L524" i="14" s="1"/>
  <c r="L525" i="14" a="1"/>
  <c r="L525" i="14"/>
  <c r="L526" i="14" a="1"/>
  <c r="L526" i="14" s="1"/>
  <c r="L527" i="14" a="1"/>
  <c r="L527" i="14" s="1"/>
  <c r="L528" i="14" a="1"/>
  <c r="L528" i="14" s="1"/>
  <c r="L529" i="14" a="1"/>
  <c r="L529" i="14" s="1"/>
  <c r="L530" i="14" a="1"/>
  <c r="L530" i="14" s="1"/>
  <c r="L531" i="14" a="1"/>
  <c r="L531" i="14" s="1"/>
  <c r="L532" i="14" a="1"/>
  <c r="L532" i="14" s="1"/>
  <c r="L533" i="14" a="1"/>
  <c r="L533" i="14" s="1"/>
  <c r="L534" i="14" a="1"/>
  <c r="L534" i="14" s="1"/>
  <c r="L535" i="14" a="1"/>
  <c r="L535" i="14" s="1"/>
  <c r="L536" i="14" a="1"/>
  <c r="L536" i="14"/>
  <c r="L537" i="14" a="1"/>
  <c r="L537" i="14" s="1"/>
  <c r="L538" i="14" a="1"/>
  <c r="L538" i="14" s="1"/>
  <c r="L539" i="14" a="1"/>
  <c r="L539" i="14" s="1"/>
  <c r="L540" i="14" a="1"/>
  <c r="L540" i="14" s="1"/>
  <c r="L541" i="14" a="1"/>
  <c r="L541" i="14" s="1"/>
  <c r="L542" i="14" a="1"/>
  <c r="L542" i="14" s="1"/>
  <c r="L543" i="14" a="1"/>
  <c r="L543" i="14" s="1"/>
  <c r="L544" i="14" a="1"/>
  <c r="L544" i="14" s="1"/>
  <c r="L545" i="14" a="1"/>
  <c r="L545" i="14" s="1"/>
  <c r="L546" i="14" a="1"/>
  <c r="L546" i="14"/>
  <c r="L547" i="14" a="1"/>
  <c r="L547" i="14" s="1"/>
  <c r="L548" i="14" a="1"/>
  <c r="L548" i="14" s="1"/>
  <c r="L549" i="14" a="1"/>
  <c r="L549" i="14" s="1"/>
  <c r="L550" i="14" a="1"/>
  <c r="L550" i="14" s="1"/>
  <c r="L551" i="14" a="1"/>
  <c r="L551" i="14" s="1"/>
  <c r="L552" i="14" a="1"/>
  <c r="L552" i="14" s="1"/>
  <c r="L553" i="14" a="1"/>
  <c r="L553" i="14" s="1"/>
  <c r="L554" i="14" a="1"/>
  <c r="L554" i="14" s="1"/>
  <c r="L555" i="14" a="1"/>
  <c r="L555" i="14" s="1"/>
  <c r="L556" i="14" a="1"/>
  <c r="L556" i="14" s="1"/>
  <c r="L557" i="14" a="1"/>
  <c r="L557" i="14"/>
  <c r="L558" i="14" a="1"/>
  <c r="L558" i="14" s="1"/>
  <c r="L559" i="14" a="1"/>
  <c r="L559" i="14" s="1"/>
  <c r="L560" i="14" a="1"/>
  <c r="L560" i="14" s="1"/>
  <c r="L561" i="14" a="1"/>
  <c r="L561" i="14" s="1"/>
  <c r="L562" i="14" a="1"/>
  <c r="L562" i="14" s="1"/>
  <c r="L563" i="14" a="1"/>
  <c r="L563" i="14" s="1"/>
  <c r="L564" i="14" a="1"/>
  <c r="L564" i="14" s="1"/>
  <c r="L565" i="14" a="1"/>
  <c r="L565" i="14" s="1"/>
  <c r="L566" i="14" a="1"/>
  <c r="L566" i="14" s="1"/>
  <c r="L567" i="14" a="1"/>
  <c r="L567" i="14" s="1"/>
  <c r="L568" i="14" a="1"/>
  <c r="L568" i="14"/>
  <c r="L569" i="14" a="1"/>
  <c r="L569" i="14" s="1"/>
  <c r="L570" i="14" a="1"/>
  <c r="L570" i="14" s="1"/>
  <c r="L571" i="14" a="1"/>
  <c r="L571" i="14" s="1"/>
  <c r="L572" i="14" a="1"/>
  <c r="L572" i="14" s="1"/>
  <c r="L573" i="14" a="1"/>
  <c r="L573" i="14" s="1"/>
  <c r="L574" i="14" a="1"/>
  <c r="L574" i="14" s="1"/>
  <c r="L575" i="14" a="1"/>
  <c r="L575" i="14" s="1"/>
  <c r="L576" i="14" a="1"/>
  <c r="L576" i="14" s="1"/>
  <c r="L577" i="14" a="1"/>
  <c r="L577" i="14" s="1"/>
  <c r="L578" i="14" a="1"/>
  <c r="L578" i="14"/>
  <c r="L579" i="14" a="1"/>
  <c r="L579" i="14" s="1"/>
  <c r="L580" i="14" a="1"/>
  <c r="L580" i="14" s="1"/>
  <c r="L581" i="14" a="1"/>
  <c r="L581" i="14" s="1"/>
  <c r="L582" i="14" a="1"/>
  <c r="L582" i="14" s="1"/>
  <c r="L583" i="14" a="1"/>
  <c r="L583" i="14" s="1"/>
  <c r="L584" i="14" a="1"/>
  <c r="L584" i="14" s="1"/>
  <c r="L585" i="14" a="1"/>
  <c r="L585" i="14" s="1"/>
  <c r="L586" i="14" a="1"/>
  <c r="L586" i="14" s="1"/>
  <c r="L587" i="14" a="1"/>
  <c r="L587" i="14" s="1"/>
  <c r="L588" i="14" a="1"/>
  <c r="L588" i="14" s="1"/>
  <c r="L589" i="14" a="1"/>
  <c r="L589" i="14"/>
  <c r="L590" i="14" a="1"/>
  <c r="L590" i="14" s="1"/>
  <c r="L591" i="14" a="1"/>
  <c r="L591" i="14" s="1"/>
  <c r="L592" i="14" a="1"/>
  <c r="L592" i="14" s="1"/>
  <c r="L593" i="14" a="1"/>
  <c r="L593" i="14" s="1"/>
  <c r="L594" i="14" a="1"/>
  <c r="L594" i="14" s="1"/>
  <c r="L595" i="14" a="1"/>
  <c r="L595" i="14" s="1"/>
  <c r="L596" i="14" a="1"/>
  <c r="L596" i="14" s="1"/>
  <c r="L597" i="14" a="1"/>
  <c r="L597" i="14" s="1"/>
  <c r="L598" i="14" a="1"/>
  <c r="L598" i="14" s="1"/>
  <c r="L599" i="14" a="1"/>
  <c r="L599" i="14" s="1"/>
  <c r="L600" i="14" a="1"/>
  <c r="L600" i="14"/>
  <c r="L601" i="14" a="1"/>
  <c r="L601" i="14" s="1"/>
  <c r="L602" i="14" a="1"/>
  <c r="L602" i="14" s="1"/>
  <c r="L603" i="14" a="1"/>
  <c r="L603" i="14" s="1"/>
  <c r="L604" i="14" a="1"/>
  <c r="L604" i="14" s="1"/>
  <c r="L605" i="14" a="1"/>
  <c r="L605" i="14" s="1"/>
  <c r="L606" i="14" a="1"/>
  <c r="L606" i="14" s="1"/>
  <c r="L607" i="14" a="1"/>
  <c r="L607" i="14" s="1"/>
  <c r="L608" i="14" a="1"/>
  <c r="L608" i="14" s="1"/>
  <c r="L609" i="14" a="1"/>
  <c r="L609" i="14" s="1"/>
  <c r="L610" i="14" a="1"/>
  <c r="L610" i="14"/>
  <c r="L611" i="14" a="1"/>
  <c r="L611" i="14" s="1"/>
  <c r="L612" i="14" a="1"/>
  <c r="L612" i="14" s="1"/>
  <c r="L613" i="14" a="1"/>
  <c r="L613" i="14" s="1"/>
  <c r="L614" i="14" a="1"/>
  <c r="L614" i="14" s="1"/>
  <c r="L615" i="14" a="1"/>
  <c r="L615" i="14" s="1"/>
  <c r="L616" i="14" a="1"/>
  <c r="L616" i="14" s="1"/>
  <c r="L617" i="14" a="1"/>
  <c r="L617" i="14" s="1"/>
  <c r="L618" i="14" a="1"/>
  <c r="L618" i="14" s="1"/>
  <c r="L619" i="14" a="1"/>
  <c r="L619" i="14" s="1"/>
  <c r="L620" i="14" a="1"/>
  <c r="L620" i="14" s="1"/>
  <c r="L621" i="14" a="1"/>
  <c r="L621" i="14"/>
  <c r="L622" i="14" a="1"/>
  <c r="L622" i="14" s="1"/>
  <c r="L623" i="14" a="1"/>
  <c r="L623" i="14" s="1"/>
  <c r="L624" i="14" a="1"/>
  <c r="L624" i="14" s="1"/>
  <c r="L625" i="14" a="1"/>
  <c r="L625" i="14" s="1"/>
  <c r="L626" i="14" a="1"/>
  <c r="L626" i="14" s="1"/>
  <c r="L627" i="14" a="1"/>
  <c r="L627" i="14" s="1"/>
  <c r="L628" i="14" a="1"/>
  <c r="L628" i="14" s="1"/>
  <c r="L629" i="14" a="1"/>
  <c r="L629" i="14" s="1"/>
  <c r="L630" i="14" a="1"/>
  <c r="L630" i="14" s="1"/>
  <c r="L631" i="14" a="1"/>
  <c r="L631" i="14" s="1"/>
  <c r="L632" i="14" a="1"/>
  <c r="L632" i="14"/>
  <c r="L633" i="14" a="1"/>
  <c r="L633" i="14" s="1"/>
  <c r="L634" i="14" a="1"/>
  <c r="L634" i="14" s="1"/>
  <c r="L635" i="14" a="1"/>
  <c r="L635" i="14" s="1"/>
  <c r="L636" i="14" a="1"/>
  <c r="L636" i="14" s="1"/>
  <c r="L637" i="14" a="1"/>
  <c r="L637" i="14" s="1"/>
  <c r="L638" i="14" a="1"/>
  <c r="L638" i="14" s="1"/>
  <c r="L639" i="14" a="1"/>
  <c r="L639" i="14" s="1"/>
  <c r="L640" i="14" a="1"/>
  <c r="L640" i="14" s="1"/>
  <c r="L641" i="14" a="1"/>
  <c r="L641" i="14" s="1"/>
  <c r="L642" i="14" a="1"/>
  <c r="L642" i="14"/>
  <c r="L643" i="14" a="1"/>
  <c r="L643" i="14" s="1"/>
  <c r="L644" i="14" a="1"/>
  <c r="L644" i="14" s="1"/>
  <c r="L645" i="14" a="1"/>
  <c r="L645" i="14" s="1"/>
  <c r="L646" i="14" a="1"/>
  <c r="L646" i="14" s="1"/>
  <c r="L647" i="14" a="1"/>
  <c r="L647" i="14" s="1"/>
  <c r="L648" i="14" a="1"/>
  <c r="L648" i="14" s="1"/>
  <c r="L649" i="14" a="1"/>
  <c r="L649" i="14" s="1"/>
  <c r="L650" i="14" a="1"/>
  <c r="L650" i="14" s="1"/>
  <c r="L651" i="14" a="1"/>
  <c r="L651" i="14" s="1"/>
  <c r="L652" i="14" a="1"/>
  <c r="L652" i="14" s="1"/>
  <c r="L653" i="14" a="1"/>
  <c r="L653" i="14"/>
  <c r="L654" i="14" a="1"/>
  <c r="L654" i="14" s="1"/>
  <c r="L655" i="14" a="1"/>
  <c r="L655" i="14" s="1"/>
  <c r="L656" i="14" a="1"/>
  <c r="L656" i="14" s="1"/>
  <c r="L657" i="14" a="1"/>
  <c r="L657" i="14" s="1"/>
  <c r="L658" i="14" a="1"/>
  <c r="L658" i="14" s="1"/>
  <c r="L659" i="14" a="1"/>
  <c r="L659" i="14" s="1"/>
  <c r="L660" i="14" a="1"/>
  <c r="L660" i="14" s="1"/>
  <c r="L661" i="14" a="1"/>
  <c r="L661" i="14" s="1"/>
  <c r="L662" i="14" a="1"/>
  <c r="L662" i="14" s="1"/>
  <c r="L663" i="14" a="1"/>
  <c r="L663" i="14" s="1"/>
  <c r="L664" i="14" a="1"/>
  <c r="L664" i="14"/>
  <c r="L665" i="14" a="1"/>
  <c r="L665" i="14" s="1"/>
  <c r="L666" i="14" a="1"/>
  <c r="L666" i="14" s="1"/>
  <c r="L667" i="14" a="1"/>
  <c r="L667" i="14" s="1"/>
  <c r="L668" i="14" a="1"/>
  <c r="L668" i="14" s="1"/>
  <c r="L669" i="14" a="1"/>
  <c r="L669" i="14" s="1"/>
  <c r="L670" i="14" a="1"/>
  <c r="L670" i="14" s="1"/>
  <c r="L671" i="14" a="1"/>
  <c r="L671" i="14" s="1"/>
  <c r="L672" i="14" a="1"/>
  <c r="L672" i="14" s="1"/>
  <c r="L673" i="14" a="1"/>
  <c r="L673" i="14" s="1"/>
  <c r="L674" i="14" a="1"/>
  <c r="L674" i="14"/>
  <c r="L675" i="14" a="1"/>
  <c r="L675" i="14" s="1"/>
  <c r="L676" i="14" a="1"/>
  <c r="L676" i="14" s="1"/>
  <c r="L677" i="14" a="1"/>
  <c r="L677" i="14" s="1"/>
  <c r="L678" i="14" a="1"/>
  <c r="L678" i="14" s="1"/>
  <c r="L679" i="14" a="1"/>
  <c r="L679" i="14" s="1"/>
  <c r="L680" i="14" a="1"/>
  <c r="L680" i="14" s="1"/>
  <c r="L681" i="14" a="1"/>
  <c r="L681" i="14" s="1"/>
  <c r="L682" i="14" a="1"/>
  <c r="L682" i="14" s="1"/>
  <c r="L683" i="14" a="1"/>
  <c r="L683" i="14" s="1"/>
  <c r="L684" i="14" a="1"/>
  <c r="L684" i="14"/>
  <c r="L685" i="14" a="1"/>
  <c r="L685" i="14" s="1"/>
  <c r="L686" i="14" a="1"/>
  <c r="L686" i="14" s="1"/>
  <c r="L687" i="14" a="1"/>
  <c r="L687" i="14" s="1"/>
  <c r="L688" i="14" a="1"/>
  <c r="L688" i="14"/>
  <c r="L689" i="14" a="1"/>
  <c r="L689" i="14"/>
  <c r="L690" i="14" a="1"/>
  <c r="L690" i="14"/>
  <c r="L691" i="14" a="1"/>
  <c r="L691" i="14"/>
  <c r="L692" i="14" a="1"/>
  <c r="L692" i="14"/>
  <c r="L693" i="14" a="1"/>
  <c r="L693" i="14" s="1"/>
  <c r="L694" i="14" a="1"/>
  <c r="L694" i="14"/>
  <c r="L695" i="14" a="1"/>
  <c r="L695" i="14"/>
  <c r="L696" i="14" a="1"/>
  <c r="L696" i="14"/>
  <c r="L697" i="14" a="1"/>
  <c r="L697" i="14"/>
  <c r="L698" i="14" a="1"/>
  <c r="L698" i="14"/>
  <c r="L699" i="14" a="1"/>
  <c r="L699" i="14"/>
  <c r="L700" i="14" a="1"/>
  <c r="L700" i="14"/>
  <c r="L701" i="14" a="1"/>
  <c r="L701" i="14" s="1"/>
  <c r="L702" i="14" a="1"/>
  <c r="L702" i="14"/>
  <c r="L703" i="14" a="1"/>
  <c r="L703" i="14"/>
  <c r="L704" i="14" a="1"/>
  <c r="L704" i="14"/>
  <c r="L705" i="14" a="1"/>
  <c r="L705" i="14"/>
  <c r="L706" i="14" a="1"/>
  <c r="L706" i="14"/>
  <c r="L707" i="14" a="1"/>
  <c r="L707" i="14"/>
  <c r="L708" i="14" a="1"/>
  <c r="L708" i="14"/>
  <c r="L709" i="14" a="1"/>
  <c r="L709" i="14" s="1"/>
  <c r="L710" i="14" a="1"/>
  <c r="L710" i="14"/>
  <c r="L711" i="14" a="1"/>
  <c r="L711" i="14"/>
  <c r="L712" i="14" a="1"/>
  <c r="L712" i="14"/>
  <c r="L713" i="14" a="1"/>
  <c r="L713" i="14"/>
  <c r="L714" i="14" a="1"/>
  <c r="L714" i="14"/>
  <c r="L715" i="14" a="1"/>
  <c r="L715" i="14"/>
  <c r="L716" i="14" a="1"/>
  <c r="L716" i="14"/>
  <c r="L717" i="14" a="1"/>
  <c r="L717" i="14" s="1"/>
  <c r="L718" i="14" a="1"/>
  <c r="L718" i="14"/>
  <c r="L719" i="14" a="1"/>
  <c r="L719" i="14"/>
  <c r="L720" i="14" a="1"/>
  <c r="L720" i="14"/>
  <c r="L721" i="14" a="1"/>
  <c r="L721" i="14"/>
  <c r="L722" i="14" a="1"/>
  <c r="L722" i="14"/>
  <c r="L723" i="14" a="1"/>
  <c r="L723" i="14"/>
  <c r="L724" i="14" a="1"/>
  <c r="L724" i="14"/>
  <c r="L725" i="14" a="1"/>
  <c r="L725" i="14" s="1"/>
  <c r="L726" i="14" a="1"/>
  <c r="L726" i="14"/>
  <c r="L727" i="14" a="1"/>
  <c r="L727" i="14"/>
  <c r="L728" i="14" a="1"/>
  <c r="L728" i="14"/>
  <c r="L729" i="14" a="1"/>
  <c r="L729" i="14"/>
  <c r="L730" i="14" a="1"/>
  <c r="L730" i="14"/>
  <c r="L731" i="14" a="1"/>
  <c r="L731" i="14"/>
  <c r="L732" i="14" a="1"/>
  <c r="L732" i="14"/>
  <c r="L733" i="14" a="1"/>
  <c r="L733" i="14" s="1"/>
  <c r="L734" i="14" a="1"/>
  <c r="L734" i="14"/>
  <c r="L735" i="14" a="1"/>
  <c r="L735" i="14"/>
  <c r="L736" i="14" a="1"/>
  <c r="L736" i="14"/>
  <c r="L737" i="14" a="1"/>
  <c r="L737" i="14"/>
  <c r="L738" i="14" a="1"/>
  <c r="L738" i="14"/>
  <c r="L739" i="14" a="1"/>
  <c r="L739" i="14"/>
  <c r="L740" i="14" a="1"/>
  <c r="L740" i="14"/>
  <c r="L741" i="14" a="1"/>
  <c r="L741" i="14" s="1"/>
  <c r="L742" i="14" a="1"/>
  <c r="L742" i="14"/>
  <c r="L743" i="14" a="1"/>
  <c r="L743" i="14"/>
  <c r="L744" i="14" a="1"/>
  <c r="L744" i="14"/>
  <c r="L745" i="14" a="1"/>
  <c r="L745" i="14"/>
  <c r="L746" i="14" a="1"/>
  <c r="L746" i="14"/>
  <c r="L747" i="14" a="1"/>
  <c r="L747" i="14"/>
  <c r="L748" i="14" a="1"/>
  <c r="L748" i="14"/>
  <c r="L749" i="14" a="1"/>
  <c r="L749" i="14" s="1"/>
  <c r="L750" i="14" a="1"/>
  <c r="L750" i="14"/>
  <c r="L751" i="14" a="1"/>
  <c r="L751" i="14"/>
  <c r="L752" i="14" a="1"/>
  <c r="L752" i="14"/>
  <c r="L753" i="14" a="1"/>
  <c r="L753" i="14"/>
  <c r="L754" i="14" a="1"/>
  <c r="L754" i="14"/>
  <c r="L755" i="14" a="1"/>
  <c r="L755" i="14"/>
  <c r="L756" i="14" a="1"/>
  <c r="L756" i="14"/>
  <c r="L757" i="14" a="1"/>
  <c r="L757" i="14" s="1"/>
  <c r="L758" i="14" a="1"/>
  <c r="L758" i="14"/>
  <c r="L759" i="14" a="1"/>
  <c r="L759" i="14"/>
  <c r="L760" i="14" a="1"/>
  <c r="L760" i="14"/>
  <c r="L761" i="14" a="1"/>
  <c r="L761" i="14"/>
  <c r="L762" i="14" a="1"/>
  <c r="L762" i="14"/>
  <c r="L763" i="14" a="1"/>
  <c r="L763" i="14"/>
  <c r="L764" i="14" a="1"/>
  <c r="L764" i="14" s="1"/>
  <c r="L765" i="14" a="1"/>
  <c r="L765" i="14" s="1"/>
  <c r="L766" i="14" a="1"/>
  <c r="L766" i="14"/>
  <c r="L767" i="14" a="1"/>
  <c r="L767" i="14"/>
  <c r="L768" i="14" a="1"/>
  <c r="L768" i="14"/>
  <c r="L769" i="14" a="1"/>
  <c r="L769" i="14"/>
  <c r="L770" i="14" a="1"/>
  <c r="L770" i="14"/>
  <c r="L771" i="14" a="1"/>
  <c r="L771" i="14"/>
  <c r="L772" i="14" a="1"/>
  <c r="L772" i="14" s="1"/>
  <c r="L773" i="14" a="1"/>
  <c r="L773" i="14" s="1"/>
  <c r="L774" i="14" a="1"/>
  <c r="L774" i="14"/>
  <c r="L775" i="14" a="1"/>
  <c r="L775" i="14"/>
  <c r="L776" i="14" a="1"/>
  <c r="L776" i="14"/>
  <c r="L777" i="14" a="1"/>
  <c r="L777" i="14"/>
  <c r="L778" i="14" a="1"/>
  <c r="L778" i="14"/>
  <c r="L779" i="14" a="1"/>
  <c r="L779" i="14"/>
  <c r="L780" i="14" a="1"/>
  <c r="L780" i="14" s="1"/>
  <c r="L781" i="14" a="1"/>
  <c r="L781" i="14" s="1"/>
  <c r="L782" i="14" a="1"/>
  <c r="L782" i="14"/>
  <c r="L783" i="14" a="1"/>
  <c r="L783" i="14"/>
  <c r="L784" i="14" a="1"/>
  <c r="L784" i="14"/>
  <c r="L785" i="14" a="1"/>
  <c r="L785" i="14"/>
  <c r="L786" i="14" a="1"/>
  <c r="L786" i="14"/>
  <c r="L787" i="14" a="1"/>
  <c r="L787" i="14"/>
  <c r="L788" i="14" a="1"/>
  <c r="L788" i="14" s="1"/>
  <c r="L789" i="14" a="1"/>
  <c r="L789" i="14" s="1"/>
  <c r="L790" i="14" a="1"/>
  <c r="L790" i="14"/>
  <c r="L2" i="14" a="1"/>
  <c r="L2" i="14" s="1"/>
  <c r="K3" i="14"/>
  <c r="K4" i="14"/>
  <c r="K5" i="14"/>
  <c r="K6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5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K73" i="14"/>
  <c r="K74" i="14"/>
  <c r="K75" i="14"/>
  <c r="K76" i="14"/>
  <c r="K77" i="14"/>
  <c r="K78" i="14"/>
  <c r="K79" i="14"/>
  <c r="K80" i="14"/>
  <c r="K81" i="14"/>
  <c r="K82" i="14"/>
  <c r="K83" i="14"/>
  <c r="K84" i="14"/>
  <c r="K85" i="14"/>
  <c r="K86" i="14"/>
  <c r="K87" i="14"/>
  <c r="K88" i="14"/>
  <c r="K89" i="14"/>
  <c r="K90" i="14"/>
  <c r="K91" i="14"/>
  <c r="K92" i="14"/>
  <c r="K93" i="14"/>
  <c r="K94" i="14"/>
  <c r="K95" i="14"/>
  <c r="K96" i="14"/>
  <c r="K97" i="14"/>
  <c r="K98" i="14"/>
  <c r="K99" i="14"/>
  <c r="K100" i="14"/>
  <c r="K101" i="14"/>
  <c r="K102" i="14"/>
  <c r="K103" i="14"/>
  <c r="K104" i="14"/>
  <c r="K105" i="14"/>
  <c r="K106" i="14"/>
  <c r="K107" i="14"/>
  <c r="K108" i="14"/>
  <c r="K109" i="14"/>
  <c r="K110" i="14"/>
  <c r="K111" i="14"/>
  <c r="K112" i="14"/>
  <c r="K113" i="14"/>
  <c r="K114" i="14"/>
  <c r="K115" i="14"/>
  <c r="K116" i="14"/>
  <c r="K117" i="14"/>
  <c r="K118" i="14"/>
  <c r="K119" i="14"/>
  <c r="K120" i="14"/>
  <c r="K121" i="14"/>
  <c r="K122" i="14"/>
  <c r="K123" i="14"/>
  <c r="K124" i="14"/>
  <c r="K125" i="14"/>
  <c r="K126" i="14"/>
  <c r="K127" i="14"/>
  <c r="K128" i="14"/>
  <c r="K129" i="14"/>
  <c r="K130" i="14"/>
  <c r="K131" i="14"/>
  <c r="K132" i="14"/>
  <c r="K133" i="14"/>
  <c r="K134" i="14"/>
  <c r="K135" i="14"/>
  <c r="K136" i="14"/>
  <c r="K137" i="14"/>
  <c r="K138" i="14"/>
  <c r="K139" i="14"/>
  <c r="K140" i="14"/>
  <c r="K141" i="14"/>
  <c r="K142" i="14"/>
  <c r="K143" i="14"/>
  <c r="K144" i="14"/>
  <c r="K145" i="14"/>
  <c r="K146" i="14"/>
  <c r="K147" i="14"/>
  <c r="K148" i="14"/>
  <c r="K149" i="14"/>
  <c r="K150" i="14"/>
  <c r="K151" i="14"/>
  <c r="K152" i="14"/>
  <c r="K153" i="14"/>
  <c r="K154" i="14"/>
  <c r="K155" i="14"/>
  <c r="K156" i="14"/>
  <c r="K157" i="14"/>
  <c r="K158" i="14"/>
  <c r="K159" i="14"/>
  <c r="K160" i="14"/>
  <c r="K161" i="14"/>
  <c r="K162" i="14"/>
  <c r="K163" i="14"/>
  <c r="K164" i="14"/>
  <c r="K165" i="14"/>
  <c r="K166" i="14"/>
  <c r="K167" i="14"/>
  <c r="K168" i="14"/>
  <c r="K169" i="14"/>
  <c r="K170" i="14"/>
  <c r="K171" i="14"/>
  <c r="K172" i="14"/>
  <c r="K173" i="14"/>
  <c r="K174" i="14"/>
  <c r="K175" i="14"/>
  <c r="K176" i="14"/>
  <c r="K177" i="14"/>
  <c r="K178" i="14"/>
  <c r="K179" i="14"/>
  <c r="K180" i="14"/>
  <c r="K181" i="14"/>
  <c r="K182" i="14"/>
  <c r="K183" i="14"/>
  <c r="K184" i="14"/>
  <c r="K185" i="14"/>
  <c r="K186" i="14"/>
  <c r="K187" i="14"/>
  <c r="K188" i="14"/>
  <c r="K189" i="14"/>
  <c r="K190" i="14"/>
  <c r="K191" i="14"/>
  <c r="K192" i="14"/>
  <c r="K193" i="14"/>
  <c r="K194" i="14"/>
  <c r="K195" i="14"/>
  <c r="K196" i="14"/>
  <c r="K197" i="14"/>
  <c r="K198" i="14"/>
  <c r="K199" i="14"/>
  <c r="K200" i="14"/>
  <c r="K201" i="14"/>
  <c r="K202" i="14"/>
  <c r="K203" i="14"/>
  <c r="K204" i="14"/>
  <c r="K205" i="14"/>
  <c r="K206" i="14"/>
  <c r="K207" i="14"/>
  <c r="K208" i="14"/>
  <c r="K209" i="14"/>
  <c r="K210" i="14"/>
  <c r="K211" i="14"/>
  <c r="K212" i="14"/>
  <c r="K213" i="14"/>
  <c r="K214" i="14"/>
  <c r="K215" i="14"/>
  <c r="K216" i="14"/>
  <c r="K217" i="14"/>
  <c r="K218" i="14"/>
  <c r="K219" i="14"/>
  <c r="K220" i="14"/>
  <c r="K221" i="14"/>
  <c r="K222" i="14"/>
  <c r="K223" i="14"/>
  <c r="K224" i="14"/>
  <c r="K225" i="14"/>
  <c r="K226" i="14"/>
  <c r="K227" i="14"/>
  <c r="K228" i="14"/>
  <c r="K229" i="14"/>
  <c r="K230" i="14"/>
  <c r="K231" i="14"/>
  <c r="K232" i="14"/>
  <c r="K233" i="14"/>
  <c r="K234" i="14"/>
  <c r="K235" i="14"/>
  <c r="K236" i="14"/>
  <c r="K237" i="14"/>
  <c r="K238" i="14"/>
  <c r="K239" i="14"/>
  <c r="K240" i="14"/>
  <c r="K241" i="14"/>
  <c r="K242" i="14"/>
  <c r="K243" i="14"/>
  <c r="K244" i="14"/>
  <c r="K245" i="14"/>
  <c r="K246" i="14"/>
  <c r="K247" i="14"/>
  <c r="K248" i="14"/>
  <c r="K249" i="14"/>
  <c r="K250" i="14"/>
  <c r="K251" i="14"/>
  <c r="K252" i="14"/>
  <c r="K253" i="14"/>
  <c r="K254" i="14"/>
  <c r="K255" i="14"/>
  <c r="K256" i="14"/>
  <c r="K257" i="14"/>
  <c r="K258" i="14"/>
  <c r="K259" i="14"/>
  <c r="K260" i="14"/>
  <c r="K261" i="14"/>
  <c r="K262" i="14"/>
  <c r="K263" i="14"/>
  <c r="K264" i="14"/>
  <c r="K265" i="14"/>
  <c r="K266" i="14"/>
  <c r="K267" i="14"/>
  <c r="K268" i="14"/>
  <c r="K269" i="14"/>
  <c r="K270" i="14"/>
  <c r="K271" i="14"/>
  <c r="K272" i="14"/>
  <c r="K273" i="14"/>
  <c r="K274" i="14"/>
  <c r="K275" i="14"/>
  <c r="K276" i="14"/>
  <c r="K277" i="14"/>
  <c r="K278" i="14"/>
  <c r="K279" i="14"/>
  <c r="K280" i="14"/>
  <c r="K281" i="14"/>
  <c r="K282" i="14"/>
  <c r="K283" i="14"/>
  <c r="K284" i="14"/>
  <c r="K285" i="14"/>
  <c r="K286" i="14"/>
  <c r="K287" i="14"/>
  <c r="K288" i="14"/>
  <c r="K289" i="14"/>
  <c r="K290" i="14"/>
  <c r="K291" i="14"/>
  <c r="K292" i="14"/>
  <c r="K293" i="14"/>
  <c r="K294" i="14"/>
  <c r="K295" i="14"/>
  <c r="K296" i="14"/>
  <c r="K297" i="14"/>
  <c r="K298" i="14"/>
  <c r="K299" i="14"/>
  <c r="K300" i="14"/>
  <c r="K301" i="14"/>
  <c r="K302" i="14"/>
  <c r="K303" i="14"/>
  <c r="K304" i="14"/>
  <c r="K305" i="14"/>
  <c r="K306" i="14"/>
  <c r="K307" i="14"/>
  <c r="K308" i="14"/>
  <c r="K309" i="14"/>
  <c r="K310" i="14"/>
  <c r="K311" i="14"/>
  <c r="K312" i="14"/>
  <c r="K313" i="14"/>
  <c r="K314" i="14"/>
  <c r="K315" i="14"/>
  <c r="K316" i="14"/>
  <c r="K317" i="14"/>
  <c r="K318" i="14"/>
  <c r="K319" i="14"/>
  <c r="K320" i="14"/>
  <c r="K321" i="14"/>
  <c r="K322" i="14"/>
  <c r="K323" i="14"/>
  <c r="K324" i="14"/>
  <c r="K325" i="14"/>
  <c r="K326" i="14"/>
  <c r="K327" i="14"/>
  <c r="K328" i="14"/>
  <c r="K329" i="14"/>
  <c r="K330" i="14"/>
  <c r="K331" i="14"/>
  <c r="K332" i="14"/>
  <c r="K333" i="14"/>
  <c r="K334" i="14"/>
  <c r="K335" i="14"/>
  <c r="K336" i="14"/>
  <c r="K337" i="14"/>
  <c r="K338" i="14"/>
  <c r="K339" i="14"/>
  <c r="K340" i="14"/>
  <c r="K341" i="14"/>
  <c r="K342" i="14"/>
  <c r="K343" i="14"/>
  <c r="K344" i="14"/>
  <c r="K345" i="14"/>
  <c r="K346" i="14"/>
  <c r="K347" i="14"/>
  <c r="K348" i="14"/>
  <c r="K349" i="14"/>
  <c r="K350" i="14"/>
  <c r="K351" i="14"/>
  <c r="K352" i="14"/>
  <c r="K353" i="14"/>
  <c r="K354" i="14"/>
  <c r="K355" i="14"/>
  <c r="K356" i="14"/>
  <c r="K357" i="14"/>
  <c r="K358" i="14"/>
  <c r="K359" i="14"/>
  <c r="K360" i="14"/>
  <c r="K361" i="14"/>
  <c r="K362" i="14"/>
  <c r="K363" i="14"/>
  <c r="K364" i="14"/>
  <c r="K365" i="14"/>
  <c r="K366" i="14"/>
  <c r="K367" i="14"/>
  <c r="K368" i="14"/>
  <c r="K369" i="14"/>
  <c r="K370" i="14"/>
  <c r="K371" i="14"/>
  <c r="K372" i="14"/>
  <c r="K373" i="14"/>
  <c r="K374" i="14"/>
  <c r="K375" i="14"/>
  <c r="K376" i="14"/>
  <c r="K377" i="14"/>
  <c r="K378" i="14"/>
  <c r="K379" i="14"/>
  <c r="K380" i="14"/>
  <c r="K381" i="14"/>
  <c r="K382" i="14"/>
  <c r="K383" i="14"/>
  <c r="K384" i="14"/>
  <c r="K385" i="14"/>
  <c r="K386" i="14"/>
  <c r="K387" i="14"/>
  <c r="K388" i="14"/>
  <c r="K389" i="14"/>
  <c r="K390" i="14"/>
  <c r="K391" i="14"/>
  <c r="K392" i="14"/>
  <c r="K393" i="14"/>
  <c r="K394" i="14"/>
  <c r="K395" i="14"/>
  <c r="K396" i="14"/>
  <c r="K397" i="14"/>
  <c r="K398" i="14"/>
  <c r="K399" i="14"/>
  <c r="K400" i="14"/>
  <c r="K401" i="14"/>
  <c r="K402" i="14"/>
  <c r="K403" i="14"/>
  <c r="K404" i="14"/>
  <c r="K405" i="14"/>
  <c r="K406" i="14"/>
  <c r="K407" i="14"/>
  <c r="K408" i="14"/>
  <c r="K409" i="14"/>
  <c r="K410" i="14"/>
  <c r="K411" i="14"/>
  <c r="K412" i="14"/>
  <c r="K413" i="14"/>
  <c r="K414" i="14"/>
  <c r="K415" i="14"/>
  <c r="K416" i="14"/>
  <c r="K417" i="14"/>
  <c r="K418" i="14"/>
  <c r="K419" i="14"/>
  <c r="K420" i="14"/>
  <c r="K421" i="14"/>
  <c r="K422" i="14"/>
  <c r="K423" i="14"/>
  <c r="K424" i="14"/>
  <c r="K425" i="14"/>
  <c r="K426" i="14"/>
  <c r="K427" i="14"/>
  <c r="K428" i="14"/>
  <c r="K429" i="14"/>
  <c r="K430" i="14"/>
  <c r="K431" i="14"/>
  <c r="K432" i="14"/>
  <c r="K433" i="14"/>
  <c r="K434" i="14"/>
  <c r="K435" i="14"/>
  <c r="K436" i="14"/>
  <c r="K437" i="14"/>
  <c r="K438" i="14"/>
  <c r="K439" i="14"/>
  <c r="K440" i="14"/>
  <c r="K441" i="14"/>
  <c r="K442" i="14"/>
  <c r="K443" i="14"/>
  <c r="K444" i="14"/>
  <c r="K445" i="14"/>
  <c r="K446" i="14"/>
  <c r="K447" i="14"/>
  <c r="K448" i="14"/>
  <c r="K449" i="14"/>
  <c r="K450" i="14"/>
  <c r="K451" i="14"/>
  <c r="K452" i="14"/>
  <c r="K453" i="14"/>
  <c r="K454" i="14"/>
  <c r="K455" i="14"/>
  <c r="K456" i="14"/>
  <c r="K457" i="14"/>
  <c r="K458" i="14"/>
  <c r="K459" i="14"/>
  <c r="K460" i="14"/>
  <c r="K461" i="14"/>
  <c r="K462" i="14"/>
  <c r="K463" i="14"/>
  <c r="K464" i="14"/>
  <c r="K465" i="14"/>
  <c r="K466" i="14"/>
  <c r="K467" i="14"/>
  <c r="K468" i="14"/>
  <c r="K469" i="14"/>
  <c r="K470" i="14"/>
  <c r="K471" i="14"/>
  <c r="K472" i="14"/>
  <c r="K473" i="14"/>
  <c r="K474" i="14"/>
  <c r="K475" i="14"/>
  <c r="K476" i="14"/>
  <c r="K477" i="14"/>
  <c r="K478" i="14"/>
  <c r="K479" i="14"/>
  <c r="K480" i="14"/>
  <c r="K481" i="14"/>
  <c r="K482" i="14"/>
  <c r="K483" i="14"/>
  <c r="K484" i="14"/>
  <c r="K485" i="14"/>
  <c r="K486" i="14"/>
  <c r="K487" i="14"/>
  <c r="K488" i="14"/>
  <c r="K489" i="14"/>
  <c r="K490" i="14"/>
  <c r="K491" i="14"/>
  <c r="K492" i="14"/>
  <c r="K493" i="14"/>
  <c r="K494" i="14"/>
  <c r="K495" i="14"/>
  <c r="K496" i="14"/>
  <c r="K497" i="14"/>
  <c r="K498" i="14"/>
  <c r="K499" i="14"/>
  <c r="K500" i="14"/>
  <c r="K501" i="14"/>
  <c r="K502" i="14"/>
  <c r="K503" i="14"/>
  <c r="K504" i="14"/>
  <c r="K505" i="14"/>
  <c r="K506" i="14"/>
  <c r="K507" i="14"/>
  <c r="K508" i="14"/>
  <c r="K509" i="14"/>
  <c r="K510" i="14"/>
  <c r="K511" i="14"/>
  <c r="K512" i="14"/>
  <c r="K513" i="14"/>
  <c r="K514" i="14"/>
  <c r="K515" i="14"/>
  <c r="K516" i="14"/>
  <c r="K517" i="14"/>
  <c r="K518" i="14"/>
  <c r="K519" i="14"/>
  <c r="K520" i="14"/>
  <c r="K521" i="14"/>
  <c r="K522" i="14"/>
  <c r="K523" i="14"/>
  <c r="K524" i="14"/>
  <c r="K525" i="14"/>
  <c r="K526" i="14"/>
  <c r="K527" i="14"/>
  <c r="K528" i="14"/>
  <c r="K529" i="14"/>
  <c r="K530" i="14"/>
  <c r="K531" i="14"/>
  <c r="K532" i="14"/>
  <c r="K533" i="14"/>
  <c r="K534" i="14"/>
  <c r="K535" i="14"/>
  <c r="K536" i="14"/>
  <c r="K537" i="14"/>
  <c r="K538" i="14"/>
  <c r="K539" i="14"/>
  <c r="K540" i="14"/>
  <c r="K541" i="14"/>
  <c r="K542" i="14"/>
  <c r="K543" i="14"/>
  <c r="K544" i="14"/>
  <c r="K545" i="14"/>
  <c r="K546" i="14"/>
  <c r="K547" i="14"/>
  <c r="K548" i="14"/>
  <c r="K549" i="14"/>
  <c r="K550" i="14"/>
  <c r="K551" i="14"/>
  <c r="K552" i="14"/>
  <c r="K553" i="14"/>
  <c r="K554" i="14"/>
  <c r="K555" i="14"/>
  <c r="K556" i="14"/>
  <c r="K557" i="14"/>
  <c r="K558" i="14"/>
  <c r="K559" i="14"/>
  <c r="K560" i="14"/>
  <c r="K561" i="14"/>
  <c r="K562" i="14"/>
  <c r="K563" i="14"/>
  <c r="K564" i="14"/>
  <c r="K565" i="14"/>
  <c r="K566" i="14"/>
  <c r="K567" i="14"/>
  <c r="K568" i="14"/>
  <c r="K569" i="14"/>
  <c r="K570" i="14"/>
  <c r="K571" i="14"/>
  <c r="K572" i="14"/>
  <c r="K573" i="14"/>
  <c r="K574" i="14"/>
  <c r="K575" i="14"/>
  <c r="K576" i="14"/>
  <c r="K577" i="14"/>
  <c r="K578" i="14"/>
  <c r="K579" i="14"/>
  <c r="K580" i="14"/>
  <c r="K581" i="14"/>
  <c r="K582" i="14"/>
  <c r="K583" i="14"/>
  <c r="K584" i="14"/>
  <c r="K585" i="14"/>
  <c r="K586" i="14"/>
  <c r="K587" i="14"/>
  <c r="K588" i="14"/>
  <c r="K589" i="14"/>
  <c r="K590" i="14"/>
  <c r="K591" i="14"/>
  <c r="K592" i="14"/>
  <c r="K593" i="14"/>
  <c r="K594" i="14"/>
  <c r="K595" i="14"/>
  <c r="K596" i="14"/>
  <c r="K597" i="14"/>
  <c r="K598" i="14"/>
  <c r="K599" i="14"/>
  <c r="K600" i="14"/>
  <c r="K601" i="14"/>
  <c r="K602" i="14"/>
  <c r="K603" i="14"/>
  <c r="K604" i="14"/>
  <c r="K605" i="14"/>
  <c r="K606" i="14"/>
  <c r="K607" i="14"/>
  <c r="K608" i="14"/>
  <c r="K609" i="14"/>
  <c r="K610" i="14"/>
  <c r="K611" i="14"/>
  <c r="K612" i="14"/>
  <c r="K613" i="14"/>
  <c r="K614" i="14"/>
  <c r="K615" i="14"/>
  <c r="K616" i="14"/>
  <c r="K617" i="14"/>
  <c r="K618" i="14"/>
  <c r="K619" i="14"/>
  <c r="K620" i="14"/>
  <c r="K621" i="14"/>
  <c r="K622" i="14"/>
  <c r="K623" i="14"/>
  <c r="K624" i="14"/>
  <c r="K625" i="14"/>
  <c r="K626" i="14"/>
  <c r="K627" i="14"/>
  <c r="K628" i="14"/>
  <c r="K629" i="14"/>
  <c r="K630" i="14"/>
  <c r="K631" i="14"/>
  <c r="K632" i="14"/>
  <c r="K633" i="14"/>
  <c r="K634" i="14"/>
  <c r="K635" i="14"/>
  <c r="K636" i="14"/>
  <c r="K637" i="14"/>
  <c r="K638" i="14"/>
  <c r="K639" i="14"/>
  <c r="K640" i="14"/>
  <c r="K641" i="14"/>
  <c r="K642" i="14"/>
  <c r="K643" i="14"/>
  <c r="K644" i="14"/>
  <c r="K645" i="14"/>
  <c r="K646" i="14"/>
  <c r="K647" i="14"/>
  <c r="K648" i="14"/>
  <c r="K649" i="14"/>
  <c r="K650" i="14"/>
  <c r="K651" i="14"/>
  <c r="K652" i="14"/>
  <c r="K653" i="14"/>
  <c r="K654" i="14"/>
  <c r="K655" i="14"/>
  <c r="K656" i="14"/>
  <c r="K657" i="14"/>
  <c r="K658" i="14"/>
  <c r="K659" i="14"/>
  <c r="K660" i="14"/>
  <c r="K661" i="14"/>
  <c r="K662" i="14"/>
  <c r="K663" i="14"/>
  <c r="K664" i="14"/>
  <c r="K665" i="14"/>
  <c r="K666" i="14"/>
  <c r="K667" i="14"/>
  <c r="K668" i="14"/>
  <c r="K669" i="14"/>
  <c r="K670" i="14"/>
  <c r="K671" i="14"/>
  <c r="K672" i="14"/>
  <c r="K673" i="14"/>
  <c r="K674" i="14"/>
  <c r="K675" i="14"/>
  <c r="K676" i="14"/>
  <c r="K677" i="14"/>
  <c r="K678" i="14"/>
  <c r="K679" i="14"/>
  <c r="K680" i="14"/>
  <c r="K681" i="14"/>
  <c r="K682" i="14"/>
  <c r="K683" i="14"/>
  <c r="K684" i="14"/>
  <c r="K685" i="14"/>
  <c r="K686" i="14"/>
  <c r="K687" i="14"/>
  <c r="K688" i="14"/>
  <c r="K689" i="14"/>
  <c r="K690" i="14"/>
  <c r="K691" i="14"/>
  <c r="K692" i="14"/>
  <c r="K693" i="14"/>
  <c r="K694" i="14"/>
  <c r="K695" i="14"/>
  <c r="K696" i="14"/>
  <c r="K697" i="14"/>
  <c r="K698" i="14"/>
  <c r="K699" i="14"/>
  <c r="K700" i="14"/>
  <c r="K701" i="14"/>
  <c r="K702" i="14"/>
  <c r="K703" i="14"/>
  <c r="K704" i="14"/>
  <c r="K705" i="14"/>
  <c r="K706" i="14"/>
  <c r="K707" i="14"/>
  <c r="K708" i="14"/>
  <c r="K709" i="14"/>
  <c r="K710" i="14"/>
  <c r="K711" i="14"/>
  <c r="K712" i="14"/>
  <c r="K713" i="14"/>
  <c r="K714" i="14"/>
  <c r="K715" i="14"/>
  <c r="K716" i="14"/>
  <c r="K717" i="14"/>
  <c r="K718" i="14"/>
  <c r="K719" i="14"/>
  <c r="K720" i="14"/>
  <c r="K721" i="14"/>
  <c r="K722" i="14"/>
  <c r="K723" i="14"/>
  <c r="K724" i="14"/>
  <c r="K725" i="14"/>
  <c r="K726" i="14"/>
  <c r="K727" i="14"/>
  <c r="K728" i="14"/>
  <c r="K729" i="14"/>
  <c r="K730" i="14"/>
  <c r="K731" i="14"/>
  <c r="K732" i="14"/>
  <c r="K733" i="14"/>
  <c r="K734" i="14"/>
  <c r="K735" i="14"/>
  <c r="K736" i="14"/>
  <c r="K737" i="14"/>
  <c r="K738" i="14"/>
  <c r="K739" i="14"/>
  <c r="K740" i="14"/>
  <c r="K741" i="14"/>
  <c r="K742" i="14"/>
  <c r="K743" i="14"/>
  <c r="K744" i="14"/>
  <c r="K745" i="14"/>
  <c r="K746" i="14"/>
  <c r="K747" i="14"/>
  <c r="K748" i="14"/>
  <c r="K749" i="14"/>
  <c r="K750" i="14"/>
  <c r="K751" i="14"/>
  <c r="K752" i="14"/>
  <c r="K753" i="14"/>
  <c r="K754" i="14"/>
  <c r="K755" i="14"/>
  <c r="K756" i="14"/>
  <c r="K757" i="14"/>
  <c r="K758" i="14"/>
  <c r="K759" i="14"/>
  <c r="K760" i="14"/>
  <c r="K761" i="14"/>
  <c r="K762" i="14"/>
  <c r="K763" i="14"/>
  <c r="K764" i="14"/>
  <c r="K765" i="14"/>
  <c r="K766" i="14"/>
  <c r="K767" i="14"/>
  <c r="K768" i="14"/>
  <c r="K769" i="14"/>
  <c r="K770" i="14"/>
  <c r="K771" i="14"/>
  <c r="K772" i="14"/>
  <c r="K773" i="14"/>
  <c r="K774" i="14"/>
  <c r="K775" i="14"/>
  <c r="K776" i="14"/>
  <c r="K777" i="14"/>
  <c r="K778" i="14"/>
  <c r="K779" i="14"/>
  <c r="K780" i="14"/>
  <c r="K781" i="14"/>
  <c r="K782" i="14"/>
  <c r="K783" i="14"/>
  <c r="K784" i="14"/>
  <c r="K785" i="14"/>
  <c r="K786" i="14"/>
  <c r="K787" i="14"/>
  <c r="K788" i="14"/>
  <c r="K789" i="14"/>
  <c r="K790" i="14"/>
  <c r="K2" i="14"/>
  <c r="L3" i="15"/>
  <c r="L4" i="15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100" i="15"/>
  <c r="L101" i="15"/>
  <c r="L102" i="15"/>
  <c r="L103" i="15"/>
  <c r="L104" i="15"/>
  <c r="L105" i="15"/>
  <c r="L106" i="15"/>
  <c r="L107" i="15"/>
  <c r="L108" i="15"/>
  <c r="L109" i="15"/>
  <c r="L110" i="15"/>
  <c r="L111" i="15"/>
  <c r="L112" i="15"/>
  <c r="L113" i="15"/>
  <c r="L114" i="15"/>
  <c r="L115" i="15"/>
  <c r="L116" i="15"/>
  <c r="L117" i="15"/>
  <c r="L118" i="15"/>
  <c r="L119" i="15"/>
  <c r="L120" i="15"/>
  <c r="L121" i="15"/>
  <c r="L122" i="15"/>
  <c r="L123" i="15"/>
  <c r="L124" i="15"/>
  <c r="L125" i="15"/>
  <c r="L126" i="15"/>
  <c r="L127" i="15"/>
  <c r="L128" i="15"/>
  <c r="L129" i="15"/>
  <c r="L130" i="15"/>
  <c r="L131" i="15"/>
  <c r="L132" i="15"/>
  <c r="L133" i="15"/>
  <c r="L134" i="15"/>
  <c r="L135" i="15"/>
  <c r="L136" i="15"/>
  <c r="L137" i="15"/>
  <c r="L138" i="15"/>
  <c r="L139" i="15"/>
  <c r="L140" i="15"/>
  <c r="L141" i="15"/>
  <c r="L142" i="15"/>
  <c r="L143" i="15"/>
  <c r="L144" i="15"/>
  <c r="L145" i="15"/>
  <c r="L146" i="15"/>
  <c r="L147" i="15"/>
  <c r="L148" i="15"/>
  <c r="L149" i="15"/>
  <c r="L150" i="15"/>
  <c r="L151" i="15"/>
  <c r="L152" i="15"/>
  <c r="L153" i="15"/>
  <c r="L154" i="15"/>
  <c r="L155" i="15"/>
  <c r="L156" i="15"/>
  <c r="L157" i="15"/>
  <c r="L158" i="15"/>
  <c r="L159" i="15"/>
  <c r="L160" i="15"/>
  <c r="L161" i="15"/>
  <c r="L162" i="15"/>
  <c r="L163" i="15"/>
  <c r="L164" i="15"/>
  <c r="L165" i="15"/>
  <c r="L166" i="15"/>
  <c r="L167" i="15"/>
  <c r="L168" i="15"/>
  <c r="L169" i="15"/>
  <c r="L170" i="15"/>
  <c r="L171" i="15"/>
  <c r="L172" i="15"/>
  <c r="L173" i="15"/>
  <c r="L174" i="15"/>
  <c r="L175" i="15"/>
  <c r="L176" i="15"/>
  <c r="L177" i="15"/>
  <c r="L178" i="15"/>
  <c r="L179" i="15"/>
  <c r="L180" i="15"/>
  <c r="L181" i="15"/>
  <c r="L182" i="15"/>
  <c r="L183" i="15"/>
  <c r="L184" i="15"/>
  <c r="L185" i="15"/>
  <c r="L186" i="15"/>
  <c r="L187" i="15"/>
  <c r="L188" i="15"/>
  <c r="L189" i="15"/>
  <c r="L190" i="15"/>
  <c r="L191" i="15"/>
  <c r="L192" i="15"/>
  <c r="L193" i="15"/>
  <c r="L194" i="15"/>
  <c r="L195" i="15"/>
  <c r="L196" i="15"/>
  <c r="L197" i="15"/>
  <c r="L198" i="15"/>
  <c r="L199" i="15"/>
  <c r="L200" i="15"/>
  <c r="L201" i="15"/>
  <c r="L202" i="15"/>
  <c r="L203" i="15"/>
  <c r="L204" i="15"/>
  <c r="L205" i="15"/>
  <c r="L206" i="15"/>
  <c r="L207" i="15"/>
  <c r="L208" i="15"/>
  <c r="L209" i="15"/>
  <c r="L210" i="15"/>
  <c r="L211" i="15"/>
  <c r="L212" i="15"/>
  <c r="L213" i="15"/>
  <c r="L214" i="15"/>
  <c r="L215" i="15"/>
  <c r="L216" i="15"/>
  <c r="L217" i="15"/>
  <c r="L218" i="15"/>
  <c r="L219" i="15"/>
  <c r="L220" i="15"/>
  <c r="L221" i="15"/>
  <c r="L222" i="15"/>
  <c r="L223" i="15"/>
  <c r="L224" i="15"/>
  <c r="L225" i="15"/>
  <c r="L226" i="15"/>
  <c r="L227" i="15"/>
  <c r="L228" i="15"/>
  <c r="L229" i="15"/>
  <c r="L230" i="15"/>
  <c r="L231" i="15"/>
  <c r="L232" i="15"/>
  <c r="L233" i="15"/>
  <c r="L234" i="15"/>
  <c r="L235" i="15"/>
  <c r="L236" i="15"/>
  <c r="L237" i="15"/>
  <c r="L238" i="15"/>
  <c r="L239" i="15"/>
  <c r="L240" i="15"/>
  <c r="L241" i="15"/>
  <c r="L242" i="15"/>
  <c r="L243" i="15"/>
  <c r="L244" i="15"/>
  <c r="L245" i="15"/>
  <c r="L246" i="15"/>
  <c r="L247" i="15"/>
  <c r="L248" i="15"/>
  <c r="L249" i="15"/>
  <c r="L250" i="15"/>
  <c r="L251" i="15"/>
  <c r="L252" i="15"/>
  <c r="L253" i="15"/>
  <c r="L254" i="15"/>
  <c r="L255" i="15"/>
  <c r="L256" i="15"/>
  <c r="L257" i="15"/>
  <c r="L258" i="15"/>
  <c r="L259" i="15"/>
  <c r="L260" i="15"/>
  <c r="L261" i="15"/>
  <c r="L262" i="15"/>
  <c r="L263" i="15"/>
  <c r="L264" i="15"/>
  <c r="L265" i="15"/>
  <c r="L266" i="15"/>
  <c r="L267" i="15"/>
  <c r="L268" i="15"/>
  <c r="L269" i="15"/>
  <c r="L270" i="15"/>
  <c r="L271" i="15"/>
  <c r="L272" i="15"/>
  <c r="L273" i="15"/>
  <c r="L274" i="15"/>
  <c r="L275" i="15"/>
  <c r="L276" i="15"/>
  <c r="L277" i="15"/>
  <c r="L278" i="15"/>
  <c r="L279" i="15"/>
  <c r="L280" i="15"/>
  <c r="L281" i="15"/>
  <c r="L282" i="15"/>
  <c r="L283" i="15"/>
  <c r="L284" i="15"/>
  <c r="L285" i="15"/>
  <c r="L286" i="15"/>
  <c r="L287" i="15"/>
  <c r="L288" i="15"/>
  <c r="L289" i="15"/>
  <c r="L290" i="15"/>
  <c r="L291" i="15"/>
  <c r="L292" i="15"/>
  <c r="L293" i="15"/>
  <c r="L294" i="15"/>
  <c r="L295" i="15"/>
  <c r="L296" i="15"/>
  <c r="L297" i="15"/>
  <c r="L298" i="15"/>
  <c r="L299" i="15"/>
  <c r="L300" i="15"/>
  <c r="L301" i="15"/>
  <c r="L302" i="15"/>
  <c r="L303" i="15"/>
  <c r="L304" i="15"/>
  <c r="L305" i="15"/>
  <c r="L306" i="15"/>
  <c r="L307" i="15"/>
  <c r="L308" i="15"/>
  <c r="L309" i="15"/>
  <c r="L310" i="15"/>
  <c r="L311" i="15"/>
  <c r="L312" i="15"/>
  <c r="L313" i="15"/>
  <c r="L314" i="15"/>
  <c r="L315" i="15"/>
  <c r="L316" i="15"/>
  <c r="L317" i="15"/>
  <c r="L318" i="15"/>
  <c r="L319" i="15"/>
  <c r="L320" i="15"/>
  <c r="L321" i="15"/>
  <c r="L322" i="15"/>
  <c r="L323" i="15"/>
  <c r="L324" i="15"/>
  <c r="L325" i="15"/>
  <c r="L326" i="15"/>
  <c r="L327" i="15"/>
  <c r="L328" i="15"/>
  <c r="L329" i="15"/>
  <c r="L330" i="15"/>
  <c r="L331" i="15"/>
  <c r="L332" i="15"/>
  <c r="L333" i="15"/>
  <c r="L334" i="15"/>
  <c r="L335" i="15"/>
  <c r="L336" i="15"/>
  <c r="L337" i="15"/>
  <c r="L338" i="15"/>
  <c r="L339" i="15"/>
  <c r="L340" i="15"/>
  <c r="L341" i="15"/>
  <c r="L342" i="15"/>
  <c r="L343" i="15"/>
  <c r="L344" i="15"/>
  <c r="L345" i="15"/>
  <c r="L346" i="15"/>
  <c r="L347" i="15"/>
  <c r="L348" i="15"/>
  <c r="L349" i="15"/>
  <c r="L350" i="15"/>
  <c r="L351" i="15"/>
  <c r="L352" i="15"/>
  <c r="L353" i="15"/>
  <c r="L354" i="15"/>
  <c r="L355" i="15"/>
  <c r="L356" i="15"/>
  <c r="L357" i="15"/>
  <c r="L358" i="15"/>
  <c r="L359" i="15"/>
  <c r="L360" i="15"/>
  <c r="L361" i="15"/>
  <c r="L362" i="15"/>
  <c r="L363" i="15"/>
  <c r="L364" i="15"/>
  <c r="L365" i="15"/>
  <c r="L366" i="15"/>
  <c r="L367" i="15"/>
  <c r="L368" i="15"/>
  <c r="L369" i="15"/>
  <c r="L370" i="15"/>
  <c r="L371" i="15"/>
  <c r="L372" i="15"/>
  <c r="L373" i="15"/>
  <c r="L374" i="15"/>
  <c r="L375" i="15"/>
  <c r="L376" i="15"/>
  <c r="L377" i="15"/>
  <c r="L378" i="15"/>
  <c r="L379" i="15"/>
  <c r="L380" i="15"/>
  <c r="L381" i="15"/>
  <c r="L382" i="15"/>
  <c r="L383" i="15"/>
  <c r="L384" i="15"/>
  <c r="L385" i="15"/>
  <c r="L386" i="15"/>
  <c r="L387" i="15"/>
  <c r="L388" i="15"/>
  <c r="L389" i="15"/>
  <c r="L390" i="15"/>
  <c r="L391" i="15"/>
  <c r="L392" i="15"/>
  <c r="L393" i="15"/>
  <c r="L394" i="15"/>
  <c r="L395" i="15"/>
  <c r="L396" i="15"/>
  <c r="L397" i="15"/>
  <c r="L398" i="15"/>
  <c r="L399" i="15"/>
  <c r="L400" i="15"/>
  <c r="L401" i="15"/>
  <c r="L402" i="15"/>
  <c r="L403" i="15"/>
  <c r="L404" i="15"/>
  <c r="L405" i="15"/>
  <c r="L406" i="15"/>
  <c r="L407" i="15"/>
  <c r="L408" i="15"/>
  <c r="L409" i="15"/>
  <c r="L410" i="15"/>
  <c r="L411" i="15"/>
  <c r="L412" i="15"/>
  <c r="L413" i="15"/>
  <c r="L414" i="15"/>
  <c r="L415" i="15"/>
  <c r="L416" i="15"/>
  <c r="L417" i="15"/>
  <c r="L418" i="15"/>
  <c r="L419" i="15"/>
  <c r="L420" i="15"/>
  <c r="L421" i="15"/>
  <c r="L422" i="15"/>
  <c r="L423" i="15"/>
  <c r="L424" i="15"/>
  <c r="L425" i="15"/>
  <c r="L426" i="15"/>
  <c r="L427" i="15"/>
  <c r="L428" i="15"/>
  <c r="L429" i="15"/>
  <c r="L430" i="15"/>
  <c r="L431" i="15"/>
  <c r="L432" i="15"/>
  <c r="L433" i="15"/>
  <c r="L434" i="15"/>
  <c r="L435" i="15"/>
  <c r="L436" i="15"/>
  <c r="L437" i="15"/>
  <c r="L438" i="15"/>
  <c r="L439" i="15"/>
  <c r="L440" i="15"/>
  <c r="L441" i="15"/>
  <c r="L442" i="15"/>
  <c r="L443" i="15"/>
  <c r="L444" i="15"/>
  <c r="L445" i="15"/>
  <c r="L446" i="15"/>
  <c r="L447" i="15"/>
  <c r="L448" i="15"/>
  <c r="L449" i="15"/>
  <c r="L450" i="15"/>
  <c r="L451" i="15"/>
  <c r="L452" i="15"/>
  <c r="L453" i="15"/>
  <c r="L454" i="15"/>
  <c r="L455" i="15"/>
  <c r="L456" i="15"/>
  <c r="L457" i="15"/>
  <c r="L458" i="15"/>
  <c r="L459" i="15"/>
  <c r="L460" i="15"/>
  <c r="L461" i="15"/>
  <c r="L462" i="15"/>
  <c r="L463" i="15"/>
  <c r="L464" i="15"/>
  <c r="L465" i="15"/>
  <c r="L466" i="15"/>
  <c r="L467" i="15"/>
  <c r="L468" i="15"/>
  <c r="L469" i="15"/>
  <c r="L470" i="15"/>
  <c r="L471" i="15"/>
  <c r="L472" i="15"/>
  <c r="L473" i="15"/>
  <c r="L474" i="15"/>
  <c r="L475" i="15"/>
  <c r="L476" i="15"/>
  <c r="L477" i="15"/>
  <c r="L478" i="15"/>
  <c r="L479" i="15"/>
  <c r="L480" i="15"/>
  <c r="L481" i="15"/>
  <c r="L482" i="15"/>
  <c r="L483" i="15"/>
  <c r="L484" i="15"/>
  <c r="L485" i="15"/>
  <c r="L486" i="15"/>
  <c r="L487" i="15"/>
  <c r="L488" i="15"/>
  <c r="L489" i="15"/>
  <c r="L490" i="15"/>
  <c r="L491" i="15"/>
  <c r="L492" i="15"/>
  <c r="L493" i="15"/>
  <c r="L494" i="15"/>
  <c r="L495" i="15"/>
  <c r="L496" i="15"/>
  <c r="L497" i="15"/>
  <c r="L498" i="15"/>
  <c r="L499" i="15"/>
  <c r="L500" i="15"/>
  <c r="L501" i="15"/>
  <c r="L502" i="15"/>
  <c r="L503" i="15"/>
  <c r="L504" i="15"/>
  <c r="L505" i="15"/>
  <c r="L506" i="15"/>
  <c r="L507" i="15"/>
  <c r="L508" i="15"/>
  <c r="L509" i="15"/>
  <c r="L510" i="15"/>
  <c r="L511" i="15"/>
  <c r="L512" i="15"/>
  <c r="L513" i="15"/>
  <c r="L514" i="15"/>
  <c r="L515" i="15"/>
  <c r="L516" i="15"/>
  <c r="L517" i="15"/>
  <c r="L518" i="15"/>
  <c r="L519" i="15"/>
  <c r="L520" i="15"/>
  <c r="L521" i="15"/>
  <c r="L522" i="15"/>
  <c r="L523" i="15"/>
  <c r="L524" i="15"/>
  <c r="L525" i="15"/>
  <c r="L526" i="15"/>
  <c r="L527" i="15"/>
  <c r="L528" i="15"/>
  <c r="L529" i="15"/>
  <c r="L530" i="15"/>
  <c r="L531" i="15"/>
  <c r="L532" i="15"/>
  <c r="L533" i="15"/>
  <c r="L534" i="15"/>
  <c r="L535" i="15"/>
  <c r="L536" i="15"/>
  <c r="L537" i="15"/>
  <c r="L538" i="15"/>
  <c r="L539" i="15"/>
  <c r="L540" i="15"/>
  <c r="L541" i="15"/>
  <c r="L542" i="15"/>
  <c r="L543" i="15"/>
  <c r="L544" i="15"/>
  <c r="L545" i="15"/>
  <c r="L546" i="15"/>
  <c r="L547" i="15"/>
  <c r="L548" i="15"/>
  <c r="L549" i="15"/>
  <c r="L550" i="15"/>
  <c r="L551" i="15"/>
  <c r="L552" i="15"/>
  <c r="L553" i="15"/>
  <c r="L554" i="15"/>
  <c r="L555" i="15"/>
  <c r="L556" i="15"/>
  <c r="L557" i="15"/>
  <c r="L558" i="15"/>
  <c r="L559" i="15"/>
  <c r="L560" i="15"/>
  <c r="L561" i="15"/>
  <c r="L562" i="15"/>
  <c r="L563" i="15"/>
  <c r="L564" i="15"/>
  <c r="L565" i="15"/>
  <c r="L566" i="15"/>
  <c r="L567" i="15"/>
  <c r="L568" i="15"/>
  <c r="L569" i="15"/>
  <c r="L570" i="15"/>
  <c r="L571" i="15"/>
  <c r="L572" i="15"/>
  <c r="L573" i="15"/>
  <c r="L574" i="15"/>
  <c r="L575" i="15"/>
  <c r="L576" i="15"/>
  <c r="L577" i="15"/>
  <c r="L578" i="15"/>
  <c r="L579" i="15"/>
  <c r="L580" i="15"/>
  <c r="L581" i="15"/>
  <c r="L582" i="15"/>
  <c r="L583" i="15"/>
  <c r="L584" i="15"/>
  <c r="L585" i="15"/>
  <c r="L586" i="15"/>
  <c r="L587" i="15"/>
  <c r="L588" i="15"/>
  <c r="L589" i="15"/>
  <c r="L590" i="15"/>
  <c r="L591" i="15"/>
  <c r="L592" i="15"/>
  <c r="L593" i="15"/>
  <c r="L594" i="15"/>
  <c r="L595" i="15"/>
  <c r="L596" i="15"/>
  <c r="L597" i="15"/>
  <c r="L598" i="15"/>
  <c r="L599" i="15"/>
  <c r="L600" i="15"/>
  <c r="L601" i="15"/>
  <c r="L602" i="15"/>
  <c r="L603" i="15"/>
  <c r="L604" i="15"/>
  <c r="L605" i="15"/>
  <c r="L606" i="15"/>
  <c r="L607" i="15"/>
  <c r="L608" i="15"/>
  <c r="L609" i="15"/>
  <c r="L610" i="15"/>
  <c r="L611" i="15"/>
  <c r="L612" i="15"/>
  <c r="L613" i="15"/>
  <c r="L614" i="15"/>
  <c r="L615" i="15"/>
  <c r="L616" i="15"/>
  <c r="L617" i="15"/>
  <c r="L618" i="15"/>
  <c r="L619" i="15"/>
  <c r="L620" i="15"/>
  <c r="L621" i="15"/>
  <c r="L622" i="15"/>
  <c r="L623" i="15"/>
  <c r="L624" i="15"/>
  <c r="L625" i="15"/>
  <c r="L626" i="15"/>
  <c r="L627" i="15"/>
  <c r="L628" i="15"/>
  <c r="L629" i="15"/>
  <c r="L630" i="15"/>
  <c r="L631" i="15"/>
  <c r="L632" i="15"/>
  <c r="L633" i="15"/>
  <c r="L634" i="15"/>
  <c r="L635" i="15"/>
  <c r="L636" i="15"/>
  <c r="L637" i="15"/>
  <c r="L638" i="15"/>
  <c r="L639" i="15"/>
  <c r="L640" i="15"/>
  <c r="L641" i="15"/>
  <c r="L642" i="15"/>
  <c r="L643" i="15"/>
  <c r="L644" i="15"/>
  <c r="L645" i="15"/>
  <c r="L646" i="15"/>
  <c r="L647" i="15"/>
  <c r="L648" i="15"/>
  <c r="L649" i="15"/>
  <c r="L650" i="15"/>
  <c r="L651" i="15"/>
  <c r="L652" i="15"/>
  <c r="L653" i="15"/>
  <c r="L654" i="15"/>
  <c r="L655" i="15"/>
  <c r="L656" i="15"/>
  <c r="L657" i="15"/>
  <c r="L658" i="15"/>
  <c r="L659" i="15"/>
  <c r="L660" i="15"/>
  <c r="L661" i="15"/>
  <c r="L662" i="15"/>
  <c r="L663" i="15"/>
  <c r="L664" i="15"/>
  <c r="L665" i="15"/>
  <c r="L666" i="15"/>
  <c r="L667" i="15"/>
  <c r="L668" i="15"/>
  <c r="L669" i="15"/>
  <c r="L670" i="15"/>
  <c r="L671" i="15"/>
  <c r="L672" i="15"/>
  <c r="L673" i="15"/>
  <c r="L674" i="15"/>
  <c r="L675" i="15"/>
  <c r="L676" i="15"/>
  <c r="L677" i="15"/>
  <c r="L678" i="15"/>
  <c r="L679" i="15"/>
  <c r="L680" i="15"/>
  <c r="L681" i="15"/>
  <c r="L682" i="15"/>
  <c r="L683" i="15"/>
  <c r="L684" i="15"/>
  <c r="L685" i="15"/>
  <c r="L686" i="15"/>
  <c r="L687" i="15"/>
  <c r="L688" i="15"/>
  <c r="L689" i="15"/>
  <c r="L690" i="15"/>
  <c r="L691" i="15"/>
  <c r="L692" i="15"/>
  <c r="L693" i="15"/>
  <c r="L694" i="15"/>
  <c r="L695" i="15"/>
  <c r="L696" i="15"/>
  <c r="L697" i="15"/>
  <c r="L698" i="15"/>
  <c r="L699" i="15"/>
  <c r="L700" i="15"/>
  <c r="L701" i="15"/>
  <c r="L702" i="15"/>
  <c r="L703" i="15"/>
  <c r="L704" i="15"/>
  <c r="L705" i="15"/>
  <c r="L706" i="15"/>
  <c r="L707" i="15"/>
  <c r="L708" i="15"/>
  <c r="L709" i="15"/>
  <c r="L710" i="15"/>
  <c r="L711" i="15"/>
  <c r="L712" i="15"/>
  <c r="L713" i="15"/>
  <c r="L714" i="15"/>
  <c r="L715" i="15"/>
  <c r="L716" i="15"/>
  <c r="L717" i="15"/>
  <c r="L718" i="15"/>
  <c r="L719" i="15"/>
  <c r="L720" i="15"/>
  <c r="L721" i="15"/>
  <c r="L722" i="15"/>
  <c r="L723" i="15"/>
  <c r="L724" i="15"/>
  <c r="L725" i="15"/>
  <c r="L726" i="15"/>
  <c r="L727" i="15"/>
  <c r="L728" i="15"/>
  <c r="L729" i="15"/>
  <c r="L730" i="15"/>
  <c r="L731" i="15"/>
  <c r="L732" i="15"/>
  <c r="L733" i="15"/>
  <c r="L734" i="15"/>
  <c r="L735" i="15"/>
  <c r="L736" i="15"/>
  <c r="L737" i="15"/>
  <c r="L738" i="15"/>
  <c r="L739" i="15"/>
  <c r="L740" i="15"/>
  <c r="L741" i="15"/>
  <c r="L742" i="15"/>
  <c r="L743" i="15"/>
  <c r="L744" i="15"/>
  <c r="L745" i="15"/>
  <c r="L746" i="15"/>
  <c r="L747" i="15"/>
  <c r="L748" i="15"/>
  <c r="L749" i="15"/>
  <c r="L750" i="15"/>
  <c r="L751" i="15"/>
  <c r="L752" i="15"/>
  <c r="L753" i="15"/>
  <c r="L754" i="15"/>
  <c r="L755" i="15"/>
  <c r="L756" i="15"/>
  <c r="L757" i="15"/>
  <c r="L758" i="15"/>
  <c r="L759" i="15"/>
  <c r="L760" i="15"/>
  <c r="L761" i="15"/>
  <c r="L762" i="15"/>
  <c r="L763" i="15"/>
  <c r="L764" i="15"/>
  <c r="L765" i="15"/>
  <c r="L766" i="15"/>
  <c r="L767" i="15"/>
  <c r="L768" i="15"/>
  <c r="L769" i="15"/>
  <c r="L770" i="15"/>
  <c r="L771" i="15"/>
  <c r="L772" i="15"/>
  <c r="L773" i="15"/>
  <c r="L774" i="15"/>
  <c r="L775" i="15"/>
  <c r="L776" i="15"/>
  <c r="L777" i="15"/>
  <c r="L778" i="15"/>
  <c r="L779" i="15"/>
  <c r="L780" i="15"/>
  <c r="L781" i="15"/>
  <c r="L782" i="15"/>
  <c r="L783" i="15"/>
  <c r="L784" i="15"/>
  <c r="L785" i="15"/>
  <c r="L786" i="15"/>
  <c r="L787" i="15"/>
  <c r="L788" i="15"/>
  <c r="L789" i="15"/>
  <c r="L790" i="15"/>
  <c r="L2" i="15"/>
  <c r="K3" i="15"/>
  <c r="K4" i="15"/>
  <c r="K5" i="15"/>
  <c r="K6" i="15"/>
  <c r="K7" i="15"/>
  <c r="K8" i="15"/>
  <c r="K9" i="15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27" i="15"/>
  <c r="K28" i="15"/>
  <c r="K29" i="15"/>
  <c r="K30" i="15"/>
  <c r="K31" i="15"/>
  <c r="K32" i="15"/>
  <c r="K33" i="15"/>
  <c r="K34" i="15"/>
  <c r="K35" i="15"/>
  <c r="K36" i="15"/>
  <c r="K37" i="15"/>
  <c r="K38" i="15"/>
  <c r="K39" i="15"/>
  <c r="K40" i="15"/>
  <c r="K41" i="15"/>
  <c r="K42" i="15"/>
  <c r="K43" i="15"/>
  <c r="K44" i="15"/>
  <c r="K45" i="15"/>
  <c r="K46" i="15"/>
  <c r="K47" i="15"/>
  <c r="K48" i="15"/>
  <c r="K49" i="15"/>
  <c r="K50" i="15"/>
  <c r="K51" i="15"/>
  <c r="K52" i="15"/>
  <c r="K53" i="15"/>
  <c r="K54" i="15"/>
  <c r="K55" i="15"/>
  <c r="K56" i="15"/>
  <c r="K57" i="15"/>
  <c r="K58" i="15"/>
  <c r="K59" i="15"/>
  <c r="K60" i="15"/>
  <c r="K61" i="15"/>
  <c r="K62" i="15"/>
  <c r="K63" i="15"/>
  <c r="K64" i="15"/>
  <c r="K65" i="15"/>
  <c r="K66" i="15"/>
  <c r="K67" i="15"/>
  <c r="K68" i="15"/>
  <c r="K69" i="15"/>
  <c r="K70" i="15"/>
  <c r="K71" i="15"/>
  <c r="K72" i="15"/>
  <c r="K73" i="15"/>
  <c r="K74" i="15"/>
  <c r="K75" i="15"/>
  <c r="K76" i="15"/>
  <c r="K77" i="15"/>
  <c r="K78" i="15"/>
  <c r="K79" i="15"/>
  <c r="K80" i="15"/>
  <c r="K81" i="15"/>
  <c r="K82" i="15"/>
  <c r="K83" i="15"/>
  <c r="K84" i="15"/>
  <c r="K85" i="15"/>
  <c r="K86" i="15"/>
  <c r="K87" i="15"/>
  <c r="K88" i="15"/>
  <c r="K89" i="15"/>
  <c r="K90" i="15"/>
  <c r="K91" i="15"/>
  <c r="K92" i="15"/>
  <c r="K93" i="15"/>
  <c r="K94" i="15"/>
  <c r="K95" i="15"/>
  <c r="K96" i="15"/>
  <c r="K97" i="15"/>
  <c r="K98" i="15"/>
  <c r="K99" i="15"/>
  <c r="K100" i="15"/>
  <c r="K101" i="15"/>
  <c r="K102" i="15"/>
  <c r="K103" i="15"/>
  <c r="K104" i="15"/>
  <c r="K105" i="15"/>
  <c r="K106" i="15"/>
  <c r="K107" i="15"/>
  <c r="K108" i="15"/>
  <c r="K109" i="15"/>
  <c r="K110" i="15"/>
  <c r="K111" i="15"/>
  <c r="K112" i="15"/>
  <c r="K113" i="15"/>
  <c r="K114" i="15"/>
  <c r="K115" i="15"/>
  <c r="K116" i="15"/>
  <c r="K117" i="15"/>
  <c r="K118" i="15"/>
  <c r="K119" i="15"/>
  <c r="K120" i="15"/>
  <c r="K121" i="15"/>
  <c r="K122" i="15"/>
  <c r="K123" i="15"/>
  <c r="K124" i="15"/>
  <c r="K125" i="15"/>
  <c r="K126" i="15"/>
  <c r="K127" i="15"/>
  <c r="K128" i="15"/>
  <c r="K129" i="15"/>
  <c r="K130" i="15"/>
  <c r="K131" i="15"/>
  <c r="K132" i="15"/>
  <c r="K133" i="15"/>
  <c r="K134" i="15"/>
  <c r="K135" i="15"/>
  <c r="K136" i="15"/>
  <c r="K137" i="15"/>
  <c r="K138" i="15"/>
  <c r="K139" i="15"/>
  <c r="K140" i="15"/>
  <c r="K141" i="15"/>
  <c r="K142" i="15"/>
  <c r="K143" i="15"/>
  <c r="K144" i="15"/>
  <c r="K145" i="15"/>
  <c r="K146" i="15"/>
  <c r="K147" i="15"/>
  <c r="K148" i="15"/>
  <c r="K149" i="15"/>
  <c r="K150" i="15"/>
  <c r="K151" i="15"/>
  <c r="K152" i="15"/>
  <c r="K153" i="15"/>
  <c r="K154" i="15"/>
  <c r="K155" i="15"/>
  <c r="K156" i="15"/>
  <c r="K157" i="15"/>
  <c r="K158" i="15"/>
  <c r="K159" i="15"/>
  <c r="K160" i="15"/>
  <c r="K161" i="15"/>
  <c r="K162" i="15"/>
  <c r="K163" i="15"/>
  <c r="K164" i="15"/>
  <c r="K165" i="15"/>
  <c r="K166" i="15"/>
  <c r="K167" i="15"/>
  <c r="K168" i="15"/>
  <c r="K169" i="15"/>
  <c r="K170" i="15"/>
  <c r="K171" i="15"/>
  <c r="K172" i="15"/>
  <c r="K173" i="15"/>
  <c r="K174" i="15"/>
  <c r="K175" i="15"/>
  <c r="K176" i="15"/>
  <c r="K177" i="15"/>
  <c r="K178" i="15"/>
  <c r="K179" i="15"/>
  <c r="K180" i="15"/>
  <c r="K181" i="15"/>
  <c r="K182" i="15"/>
  <c r="K183" i="15"/>
  <c r="K184" i="15"/>
  <c r="K185" i="15"/>
  <c r="K186" i="15"/>
  <c r="K187" i="15"/>
  <c r="K188" i="15"/>
  <c r="K189" i="15"/>
  <c r="K190" i="15"/>
  <c r="K191" i="15"/>
  <c r="K192" i="15"/>
  <c r="K193" i="15"/>
  <c r="K194" i="15"/>
  <c r="K195" i="15"/>
  <c r="K196" i="15"/>
  <c r="K197" i="15"/>
  <c r="K198" i="15"/>
  <c r="K199" i="15"/>
  <c r="K200" i="15"/>
  <c r="K201" i="15"/>
  <c r="K202" i="15"/>
  <c r="K203" i="15"/>
  <c r="K204" i="15"/>
  <c r="K205" i="15"/>
  <c r="K206" i="15"/>
  <c r="K207" i="15"/>
  <c r="K208" i="15"/>
  <c r="K209" i="15"/>
  <c r="K210" i="15"/>
  <c r="K211" i="15"/>
  <c r="K212" i="15"/>
  <c r="K213" i="15"/>
  <c r="K214" i="15"/>
  <c r="K215" i="15"/>
  <c r="K216" i="15"/>
  <c r="K217" i="15"/>
  <c r="K218" i="15"/>
  <c r="K219" i="15"/>
  <c r="K220" i="15"/>
  <c r="K221" i="15"/>
  <c r="K222" i="15"/>
  <c r="K223" i="15"/>
  <c r="K224" i="15"/>
  <c r="K225" i="15"/>
  <c r="K226" i="15"/>
  <c r="K227" i="15"/>
  <c r="K228" i="15"/>
  <c r="K229" i="15"/>
  <c r="K230" i="15"/>
  <c r="K231" i="15"/>
  <c r="K232" i="15"/>
  <c r="K233" i="15"/>
  <c r="K234" i="15"/>
  <c r="K235" i="15"/>
  <c r="K236" i="15"/>
  <c r="K237" i="15"/>
  <c r="K238" i="15"/>
  <c r="K239" i="15"/>
  <c r="K240" i="15"/>
  <c r="K241" i="15"/>
  <c r="K242" i="15"/>
  <c r="K243" i="15"/>
  <c r="K244" i="15"/>
  <c r="K245" i="15"/>
  <c r="K246" i="15"/>
  <c r="K247" i="15"/>
  <c r="K248" i="15"/>
  <c r="K249" i="15"/>
  <c r="K250" i="15"/>
  <c r="K251" i="15"/>
  <c r="K252" i="15"/>
  <c r="K253" i="15"/>
  <c r="K254" i="15"/>
  <c r="K255" i="15"/>
  <c r="K256" i="15"/>
  <c r="K257" i="15"/>
  <c r="K258" i="15"/>
  <c r="K259" i="15"/>
  <c r="K260" i="15"/>
  <c r="K261" i="15"/>
  <c r="K262" i="15"/>
  <c r="K263" i="15"/>
  <c r="K264" i="15"/>
  <c r="K265" i="15"/>
  <c r="K266" i="15"/>
  <c r="K267" i="15"/>
  <c r="K268" i="15"/>
  <c r="K269" i="15"/>
  <c r="K270" i="15"/>
  <c r="K271" i="15"/>
  <c r="K272" i="15"/>
  <c r="K273" i="15"/>
  <c r="K274" i="15"/>
  <c r="K275" i="15"/>
  <c r="K276" i="15"/>
  <c r="K277" i="15"/>
  <c r="K278" i="15"/>
  <c r="K279" i="15"/>
  <c r="K280" i="15"/>
  <c r="K281" i="15"/>
  <c r="K282" i="15"/>
  <c r="K283" i="15"/>
  <c r="K284" i="15"/>
  <c r="K285" i="15"/>
  <c r="K286" i="15"/>
  <c r="K287" i="15"/>
  <c r="K288" i="15"/>
  <c r="K289" i="15"/>
  <c r="K290" i="15"/>
  <c r="K291" i="15"/>
  <c r="K292" i="15"/>
  <c r="K293" i="15"/>
  <c r="K294" i="15"/>
  <c r="K295" i="15"/>
  <c r="K296" i="15"/>
  <c r="K297" i="15"/>
  <c r="K298" i="15"/>
  <c r="K299" i="15"/>
  <c r="K300" i="15"/>
  <c r="K301" i="15"/>
  <c r="K302" i="15"/>
  <c r="K303" i="15"/>
  <c r="K304" i="15"/>
  <c r="K305" i="15"/>
  <c r="K306" i="15"/>
  <c r="K307" i="15"/>
  <c r="K308" i="15"/>
  <c r="K309" i="15"/>
  <c r="K310" i="15"/>
  <c r="K311" i="15"/>
  <c r="K312" i="15"/>
  <c r="K313" i="15"/>
  <c r="K314" i="15"/>
  <c r="K315" i="15"/>
  <c r="K316" i="15"/>
  <c r="K317" i="15"/>
  <c r="K318" i="15"/>
  <c r="K319" i="15"/>
  <c r="K320" i="15"/>
  <c r="K321" i="15"/>
  <c r="K322" i="15"/>
  <c r="K323" i="15"/>
  <c r="K324" i="15"/>
  <c r="K325" i="15"/>
  <c r="K326" i="15"/>
  <c r="K327" i="15"/>
  <c r="K328" i="15"/>
  <c r="K329" i="15"/>
  <c r="K330" i="15"/>
  <c r="K331" i="15"/>
  <c r="K332" i="15"/>
  <c r="K333" i="15"/>
  <c r="K334" i="15"/>
  <c r="K335" i="15"/>
  <c r="K336" i="15"/>
  <c r="K337" i="15"/>
  <c r="K338" i="15"/>
  <c r="K339" i="15"/>
  <c r="K340" i="15"/>
  <c r="K341" i="15"/>
  <c r="K342" i="15"/>
  <c r="K343" i="15"/>
  <c r="K344" i="15"/>
  <c r="K345" i="15"/>
  <c r="K346" i="15"/>
  <c r="K347" i="15"/>
  <c r="K348" i="15"/>
  <c r="K349" i="15"/>
  <c r="K350" i="15"/>
  <c r="K351" i="15"/>
  <c r="K352" i="15"/>
  <c r="K353" i="15"/>
  <c r="K354" i="15"/>
  <c r="K355" i="15"/>
  <c r="K356" i="15"/>
  <c r="K357" i="15"/>
  <c r="K358" i="15"/>
  <c r="K359" i="15"/>
  <c r="K360" i="15"/>
  <c r="K361" i="15"/>
  <c r="K362" i="15"/>
  <c r="K363" i="15"/>
  <c r="K364" i="15"/>
  <c r="K365" i="15"/>
  <c r="K366" i="15"/>
  <c r="K367" i="15"/>
  <c r="K368" i="15"/>
  <c r="K369" i="15"/>
  <c r="K370" i="15"/>
  <c r="K371" i="15"/>
  <c r="K372" i="15"/>
  <c r="K373" i="15"/>
  <c r="K374" i="15"/>
  <c r="K375" i="15"/>
  <c r="K376" i="15"/>
  <c r="K377" i="15"/>
  <c r="K378" i="15"/>
  <c r="K379" i="15"/>
  <c r="K380" i="15"/>
  <c r="K381" i="15"/>
  <c r="K382" i="15"/>
  <c r="K383" i="15"/>
  <c r="K384" i="15"/>
  <c r="K385" i="15"/>
  <c r="K386" i="15"/>
  <c r="K387" i="15"/>
  <c r="K388" i="15"/>
  <c r="K389" i="15"/>
  <c r="K390" i="15"/>
  <c r="K391" i="15"/>
  <c r="K392" i="15"/>
  <c r="K393" i="15"/>
  <c r="K394" i="15"/>
  <c r="K395" i="15"/>
  <c r="K396" i="15"/>
  <c r="K397" i="15"/>
  <c r="K398" i="15"/>
  <c r="K399" i="15"/>
  <c r="K400" i="15"/>
  <c r="K401" i="15"/>
  <c r="K402" i="15"/>
  <c r="K403" i="15"/>
  <c r="K404" i="15"/>
  <c r="K405" i="15"/>
  <c r="K406" i="15"/>
  <c r="K407" i="15"/>
  <c r="K408" i="15"/>
  <c r="K409" i="15"/>
  <c r="K410" i="15"/>
  <c r="K411" i="15"/>
  <c r="K412" i="15"/>
  <c r="K413" i="15"/>
  <c r="K414" i="15"/>
  <c r="K415" i="15"/>
  <c r="K416" i="15"/>
  <c r="K417" i="15"/>
  <c r="K418" i="15"/>
  <c r="K419" i="15"/>
  <c r="K420" i="15"/>
  <c r="K421" i="15"/>
  <c r="K422" i="15"/>
  <c r="K423" i="15"/>
  <c r="K424" i="15"/>
  <c r="K425" i="15"/>
  <c r="K426" i="15"/>
  <c r="K427" i="15"/>
  <c r="K428" i="15"/>
  <c r="K429" i="15"/>
  <c r="K430" i="15"/>
  <c r="K431" i="15"/>
  <c r="K432" i="15"/>
  <c r="K433" i="15"/>
  <c r="K434" i="15"/>
  <c r="K435" i="15"/>
  <c r="K436" i="15"/>
  <c r="K437" i="15"/>
  <c r="K438" i="15"/>
  <c r="K439" i="15"/>
  <c r="K440" i="15"/>
  <c r="K441" i="15"/>
  <c r="K442" i="15"/>
  <c r="K443" i="15"/>
  <c r="K444" i="15"/>
  <c r="K445" i="15"/>
  <c r="K446" i="15"/>
  <c r="K447" i="15"/>
  <c r="K448" i="15"/>
  <c r="K449" i="15"/>
  <c r="K450" i="15"/>
  <c r="K451" i="15"/>
  <c r="K452" i="15"/>
  <c r="K453" i="15"/>
  <c r="K454" i="15"/>
  <c r="K455" i="15"/>
  <c r="K456" i="15"/>
  <c r="K457" i="15"/>
  <c r="K458" i="15"/>
  <c r="K459" i="15"/>
  <c r="K460" i="15"/>
  <c r="K461" i="15"/>
  <c r="K462" i="15"/>
  <c r="K463" i="15"/>
  <c r="K464" i="15"/>
  <c r="K465" i="15"/>
  <c r="K466" i="15"/>
  <c r="K467" i="15"/>
  <c r="K468" i="15"/>
  <c r="K469" i="15"/>
  <c r="K470" i="15"/>
  <c r="K471" i="15"/>
  <c r="K472" i="15"/>
  <c r="K473" i="15"/>
  <c r="K474" i="15"/>
  <c r="K475" i="15"/>
  <c r="K476" i="15"/>
  <c r="K477" i="15"/>
  <c r="K478" i="15"/>
  <c r="K479" i="15"/>
  <c r="K480" i="15"/>
  <c r="K481" i="15"/>
  <c r="K482" i="15"/>
  <c r="K483" i="15"/>
  <c r="K484" i="15"/>
  <c r="K485" i="15"/>
  <c r="K486" i="15"/>
  <c r="K487" i="15"/>
  <c r="K488" i="15"/>
  <c r="K489" i="15"/>
  <c r="K490" i="15"/>
  <c r="K491" i="15"/>
  <c r="K492" i="15"/>
  <c r="K493" i="15"/>
  <c r="K494" i="15"/>
  <c r="K495" i="15"/>
  <c r="K496" i="15"/>
  <c r="K497" i="15"/>
  <c r="K498" i="15"/>
  <c r="K499" i="15"/>
  <c r="K500" i="15"/>
  <c r="K501" i="15"/>
  <c r="K502" i="15"/>
  <c r="K503" i="15"/>
  <c r="K504" i="15"/>
  <c r="K505" i="15"/>
  <c r="K506" i="15"/>
  <c r="K507" i="15"/>
  <c r="K508" i="15"/>
  <c r="K509" i="15"/>
  <c r="K510" i="15"/>
  <c r="K511" i="15"/>
  <c r="K512" i="15"/>
  <c r="K513" i="15"/>
  <c r="K514" i="15"/>
  <c r="K515" i="15"/>
  <c r="K516" i="15"/>
  <c r="K517" i="15"/>
  <c r="K518" i="15"/>
  <c r="K519" i="15"/>
  <c r="K520" i="15"/>
  <c r="K521" i="15"/>
  <c r="K522" i="15"/>
  <c r="K523" i="15"/>
  <c r="K524" i="15"/>
  <c r="K525" i="15"/>
  <c r="K526" i="15"/>
  <c r="K527" i="15"/>
  <c r="K528" i="15"/>
  <c r="K529" i="15"/>
  <c r="K530" i="15"/>
  <c r="K531" i="15"/>
  <c r="K532" i="15"/>
  <c r="K533" i="15"/>
  <c r="K534" i="15"/>
  <c r="K535" i="15"/>
  <c r="K536" i="15"/>
  <c r="K537" i="15"/>
  <c r="K538" i="15"/>
  <c r="K539" i="15"/>
  <c r="K540" i="15"/>
  <c r="K541" i="15"/>
  <c r="K542" i="15"/>
  <c r="K543" i="15"/>
  <c r="K544" i="15"/>
  <c r="K545" i="15"/>
  <c r="K546" i="15"/>
  <c r="K547" i="15"/>
  <c r="K548" i="15"/>
  <c r="K549" i="15"/>
  <c r="K550" i="15"/>
  <c r="K551" i="15"/>
  <c r="K552" i="15"/>
  <c r="K553" i="15"/>
  <c r="K554" i="15"/>
  <c r="K555" i="15"/>
  <c r="K556" i="15"/>
  <c r="K557" i="15"/>
  <c r="K558" i="15"/>
  <c r="K559" i="15"/>
  <c r="K560" i="15"/>
  <c r="K561" i="15"/>
  <c r="K562" i="15"/>
  <c r="K563" i="15"/>
  <c r="K564" i="15"/>
  <c r="K565" i="15"/>
  <c r="K566" i="15"/>
  <c r="K567" i="15"/>
  <c r="K568" i="15"/>
  <c r="K569" i="15"/>
  <c r="K570" i="15"/>
  <c r="K571" i="15"/>
  <c r="K572" i="15"/>
  <c r="K573" i="15"/>
  <c r="K574" i="15"/>
  <c r="K575" i="15"/>
  <c r="K576" i="15"/>
  <c r="K577" i="15"/>
  <c r="K578" i="15"/>
  <c r="K579" i="15"/>
  <c r="K580" i="15"/>
  <c r="K581" i="15"/>
  <c r="K582" i="15"/>
  <c r="K583" i="15"/>
  <c r="K584" i="15"/>
  <c r="K585" i="15"/>
  <c r="K586" i="15"/>
  <c r="K587" i="15"/>
  <c r="K588" i="15"/>
  <c r="K589" i="15"/>
  <c r="K590" i="15"/>
  <c r="K591" i="15"/>
  <c r="K592" i="15"/>
  <c r="K593" i="15"/>
  <c r="K594" i="15"/>
  <c r="K595" i="15"/>
  <c r="K596" i="15"/>
  <c r="K597" i="15"/>
  <c r="K598" i="15"/>
  <c r="K599" i="15"/>
  <c r="K600" i="15"/>
  <c r="K601" i="15"/>
  <c r="K602" i="15"/>
  <c r="K603" i="15"/>
  <c r="K604" i="15"/>
  <c r="K605" i="15"/>
  <c r="K606" i="15"/>
  <c r="K607" i="15"/>
  <c r="K608" i="15"/>
  <c r="K609" i="15"/>
  <c r="K610" i="15"/>
  <c r="K611" i="15"/>
  <c r="K612" i="15"/>
  <c r="K613" i="15"/>
  <c r="K614" i="15"/>
  <c r="K615" i="15"/>
  <c r="K616" i="15"/>
  <c r="K617" i="15"/>
  <c r="K618" i="15"/>
  <c r="K619" i="15"/>
  <c r="K620" i="15"/>
  <c r="K621" i="15"/>
  <c r="K622" i="15"/>
  <c r="K623" i="15"/>
  <c r="K624" i="15"/>
  <c r="K625" i="15"/>
  <c r="K626" i="15"/>
  <c r="K627" i="15"/>
  <c r="K628" i="15"/>
  <c r="K629" i="15"/>
  <c r="K630" i="15"/>
  <c r="K631" i="15"/>
  <c r="K632" i="15"/>
  <c r="K633" i="15"/>
  <c r="K634" i="15"/>
  <c r="K635" i="15"/>
  <c r="K636" i="15"/>
  <c r="K637" i="15"/>
  <c r="K638" i="15"/>
  <c r="K639" i="15"/>
  <c r="K640" i="15"/>
  <c r="K641" i="15"/>
  <c r="K642" i="15"/>
  <c r="K643" i="15"/>
  <c r="K644" i="15"/>
  <c r="K645" i="15"/>
  <c r="K646" i="15"/>
  <c r="K647" i="15"/>
  <c r="K648" i="15"/>
  <c r="K649" i="15"/>
  <c r="K650" i="15"/>
  <c r="K651" i="15"/>
  <c r="K652" i="15"/>
  <c r="K653" i="15"/>
  <c r="K654" i="15"/>
  <c r="K655" i="15"/>
  <c r="K656" i="15"/>
  <c r="K657" i="15"/>
  <c r="K658" i="15"/>
  <c r="K659" i="15"/>
  <c r="K660" i="15"/>
  <c r="K661" i="15"/>
  <c r="K662" i="15"/>
  <c r="K663" i="15"/>
  <c r="K664" i="15"/>
  <c r="K665" i="15"/>
  <c r="K666" i="15"/>
  <c r="K667" i="15"/>
  <c r="K668" i="15"/>
  <c r="K669" i="15"/>
  <c r="K670" i="15"/>
  <c r="K671" i="15"/>
  <c r="K672" i="15"/>
  <c r="K673" i="15"/>
  <c r="K674" i="15"/>
  <c r="K675" i="15"/>
  <c r="K676" i="15"/>
  <c r="K677" i="15"/>
  <c r="K678" i="15"/>
  <c r="K679" i="15"/>
  <c r="K680" i="15"/>
  <c r="K681" i="15"/>
  <c r="K682" i="15"/>
  <c r="K683" i="15"/>
  <c r="K684" i="15"/>
  <c r="K685" i="15"/>
  <c r="K686" i="15"/>
  <c r="K687" i="15"/>
  <c r="K688" i="15"/>
  <c r="K689" i="15"/>
  <c r="K690" i="15"/>
  <c r="K691" i="15"/>
  <c r="K692" i="15"/>
  <c r="K693" i="15"/>
  <c r="K694" i="15"/>
  <c r="K695" i="15"/>
  <c r="K696" i="15"/>
  <c r="K697" i="15"/>
  <c r="K698" i="15"/>
  <c r="K699" i="15"/>
  <c r="K700" i="15"/>
  <c r="K701" i="15"/>
  <c r="K702" i="15"/>
  <c r="K703" i="15"/>
  <c r="K704" i="15"/>
  <c r="K705" i="15"/>
  <c r="K706" i="15"/>
  <c r="K707" i="15"/>
  <c r="K708" i="15"/>
  <c r="K709" i="15"/>
  <c r="K710" i="15"/>
  <c r="K711" i="15"/>
  <c r="K712" i="15"/>
  <c r="K713" i="15"/>
  <c r="K714" i="15"/>
  <c r="K715" i="15"/>
  <c r="K716" i="15"/>
  <c r="K717" i="15"/>
  <c r="K718" i="15"/>
  <c r="K719" i="15"/>
  <c r="K720" i="15"/>
  <c r="K721" i="15"/>
  <c r="K722" i="15"/>
  <c r="K723" i="15"/>
  <c r="K724" i="15"/>
  <c r="K725" i="15"/>
  <c r="K726" i="15"/>
  <c r="K727" i="15"/>
  <c r="K728" i="15"/>
  <c r="K729" i="15"/>
  <c r="K730" i="15"/>
  <c r="K731" i="15"/>
  <c r="K732" i="15"/>
  <c r="K733" i="15"/>
  <c r="K734" i="15"/>
  <c r="K735" i="15"/>
  <c r="K736" i="15"/>
  <c r="K737" i="15"/>
  <c r="K738" i="15"/>
  <c r="K739" i="15"/>
  <c r="K740" i="15"/>
  <c r="K741" i="15"/>
  <c r="K742" i="15"/>
  <c r="K743" i="15"/>
  <c r="K744" i="15"/>
  <c r="K745" i="15"/>
  <c r="K746" i="15"/>
  <c r="K747" i="15"/>
  <c r="K748" i="15"/>
  <c r="K749" i="15"/>
  <c r="K750" i="15"/>
  <c r="K751" i="15"/>
  <c r="K752" i="15"/>
  <c r="K753" i="15"/>
  <c r="K754" i="15"/>
  <c r="K755" i="15"/>
  <c r="K756" i="15"/>
  <c r="K757" i="15"/>
  <c r="K758" i="15"/>
  <c r="K759" i="15"/>
  <c r="K760" i="15"/>
  <c r="K761" i="15"/>
  <c r="K762" i="15"/>
  <c r="K763" i="15"/>
  <c r="K764" i="15"/>
  <c r="K765" i="15"/>
  <c r="K766" i="15"/>
  <c r="K767" i="15"/>
  <c r="K768" i="15"/>
  <c r="K769" i="15"/>
  <c r="K770" i="15"/>
  <c r="K771" i="15"/>
  <c r="K772" i="15"/>
  <c r="K773" i="15"/>
  <c r="K774" i="15"/>
  <c r="K775" i="15"/>
  <c r="K776" i="15"/>
  <c r="K777" i="15"/>
  <c r="K778" i="15"/>
  <c r="K779" i="15"/>
  <c r="K780" i="15"/>
  <c r="K781" i="15"/>
  <c r="K782" i="15"/>
  <c r="K783" i="15"/>
  <c r="K784" i="15"/>
  <c r="K785" i="15"/>
  <c r="K786" i="15"/>
  <c r="K787" i="15"/>
  <c r="K788" i="15"/>
  <c r="K789" i="15"/>
  <c r="K790" i="15"/>
  <c r="K2" i="15"/>
  <c r="Q3" i="13"/>
  <c r="Q4" i="13"/>
  <c r="Q5" i="13"/>
  <c r="Q6" i="13"/>
  <c r="Q7" i="13"/>
  <c r="Q8" i="13"/>
  <c r="Q9" i="13"/>
  <c r="Q10" i="13"/>
  <c r="Q11" i="13"/>
  <c r="Q12" i="13"/>
  <c r="Q13" i="13"/>
  <c r="Q14" i="13"/>
  <c r="Q15" i="13"/>
  <c r="Q16" i="13"/>
  <c r="Q17" i="13"/>
  <c r="Q18" i="13"/>
  <c r="Q19" i="13"/>
  <c r="Q20" i="13"/>
  <c r="Q21" i="13"/>
  <c r="Q22" i="13"/>
  <c r="Q23" i="13"/>
  <c r="Q24" i="13"/>
  <c r="Q25" i="13"/>
  <c r="Q26" i="13"/>
  <c r="Q27" i="13"/>
  <c r="Q28" i="13"/>
  <c r="Q29" i="13"/>
  <c r="Q30" i="13"/>
  <c r="Q31" i="13"/>
  <c r="Q32" i="13"/>
  <c r="Q33" i="13"/>
  <c r="Q34" i="13"/>
  <c r="Q35" i="13"/>
  <c r="Q36" i="13"/>
  <c r="Q37" i="13"/>
  <c r="Q38" i="13"/>
  <c r="Q39" i="13"/>
  <c r="Q40" i="13"/>
  <c r="Q41" i="13"/>
  <c r="Q42" i="13"/>
  <c r="Q43" i="13"/>
  <c r="Q44" i="13"/>
  <c r="Q45" i="13"/>
  <c r="Q46" i="13"/>
  <c r="Q47" i="13"/>
  <c r="Q48" i="13"/>
  <c r="Q49" i="13"/>
  <c r="Q50" i="13"/>
  <c r="Q51" i="13"/>
  <c r="Q52" i="13"/>
  <c r="Q53" i="13"/>
  <c r="Q54" i="13"/>
  <c r="Q55" i="13"/>
  <c r="Q56" i="13"/>
  <c r="Q57" i="13"/>
  <c r="Q58" i="13"/>
  <c r="Q59" i="13"/>
  <c r="Q60" i="13"/>
  <c r="Q61" i="13"/>
  <c r="Q62" i="13"/>
  <c r="Q63" i="13"/>
  <c r="Q64" i="13"/>
  <c r="Q65" i="13"/>
  <c r="Q66" i="13"/>
  <c r="Q67" i="13"/>
  <c r="Q68" i="13"/>
  <c r="Q69" i="13"/>
  <c r="Q70" i="13"/>
  <c r="Q71" i="13"/>
  <c r="Q72" i="13"/>
  <c r="Q73" i="13"/>
  <c r="Q74" i="13"/>
  <c r="Q75" i="13"/>
  <c r="Q76" i="13"/>
  <c r="Q77" i="13"/>
  <c r="Q78" i="13"/>
  <c r="Q79" i="13"/>
  <c r="Q80" i="13"/>
  <c r="Q81" i="13"/>
  <c r="Q82" i="13"/>
  <c r="Q83" i="13"/>
  <c r="Q84" i="13"/>
  <c r="Q85" i="13"/>
  <c r="Q86" i="13"/>
  <c r="Q87" i="13"/>
  <c r="Q88" i="13"/>
  <c r="Q89" i="13"/>
  <c r="Q90" i="13"/>
  <c r="Q91" i="13"/>
  <c r="Q92" i="13"/>
  <c r="Q93" i="13"/>
  <c r="Q94" i="13"/>
  <c r="Q95" i="13"/>
  <c r="Q96" i="13"/>
  <c r="Q97" i="13"/>
  <c r="Q98" i="13"/>
  <c r="Q99" i="13"/>
  <c r="Q100" i="13"/>
  <c r="Q101" i="13"/>
  <c r="Q102" i="13"/>
  <c r="Q103" i="13"/>
  <c r="Q104" i="13"/>
  <c r="Q105" i="13"/>
  <c r="Q106" i="13"/>
  <c r="Q107" i="13"/>
  <c r="Q108" i="13"/>
  <c r="Q109" i="13"/>
  <c r="Q110" i="13"/>
  <c r="Q111" i="13"/>
  <c r="Q112" i="13"/>
  <c r="Q113" i="13"/>
  <c r="Q114" i="13"/>
  <c r="Q115" i="13"/>
  <c r="Q116" i="13"/>
  <c r="Q117" i="13"/>
  <c r="Q118" i="13"/>
  <c r="Q119" i="13"/>
  <c r="Q120" i="13"/>
  <c r="Q121" i="13"/>
  <c r="Q122" i="13"/>
  <c r="Q123" i="13"/>
  <c r="Q124" i="13"/>
  <c r="Q125" i="13"/>
  <c r="Q126" i="13"/>
  <c r="Q127" i="13"/>
  <c r="Q128" i="13"/>
  <c r="Q129" i="13"/>
  <c r="Q130" i="13"/>
  <c r="Q131" i="13"/>
  <c r="Q132" i="13"/>
  <c r="Q133" i="13"/>
  <c r="Q134" i="13"/>
  <c r="Q135" i="13"/>
  <c r="Q136" i="13"/>
  <c r="Q137" i="13"/>
  <c r="Q138" i="13"/>
  <c r="Q139" i="13"/>
  <c r="Q140" i="13"/>
  <c r="Q141" i="13"/>
  <c r="Q142" i="13"/>
  <c r="Q143" i="13"/>
  <c r="Q144" i="13"/>
  <c r="Q145" i="13"/>
  <c r="Q146" i="13"/>
  <c r="Q147" i="13"/>
  <c r="Q148" i="13"/>
  <c r="Q149" i="13"/>
  <c r="Q150" i="13"/>
  <c r="Q151" i="13"/>
  <c r="Q152" i="13"/>
  <c r="Q153" i="13"/>
  <c r="Q154" i="13"/>
  <c r="Q155" i="13"/>
  <c r="Q156" i="13"/>
  <c r="Q157" i="13"/>
  <c r="Q158" i="13"/>
  <c r="Q159" i="13"/>
  <c r="Q160" i="13"/>
  <c r="Q161" i="13"/>
  <c r="Q162" i="13"/>
  <c r="Q163" i="13"/>
  <c r="Q164" i="13"/>
  <c r="Q165" i="13"/>
  <c r="Q166" i="13"/>
  <c r="Q167" i="13"/>
  <c r="Q168" i="13"/>
  <c r="Q169" i="13"/>
  <c r="Q170" i="13"/>
  <c r="Q171" i="13"/>
  <c r="Q172" i="13"/>
  <c r="Q173" i="13"/>
  <c r="Q174" i="13"/>
  <c r="Q175" i="13"/>
  <c r="Q176" i="13"/>
  <c r="Q177" i="13"/>
  <c r="Q178" i="13"/>
  <c r="Q179" i="13"/>
  <c r="Q180" i="13"/>
  <c r="Q181" i="13"/>
  <c r="Q182" i="13"/>
  <c r="Q183" i="13"/>
  <c r="Q184" i="13"/>
  <c r="Q185" i="13"/>
  <c r="Q186" i="13"/>
  <c r="Q187" i="13"/>
  <c r="Q188" i="13"/>
  <c r="Q189" i="13"/>
  <c r="Q190" i="13"/>
  <c r="Q191" i="13"/>
  <c r="Q192" i="13"/>
  <c r="Q193" i="13"/>
  <c r="Q194" i="13"/>
  <c r="Q195" i="13"/>
  <c r="Q196" i="13"/>
  <c r="Q197" i="13"/>
  <c r="Q198" i="13"/>
  <c r="Q199" i="13"/>
  <c r="Q200" i="13"/>
  <c r="Q201" i="13"/>
  <c r="Q202" i="13"/>
  <c r="Q203" i="13"/>
  <c r="Q204" i="13"/>
  <c r="Q205" i="13"/>
  <c r="Q206" i="13"/>
  <c r="Q207" i="13"/>
  <c r="Q208" i="13"/>
  <c r="Q209" i="13"/>
  <c r="Q210" i="13"/>
  <c r="Q211" i="13"/>
  <c r="Q212" i="13"/>
  <c r="Q213" i="13"/>
  <c r="Q214" i="13"/>
  <c r="Q215" i="13"/>
  <c r="Q216" i="13"/>
  <c r="Q217" i="13"/>
  <c r="Q218" i="13"/>
  <c r="Q219" i="13"/>
  <c r="Q220" i="13"/>
  <c r="Q221" i="13"/>
  <c r="Q222" i="13"/>
  <c r="Q223" i="13"/>
  <c r="Q224" i="13"/>
  <c r="Q225" i="13"/>
  <c r="Q226" i="13"/>
  <c r="Q227" i="13"/>
  <c r="Q228" i="13"/>
  <c r="Q229" i="13"/>
  <c r="Q230" i="13"/>
  <c r="Q231" i="13"/>
  <c r="Q232" i="13"/>
  <c r="Q233" i="13"/>
  <c r="Q234" i="13"/>
  <c r="Q235" i="13"/>
  <c r="Q236" i="13"/>
  <c r="Q237" i="13"/>
  <c r="Q238" i="13"/>
  <c r="Q239" i="13"/>
  <c r="Q240" i="13"/>
  <c r="Q241" i="13"/>
  <c r="Q242" i="13"/>
  <c r="Q243" i="13"/>
  <c r="Q244" i="13"/>
  <c r="Q245" i="13"/>
  <c r="Q246" i="13"/>
  <c r="Q247" i="13"/>
  <c r="Q248" i="13"/>
  <c r="Q249" i="13"/>
  <c r="Q250" i="13"/>
  <c r="Q251" i="13"/>
  <c r="Q252" i="13"/>
  <c r="Q253" i="13"/>
  <c r="Q254" i="13"/>
  <c r="Q255" i="13"/>
  <c r="Q256" i="13"/>
  <c r="Q257" i="13"/>
  <c r="Q258" i="13"/>
  <c r="Q259" i="13"/>
  <c r="Q260" i="13"/>
  <c r="Q261" i="13"/>
  <c r="Q262" i="13"/>
  <c r="Q263" i="13"/>
  <c r="Q264" i="13"/>
  <c r="Q265" i="13"/>
  <c r="Q266" i="13"/>
  <c r="Q267" i="13"/>
  <c r="Q268" i="13"/>
  <c r="Q269" i="13"/>
  <c r="Q270" i="13"/>
  <c r="Q271" i="13"/>
  <c r="Q272" i="13"/>
  <c r="Q273" i="13"/>
  <c r="Q274" i="13"/>
  <c r="Q275" i="13"/>
  <c r="Q276" i="13"/>
  <c r="Q277" i="13"/>
  <c r="Q278" i="13"/>
  <c r="Q279" i="13"/>
  <c r="Q280" i="13"/>
  <c r="Q281" i="13"/>
  <c r="Q282" i="13"/>
  <c r="Q283" i="13"/>
  <c r="Q284" i="13"/>
  <c r="Q285" i="13"/>
  <c r="Q286" i="13"/>
  <c r="Q287" i="13"/>
  <c r="Q288" i="13"/>
  <c r="Q289" i="13"/>
  <c r="Q290" i="13"/>
  <c r="Q291" i="13"/>
  <c r="Q292" i="13"/>
  <c r="Q293" i="13"/>
  <c r="Q294" i="13"/>
  <c r="Q295" i="13"/>
  <c r="Q296" i="13"/>
  <c r="Q297" i="13"/>
  <c r="Q298" i="13"/>
  <c r="Q299" i="13"/>
  <c r="Q300" i="13"/>
  <c r="Q301" i="13"/>
  <c r="Q302" i="13"/>
  <c r="Q303" i="13"/>
  <c r="Q304" i="13"/>
  <c r="Q305" i="13"/>
  <c r="Q306" i="13"/>
  <c r="Q307" i="13"/>
  <c r="Q308" i="13"/>
  <c r="Q309" i="13"/>
  <c r="Q310" i="13"/>
  <c r="Q311" i="13"/>
  <c r="Q312" i="13"/>
  <c r="Q313" i="13"/>
  <c r="Q314" i="13"/>
  <c r="Q315" i="13"/>
  <c r="Q316" i="13"/>
  <c r="Q317" i="13"/>
  <c r="Q318" i="13"/>
  <c r="Q319" i="13"/>
  <c r="Q320" i="13"/>
  <c r="Q321" i="13"/>
  <c r="Q322" i="13"/>
  <c r="Q323" i="13"/>
  <c r="Q324" i="13"/>
  <c r="Q325" i="13"/>
  <c r="Q326" i="13"/>
  <c r="Q327" i="13"/>
  <c r="Q328" i="13"/>
  <c r="Q329" i="13"/>
  <c r="Q330" i="13"/>
  <c r="Q331" i="13"/>
  <c r="Q332" i="13"/>
  <c r="Q333" i="13"/>
  <c r="Q334" i="13"/>
  <c r="Q335" i="13"/>
  <c r="Q336" i="13"/>
  <c r="Q337" i="13"/>
  <c r="Q338" i="13"/>
  <c r="Q339" i="13"/>
  <c r="Q340" i="13"/>
  <c r="Q341" i="13"/>
  <c r="Q342" i="13"/>
  <c r="Q343" i="13"/>
  <c r="Q344" i="13"/>
  <c r="Q345" i="13"/>
  <c r="Q346" i="13"/>
  <c r="Q347" i="13"/>
  <c r="Q348" i="13"/>
  <c r="Q349" i="13"/>
  <c r="Q350" i="13"/>
  <c r="Q351" i="13"/>
  <c r="Q352" i="13"/>
  <c r="Q353" i="13"/>
  <c r="Q354" i="13"/>
  <c r="Q355" i="13"/>
  <c r="Q356" i="13"/>
  <c r="Q357" i="13"/>
  <c r="Q358" i="13"/>
  <c r="Q359" i="13"/>
  <c r="Q360" i="13"/>
  <c r="Q361" i="13"/>
  <c r="Q362" i="13"/>
  <c r="Q363" i="13"/>
  <c r="Q364" i="13"/>
  <c r="Q365" i="13"/>
  <c r="Q366" i="13"/>
  <c r="Q367" i="13"/>
  <c r="Q368" i="13"/>
  <c r="Q369" i="13"/>
  <c r="Q370" i="13"/>
  <c r="Q371" i="13"/>
  <c r="Q372" i="13"/>
  <c r="Q373" i="13"/>
  <c r="Q374" i="13"/>
  <c r="Q375" i="13"/>
  <c r="Q376" i="13"/>
  <c r="Q377" i="13"/>
  <c r="Q378" i="13"/>
  <c r="Q379" i="13"/>
  <c r="Q380" i="13"/>
  <c r="Q381" i="13"/>
  <c r="Q382" i="13"/>
  <c r="Q383" i="13"/>
  <c r="Q384" i="13"/>
  <c r="Q385" i="13"/>
  <c r="Q386" i="13"/>
  <c r="Q387" i="13"/>
  <c r="Q388" i="13"/>
  <c r="Q389" i="13"/>
  <c r="Q390" i="13"/>
  <c r="Q391" i="13"/>
  <c r="Q392" i="13"/>
  <c r="Q393" i="13"/>
  <c r="Q394" i="13"/>
  <c r="Q395" i="13"/>
  <c r="Q396" i="13"/>
  <c r="Q397" i="13"/>
  <c r="Q398" i="13"/>
  <c r="Q399" i="13"/>
  <c r="Q400" i="13"/>
  <c r="Q401" i="13"/>
  <c r="Q402" i="13"/>
  <c r="Q403" i="13"/>
  <c r="Q404" i="13"/>
  <c r="Q405" i="13"/>
  <c r="Q406" i="13"/>
  <c r="Q407" i="13"/>
  <c r="Q408" i="13"/>
  <c r="Q409" i="13"/>
  <c r="Q410" i="13"/>
  <c r="Q411" i="13"/>
  <c r="Q412" i="13"/>
  <c r="Q413" i="13"/>
  <c r="Q414" i="13"/>
  <c r="Q415" i="13"/>
  <c r="Q416" i="13"/>
  <c r="Q417" i="13"/>
  <c r="Q418" i="13"/>
  <c r="Q419" i="13"/>
  <c r="Q420" i="13"/>
  <c r="Q421" i="13"/>
  <c r="Q422" i="13"/>
  <c r="Q423" i="13"/>
  <c r="Q424" i="13"/>
  <c r="Q425" i="13"/>
  <c r="Q426" i="13"/>
  <c r="Q427" i="13"/>
  <c r="Q428" i="13"/>
  <c r="Q429" i="13"/>
  <c r="Q430" i="13"/>
  <c r="Q431" i="13"/>
  <c r="Q432" i="13"/>
  <c r="Q433" i="13"/>
  <c r="Q434" i="13"/>
  <c r="Q435" i="13"/>
  <c r="Q436" i="13"/>
  <c r="Q437" i="13"/>
  <c r="Q438" i="13"/>
  <c r="Q439" i="13"/>
  <c r="Q440" i="13"/>
  <c r="Q441" i="13"/>
  <c r="Q442" i="13"/>
  <c r="Q443" i="13"/>
  <c r="Q444" i="13"/>
  <c r="Q445" i="13"/>
  <c r="Q446" i="13"/>
  <c r="Q447" i="13"/>
  <c r="Q448" i="13"/>
  <c r="Q449" i="13"/>
  <c r="Q450" i="13"/>
  <c r="Q451" i="13"/>
  <c r="Q452" i="13"/>
  <c r="Q453" i="13"/>
  <c r="Q454" i="13"/>
  <c r="Q455" i="13"/>
  <c r="Q456" i="13"/>
  <c r="Q457" i="13"/>
  <c r="Q458" i="13"/>
  <c r="Q459" i="13"/>
  <c r="Q460" i="13"/>
  <c r="Q461" i="13"/>
  <c r="Q462" i="13"/>
  <c r="Q463" i="13"/>
  <c r="Q464" i="13"/>
  <c r="Q465" i="13"/>
  <c r="Q466" i="13"/>
  <c r="Q467" i="13"/>
  <c r="Q468" i="13"/>
  <c r="Q469" i="13"/>
  <c r="Q470" i="13"/>
  <c r="Q471" i="13"/>
  <c r="Q472" i="13"/>
  <c r="Q473" i="13"/>
  <c r="Q474" i="13"/>
  <c r="Q475" i="13"/>
  <c r="Q476" i="13"/>
  <c r="Q477" i="13"/>
  <c r="Q478" i="13"/>
  <c r="Q479" i="13"/>
  <c r="Q480" i="13"/>
  <c r="Q481" i="13"/>
  <c r="Q482" i="13"/>
  <c r="Q483" i="13"/>
  <c r="Q484" i="13"/>
  <c r="Q485" i="13"/>
  <c r="Q486" i="13"/>
  <c r="Q487" i="13"/>
  <c r="Q488" i="13"/>
  <c r="Q489" i="13"/>
  <c r="Q490" i="13"/>
  <c r="Q491" i="13"/>
  <c r="Q492" i="13"/>
  <c r="Q493" i="13"/>
  <c r="Q494" i="13"/>
  <c r="Q495" i="13"/>
  <c r="Q496" i="13"/>
  <c r="Q497" i="13"/>
  <c r="Q498" i="13"/>
  <c r="Q499" i="13"/>
  <c r="Q500" i="13"/>
  <c r="Q501" i="13"/>
  <c r="Q502" i="13"/>
  <c r="Q503" i="13"/>
  <c r="Q504" i="13"/>
  <c r="Q505" i="13"/>
  <c r="Q506" i="13"/>
  <c r="Q507" i="13"/>
  <c r="Q508" i="13"/>
  <c r="Q509" i="13"/>
  <c r="Q510" i="13"/>
  <c r="Q511" i="13"/>
  <c r="Q512" i="13"/>
  <c r="Q513" i="13"/>
  <c r="Q514" i="13"/>
  <c r="Q515" i="13"/>
  <c r="Q516" i="13"/>
  <c r="Q517" i="13"/>
  <c r="Q518" i="13"/>
  <c r="Q519" i="13"/>
  <c r="Q520" i="13"/>
  <c r="Q521" i="13"/>
  <c r="Q522" i="13"/>
  <c r="Q523" i="13"/>
  <c r="Q524" i="13"/>
  <c r="Q525" i="13"/>
  <c r="Q526" i="13"/>
  <c r="Q527" i="13"/>
  <c r="Q528" i="13"/>
  <c r="Q529" i="13"/>
  <c r="Q530" i="13"/>
  <c r="Q531" i="13"/>
  <c r="Q532" i="13"/>
  <c r="Q533" i="13"/>
  <c r="Q534" i="13"/>
  <c r="Q535" i="13"/>
  <c r="Q536" i="13"/>
  <c r="Q537" i="13"/>
  <c r="Q538" i="13"/>
  <c r="Q539" i="13"/>
  <c r="Q540" i="13"/>
  <c r="Q541" i="13"/>
  <c r="Q542" i="13"/>
  <c r="Q543" i="13"/>
  <c r="Q544" i="13"/>
  <c r="Q545" i="13"/>
  <c r="Q546" i="13"/>
  <c r="Q547" i="13"/>
  <c r="Q548" i="13"/>
  <c r="Q549" i="13"/>
  <c r="Q550" i="13"/>
  <c r="Q551" i="13"/>
  <c r="Q552" i="13"/>
  <c r="Q553" i="13"/>
  <c r="Q554" i="13"/>
  <c r="Q555" i="13"/>
  <c r="Q556" i="13"/>
  <c r="Q557" i="13"/>
  <c r="Q558" i="13"/>
  <c r="Q559" i="13"/>
  <c r="Q560" i="13"/>
  <c r="Q561" i="13"/>
  <c r="Q562" i="13"/>
  <c r="Q563" i="13"/>
  <c r="Q564" i="13"/>
  <c r="Q565" i="13"/>
  <c r="Q566" i="13"/>
  <c r="Q567" i="13"/>
  <c r="Q568" i="13"/>
  <c r="Q569" i="13"/>
  <c r="Q570" i="13"/>
  <c r="Q571" i="13"/>
  <c r="Q572" i="13"/>
  <c r="Q573" i="13"/>
  <c r="Q574" i="13"/>
  <c r="Q575" i="13"/>
  <c r="Q576" i="13"/>
  <c r="Q577" i="13"/>
  <c r="Q578" i="13"/>
  <c r="Q579" i="13"/>
  <c r="Q580" i="13"/>
  <c r="Q581" i="13"/>
  <c r="Q582" i="13"/>
  <c r="Q583" i="13"/>
  <c r="Q584" i="13"/>
  <c r="Q585" i="13"/>
  <c r="Q586" i="13"/>
  <c r="Q587" i="13"/>
  <c r="Q588" i="13"/>
  <c r="Q589" i="13"/>
  <c r="Q590" i="13"/>
  <c r="Q591" i="13"/>
  <c r="Q592" i="13"/>
  <c r="Q593" i="13"/>
  <c r="Q594" i="13"/>
  <c r="Q595" i="13"/>
  <c r="Q596" i="13"/>
  <c r="Q597" i="13"/>
  <c r="Q598" i="13"/>
  <c r="Q599" i="13"/>
  <c r="Q600" i="13"/>
  <c r="Q601" i="13"/>
  <c r="Q602" i="13"/>
  <c r="Q603" i="13"/>
  <c r="Q604" i="13"/>
  <c r="Q605" i="13"/>
  <c r="Q606" i="13"/>
  <c r="Q607" i="13"/>
  <c r="Q608" i="13"/>
  <c r="Q609" i="13"/>
  <c r="Q610" i="13"/>
  <c r="Q611" i="13"/>
  <c r="Q612" i="13"/>
  <c r="Q613" i="13"/>
  <c r="Q614" i="13"/>
  <c r="Q615" i="13"/>
  <c r="Q616" i="13"/>
  <c r="Q617" i="13"/>
  <c r="Q618" i="13"/>
  <c r="Q619" i="13"/>
  <c r="Q620" i="13"/>
  <c r="Q621" i="13"/>
  <c r="Q622" i="13"/>
  <c r="Q623" i="13"/>
  <c r="Q624" i="13"/>
  <c r="Q625" i="13"/>
  <c r="Q626" i="13"/>
  <c r="Q627" i="13"/>
  <c r="Q628" i="13"/>
  <c r="Q629" i="13"/>
  <c r="Q630" i="13"/>
  <c r="Q631" i="13"/>
  <c r="Q632" i="13"/>
  <c r="Q633" i="13"/>
  <c r="Q634" i="13"/>
  <c r="Q635" i="13"/>
  <c r="Q636" i="13"/>
  <c r="Q637" i="13"/>
  <c r="Q638" i="13"/>
  <c r="Q639" i="13"/>
  <c r="Q640" i="13"/>
  <c r="Q641" i="13"/>
  <c r="Q642" i="13"/>
  <c r="Q643" i="13"/>
  <c r="Q644" i="13"/>
  <c r="Q645" i="13"/>
  <c r="Q646" i="13"/>
  <c r="Q647" i="13"/>
  <c r="Q648" i="13"/>
  <c r="Q649" i="13"/>
  <c r="Q650" i="13"/>
  <c r="Q651" i="13"/>
  <c r="Q652" i="13"/>
  <c r="Q653" i="13"/>
  <c r="Q654" i="13"/>
  <c r="Q655" i="13"/>
  <c r="Q656" i="13"/>
  <c r="Q657" i="13"/>
  <c r="Q658" i="13"/>
  <c r="Q659" i="13"/>
  <c r="Q660" i="13"/>
  <c r="Q661" i="13"/>
  <c r="Q662" i="13"/>
  <c r="Q663" i="13"/>
  <c r="Q664" i="13"/>
  <c r="Q665" i="13"/>
  <c r="Q666" i="13"/>
  <c r="Q667" i="13"/>
  <c r="Q668" i="13"/>
  <c r="Q669" i="13"/>
  <c r="Q670" i="13"/>
  <c r="Q671" i="13"/>
  <c r="Q672" i="13"/>
  <c r="Q673" i="13"/>
  <c r="Q674" i="13"/>
  <c r="Q675" i="13"/>
  <c r="Q676" i="13"/>
  <c r="Q677" i="13"/>
  <c r="Q678" i="13"/>
  <c r="Q679" i="13"/>
  <c r="Q680" i="13"/>
  <c r="Q681" i="13"/>
  <c r="Q682" i="13"/>
  <c r="Q683" i="13"/>
  <c r="Q684" i="13"/>
  <c r="Q685" i="13"/>
  <c r="Q686" i="13"/>
  <c r="Q687" i="13"/>
  <c r="Q688" i="13"/>
  <c r="Q689" i="13"/>
  <c r="Q690" i="13"/>
  <c r="Q691" i="13"/>
  <c r="Q692" i="13"/>
  <c r="Q693" i="13"/>
  <c r="Q694" i="13"/>
  <c r="Q695" i="13"/>
  <c r="Q696" i="13"/>
  <c r="Q697" i="13"/>
  <c r="Q698" i="13"/>
  <c r="Q699" i="13"/>
  <c r="Q700" i="13"/>
  <c r="Q701" i="13"/>
  <c r="Q702" i="13"/>
  <c r="Q703" i="13"/>
  <c r="Q704" i="13"/>
  <c r="Q705" i="13"/>
  <c r="Q706" i="13"/>
  <c r="Q707" i="13"/>
  <c r="Q708" i="13"/>
  <c r="Q709" i="13"/>
  <c r="Q710" i="13"/>
  <c r="Q711" i="13"/>
  <c r="Q712" i="13"/>
  <c r="Q713" i="13"/>
  <c r="Q714" i="13"/>
  <c r="Q715" i="13"/>
  <c r="Q716" i="13"/>
  <c r="Q717" i="13"/>
  <c r="Q718" i="13"/>
  <c r="Q719" i="13"/>
  <c r="Q720" i="13"/>
  <c r="Q721" i="13"/>
  <c r="Q722" i="13"/>
  <c r="Q723" i="13"/>
  <c r="Q724" i="13"/>
  <c r="Q725" i="13"/>
  <c r="Q726" i="13"/>
  <c r="Q727" i="13"/>
  <c r="Q728" i="13"/>
  <c r="Q729" i="13"/>
  <c r="Q730" i="13"/>
  <c r="Q731" i="13"/>
  <c r="Q732" i="13"/>
  <c r="Q733" i="13"/>
  <c r="Q734" i="13"/>
  <c r="Q735" i="13"/>
  <c r="Q736" i="13"/>
  <c r="Q737" i="13"/>
  <c r="Q738" i="13"/>
  <c r="Q739" i="13"/>
  <c r="Q740" i="13"/>
  <c r="Q741" i="13"/>
  <c r="Q742" i="13"/>
  <c r="Q743" i="13"/>
  <c r="Q744" i="13"/>
  <c r="Q745" i="13"/>
  <c r="Q746" i="13"/>
  <c r="Q747" i="13"/>
  <c r="Q748" i="13"/>
  <c r="Q749" i="13"/>
  <c r="Q750" i="13"/>
  <c r="Q751" i="13"/>
  <c r="Q752" i="13"/>
  <c r="Q753" i="13"/>
  <c r="Q754" i="13"/>
  <c r="Q755" i="13"/>
  <c r="Q756" i="13"/>
  <c r="Q757" i="13"/>
  <c r="Q758" i="13"/>
  <c r="Q759" i="13"/>
  <c r="Q760" i="13"/>
  <c r="Q761" i="13"/>
  <c r="Q762" i="13"/>
  <c r="Q763" i="13"/>
  <c r="Q764" i="13"/>
  <c r="Q765" i="13"/>
  <c r="Q766" i="13"/>
  <c r="Q767" i="13"/>
  <c r="Q768" i="13"/>
  <c r="Q769" i="13"/>
  <c r="Q770" i="13"/>
  <c r="Q771" i="13"/>
  <c r="Q772" i="13"/>
  <c r="Q773" i="13"/>
  <c r="Q774" i="13"/>
  <c r="Q775" i="13"/>
  <c r="Q776" i="13"/>
  <c r="Q777" i="13"/>
  <c r="Q778" i="13"/>
  <c r="Q779" i="13"/>
  <c r="Q780" i="13"/>
  <c r="Q781" i="13"/>
  <c r="Q782" i="13"/>
  <c r="Q783" i="13"/>
  <c r="Q784" i="13"/>
  <c r="Q785" i="13"/>
  <c r="Q786" i="13"/>
  <c r="Q787" i="13"/>
  <c r="Q788" i="13"/>
  <c r="Q789" i="13"/>
  <c r="Q790" i="13"/>
  <c r="Q2" i="13"/>
  <c r="P3" i="13" a="1"/>
  <c r="P3" i="13" s="1"/>
  <c r="P4" i="13" a="1"/>
  <c r="P4" i="13" s="1"/>
  <c r="P5" i="13" a="1"/>
  <c r="P5" i="13" s="1"/>
  <c r="P6" i="13" a="1"/>
  <c r="P6" i="13" s="1"/>
  <c r="P7" i="13" a="1"/>
  <c r="P7" i="13" s="1"/>
  <c r="P8" i="13" a="1"/>
  <c r="P8" i="13" s="1"/>
  <c r="P9" i="13" a="1"/>
  <c r="P9" i="13" s="1"/>
  <c r="P10" i="13" a="1"/>
  <c r="P10" i="13" s="1"/>
  <c r="P11" i="13" a="1"/>
  <c r="P11" i="13" s="1"/>
  <c r="P12" i="13" a="1"/>
  <c r="P12" i="13" s="1"/>
  <c r="P13" i="13" a="1"/>
  <c r="P13" i="13" s="1"/>
  <c r="P14" i="13" a="1"/>
  <c r="P14" i="13" s="1"/>
  <c r="P15" i="13" a="1"/>
  <c r="P15" i="13"/>
  <c r="P16" i="13" a="1"/>
  <c r="P16" i="13"/>
  <c r="P17" i="13" a="1"/>
  <c r="P17" i="13" s="1"/>
  <c r="P18" i="13" a="1"/>
  <c r="P18" i="13" s="1"/>
  <c r="P19" i="13" a="1"/>
  <c r="P19" i="13" s="1"/>
  <c r="P20" i="13" a="1"/>
  <c r="P20" i="13" s="1"/>
  <c r="P21" i="13" a="1"/>
  <c r="P21" i="13" s="1"/>
  <c r="P22" i="13" a="1"/>
  <c r="P22" i="13" s="1"/>
  <c r="P23" i="13" a="1"/>
  <c r="P23" i="13"/>
  <c r="P24" i="13" a="1"/>
  <c r="P24" i="13" s="1"/>
  <c r="P25" i="13" a="1"/>
  <c r="P25" i="13" s="1"/>
  <c r="P26" i="13" a="1"/>
  <c r="P26" i="13" s="1"/>
  <c r="P27" i="13" a="1"/>
  <c r="P27" i="13" s="1"/>
  <c r="P28" i="13" a="1"/>
  <c r="P28" i="13" s="1"/>
  <c r="P29" i="13" a="1"/>
  <c r="P29" i="13" s="1"/>
  <c r="P30" i="13" a="1"/>
  <c r="P30" i="13" s="1"/>
  <c r="P31" i="13" a="1"/>
  <c r="P31" i="13" s="1"/>
  <c r="P32" i="13" a="1"/>
  <c r="P32" i="13" s="1"/>
  <c r="P33" i="13" a="1"/>
  <c r="P33" i="13" s="1"/>
  <c r="P34" i="13" a="1"/>
  <c r="P34" i="13"/>
  <c r="P35" i="13" a="1"/>
  <c r="P35" i="13" s="1"/>
  <c r="P36" i="13" a="1"/>
  <c r="P36" i="13" s="1"/>
  <c r="P37" i="13" a="1"/>
  <c r="P37" i="13" s="1"/>
  <c r="P38" i="13" a="1"/>
  <c r="P38" i="13" s="1"/>
  <c r="P39" i="13" a="1"/>
  <c r="P39" i="13" s="1"/>
  <c r="P40" i="13" a="1"/>
  <c r="P40" i="13"/>
  <c r="P41" i="13" a="1"/>
  <c r="P41" i="13" s="1"/>
  <c r="P42" i="13" a="1"/>
  <c r="P42" i="13" s="1"/>
  <c r="P43" i="13" a="1"/>
  <c r="P43" i="13" s="1"/>
  <c r="P44" i="13" a="1"/>
  <c r="P44" i="13" s="1"/>
  <c r="P45" i="13" a="1"/>
  <c r="P45" i="13" s="1"/>
  <c r="P46" i="13" a="1"/>
  <c r="P46" i="13" s="1"/>
  <c r="P47" i="13" a="1"/>
  <c r="P47" i="13"/>
  <c r="P48" i="13" a="1"/>
  <c r="P48" i="13"/>
  <c r="P49" i="13" a="1"/>
  <c r="P49" i="13" s="1"/>
  <c r="P50" i="13" a="1"/>
  <c r="P50" i="13" s="1"/>
  <c r="P51" i="13" a="1"/>
  <c r="P51" i="13" s="1"/>
  <c r="P52" i="13" a="1"/>
  <c r="P52" i="13" s="1"/>
  <c r="P53" i="13" a="1"/>
  <c r="P53" i="13" s="1"/>
  <c r="P54" i="13" a="1"/>
  <c r="P54" i="13" s="1"/>
  <c r="P55" i="13" a="1"/>
  <c r="P55" i="13" s="1"/>
  <c r="P56" i="13" a="1"/>
  <c r="P56" i="13" s="1"/>
  <c r="P57" i="13" a="1"/>
  <c r="P57" i="13" s="1"/>
  <c r="P58" i="13" a="1"/>
  <c r="P58" i="13"/>
  <c r="P59" i="13" a="1"/>
  <c r="P59" i="13" s="1"/>
  <c r="P60" i="13" a="1"/>
  <c r="P60" i="13" s="1"/>
  <c r="P61" i="13" a="1"/>
  <c r="P61" i="13" s="1"/>
  <c r="P62" i="13" a="1"/>
  <c r="P62" i="13" s="1"/>
  <c r="P63" i="13" a="1"/>
  <c r="P63" i="13" s="1"/>
  <c r="P64" i="13" a="1"/>
  <c r="P64" i="13" s="1"/>
  <c r="P65" i="13" a="1"/>
  <c r="P65" i="13" s="1"/>
  <c r="P66" i="13" a="1"/>
  <c r="P66" i="13" s="1"/>
  <c r="P67" i="13" a="1"/>
  <c r="P67" i="13" s="1"/>
  <c r="P68" i="13" a="1"/>
  <c r="P68" i="13" s="1"/>
  <c r="P69" i="13" a="1"/>
  <c r="P69" i="13" s="1"/>
  <c r="P70" i="13" a="1"/>
  <c r="P70" i="13" s="1"/>
  <c r="P71" i="13" a="1"/>
  <c r="P71" i="13" s="1"/>
  <c r="P72" i="13" a="1"/>
  <c r="P72" i="13" s="1"/>
  <c r="P73" i="13" a="1"/>
  <c r="P73" i="13" s="1"/>
  <c r="P74" i="13" a="1"/>
  <c r="P74" i="13"/>
  <c r="P75" i="13" a="1"/>
  <c r="P75" i="13" s="1"/>
  <c r="P76" i="13" a="1"/>
  <c r="P76" i="13" s="1"/>
  <c r="P77" i="13" a="1"/>
  <c r="P77" i="13" s="1"/>
  <c r="P78" i="13" a="1"/>
  <c r="P78" i="13" s="1"/>
  <c r="P79" i="13" a="1"/>
  <c r="P79" i="13" s="1"/>
  <c r="P80" i="13" a="1"/>
  <c r="P80" i="13" s="1"/>
  <c r="P81" i="13" a="1"/>
  <c r="P81" i="13" s="1"/>
  <c r="P82" i="13" a="1"/>
  <c r="P82" i="13" s="1"/>
  <c r="P83" i="13" a="1"/>
  <c r="P83" i="13" s="1"/>
  <c r="P84" i="13" a="1"/>
  <c r="P84" i="13" s="1"/>
  <c r="P85" i="13" a="1"/>
  <c r="P85" i="13" s="1"/>
  <c r="P86" i="13" a="1"/>
  <c r="P86" i="13" s="1"/>
  <c r="P87" i="13" a="1"/>
  <c r="P87" i="13" s="1"/>
  <c r="P88" i="13" a="1"/>
  <c r="P88" i="13" s="1"/>
  <c r="P89" i="13" a="1"/>
  <c r="P89" i="13" s="1"/>
  <c r="P90" i="13" a="1"/>
  <c r="P90" i="13" s="1"/>
  <c r="P91" i="13" a="1"/>
  <c r="P91" i="13" s="1"/>
  <c r="P92" i="13" a="1"/>
  <c r="P92" i="13" s="1"/>
  <c r="P93" i="13" a="1"/>
  <c r="P93" i="13" s="1"/>
  <c r="P94" i="13" a="1"/>
  <c r="P94" i="13" s="1"/>
  <c r="P95" i="13" a="1"/>
  <c r="P95" i="13" s="1"/>
  <c r="P96" i="13" a="1"/>
  <c r="P96" i="13" s="1"/>
  <c r="P97" i="13" a="1"/>
  <c r="P97" i="13" s="1"/>
  <c r="P98" i="13" a="1"/>
  <c r="P98" i="13"/>
  <c r="P99" i="13" a="1"/>
  <c r="P99" i="13" s="1"/>
  <c r="P100" i="13" a="1"/>
  <c r="P100" i="13" s="1"/>
  <c r="P101" i="13" a="1"/>
  <c r="P101" i="13" s="1"/>
  <c r="P102" i="13" a="1"/>
  <c r="P102" i="13" s="1"/>
  <c r="P103" i="13" a="1"/>
  <c r="P103" i="13" s="1"/>
  <c r="P104" i="13" a="1"/>
  <c r="P104" i="13" s="1"/>
  <c r="P105" i="13" a="1"/>
  <c r="P105" i="13" s="1"/>
  <c r="P106" i="13" a="1"/>
  <c r="P106" i="13" s="1"/>
  <c r="P107" i="13" a="1"/>
  <c r="P107" i="13" s="1"/>
  <c r="P108" i="13" a="1"/>
  <c r="P108" i="13" s="1"/>
  <c r="P109" i="13" a="1"/>
  <c r="P109" i="13" s="1"/>
  <c r="P110" i="13" a="1"/>
  <c r="P110" i="13" s="1"/>
  <c r="P111" i="13" a="1"/>
  <c r="P111" i="13" s="1"/>
  <c r="P112" i="13" a="1"/>
  <c r="P112" i="13" s="1"/>
  <c r="P113" i="13" a="1"/>
  <c r="P113" i="13" s="1"/>
  <c r="P114" i="13" a="1"/>
  <c r="P114" i="13" s="1"/>
  <c r="P115" i="13" a="1"/>
  <c r="P115" i="13" s="1"/>
  <c r="P116" i="13" a="1"/>
  <c r="P116" i="13" s="1"/>
  <c r="P117" i="13" a="1"/>
  <c r="P117" i="13" s="1"/>
  <c r="P118" i="13" a="1"/>
  <c r="P118" i="13" s="1"/>
  <c r="P119" i="13" a="1"/>
  <c r="P119" i="13" s="1"/>
  <c r="P120" i="13" a="1"/>
  <c r="P120" i="13" s="1"/>
  <c r="P121" i="13" a="1"/>
  <c r="P121" i="13" s="1"/>
  <c r="P122" i="13" a="1"/>
  <c r="P122" i="13" s="1"/>
  <c r="P123" i="13" a="1"/>
  <c r="P123" i="13" s="1"/>
  <c r="P124" i="13" a="1"/>
  <c r="P124" i="13" s="1"/>
  <c r="P125" i="13" a="1"/>
  <c r="P125" i="13" s="1"/>
  <c r="P126" i="13" a="1"/>
  <c r="P126" i="13" s="1"/>
  <c r="P127" i="13" a="1"/>
  <c r="P127" i="13" s="1"/>
  <c r="P128" i="13" a="1"/>
  <c r="P128" i="13" s="1"/>
  <c r="P129" i="13" a="1"/>
  <c r="P129" i="13" s="1"/>
  <c r="P130" i="13" a="1"/>
  <c r="P130" i="13"/>
  <c r="P131" i="13" a="1"/>
  <c r="P131" i="13" s="1"/>
  <c r="P132" i="13" a="1"/>
  <c r="P132" i="13" s="1"/>
  <c r="P133" i="13" a="1"/>
  <c r="P133" i="13" s="1"/>
  <c r="P134" i="13" a="1"/>
  <c r="P134" i="13" s="1"/>
  <c r="P135" i="13" a="1"/>
  <c r="P135" i="13" s="1"/>
  <c r="P136" i="13" a="1"/>
  <c r="P136" i="13" s="1"/>
  <c r="P137" i="13" a="1"/>
  <c r="P137" i="13" s="1"/>
  <c r="P138" i="13" a="1"/>
  <c r="P138" i="13" s="1"/>
  <c r="P139" i="13" a="1"/>
  <c r="P139" i="13" s="1"/>
  <c r="P140" i="13" a="1"/>
  <c r="P140" i="13" s="1"/>
  <c r="P141" i="13" a="1"/>
  <c r="P141" i="13" s="1"/>
  <c r="P142" i="13" a="1"/>
  <c r="P142" i="13" s="1"/>
  <c r="P143" i="13" a="1"/>
  <c r="P143" i="13" s="1"/>
  <c r="P144" i="13" a="1"/>
  <c r="P144" i="13" s="1"/>
  <c r="P145" i="13" a="1"/>
  <c r="P145" i="13" s="1"/>
  <c r="P146" i="13" a="1"/>
  <c r="P146" i="13" s="1"/>
  <c r="P147" i="13" a="1"/>
  <c r="P147" i="13" s="1"/>
  <c r="P148" i="13" a="1"/>
  <c r="P148" i="13" s="1"/>
  <c r="P149" i="13" a="1"/>
  <c r="P149" i="13" s="1"/>
  <c r="P150" i="13" a="1"/>
  <c r="P150" i="13" s="1"/>
  <c r="P151" i="13" a="1"/>
  <c r="P151" i="13" s="1"/>
  <c r="P152" i="13" a="1"/>
  <c r="P152" i="13" s="1"/>
  <c r="P153" i="13" a="1"/>
  <c r="P153" i="13" s="1"/>
  <c r="P154" i="13" a="1"/>
  <c r="P154" i="13" s="1"/>
  <c r="P155" i="13" a="1"/>
  <c r="P155" i="13" s="1"/>
  <c r="P156" i="13" a="1"/>
  <c r="P156" i="13" s="1"/>
  <c r="P157" i="13" a="1"/>
  <c r="P157" i="13" s="1"/>
  <c r="P158" i="13" a="1"/>
  <c r="P158" i="13" s="1"/>
  <c r="P159" i="13" a="1"/>
  <c r="P159" i="13" s="1"/>
  <c r="P160" i="13" a="1"/>
  <c r="P160" i="13" s="1"/>
  <c r="P161" i="13" a="1"/>
  <c r="P161" i="13" s="1"/>
  <c r="P162" i="13" a="1"/>
  <c r="P162" i="13" s="1"/>
  <c r="P163" i="13" a="1"/>
  <c r="P163" i="13" s="1"/>
  <c r="P164" i="13" a="1"/>
  <c r="P164" i="13" s="1"/>
  <c r="P165" i="13" a="1"/>
  <c r="P165" i="13" s="1"/>
  <c r="P166" i="13" a="1"/>
  <c r="P166" i="13" s="1"/>
  <c r="P167" i="13" a="1"/>
  <c r="P167" i="13" s="1"/>
  <c r="P168" i="13" a="1"/>
  <c r="P168" i="13" s="1"/>
  <c r="P169" i="13" a="1"/>
  <c r="P169" i="13" s="1"/>
  <c r="P170" i="13" a="1"/>
  <c r="P170" i="13" s="1"/>
  <c r="P171" i="13" a="1"/>
  <c r="P171" i="13" s="1"/>
  <c r="P172" i="13" a="1"/>
  <c r="P172" i="13" s="1"/>
  <c r="P173" i="13" a="1"/>
  <c r="P173" i="13" s="1"/>
  <c r="P174" i="13" a="1"/>
  <c r="P174" i="13" s="1"/>
  <c r="P175" i="13" a="1"/>
  <c r="P175" i="13" s="1"/>
  <c r="P176" i="13" a="1"/>
  <c r="P176" i="13" s="1"/>
  <c r="P177" i="13" a="1"/>
  <c r="P177" i="13" s="1"/>
  <c r="P178" i="13" a="1"/>
  <c r="P178" i="13" s="1"/>
  <c r="P179" i="13" a="1"/>
  <c r="P179" i="13" s="1"/>
  <c r="P180" i="13" a="1"/>
  <c r="P180" i="13" s="1"/>
  <c r="P181" i="13" a="1"/>
  <c r="P181" i="13" s="1"/>
  <c r="P182" i="13" a="1"/>
  <c r="P182" i="13" s="1"/>
  <c r="P183" i="13" a="1"/>
  <c r="P183" i="13" s="1"/>
  <c r="P184" i="13" a="1"/>
  <c r="P184" i="13" s="1"/>
  <c r="P185" i="13" a="1"/>
  <c r="P185" i="13" s="1"/>
  <c r="P186" i="13" a="1"/>
  <c r="P186" i="13" s="1"/>
  <c r="P187" i="13" a="1"/>
  <c r="P187" i="13" s="1"/>
  <c r="P188" i="13" a="1"/>
  <c r="P188" i="13" s="1"/>
  <c r="P189" i="13" a="1"/>
  <c r="P189" i="13" s="1"/>
  <c r="P190" i="13" a="1"/>
  <c r="P190" i="13" s="1"/>
  <c r="P191" i="13" a="1"/>
  <c r="P191" i="13" s="1"/>
  <c r="P192" i="13" a="1"/>
  <c r="P192" i="13" s="1"/>
  <c r="P193" i="13" a="1"/>
  <c r="P193" i="13" s="1"/>
  <c r="P194" i="13" a="1"/>
  <c r="P194" i="13"/>
  <c r="P195" i="13" a="1"/>
  <c r="P195" i="13" s="1"/>
  <c r="P196" i="13" a="1"/>
  <c r="P196" i="13" s="1"/>
  <c r="P197" i="13" a="1"/>
  <c r="P197" i="13" s="1"/>
  <c r="P198" i="13" a="1"/>
  <c r="P198" i="13" s="1"/>
  <c r="P199" i="13" a="1"/>
  <c r="P199" i="13" s="1"/>
  <c r="P200" i="13" a="1"/>
  <c r="P200" i="13" s="1"/>
  <c r="P201" i="13" a="1"/>
  <c r="P201" i="13" s="1"/>
  <c r="P202" i="13" a="1"/>
  <c r="P202" i="13" s="1"/>
  <c r="P203" i="13" a="1"/>
  <c r="P203" i="13" s="1"/>
  <c r="P204" i="13" a="1"/>
  <c r="P204" i="13" s="1"/>
  <c r="P205" i="13" a="1"/>
  <c r="P205" i="13" s="1"/>
  <c r="P206" i="13" a="1"/>
  <c r="P206" i="13" s="1"/>
  <c r="P207" i="13" a="1"/>
  <c r="P207" i="13" s="1"/>
  <c r="P208" i="13" a="1"/>
  <c r="P208" i="13" s="1"/>
  <c r="P209" i="13" a="1"/>
  <c r="P209" i="13" s="1"/>
  <c r="P210" i="13" a="1"/>
  <c r="P210" i="13" s="1"/>
  <c r="P211" i="13" a="1"/>
  <c r="P211" i="13" s="1"/>
  <c r="P212" i="13" a="1"/>
  <c r="P212" i="13" s="1"/>
  <c r="P213" i="13" a="1"/>
  <c r="P213" i="13" s="1"/>
  <c r="P214" i="13" a="1"/>
  <c r="P214" i="13" s="1"/>
  <c r="P215" i="13" a="1"/>
  <c r="P215" i="13" s="1"/>
  <c r="P216" i="13" a="1"/>
  <c r="P216" i="13" s="1"/>
  <c r="P217" i="13" a="1"/>
  <c r="P217" i="13" s="1"/>
  <c r="P218" i="13" a="1"/>
  <c r="P218" i="13" s="1"/>
  <c r="P219" i="13" a="1"/>
  <c r="P219" i="13" s="1"/>
  <c r="P220" i="13" a="1"/>
  <c r="P220" i="13" s="1"/>
  <c r="P221" i="13" a="1"/>
  <c r="P221" i="13" s="1"/>
  <c r="P222" i="13" a="1"/>
  <c r="P222" i="13" s="1"/>
  <c r="P223" i="13" a="1"/>
  <c r="P223" i="13" s="1"/>
  <c r="P224" i="13" a="1"/>
  <c r="P224" i="13" s="1"/>
  <c r="P225" i="13" a="1"/>
  <c r="P225" i="13" s="1"/>
  <c r="P226" i="13" a="1"/>
  <c r="P226" i="13" s="1"/>
  <c r="P227" i="13" a="1"/>
  <c r="P227" i="13" s="1"/>
  <c r="P228" i="13" a="1"/>
  <c r="P228" i="13" s="1"/>
  <c r="P229" i="13" a="1"/>
  <c r="P229" i="13" s="1"/>
  <c r="P230" i="13" a="1"/>
  <c r="P230" i="13" s="1"/>
  <c r="P231" i="13" a="1"/>
  <c r="P231" i="13" s="1"/>
  <c r="P232" i="13" a="1"/>
  <c r="P232" i="13" s="1"/>
  <c r="P233" i="13" a="1"/>
  <c r="P233" i="13" s="1"/>
  <c r="P234" i="13" a="1"/>
  <c r="P234" i="13" s="1"/>
  <c r="P235" i="13" a="1"/>
  <c r="P235" i="13" s="1"/>
  <c r="P236" i="13" a="1"/>
  <c r="P236" i="13" s="1"/>
  <c r="P237" i="13" a="1"/>
  <c r="P237" i="13" s="1"/>
  <c r="P238" i="13" a="1"/>
  <c r="P238" i="13" s="1"/>
  <c r="P239" i="13" a="1"/>
  <c r="P239" i="13" s="1"/>
  <c r="P240" i="13" a="1"/>
  <c r="P240" i="13" s="1"/>
  <c r="P241" i="13" a="1"/>
  <c r="P241" i="13" s="1"/>
  <c r="P242" i="13" a="1"/>
  <c r="P242" i="13" s="1"/>
  <c r="P243" i="13" a="1"/>
  <c r="P243" i="13" s="1"/>
  <c r="P244" i="13" a="1"/>
  <c r="P244" i="13" s="1"/>
  <c r="P245" i="13" a="1"/>
  <c r="P245" i="13" s="1"/>
  <c r="P246" i="13" a="1"/>
  <c r="P246" i="13" s="1"/>
  <c r="P247" i="13" a="1"/>
  <c r="P247" i="13" s="1"/>
  <c r="P248" i="13" a="1"/>
  <c r="P248" i="13" s="1"/>
  <c r="P249" i="13" a="1"/>
  <c r="P249" i="13" s="1"/>
  <c r="P250" i="13" a="1"/>
  <c r="P250" i="13"/>
  <c r="P251" i="13" a="1"/>
  <c r="P251" i="13" s="1"/>
  <c r="P252" i="13" a="1"/>
  <c r="P252" i="13" s="1"/>
  <c r="P253" i="13" a="1"/>
  <c r="P253" i="13" s="1"/>
  <c r="P254" i="13" a="1"/>
  <c r="P254" i="13" s="1"/>
  <c r="P255" i="13" a="1"/>
  <c r="P255" i="13" s="1"/>
  <c r="P256" i="13" a="1"/>
  <c r="P256" i="13" s="1"/>
  <c r="P257" i="13" a="1"/>
  <c r="P257" i="13" s="1"/>
  <c r="P258" i="13" a="1"/>
  <c r="P258" i="13" s="1"/>
  <c r="P259" i="13" a="1"/>
  <c r="P259" i="13" s="1"/>
  <c r="P260" i="13" a="1"/>
  <c r="P260" i="13" s="1"/>
  <c r="P261" i="13" a="1"/>
  <c r="P261" i="13" s="1"/>
  <c r="P262" i="13" a="1"/>
  <c r="P262" i="13" s="1"/>
  <c r="P263" i="13" a="1"/>
  <c r="P263" i="13" s="1"/>
  <c r="P264" i="13" a="1"/>
  <c r="P264" i="13" s="1"/>
  <c r="P265" i="13" a="1"/>
  <c r="P265" i="13" s="1"/>
  <c r="P266" i="13" a="1"/>
  <c r="P266" i="13" s="1"/>
  <c r="P267" i="13" a="1"/>
  <c r="P267" i="13" s="1"/>
  <c r="P268" i="13" a="1"/>
  <c r="P268" i="13" s="1"/>
  <c r="P269" i="13" a="1"/>
  <c r="P269" i="13" s="1"/>
  <c r="P270" i="13" a="1"/>
  <c r="P270" i="13" s="1"/>
  <c r="P271" i="13" a="1"/>
  <c r="P271" i="13" s="1"/>
  <c r="P272" i="13" a="1"/>
  <c r="P272" i="13" s="1"/>
  <c r="P273" i="13" a="1"/>
  <c r="P273" i="13" s="1"/>
  <c r="P274" i="13" a="1"/>
  <c r="P274" i="13" s="1"/>
  <c r="P275" i="13" a="1"/>
  <c r="P275" i="13" s="1"/>
  <c r="P276" i="13" a="1"/>
  <c r="P276" i="13" s="1"/>
  <c r="P277" i="13" a="1"/>
  <c r="P277" i="13" s="1"/>
  <c r="P278" i="13" a="1"/>
  <c r="P278" i="13" s="1"/>
  <c r="P279" i="13" a="1"/>
  <c r="P279" i="13" s="1"/>
  <c r="P280" i="13" a="1"/>
  <c r="P280" i="13" s="1"/>
  <c r="P281" i="13" a="1"/>
  <c r="P281" i="13" s="1"/>
  <c r="P282" i="13" a="1"/>
  <c r="P282" i="13" s="1"/>
  <c r="P283" i="13" a="1"/>
  <c r="P283" i="13" s="1"/>
  <c r="P284" i="13" a="1"/>
  <c r="P284" i="13" s="1"/>
  <c r="P285" i="13" a="1"/>
  <c r="P285" i="13" s="1"/>
  <c r="P286" i="13" a="1"/>
  <c r="P286" i="13" s="1"/>
  <c r="P287" i="13" a="1"/>
  <c r="P287" i="13" s="1"/>
  <c r="P288" i="13" a="1"/>
  <c r="P288" i="13" s="1"/>
  <c r="P289" i="13" a="1"/>
  <c r="P289" i="13" s="1"/>
  <c r="P290" i="13" a="1"/>
  <c r="P290" i="13" s="1"/>
  <c r="P291" i="13" a="1"/>
  <c r="P291" i="13" s="1"/>
  <c r="P292" i="13" a="1"/>
  <c r="P292" i="13" s="1"/>
  <c r="P293" i="13" a="1"/>
  <c r="P293" i="13" s="1"/>
  <c r="P294" i="13" a="1"/>
  <c r="P294" i="13" s="1"/>
  <c r="P295" i="13" a="1"/>
  <c r="P295" i="13" s="1"/>
  <c r="P296" i="13" a="1"/>
  <c r="P296" i="13" s="1"/>
  <c r="P297" i="13" a="1"/>
  <c r="P297" i="13" s="1"/>
  <c r="P298" i="13" a="1"/>
  <c r="P298" i="13" s="1"/>
  <c r="P299" i="13" a="1"/>
  <c r="P299" i="13" s="1"/>
  <c r="P300" i="13" a="1"/>
  <c r="P300" i="13" s="1"/>
  <c r="P301" i="13" a="1"/>
  <c r="P301" i="13" s="1"/>
  <c r="P302" i="13" a="1"/>
  <c r="P302" i="13" s="1"/>
  <c r="P303" i="13" a="1"/>
  <c r="P303" i="13" s="1"/>
  <c r="P304" i="13" a="1"/>
  <c r="P304" i="13" s="1"/>
  <c r="P305" i="13" a="1"/>
  <c r="P305" i="13"/>
  <c r="P306" i="13" a="1"/>
  <c r="P306" i="13" s="1"/>
  <c r="P307" i="13" a="1"/>
  <c r="P307" i="13" s="1"/>
  <c r="P308" i="13" a="1"/>
  <c r="P308" i="13" s="1"/>
  <c r="P309" i="13" a="1"/>
  <c r="P309" i="13" s="1"/>
  <c r="P310" i="13" a="1"/>
  <c r="P310" i="13" s="1"/>
  <c r="P311" i="13" a="1"/>
  <c r="P311" i="13" s="1"/>
  <c r="P312" i="13" a="1"/>
  <c r="P312" i="13" s="1"/>
  <c r="P313" i="13" a="1"/>
  <c r="P313" i="13" s="1"/>
  <c r="P314" i="13" a="1"/>
  <c r="P314" i="13" s="1"/>
  <c r="P315" i="13" a="1"/>
  <c r="P315" i="13" s="1"/>
  <c r="P316" i="13" a="1"/>
  <c r="P316" i="13" s="1"/>
  <c r="P317" i="13" a="1"/>
  <c r="P317" i="13" s="1"/>
  <c r="P318" i="13" a="1"/>
  <c r="P318" i="13" s="1"/>
  <c r="P319" i="13" a="1"/>
  <c r="P319" i="13" s="1"/>
  <c r="P320" i="13" a="1"/>
  <c r="P320" i="13" s="1"/>
  <c r="P321" i="13" a="1"/>
  <c r="P321" i="13" s="1"/>
  <c r="P322" i="13" a="1"/>
  <c r="P322" i="13" s="1"/>
  <c r="P323" i="13" a="1"/>
  <c r="P323" i="13" s="1"/>
  <c r="P324" i="13" a="1"/>
  <c r="P324" i="13" s="1"/>
  <c r="P325" i="13" a="1"/>
  <c r="P325" i="13" s="1"/>
  <c r="P326" i="13" a="1"/>
  <c r="P326" i="13" s="1"/>
  <c r="P327" i="13" a="1"/>
  <c r="P327" i="13" s="1"/>
  <c r="P328" i="13" a="1"/>
  <c r="P328" i="13" s="1"/>
  <c r="P329" i="13" a="1"/>
  <c r="P329" i="13"/>
  <c r="P330" i="13" a="1"/>
  <c r="P330" i="13"/>
  <c r="P331" i="13" a="1"/>
  <c r="P331" i="13" s="1"/>
  <c r="P332" i="13" a="1"/>
  <c r="P332" i="13" s="1"/>
  <c r="P333" i="13" a="1"/>
  <c r="P333" i="13" s="1"/>
  <c r="P334" i="13" a="1"/>
  <c r="P334" i="13" s="1"/>
  <c r="P335" i="13" a="1"/>
  <c r="P335" i="13" s="1"/>
  <c r="P336" i="13" a="1"/>
  <c r="P336" i="13" s="1"/>
  <c r="P337" i="13" a="1"/>
  <c r="P337" i="13" s="1"/>
  <c r="P338" i="13" a="1"/>
  <c r="P338" i="13"/>
  <c r="P339" i="13" a="1"/>
  <c r="P339" i="13" s="1"/>
  <c r="P340" i="13" a="1"/>
  <c r="P340" i="13" s="1"/>
  <c r="P341" i="13" a="1"/>
  <c r="P341" i="13" s="1"/>
  <c r="P342" i="13" a="1"/>
  <c r="P342" i="13" s="1"/>
  <c r="P343" i="13" a="1"/>
  <c r="P343" i="13" s="1"/>
  <c r="P344" i="13" a="1"/>
  <c r="P344" i="13" s="1"/>
  <c r="P345" i="13" a="1"/>
  <c r="P345" i="13" s="1"/>
  <c r="P346" i="13" a="1"/>
  <c r="P346" i="13" s="1"/>
  <c r="P347" i="13" a="1"/>
  <c r="P347" i="13" s="1"/>
  <c r="P348" i="13" a="1"/>
  <c r="P348" i="13" s="1"/>
  <c r="P349" i="13" a="1"/>
  <c r="P349" i="13" s="1"/>
  <c r="P350" i="13" a="1"/>
  <c r="P350" i="13" s="1"/>
  <c r="P351" i="13" a="1"/>
  <c r="P351" i="13" s="1"/>
  <c r="P352" i="13" a="1"/>
  <c r="P352" i="13" s="1"/>
  <c r="P353" i="13" a="1"/>
  <c r="P353" i="13" s="1"/>
  <c r="P354" i="13" a="1"/>
  <c r="P354" i="13" s="1"/>
  <c r="P355" i="13" a="1"/>
  <c r="P355" i="13" s="1"/>
  <c r="P356" i="13" a="1"/>
  <c r="P356" i="13" s="1"/>
  <c r="P357" i="13" a="1"/>
  <c r="P357" i="13" s="1"/>
  <c r="P358" i="13" a="1"/>
  <c r="P358" i="13" s="1"/>
  <c r="P359" i="13" a="1"/>
  <c r="P359" i="13" s="1"/>
  <c r="P360" i="13" a="1"/>
  <c r="P360" i="13" s="1"/>
  <c r="P361" i="13" a="1"/>
  <c r="P361" i="13" s="1"/>
  <c r="P362" i="13" a="1"/>
  <c r="P362" i="13" s="1"/>
  <c r="P363" i="13" a="1"/>
  <c r="P363" i="13" s="1"/>
  <c r="P364" i="13" a="1"/>
  <c r="P364" i="13" s="1"/>
  <c r="P365" i="13" a="1"/>
  <c r="P365" i="13" s="1"/>
  <c r="P366" i="13" a="1"/>
  <c r="P366" i="13" s="1"/>
  <c r="P367" i="13" a="1"/>
  <c r="P367" i="13" s="1"/>
  <c r="P368" i="13" a="1"/>
  <c r="P368" i="13" s="1"/>
  <c r="P369" i="13" a="1"/>
  <c r="P369" i="13"/>
  <c r="P370" i="13" a="1"/>
  <c r="P370" i="13"/>
  <c r="P371" i="13" a="1"/>
  <c r="P371" i="13" s="1"/>
  <c r="P372" i="13" a="1"/>
  <c r="P372" i="13" s="1"/>
  <c r="P373" i="13" a="1"/>
  <c r="P373" i="13" s="1"/>
  <c r="P374" i="13" a="1"/>
  <c r="P374" i="13" s="1"/>
  <c r="P375" i="13" a="1"/>
  <c r="P375" i="13" s="1"/>
  <c r="P376" i="13" a="1"/>
  <c r="P376" i="13" s="1"/>
  <c r="P377" i="13" a="1"/>
  <c r="P377" i="13" s="1"/>
  <c r="P378" i="13" a="1"/>
  <c r="P378" i="13" s="1"/>
  <c r="P379" i="13" a="1"/>
  <c r="P379" i="13" s="1"/>
  <c r="P380" i="13" a="1"/>
  <c r="P380" i="13" s="1"/>
  <c r="P381" i="13" a="1"/>
  <c r="P381" i="13" s="1"/>
  <c r="P382" i="13" a="1"/>
  <c r="P382" i="13" s="1"/>
  <c r="P383" i="13" a="1"/>
  <c r="P383" i="13" s="1"/>
  <c r="P384" i="13" a="1"/>
  <c r="P384" i="13" s="1"/>
  <c r="P385" i="13" a="1"/>
  <c r="P385" i="13" s="1"/>
  <c r="P386" i="13" a="1"/>
  <c r="P386" i="13" s="1"/>
  <c r="P387" i="13" a="1"/>
  <c r="P387" i="13" s="1"/>
  <c r="P388" i="13" a="1"/>
  <c r="P388" i="13" s="1"/>
  <c r="P389" i="13" a="1"/>
  <c r="P389" i="13" s="1"/>
  <c r="P390" i="13" a="1"/>
  <c r="P390" i="13" s="1"/>
  <c r="P391" i="13" a="1"/>
  <c r="P391" i="13" s="1"/>
  <c r="P392" i="13" a="1"/>
  <c r="P392" i="13" s="1"/>
  <c r="P393" i="13" a="1"/>
  <c r="P393" i="13" s="1"/>
  <c r="P394" i="13" a="1"/>
  <c r="P394" i="13" s="1"/>
  <c r="P395" i="13" a="1"/>
  <c r="P395" i="13" s="1"/>
  <c r="P396" i="13" a="1"/>
  <c r="P396" i="13" s="1"/>
  <c r="P397" i="13" a="1"/>
  <c r="P397" i="13" s="1"/>
  <c r="P398" i="13" a="1"/>
  <c r="P398" i="13" s="1"/>
  <c r="P399" i="13" a="1"/>
  <c r="P399" i="13" s="1"/>
  <c r="P400" i="13" a="1"/>
  <c r="P400" i="13" s="1"/>
  <c r="P401" i="13" a="1"/>
  <c r="P401" i="13" s="1"/>
  <c r="P402" i="13" a="1"/>
  <c r="P402" i="13" s="1"/>
  <c r="P403" i="13" a="1"/>
  <c r="P403" i="13" s="1"/>
  <c r="P404" i="13" a="1"/>
  <c r="P404" i="13" s="1"/>
  <c r="P405" i="13" a="1"/>
  <c r="P405" i="13" s="1"/>
  <c r="P406" i="13" a="1"/>
  <c r="P406" i="13" s="1"/>
  <c r="P407" i="13" a="1"/>
  <c r="P407" i="13" s="1"/>
  <c r="P408" i="13" a="1"/>
  <c r="P408" i="13" s="1"/>
  <c r="P409" i="13" a="1"/>
  <c r="P409" i="13"/>
  <c r="P410" i="13" a="1"/>
  <c r="P410" i="13" s="1"/>
  <c r="P411" i="13" a="1"/>
  <c r="P411" i="13" s="1"/>
  <c r="P412" i="13" a="1"/>
  <c r="P412" i="13" s="1"/>
  <c r="P413" i="13" a="1"/>
  <c r="P413" i="13" s="1"/>
  <c r="P414" i="13" a="1"/>
  <c r="P414" i="13" s="1"/>
  <c r="P415" i="13" a="1"/>
  <c r="P415" i="13" s="1"/>
  <c r="P416" i="13" a="1"/>
  <c r="P416" i="13" s="1"/>
  <c r="P417" i="13" a="1"/>
  <c r="P417" i="13" s="1"/>
  <c r="P418" i="13" a="1"/>
  <c r="P418" i="13" s="1"/>
  <c r="P419" i="13" a="1"/>
  <c r="P419" i="13" s="1"/>
  <c r="P420" i="13" a="1"/>
  <c r="P420" i="13" s="1"/>
  <c r="P421" i="13" a="1"/>
  <c r="P421" i="13" s="1"/>
  <c r="P422" i="13" a="1"/>
  <c r="P422" i="13" s="1"/>
  <c r="P423" i="13" a="1"/>
  <c r="P423" i="13" s="1"/>
  <c r="P424" i="13" a="1"/>
  <c r="P424" i="13" s="1"/>
  <c r="P425" i="13" a="1"/>
  <c r="P425" i="13" s="1"/>
  <c r="P426" i="13" a="1"/>
  <c r="P426" i="13" s="1"/>
  <c r="P427" i="13" a="1"/>
  <c r="P427" i="13" s="1"/>
  <c r="P428" i="13" a="1"/>
  <c r="P428" i="13" s="1"/>
  <c r="P429" i="13" a="1"/>
  <c r="P429" i="13" s="1"/>
  <c r="P430" i="13" a="1"/>
  <c r="P430" i="13" s="1"/>
  <c r="P431" i="13" a="1"/>
  <c r="P431" i="13" s="1"/>
  <c r="P432" i="13" a="1"/>
  <c r="P432" i="13" s="1"/>
  <c r="P433" i="13" a="1"/>
  <c r="P433" i="13" s="1"/>
  <c r="P434" i="13" a="1"/>
  <c r="P434" i="13" s="1"/>
  <c r="P435" i="13" a="1"/>
  <c r="P435" i="13" s="1"/>
  <c r="P436" i="13" a="1"/>
  <c r="P436" i="13" s="1"/>
  <c r="P437" i="13" a="1"/>
  <c r="P437" i="13" s="1"/>
  <c r="P438" i="13" a="1"/>
  <c r="P438" i="13" s="1"/>
  <c r="P439" i="13" a="1"/>
  <c r="P439" i="13" s="1"/>
  <c r="P440" i="13" a="1"/>
  <c r="P440" i="13" s="1"/>
  <c r="P441" i="13" a="1"/>
  <c r="P441" i="13"/>
  <c r="P442" i="13" a="1"/>
  <c r="P442" i="13" s="1"/>
  <c r="P443" i="13" a="1"/>
  <c r="P443" i="13" s="1"/>
  <c r="P444" i="13" a="1"/>
  <c r="P444" i="13" s="1"/>
  <c r="P445" i="13" a="1"/>
  <c r="P445" i="13" s="1"/>
  <c r="P446" i="13" a="1"/>
  <c r="P446" i="13" s="1"/>
  <c r="P447" i="13" a="1"/>
  <c r="P447" i="13" s="1"/>
  <c r="P448" i="13" a="1"/>
  <c r="P448" i="13" s="1"/>
  <c r="P449" i="13" a="1"/>
  <c r="P449" i="13" s="1"/>
  <c r="P450" i="13" a="1"/>
  <c r="P450" i="13" s="1"/>
  <c r="P451" i="13" a="1"/>
  <c r="P451" i="13" s="1"/>
  <c r="P452" i="13" a="1"/>
  <c r="P452" i="13" s="1"/>
  <c r="P453" i="13" a="1"/>
  <c r="P453" i="13" s="1"/>
  <c r="P454" i="13" a="1"/>
  <c r="P454" i="13" s="1"/>
  <c r="P455" i="13" a="1"/>
  <c r="P455" i="13" s="1"/>
  <c r="P456" i="13" a="1"/>
  <c r="P456" i="13" s="1"/>
  <c r="P457" i="13" a="1"/>
  <c r="P457" i="13" s="1"/>
  <c r="P458" i="13" a="1"/>
  <c r="P458" i="13" s="1"/>
  <c r="P459" i="13" a="1"/>
  <c r="P459" i="13" s="1"/>
  <c r="P460" i="13" a="1"/>
  <c r="P460" i="13" s="1"/>
  <c r="P461" i="13" a="1"/>
  <c r="P461" i="13" s="1"/>
  <c r="P462" i="13" a="1"/>
  <c r="P462" i="13" s="1"/>
  <c r="P463" i="13" a="1"/>
  <c r="P463" i="13" s="1"/>
  <c r="P464" i="13" a="1"/>
  <c r="P464" i="13" s="1"/>
  <c r="P465" i="13" a="1"/>
  <c r="P465" i="13"/>
  <c r="P466" i="13" a="1"/>
  <c r="P466" i="13"/>
  <c r="P467" i="13" a="1"/>
  <c r="P467" i="13" s="1"/>
  <c r="P468" i="13" a="1"/>
  <c r="P468" i="13" s="1"/>
  <c r="P469" i="13" a="1"/>
  <c r="P469" i="13" s="1"/>
  <c r="P470" i="13" a="1"/>
  <c r="P470" i="13" s="1"/>
  <c r="P471" i="13" a="1"/>
  <c r="P471" i="13" s="1"/>
  <c r="P472" i="13" a="1"/>
  <c r="P472" i="13" s="1"/>
  <c r="P473" i="13" a="1"/>
  <c r="P473" i="13" s="1"/>
  <c r="P474" i="13" a="1"/>
  <c r="P474" i="13" s="1"/>
  <c r="P475" i="13" a="1"/>
  <c r="P475" i="13" s="1"/>
  <c r="P476" i="13" a="1"/>
  <c r="P476" i="13" s="1"/>
  <c r="P477" i="13" a="1"/>
  <c r="P477" i="13" s="1"/>
  <c r="P478" i="13" a="1"/>
  <c r="P478" i="13" s="1"/>
  <c r="P479" i="13" a="1"/>
  <c r="P479" i="13" s="1"/>
  <c r="P480" i="13" a="1"/>
  <c r="P480" i="13" s="1"/>
  <c r="P481" i="13" a="1"/>
  <c r="P481" i="13" s="1"/>
  <c r="P482" i="13" a="1"/>
  <c r="P482" i="13" s="1"/>
  <c r="P483" i="13" a="1"/>
  <c r="P483" i="13" s="1"/>
  <c r="P484" i="13" a="1"/>
  <c r="P484" i="13" s="1"/>
  <c r="P485" i="13" a="1"/>
  <c r="P485" i="13" s="1"/>
  <c r="P486" i="13" a="1"/>
  <c r="P486" i="13" s="1"/>
  <c r="P487" i="13" a="1"/>
  <c r="P487" i="13" s="1"/>
  <c r="P488" i="13" a="1"/>
  <c r="P488" i="13" s="1"/>
  <c r="P489" i="13" a="1"/>
  <c r="P489" i="13" s="1"/>
  <c r="P490" i="13" a="1"/>
  <c r="P490" i="13" s="1"/>
  <c r="P491" i="13" a="1"/>
  <c r="P491" i="13" s="1"/>
  <c r="P492" i="13" a="1"/>
  <c r="P492" i="13" s="1"/>
  <c r="P493" i="13" a="1"/>
  <c r="P493" i="13" s="1"/>
  <c r="P494" i="13" a="1"/>
  <c r="P494" i="13" s="1"/>
  <c r="P495" i="13" a="1"/>
  <c r="P495" i="13" s="1"/>
  <c r="P496" i="13" a="1"/>
  <c r="P496" i="13" s="1"/>
  <c r="P497" i="13" a="1"/>
  <c r="P497" i="13" s="1"/>
  <c r="P498" i="13" a="1"/>
  <c r="P498" i="13"/>
  <c r="P499" i="13" a="1"/>
  <c r="P499" i="13" s="1"/>
  <c r="P500" i="13" a="1"/>
  <c r="P500" i="13" s="1"/>
  <c r="P501" i="13" a="1"/>
  <c r="P501" i="13" s="1"/>
  <c r="P502" i="13" a="1"/>
  <c r="P502" i="13" s="1"/>
  <c r="P503" i="13" a="1"/>
  <c r="P503" i="13" s="1"/>
  <c r="P504" i="13" a="1"/>
  <c r="P504" i="13" s="1"/>
  <c r="P505" i="13" a="1"/>
  <c r="P505" i="13"/>
  <c r="P506" i="13" a="1"/>
  <c r="P506" i="13" s="1"/>
  <c r="P507" i="13" a="1"/>
  <c r="P507" i="13" s="1"/>
  <c r="P508" i="13" a="1"/>
  <c r="P508" i="13" s="1"/>
  <c r="P509" i="13" a="1"/>
  <c r="P509" i="13" s="1"/>
  <c r="P510" i="13" a="1"/>
  <c r="P510" i="13" s="1"/>
  <c r="P511" i="13" a="1"/>
  <c r="P511" i="13" s="1"/>
  <c r="P512" i="13" a="1"/>
  <c r="P512" i="13" s="1"/>
  <c r="P513" i="13" a="1"/>
  <c r="P513" i="13" s="1"/>
  <c r="P514" i="13" a="1"/>
  <c r="P514" i="13" s="1"/>
  <c r="P515" i="13" a="1"/>
  <c r="P515" i="13" s="1"/>
  <c r="P516" i="13" a="1"/>
  <c r="P516" i="13" s="1"/>
  <c r="P517" i="13" a="1"/>
  <c r="P517" i="13" s="1"/>
  <c r="P518" i="13" a="1"/>
  <c r="P518" i="13" s="1"/>
  <c r="P519" i="13" a="1"/>
  <c r="P519" i="13" s="1"/>
  <c r="P520" i="13" a="1"/>
  <c r="P520" i="13" s="1"/>
  <c r="P521" i="13" a="1"/>
  <c r="P521" i="13" s="1"/>
  <c r="P522" i="13" a="1"/>
  <c r="P522" i="13" s="1"/>
  <c r="P523" i="13" a="1"/>
  <c r="P523" i="13" s="1"/>
  <c r="P524" i="13" a="1"/>
  <c r="P524" i="13" s="1"/>
  <c r="P525" i="13" a="1"/>
  <c r="P525" i="13" s="1"/>
  <c r="P526" i="13" a="1"/>
  <c r="P526" i="13" s="1"/>
  <c r="P527" i="13" a="1"/>
  <c r="P527" i="13" s="1"/>
  <c r="P528" i="13" a="1"/>
  <c r="P528" i="13" s="1"/>
  <c r="P529" i="13" a="1"/>
  <c r="P529" i="13" s="1"/>
  <c r="P530" i="13" a="1"/>
  <c r="P530" i="13" s="1"/>
  <c r="P531" i="13" a="1"/>
  <c r="P531" i="13" s="1"/>
  <c r="P532" i="13" a="1"/>
  <c r="P532" i="13" s="1"/>
  <c r="P533" i="13" a="1"/>
  <c r="P533" i="13" s="1"/>
  <c r="P534" i="13" a="1"/>
  <c r="P534" i="13" s="1"/>
  <c r="P535" i="13" a="1"/>
  <c r="P535" i="13" s="1"/>
  <c r="P536" i="13" a="1"/>
  <c r="P536" i="13" s="1"/>
  <c r="P537" i="13" a="1"/>
  <c r="P537" i="13" s="1"/>
  <c r="P538" i="13" a="1"/>
  <c r="P538" i="13" s="1"/>
  <c r="P539" i="13" a="1"/>
  <c r="P539" i="13" s="1"/>
  <c r="P540" i="13" a="1"/>
  <c r="P540" i="13" s="1"/>
  <c r="P541" i="13" a="1"/>
  <c r="P541" i="13" s="1"/>
  <c r="P542" i="13" a="1"/>
  <c r="P542" i="13" s="1"/>
  <c r="P543" i="13" a="1"/>
  <c r="P543" i="13" s="1"/>
  <c r="P544" i="13" a="1"/>
  <c r="P544" i="13" s="1"/>
  <c r="P545" i="13" a="1"/>
  <c r="P545" i="13" s="1"/>
  <c r="P546" i="13" a="1"/>
  <c r="P546" i="13" s="1"/>
  <c r="P547" i="13" a="1"/>
  <c r="P547" i="13" s="1"/>
  <c r="P548" i="13" a="1"/>
  <c r="P548" i="13" s="1"/>
  <c r="P549" i="13" a="1"/>
  <c r="P549" i="13" s="1"/>
  <c r="P550" i="13" a="1"/>
  <c r="P550" i="13" s="1"/>
  <c r="P551" i="13" a="1"/>
  <c r="P551" i="13" s="1"/>
  <c r="P552" i="13" a="1"/>
  <c r="P552" i="13" s="1"/>
  <c r="P553" i="13" a="1"/>
  <c r="P553" i="13" s="1"/>
  <c r="P554" i="13" a="1"/>
  <c r="P554" i="13"/>
  <c r="P555" i="13" a="1"/>
  <c r="P555" i="13" s="1"/>
  <c r="P556" i="13" a="1"/>
  <c r="P556" i="13" s="1"/>
  <c r="P557" i="13" a="1"/>
  <c r="P557" i="13" s="1"/>
  <c r="P558" i="13" a="1"/>
  <c r="P558" i="13" s="1"/>
  <c r="P559" i="13" a="1"/>
  <c r="P559" i="13" s="1"/>
  <c r="P560" i="13" a="1"/>
  <c r="P560" i="13" s="1"/>
  <c r="P561" i="13" a="1"/>
  <c r="P561" i="13" s="1"/>
  <c r="P562" i="13" a="1"/>
  <c r="P562" i="13" s="1"/>
  <c r="P563" i="13" a="1"/>
  <c r="P563" i="13" s="1"/>
  <c r="P564" i="13" a="1"/>
  <c r="P564" i="13" s="1"/>
  <c r="P565" i="13" a="1"/>
  <c r="P565" i="13" s="1"/>
  <c r="P566" i="13" a="1"/>
  <c r="P566" i="13" s="1"/>
  <c r="P567" i="13" a="1"/>
  <c r="P567" i="13" s="1"/>
  <c r="P568" i="13" a="1"/>
  <c r="P568" i="13" s="1"/>
  <c r="P569" i="13" a="1"/>
  <c r="P569" i="13" s="1"/>
  <c r="P570" i="13" a="1"/>
  <c r="P570" i="13" s="1"/>
  <c r="P571" i="13" a="1"/>
  <c r="P571" i="13" s="1"/>
  <c r="P572" i="13" a="1"/>
  <c r="P572" i="13" s="1"/>
  <c r="P573" i="13" a="1"/>
  <c r="P573" i="13" s="1"/>
  <c r="P574" i="13" a="1"/>
  <c r="P574" i="13" s="1"/>
  <c r="P575" i="13" a="1"/>
  <c r="P575" i="13" s="1"/>
  <c r="P576" i="13" a="1"/>
  <c r="P576" i="13" s="1"/>
  <c r="P577" i="13" a="1"/>
  <c r="P577" i="13" s="1"/>
  <c r="P578" i="13" a="1"/>
  <c r="P578" i="13" s="1"/>
  <c r="P579" i="13" a="1"/>
  <c r="P579" i="13" s="1"/>
  <c r="P580" i="13" a="1"/>
  <c r="P580" i="13" s="1"/>
  <c r="P581" i="13" a="1"/>
  <c r="P581" i="13" s="1"/>
  <c r="P582" i="13" a="1"/>
  <c r="P582" i="13" s="1"/>
  <c r="P583" i="13" a="1"/>
  <c r="P583" i="13" s="1"/>
  <c r="P584" i="13" a="1"/>
  <c r="P584" i="13" s="1"/>
  <c r="P585" i="13" a="1"/>
  <c r="P585" i="13" s="1"/>
  <c r="P586" i="13" a="1"/>
  <c r="P586" i="13" s="1"/>
  <c r="P587" i="13" a="1"/>
  <c r="P587" i="13" s="1"/>
  <c r="P588" i="13" a="1"/>
  <c r="P588" i="13" s="1"/>
  <c r="P589" i="13" a="1"/>
  <c r="P589" i="13" s="1"/>
  <c r="P590" i="13" a="1"/>
  <c r="P590" i="13" s="1"/>
  <c r="P591" i="13" a="1"/>
  <c r="P591" i="13" s="1"/>
  <c r="P592" i="13" a="1"/>
  <c r="P592" i="13" s="1"/>
  <c r="P593" i="13" a="1"/>
  <c r="P593" i="13" s="1"/>
  <c r="P594" i="13" a="1"/>
  <c r="P594" i="13"/>
  <c r="P595" i="13" a="1"/>
  <c r="P595" i="13" s="1"/>
  <c r="P596" i="13" a="1"/>
  <c r="P596" i="13" s="1"/>
  <c r="P597" i="13" a="1"/>
  <c r="P597" i="13" s="1"/>
  <c r="P598" i="13" a="1"/>
  <c r="P598" i="13" s="1"/>
  <c r="P599" i="13" a="1"/>
  <c r="P599" i="13" s="1"/>
  <c r="P600" i="13" a="1"/>
  <c r="P600" i="13" s="1"/>
  <c r="P601" i="13" a="1"/>
  <c r="P601" i="13" s="1"/>
  <c r="P602" i="13" a="1"/>
  <c r="P602" i="13" s="1"/>
  <c r="P603" i="13" a="1"/>
  <c r="P603" i="13" s="1"/>
  <c r="P604" i="13" a="1"/>
  <c r="P604" i="13" s="1"/>
  <c r="P605" i="13" a="1"/>
  <c r="P605" i="13" s="1"/>
  <c r="P606" i="13" a="1"/>
  <c r="P606" i="13" s="1"/>
  <c r="P607" i="13" a="1"/>
  <c r="P607" i="13" s="1"/>
  <c r="P608" i="13" a="1"/>
  <c r="P608" i="13" s="1"/>
  <c r="P609" i="13" a="1"/>
  <c r="P609" i="13" s="1"/>
  <c r="P610" i="13" a="1"/>
  <c r="P610" i="13" s="1"/>
  <c r="P611" i="13" a="1"/>
  <c r="P611" i="13" s="1"/>
  <c r="P612" i="13" a="1"/>
  <c r="P612" i="13" s="1"/>
  <c r="P613" i="13" a="1"/>
  <c r="P613" i="13" s="1"/>
  <c r="P614" i="13" a="1"/>
  <c r="P614" i="13" s="1"/>
  <c r="P615" i="13" a="1"/>
  <c r="P615" i="13" s="1"/>
  <c r="P616" i="13" a="1"/>
  <c r="P616" i="13" s="1"/>
  <c r="P617" i="13" a="1"/>
  <c r="P617" i="13" s="1"/>
  <c r="P618" i="13" a="1"/>
  <c r="P618" i="13" s="1"/>
  <c r="P619" i="13" a="1"/>
  <c r="P619" i="13" s="1"/>
  <c r="P620" i="13" a="1"/>
  <c r="P620" i="13" s="1"/>
  <c r="P621" i="13" a="1"/>
  <c r="P621" i="13" s="1"/>
  <c r="P622" i="13" a="1"/>
  <c r="P622" i="13" s="1"/>
  <c r="P623" i="13" a="1"/>
  <c r="P623" i="13" s="1"/>
  <c r="P624" i="13" a="1"/>
  <c r="P624" i="13" s="1"/>
  <c r="P625" i="13" a="1"/>
  <c r="P625" i="13" s="1"/>
  <c r="P626" i="13" a="1"/>
  <c r="P626" i="13"/>
  <c r="P627" i="13" a="1"/>
  <c r="P627" i="13" s="1"/>
  <c r="P628" i="13" a="1"/>
  <c r="P628" i="13" s="1"/>
  <c r="P629" i="13" a="1"/>
  <c r="P629" i="13" s="1"/>
  <c r="P630" i="13" a="1"/>
  <c r="P630" i="13" s="1"/>
  <c r="P631" i="13" a="1"/>
  <c r="P631" i="13" s="1"/>
  <c r="P632" i="13" a="1"/>
  <c r="P632" i="13" s="1"/>
  <c r="P633" i="13" a="1"/>
  <c r="P633" i="13"/>
  <c r="P634" i="13" a="1"/>
  <c r="P634" i="13" s="1"/>
  <c r="P635" i="13" a="1"/>
  <c r="P635" i="13" s="1"/>
  <c r="P636" i="13" a="1"/>
  <c r="P636" i="13" s="1"/>
  <c r="P637" i="13" a="1"/>
  <c r="P637" i="13" s="1"/>
  <c r="P638" i="13" a="1"/>
  <c r="P638" i="13" s="1"/>
  <c r="P639" i="13" a="1"/>
  <c r="P639" i="13" s="1"/>
  <c r="P640" i="13" a="1"/>
  <c r="P640" i="13" s="1"/>
  <c r="P641" i="13" a="1"/>
  <c r="P641" i="13" s="1"/>
  <c r="P642" i="13" a="1"/>
  <c r="P642" i="13" s="1"/>
  <c r="P643" i="13" a="1"/>
  <c r="P643" i="13" s="1"/>
  <c r="P644" i="13" a="1"/>
  <c r="P644" i="13" s="1"/>
  <c r="P645" i="13" a="1"/>
  <c r="P645" i="13" s="1"/>
  <c r="P646" i="13" a="1"/>
  <c r="P646" i="13" s="1"/>
  <c r="P647" i="13" a="1"/>
  <c r="P647" i="13" s="1"/>
  <c r="P648" i="13" a="1"/>
  <c r="P648" i="13" s="1"/>
  <c r="P649" i="13" a="1"/>
  <c r="P649" i="13" s="1"/>
  <c r="P650" i="13" a="1"/>
  <c r="P650" i="13" s="1"/>
  <c r="P651" i="13" a="1"/>
  <c r="P651" i="13" s="1"/>
  <c r="P652" i="13" a="1"/>
  <c r="P652" i="13" s="1"/>
  <c r="P653" i="13" a="1"/>
  <c r="P653" i="13" s="1"/>
  <c r="P654" i="13" a="1"/>
  <c r="P654" i="13" s="1"/>
  <c r="P655" i="13" a="1"/>
  <c r="P655" i="13" s="1"/>
  <c r="P656" i="13" a="1"/>
  <c r="P656" i="13" s="1"/>
  <c r="P657" i="13" a="1"/>
  <c r="P657" i="13"/>
  <c r="P658" i="13" a="1"/>
  <c r="P658" i="13"/>
  <c r="P659" i="13" a="1"/>
  <c r="P659" i="13" s="1"/>
  <c r="P660" i="13" a="1"/>
  <c r="P660" i="13" s="1"/>
  <c r="P661" i="13" a="1"/>
  <c r="P661" i="13" s="1"/>
  <c r="P662" i="13" a="1"/>
  <c r="P662" i="13" s="1"/>
  <c r="P663" i="13" a="1"/>
  <c r="P663" i="13" s="1"/>
  <c r="P664" i="13" a="1"/>
  <c r="P664" i="13" s="1"/>
  <c r="P665" i="13" a="1"/>
  <c r="P665" i="13" s="1"/>
  <c r="P666" i="13" a="1"/>
  <c r="P666" i="13" s="1"/>
  <c r="P667" i="13" a="1"/>
  <c r="P667" i="13" s="1"/>
  <c r="P668" i="13" a="1"/>
  <c r="P668" i="13" s="1"/>
  <c r="P669" i="13" a="1"/>
  <c r="P669" i="13" s="1"/>
  <c r="P670" i="13" a="1"/>
  <c r="P670" i="13" s="1"/>
  <c r="P671" i="13" a="1"/>
  <c r="P671" i="13" s="1"/>
  <c r="P672" i="13" a="1"/>
  <c r="P672" i="13" s="1"/>
  <c r="P673" i="13" a="1"/>
  <c r="P673" i="13" s="1"/>
  <c r="P674" i="13" a="1"/>
  <c r="P674" i="13" s="1"/>
  <c r="P675" i="13" a="1"/>
  <c r="P675" i="13" s="1"/>
  <c r="P676" i="13" a="1"/>
  <c r="P676" i="13" s="1"/>
  <c r="P677" i="13" a="1"/>
  <c r="P677" i="13" s="1"/>
  <c r="P678" i="13" a="1"/>
  <c r="P678" i="13" s="1"/>
  <c r="P679" i="13" a="1"/>
  <c r="P679" i="13" s="1"/>
  <c r="P680" i="13" a="1"/>
  <c r="P680" i="13" s="1"/>
  <c r="P681" i="13" a="1"/>
  <c r="P681" i="13" s="1"/>
  <c r="P682" i="13" a="1"/>
  <c r="P682" i="13" s="1"/>
  <c r="P683" i="13" a="1"/>
  <c r="P683" i="13" s="1"/>
  <c r="P684" i="13" a="1"/>
  <c r="P684" i="13" s="1"/>
  <c r="P685" i="13" a="1"/>
  <c r="P685" i="13" s="1"/>
  <c r="P686" i="13" a="1"/>
  <c r="P686" i="13"/>
  <c r="P687" i="13" a="1"/>
  <c r="P687" i="13" s="1"/>
  <c r="P688" i="13" a="1"/>
  <c r="P688" i="13" s="1"/>
  <c r="P689" i="13" a="1"/>
  <c r="P689" i="13" s="1"/>
  <c r="P690" i="13" a="1"/>
  <c r="P690" i="13" s="1"/>
  <c r="P691" i="13" a="1"/>
  <c r="P691" i="13" s="1"/>
  <c r="P692" i="13" a="1"/>
  <c r="P692" i="13"/>
  <c r="P693" i="13" a="1"/>
  <c r="P693" i="13"/>
  <c r="P694" i="13" a="1"/>
  <c r="P694" i="13" s="1"/>
  <c r="P695" i="13" a="1"/>
  <c r="P695" i="13"/>
  <c r="P696" i="13" a="1"/>
  <c r="P696" i="13"/>
  <c r="P697" i="13" a="1"/>
  <c r="P697" i="13"/>
  <c r="P698" i="13" a="1"/>
  <c r="P698" i="13" s="1"/>
  <c r="P699" i="13" a="1"/>
  <c r="P699" i="13" s="1"/>
  <c r="P700" i="13" a="1"/>
  <c r="P700" i="13" s="1"/>
  <c r="P701" i="13" a="1"/>
  <c r="P701" i="13" s="1"/>
  <c r="P702" i="13" a="1"/>
  <c r="P702" i="13"/>
  <c r="P703" i="13" a="1"/>
  <c r="P703" i="13"/>
  <c r="P704" i="13" a="1"/>
  <c r="P704" i="13" s="1"/>
  <c r="P705" i="13" a="1"/>
  <c r="P705" i="13" s="1"/>
  <c r="P706" i="13" a="1"/>
  <c r="P706" i="13" s="1"/>
  <c r="P707" i="13" a="1"/>
  <c r="P707" i="13" s="1"/>
  <c r="P708" i="13" a="1"/>
  <c r="P708" i="13"/>
  <c r="P709" i="13" a="1"/>
  <c r="P709" i="13"/>
  <c r="P710" i="13" a="1"/>
  <c r="P710" i="13"/>
  <c r="P711" i="13" a="1"/>
  <c r="P711" i="13" s="1"/>
  <c r="P712" i="13" a="1"/>
  <c r="P712" i="13"/>
  <c r="P713" i="13" a="1"/>
  <c r="P713" i="13"/>
  <c r="P714" i="13" a="1"/>
  <c r="P714" i="13"/>
  <c r="P715" i="13" a="1"/>
  <c r="P715" i="13" s="1"/>
  <c r="P716" i="13" a="1"/>
  <c r="P716" i="13" s="1"/>
  <c r="P717" i="13" a="1"/>
  <c r="P717" i="13" s="1"/>
  <c r="P718" i="13" a="1"/>
  <c r="P718" i="13" s="1"/>
  <c r="P719" i="13" a="1"/>
  <c r="P719" i="13"/>
  <c r="P720" i="13" a="1"/>
  <c r="P720" i="13"/>
  <c r="P721" i="13" a="1"/>
  <c r="P721" i="13" s="1"/>
  <c r="P722" i="13" a="1"/>
  <c r="P722" i="13" s="1"/>
  <c r="P723" i="13" a="1"/>
  <c r="P723" i="13" s="1"/>
  <c r="P724" i="13" a="1"/>
  <c r="P724" i="13" s="1"/>
  <c r="P725" i="13" a="1"/>
  <c r="P725" i="13"/>
  <c r="P726" i="13" a="1"/>
  <c r="P726" i="13" s="1"/>
  <c r="P727" i="13" a="1"/>
  <c r="P727" i="13"/>
  <c r="P728" i="13" a="1"/>
  <c r="P728" i="13" s="1"/>
  <c r="P729" i="13" a="1"/>
  <c r="P729" i="13"/>
  <c r="P730" i="13" a="1"/>
  <c r="P730" i="13"/>
  <c r="P731" i="13" a="1"/>
  <c r="P731" i="13" s="1"/>
  <c r="P732" i="13" a="1"/>
  <c r="P732" i="13" s="1"/>
  <c r="P733" i="13" a="1"/>
  <c r="P733" i="13" s="1"/>
  <c r="P734" i="13" a="1"/>
  <c r="P734" i="13" s="1"/>
  <c r="P735" i="13" a="1"/>
  <c r="P735" i="13" s="1"/>
  <c r="P736" i="13" a="1"/>
  <c r="P736" i="13" s="1"/>
  <c r="P737" i="13" a="1"/>
  <c r="P737" i="13"/>
  <c r="P738" i="13" a="1"/>
  <c r="P738" i="13"/>
  <c r="P739" i="13" a="1"/>
  <c r="P739" i="13" s="1"/>
  <c r="P740" i="13" a="1"/>
  <c r="P740" i="13"/>
  <c r="P741" i="13" a="1"/>
  <c r="P741" i="13"/>
  <c r="P742" i="13" a="1"/>
  <c r="P742" i="13" s="1"/>
  <c r="P743" i="13" a="1"/>
  <c r="P743" i="13" s="1"/>
  <c r="P744" i="13" a="1"/>
  <c r="P744" i="13"/>
  <c r="P745" i="13" a="1"/>
  <c r="P745" i="13" s="1"/>
  <c r="P746" i="13" a="1"/>
  <c r="P746" i="13" s="1"/>
  <c r="P747" i="13" a="1"/>
  <c r="P747" i="13" s="1"/>
  <c r="P748" i="13" a="1"/>
  <c r="P748" i="13"/>
  <c r="P749" i="13" a="1"/>
  <c r="P749" i="13" s="1"/>
  <c r="P750" i="13" a="1"/>
  <c r="P750" i="13" s="1"/>
  <c r="P751" i="13" a="1"/>
  <c r="P751" i="13" s="1"/>
  <c r="P752" i="13" a="1"/>
  <c r="P752" i="13" s="1"/>
  <c r="P753" i="13" a="1"/>
  <c r="P753" i="13" s="1"/>
  <c r="P754" i="13" a="1"/>
  <c r="P754" i="13" s="1"/>
  <c r="P755" i="13" a="1"/>
  <c r="P755" i="13" s="1"/>
  <c r="P756" i="13" a="1"/>
  <c r="P756" i="13" s="1"/>
  <c r="P757" i="13" a="1"/>
  <c r="P757" i="13" s="1"/>
  <c r="P758" i="13" a="1"/>
  <c r="P758" i="13" s="1"/>
  <c r="P759" i="13" a="1"/>
  <c r="P759" i="13" s="1"/>
  <c r="P760" i="13" a="1"/>
  <c r="P760" i="13" s="1"/>
  <c r="P761" i="13" a="1"/>
  <c r="P761" i="13" s="1"/>
  <c r="P762" i="13" a="1"/>
  <c r="P762" i="13" s="1"/>
  <c r="P763" i="13" a="1"/>
  <c r="P763" i="13" s="1"/>
  <c r="P764" i="13" a="1"/>
  <c r="P764" i="13"/>
  <c r="P765" i="13" a="1"/>
  <c r="P765" i="13" s="1"/>
  <c r="P766" i="13" a="1"/>
  <c r="P766" i="13" s="1"/>
  <c r="P767" i="13" a="1"/>
  <c r="P767" i="13" s="1"/>
  <c r="P768" i="13" a="1"/>
  <c r="P768" i="13"/>
  <c r="P769" i="13" a="1"/>
  <c r="P769" i="13"/>
  <c r="P770" i="13" a="1"/>
  <c r="P770" i="13" s="1"/>
  <c r="P771" i="13" a="1"/>
  <c r="P771" i="13" s="1"/>
  <c r="P772" i="13" a="1"/>
  <c r="P772" i="13"/>
  <c r="P773" i="13" a="1"/>
  <c r="P773" i="13" s="1"/>
  <c r="P774" i="13" a="1"/>
  <c r="P774" i="13" s="1"/>
  <c r="P775" i="13" a="1"/>
  <c r="P775" i="13" s="1"/>
  <c r="P776" i="13" a="1"/>
  <c r="P776" i="13" s="1"/>
  <c r="P777" i="13" a="1"/>
  <c r="P777" i="13" s="1"/>
  <c r="P778" i="13" a="1"/>
  <c r="P778" i="13"/>
  <c r="P779" i="13" a="1"/>
  <c r="P779" i="13" s="1"/>
  <c r="P780" i="13" a="1"/>
  <c r="P780" i="13"/>
  <c r="P781" i="13" a="1"/>
  <c r="P781" i="13" s="1"/>
  <c r="P782" i="13" a="1"/>
  <c r="P782" i="13" s="1"/>
  <c r="P783" i="13" a="1"/>
  <c r="P783" i="13" s="1"/>
  <c r="P784" i="13" a="1"/>
  <c r="P784" i="13" s="1"/>
  <c r="P785" i="13" a="1"/>
  <c r="P785" i="13" s="1"/>
  <c r="P786" i="13" a="1"/>
  <c r="P786" i="13" s="1"/>
  <c r="P787" i="13" a="1"/>
  <c r="P787" i="13" s="1"/>
  <c r="P788" i="13" a="1"/>
  <c r="P788" i="13" s="1"/>
  <c r="P789" i="13" a="1"/>
  <c r="P789" i="13" s="1"/>
  <c r="P790" i="13" a="1"/>
  <c r="P790" i="13" s="1"/>
  <c r="P2" i="13" a="1"/>
  <c r="P2" i="13" s="1"/>
  <c r="O3" i="13"/>
  <c r="O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106" i="13"/>
  <c r="O107" i="13"/>
  <c r="O108" i="13"/>
  <c r="O109" i="13"/>
  <c r="O110" i="13"/>
  <c r="O111" i="13"/>
  <c r="O112" i="13"/>
  <c r="O113" i="13"/>
  <c r="O114" i="13"/>
  <c r="O115" i="13"/>
  <c r="O116" i="13"/>
  <c r="O117" i="13"/>
  <c r="O118" i="13"/>
  <c r="O119" i="13"/>
  <c r="O120" i="13"/>
  <c r="O121" i="13"/>
  <c r="O122" i="13"/>
  <c r="O123" i="13"/>
  <c r="O124" i="13"/>
  <c r="O125" i="13"/>
  <c r="O126" i="13"/>
  <c r="O127" i="13"/>
  <c r="O128" i="13"/>
  <c r="O129" i="13"/>
  <c r="O130" i="13"/>
  <c r="O131" i="13"/>
  <c r="O132" i="13"/>
  <c r="O133" i="13"/>
  <c r="O134" i="13"/>
  <c r="O135" i="13"/>
  <c r="O136" i="13"/>
  <c r="O137" i="13"/>
  <c r="O138" i="13"/>
  <c r="O139" i="13"/>
  <c r="O140" i="13"/>
  <c r="O141" i="13"/>
  <c r="O142" i="13"/>
  <c r="O143" i="13"/>
  <c r="O144" i="13"/>
  <c r="O145" i="13"/>
  <c r="O146" i="13"/>
  <c r="O147" i="13"/>
  <c r="O148" i="13"/>
  <c r="O149" i="13"/>
  <c r="O150" i="13"/>
  <c r="O151" i="13"/>
  <c r="O152" i="13"/>
  <c r="O153" i="13"/>
  <c r="O154" i="13"/>
  <c r="O155" i="13"/>
  <c r="O156" i="13"/>
  <c r="O157" i="13"/>
  <c r="O158" i="13"/>
  <c r="O159" i="13"/>
  <c r="O160" i="13"/>
  <c r="O161" i="13"/>
  <c r="O162" i="13"/>
  <c r="O163" i="13"/>
  <c r="O164" i="13"/>
  <c r="O165" i="13"/>
  <c r="O166" i="13"/>
  <c r="O167" i="13"/>
  <c r="O168" i="13"/>
  <c r="O169" i="13"/>
  <c r="O170" i="13"/>
  <c r="O171" i="13"/>
  <c r="O172" i="13"/>
  <c r="O173" i="13"/>
  <c r="O174" i="13"/>
  <c r="O175" i="13"/>
  <c r="O176" i="13"/>
  <c r="O177" i="13"/>
  <c r="O178" i="13"/>
  <c r="O179" i="13"/>
  <c r="O180" i="13"/>
  <c r="O181" i="13"/>
  <c r="O182" i="13"/>
  <c r="O183" i="13"/>
  <c r="O184" i="13"/>
  <c r="O185" i="13"/>
  <c r="O186" i="13"/>
  <c r="O187" i="13"/>
  <c r="O188" i="13"/>
  <c r="O189" i="13"/>
  <c r="O190" i="13"/>
  <c r="O191" i="13"/>
  <c r="O192" i="13"/>
  <c r="O193" i="13"/>
  <c r="O194" i="13"/>
  <c r="O195" i="13"/>
  <c r="O196" i="13"/>
  <c r="O197" i="13"/>
  <c r="O198" i="13"/>
  <c r="O199" i="13"/>
  <c r="O200" i="13"/>
  <c r="O201" i="13"/>
  <c r="O202" i="13"/>
  <c r="O203" i="13"/>
  <c r="O204" i="13"/>
  <c r="O205" i="13"/>
  <c r="O206" i="13"/>
  <c r="O207" i="13"/>
  <c r="O208" i="13"/>
  <c r="O209" i="13"/>
  <c r="O210" i="13"/>
  <c r="O211" i="13"/>
  <c r="O212" i="13"/>
  <c r="O213" i="13"/>
  <c r="O214" i="13"/>
  <c r="O215" i="13"/>
  <c r="O216" i="13"/>
  <c r="O217" i="13"/>
  <c r="O218" i="13"/>
  <c r="O219" i="13"/>
  <c r="O220" i="13"/>
  <c r="O221" i="13"/>
  <c r="O222" i="13"/>
  <c r="O223" i="13"/>
  <c r="O224" i="13"/>
  <c r="O225" i="13"/>
  <c r="O226" i="13"/>
  <c r="O227" i="13"/>
  <c r="O228" i="13"/>
  <c r="O229" i="13"/>
  <c r="O230" i="13"/>
  <c r="O231" i="13"/>
  <c r="O232" i="13"/>
  <c r="O233" i="13"/>
  <c r="O234" i="13"/>
  <c r="O235" i="13"/>
  <c r="O236" i="13"/>
  <c r="O237" i="13"/>
  <c r="O238" i="13"/>
  <c r="O239" i="13"/>
  <c r="O240" i="13"/>
  <c r="O241" i="13"/>
  <c r="O242" i="13"/>
  <c r="O243" i="13"/>
  <c r="O244" i="13"/>
  <c r="O245" i="13"/>
  <c r="O246" i="13"/>
  <c r="O247" i="13"/>
  <c r="O248" i="13"/>
  <c r="O249" i="13"/>
  <c r="O250" i="13"/>
  <c r="O251" i="13"/>
  <c r="O252" i="13"/>
  <c r="O253" i="13"/>
  <c r="O254" i="13"/>
  <c r="O255" i="13"/>
  <c r="O256" i="13"/>
  <c r="O257" i="13"/>
  <c r="O258" i="13"/>
  <c r="O259" i="13"/>
  <c r="O260" i="13"/>
  <c r="O261" i="13"/>
  <c r="O262" i="13"/>
  <c r="O263" i="13"/>
  <c r="O264" i="13"/>
  <c r="O265" i="13"/>
  <c r="O266" i="13"/>
  <c r="O267" i="13"/>
  <c r="O268" i="13"/>
  <c r="O269" i="13"/>
  <c r="O270" i="13"/>
  <c r="O271" i="13"/>
  <c r="O272" i="13"/>
  <c r="O273" i="13"/>
  <c r="O274" i="13"/>
  <c r="O275" i="13"/>
  <c r="O276" i="13"/>
  <c r="O277" i="13"/>
  <c r="O278" i="13"/>
  <c r="O279" i="13"/>
  <c r="O280" i="13"/>
  <c r="O281" i="13"/>
  <c r="O282" i="13"/>
  <c r="O283" i="13"/>
  <c r="O284" i="13"/>
  <c r="O285" i="13"/>
  <c r="O286" i="13"/>
  <c r="O287" i="13"/>
  <c r="O288" i="13"/>
  <c r="O289" i="13"/>
  <c r="O290" i="13"/>
  <c r="O291" i="13"/>
  <c r="O292" i="13"/>
  <c r="O293" i="13"/>
  <c r="O294" i="13"/>
  <c r="O295" i="13"/>
  <c r="O296" i="13"/>
  <c r="O297" i="13"/>
  <c r="O298" i="13"/>
  <c r="O299" i="13"/>
  <c r="O300" i="13"/>
  <c r="O301" i="13"/>
  <c r="O302" i="13"/>
  <c r="O303" i="13"/>
  <c r="O304" i="13"/>
  <c r="O305" i="13"/>
  <c r="O306" i="13"/>
  <c r="O307" i="13"/>
  <c r="O308" i="13"/>
  <c r="O309" i="13"/>
  <c r="O310" i="13"/>
  <c r="O311" i="13"/>
  <c r="O312" i="13"/>
  <c r="O313" i="13"/>
  <c r="O314" i="13"/>
  <c r="O315" i="13"/>
  <c r="O316" i="13"/>
  <c r="O317" i="13"/>
  <c r="O318" i="13"/>
  <c r="O319" i="13"/>
  <c r="O320" i="13"/>
  <c r="O321" i="13"/>
  <c r="O322" i="13"/>
  <c r="O323" i="13"/>
  <c r="O324" i="13"/>
  <c r="O325" i="13"/>
  <c r="O326" i="13"/>
  <c r="O327" i="13"/>
  <c r="O328" i="13"/>
  <c r="O329" i="13"/>
  <c r="O330" i="13"/>
  <c r="O331" i="13"/>
  <c r="O332" i="13"/>
  <c r="O333" i="13"/>
  <c r="O334" i="13"/>
  <c r="O335" i="13"/>
  <c r="O336" i="13"/>
  <c r="O337" i="13"/>
  <c r="O338" i="13"/>
  <c r="O339" i="13"/>
  <c r="O340" i="13"/>
  <c r="O341" i="13"/>
  <c r="O342" i="13"/>
  <c r="O343" i="13"/>
  <c r="O344" i="13"/>
  <c r="O345" i="13"/>
  <c r="O346" i="13"/>
  <c r="O347" i="13"/>
  <c r="O348" i="13"/>
  <c r="O349" i="13"/>
  <c r="O350" i="13"/>
  <c r="O351" i="13"/>
  <c r="O352" i="13"/>
  <c r="O353" i="13"/>
  <c r="O354" i="13"/>
  <c r="O355" i="13"/>
  <c r="O356" i="13"/>
  <c r="O357" i="13"/>
  <c r="O358" i="13"/>
  <c r="O359" i="13"/>
  <c r="O360" i="13"/>
  <c r="O361" i="13"/>
  <c r="O362" i="13"/>
  <c r="O363" i="13"/>
  <c r="O364" i="13"/>
  <c r="O365" i="13"/>
  <c r="O366" i="13"/>
  <c r="O367" i="13"/>
  <c r="O368" i="13"/>
  <c r="O369" i="13"/>
  <c r="O370" i="13"/>
  <c r="O371" i="13"/>
  <c r="O372" i="13"/>
  <c r="O373" i="13"/>
  <c r="O374" i="13"/>
  <c r="O375" i="13"/>
  <c r="O376" i="13"/>
  <c r="O377" i="13"/>
  <c r="O378" i="13"/>
  <c r="O379" i="13"/>
  <c r="O380" i="13"/>
  <c r="O381" i="13"/>
  <c r="O382" i="13"/>
  <c r="O383" i="13"/>
  <c r="O384" i="13"/>
  <c r="O385" i="13"/>
  <c r="O386" i="13"/>
  <c r="O387" i="13"/>
  <c r="O388" i="13"/>
  <c r="O389" i="13"/>
  <c r="O390" i="13"/>
  <c r="O391" i="13"/>
  <c r="O392" i="13"/>
  <c r="O393" i="13"/>
  <c r="O394" i="13"/>
  <c r="O395" i="13"/>
  <c r="O396" i="13"/>
  <c r="O397" i="13"/>
  <c r="O398" i="13"/>
  <c r="O399" i="13"/>
  <c r="O400" i="13"/>
  <c r="O401" i="13"/>
  <c r="O402" i="13"/>
  <c r="O403" i="13"/>
  <c r="O404" i="13"/>
  <c r="O405" i="13"/>
  <c r="O406" i="13"/>
  <c r="O407" i="13"/>
  <c r="O408" i="13"/>
  <c r="O409" i="13"/>
  <c r="O410" i="13"/>
  <c r="O411" i="13"/>
  <c r="O412" i="13"/>
  <c r="O413" i="13"/>
  <c r="O414" i="13"/>
  <c r="O415" i="13"/>
  <c r="O416" i="13"/>
  <c r="O417" i="13"/>
  <c r="O418" i="13"/>
  <c r="O419" i="13"/>
  <c r="O420" i="13"/>
  <c r="O421" i="13"/>
  <c r="O422" i="13"/>
  <c r="O423" i="13"/>
  <c r="O424" i="13"/>
  <c r="O425" i="13"/>
  <c r="O426" i="13"/>
  <c r="O427" i="13"/>
  <c r="O428" i="13"/>
  <c r="O429" i="13"/>
  <c r="O430" i="13"/>
  <c r="O431" i="13"/>
  <c r="O432" i="13"/>
  <c r="O433" i="13"/>
  <c r="O434" i="13"/>
  <c r="O435" i="13"/>
  <c r="O436" i="13"/>
  <c r="O437" i="13"/>
  <c r="O438" i="13"/>
  <c r="O439" i="13"/>
  <c r="O440" i="13"/>
  <c r="O441" i="13"/>
  <c r="O442" i="13"/>
  <c r="O443" i="13"/>
  <c r="O444" i="13"/>
  <c r="O445" i="13"/>
  <c r="O446" i="13"/>
  <c r="O447" i="13"/>
  <c r="O448" i="13"/>
  <c r="O449" i="13"/>
  <c r="O450" i="13"/>
  <c r="O451" i="13"/>
  <c r="O452" i="13"/>
  <c r="O453" i="13"/>
  <c r="O454" i="13"/>
  <c r="O455" i="13"/>
  <c r="O456" i="13"/>
  <c r="O457" i="13"/>
  <c r="O458" i="13"/>
  <c r="O459" i="13"/>
  <c r="O460" i="13"/>
  <c r="O461" i="13"/>
  <c r="O462" i="13"/>
  <c r="O463" i="13"/>
  <c r="O464" i="13"/>
  <c r="O465" i="13"/>
  <c r="O466" i="13"/>
  <c r="O467" i="13"/>
  <c r="O468" i="13"/>
  <c r="O469" i="13"/>
  <c r="O470" i="13"/>
  <c r="O471" i="13"/>
  <c r="O472" i="13"/>
  <c r="O473" i="13"/>
  <c r="O474" i="13"/>
  <c r="O475" i="13"/>
  <c r="O476" i="13"/>
  <c r="O477" i="13"/>
  <c r="O478" i="13"/>
  <c r="O479" i="13"/>
  <c r="O480" i="13"/>
  <c r="O481" i="13"/>
  <c r="O482" i="13"/>
  <c r="O483" i="13"/>
  <c r="O484" i="13"/>
  <c r="O485" i="13"/>
  <c r="O486" i="13"/>
  <c r="O487" i="13"/>
  <c r="O488" i="13"/>
  <c r="O489" i="13"/>
  <c r="O490" i="13"/>
  <c r="O491" i="13"/>
  <c r="O492" i="13"/>
  <c r="O493" i="13"/>
  <c r="O494" i="13"/>
  <c r="O495" i="13"/>
  <c r="O496" i="13"/>
  <c r="O497" i="13"/>
  <c r="O498" i="13"/>
  <c r="O499" i="13"/>
  <c r="O500" i="13"/>
  <c r="O501" i="13"/>
  <c r="O502" i="13"/>
  <c r="O503" i="13"/>
  <c r="O504" i="13"/>
  <c r="O505" i="13"/>
  <c r="O506" i="13"/>
  <c r="O507" i="13"/>
  <c r="O508" i="13"/>
  <c r="O509" i="13"/>
  <c r="O510" i="13"/>
  <c r="O511" i="13"/>
  <c r="O512" i="13"/>
  <c r="O513" i="13"/>
  <c r="O514" i="13"/>
  <c r="O515" i="13"/>
  <c r="O516" i="13"/>
  <c r="O517" i="13"/>
  <c r="O518" i="13"/>
  <c r="O519" i="13"/>
  <c r="O520" i="13"/>
  <c r="O521" i="13"/>
  <c r="O522" i="13"/>
  <c r="O523" i="13"/>
  <c r="O524" i="13"/>
  <c r="O525" i="13"/>
  <c r="O526" i="13"/>
  <c r="O527" i="13"/>
  <c r="O528" i="13"/>
  <c r="O529" i="13"/>
  <c r="O530" i="13"/>
  <c r="O531" i="13"/>
  <c r="O532" i="13"/>
  <c r="O533" i="13"/>
  <c r="O534" i="13"/>
  <c r="O535" i="13"/>
  <c r="O536" i="13"/>
  <c r="O537" i="13"/>
  <c r="O538" i="13"/>
  <c r="O539" i="13"/>
  <c r="O540" i="13"/>
  <c r="O541" i="13"/>
  <c r="O542" i="13"/>
  <c r="O543" i="13"/>
  <c r="O544" i="13"/>
  <c r="O545" i="13"/>
  <c r="O546" i="13"/>
  <c r="O547" i="13"/>
  <c r="O548" i="13"/>
  <c r="O549" i="13"/>
  <c r="O550" i="13"/>
  <c r="O551" i="13"/>
  <c r="O552" i="13"/>
  <c r="O553" i="13"/>
  <c r="O554" i="13"/>
  <c r="O555" i="13"/>
  <c r="O556" i="13"/>
  <c r="O557" i="13"/>
  <c r="O558" i="13"/>
  <c r="O559" i="13"/>
  <c r="O560" i="13"/>
  <c r="O561" i="13"/>
  <c r="O562" i="13"/>
  <c r="O563" i="13"/>
  <c r="O564" i="13"/>
  <c r="O565" i="13"/>
  <c r="O566" i="13"/>
  <c r="O567" i="13"/>
  <c r="O568" i="13"/>
  <c r="O569" i="13"/>
  <c r="O570" i="13"/>
  <c r="O571" i="13"/>
  <c r="O572" i="13"/>
  <c r="O573" i="13"/>
  <c r="O574" i="13"/>
  <c r="O575" i="13"/>
  <c r="O576" i="13"/>
  <c r="O577" i="13"/>
  <c r="O578" i="13"/>
  <c r="O579" i="13"/>
  <c r="O580" i="13"/>
  <c r="O581" i="13"/>
  <c r="O582" i="13"/>
  <c r="O583" i="13"/>
  <c r="O584" i="13"/>
  <c r="O585" i="13"/>
  <c r="O586" i="13"/>
  <c r="O587" i="13"/>
  <c r="O588" i="13"/>
  <c r="O589" i="13"/>
  <c r="O590" i="13"/>
  <c r="O591" i="13"/>
  <c r="O592" i="13"/>
  <c r="O593" i="13"/>
  <c r="O594" i="13"/>
  <c r="O595" i="13"/>
  <c r="O596" i="13"/>
  <c r="O597" i="13"/>
  <c r="O598" i="13"/>
  <c r="O599" i="13"/>
  <c r="O600" i="13"/>
  <c r="O601" i="13"/>
  <c r="O602" i="13"/>
  <c r="O603" i="13"/>
  <c r="O604" i="13"/>
  <c r="O605" i="13"/>
  <c r="O606" i="13"/>
  <c r="O607" i="13"/>
  <c r="O608" i="13"/>
  <c r="O609" i="13"/>
  <c r="O610" i="13"/>
  <c r="O611" i="13"/>
  <c r="O612" i="13"/>
  <c r="O613" i="13"/>
  <c r="O614" i="13"/>
  <c r="O615" i="13"/>
  <c r="O616" i="13"/>
  <c r="O617" i="13"/>
  <c r="O618" i="13"/>
  <c r="O619" i="13"/>
  <c r="O620" i="13"/>
  <c r="O621" i="13"/>
  <c r="O622" i="13"/>
  <c r="O623" i="13"/>
  <c r="O624" i="13"/>
  <c r="O625" i="13"/>
  <c r="O626" i="13"/>
  <c r="O627" i="13"/>
  <c r="O628" i="13"/>
  <c r="O629" i="13"/>
  <c r="O630" i="13"/>
  <c r="O631" i="13"/>
  <c r="O632" i="13"/>
  <c r="O633" i="13"/>
  <c r="O634" i="13"/>
  <c r="O635" i="13"/>
  <c r="O636" i="13"/>
  <c r="O637" i="13"/>
  <c r="O638" i="13"/>
  <c r="O639" i="13"/>
  <c r="O640" i="13"/>
  <c r="O641" i="13"/>
  <c r="O642" i="13"/>
  <c r="O643" i="13"/>
  <c r="O644" i="13"/>
  <c r="O645" i="13"/>
  <c r="O646" i="13"/>
  <c r="O647" i="13"/>
  <c r="O648" i="13"/>
  <c r="O649" i="13"/>
  <c r="O650" i="13"/>
  <c r="O651" i="13"/>
  <c r="O652" i="13"/>
  <c r="O653" i="13"/>
  <c r="O654" i="13"/>
  <c r="O655" i="13"/>
  <c r="O656" i="13"/>
  <c r="O657" i="13"/>
  <c r="O658" i="13"/>
  <c r="O659" i="13"/>
  <c r="O660" i="13"/>
  <c r="O661" i="13"/>
  <c r="O662" i="13"/>
  <c r="O663" i="13"/>
  <c r="O664" i="13"/>
  <c r="O665" i="13"/>
  <c r="O666" i="13"/>
  <c r="O667" i="13"/>
  <c r="O668" i="13"/>
  <c r="O669" i="13"/>
  <c r="O670" i="13"/>
  <c r="O671" i="13"/>
  <c r="O672" i="13"/>
  <c r="O673" i="13"/>
  <c r="O674" i="13"/>
  <c r="O675" i="13"/>
  <c r="O676" i="13"/>
  <c r="O677" i="13"/>
  <c r="O678" i="13"/>
  <c r="O679" i="13"/>
  <c r="O680" i="13"/>
  <c r="O681" i="13"/>
  <c r="O682" i="13"/>
  <c r="O683" i="13"/>
  <c r="O684" i="13"/>
  <c r="O685" i="13"/>
  <c r="O686" i="13"/>
  <c r="O687" i="13"/>
  <c r="O688" i="13"/>
  <c r="O689" i="13"/>
  <c r="O690" i="13"/>
  <c r="O691" i="13"/>
  <c r="O692" i="13"/>
  <c r="O693" i="13"/>
  <c r="O694" i="13"/>
  <c r="O695" i="13"/>
  <c r="O696" i="13"/>
  <c r="O697" i="13"/>
  <c r="O698" i="13"/>
  <c r="O699" i="13"/>
  <c r="O700" i="13"/>
  <c r="O701" i="13"/>
  <c r="O702" i="13"/>
  <c r="O703" i="13"/>
  <c r="O704" i="13"/>
  <c r="O705" i="13"/>
  <c r="O706" i="13"/>
  <c r="O707" i="13"/>
  <c r="O708" i="13"/>
  <c r="O709" i="13"/>
  <c r="O710" i="13"/>
  <c r="O711" i="13"/>
  <c r="O712" i="13"/>
  <c r="O713" i="13"/>
  <c r="O714" i="13"/>
  <c r="O715" i="13"/>
  <c r="O716" i="13"/>
  <c r="O717" i="13"/>
  <c r="O718" i="13"/>
  <c r="O719" i="13"/>
  <c r="O720" i="13"/>
  <c r="O721" i="13"/>
  <c r="O722" i="13"/>
  <c r="O723" i="13"/>
  <c r="O724" i="13"/>
  <c r="O725" i="13"/>
  <c r="O726" i="13"/>
  <c r="O727" i="13"/>
  <c r="O728" i="13"/>
  <c r="O729" i="13"/>
  <c r="O730" i="13"/>
  <c r="O731" i="13"/>
  <c r="O732" i="13"/>
  <c r="O733" i="13"/>
  <c r="O734" i="13"/>
  <c r="O735" i="13"/>
  <c r="O736" i="13"/>
  <c r="O737" i="13"/>
  <c r="O738" i="13"/>
  <c r="O739" i="13"/>
  <c r="O740" i="13"/>
  <c r="O741" i="13"/>
  <c r="O742" i="13"/>
  <c r="O743" i="13"/>
  <c r="O744" i="13"/>
  <c r="O745" i="13"/>
  <c r="O746" i="13"/>
  <c r="O747" i="13"/>
  <c r="O748" i="13"/>
  <c r="O749" i="13"/>
  <c r="O750" i="13"/>
  <c r="O751" i="13"/>
  <c r="O752" i="13"/>
  <c r="O753" i="13"/>
  <c r="O754" i="13"/>
  <c r="O755" i="13"/>
  <c r="O756" i="13"/>
  <c r="O757" i="13"/>
  <c r="O758" i="13"/>
  <c r="O759" i="13"/>
  <c r="O760" i="13"/>
  <c r="O761" i="13"/>
  <c r="O762" i="13"/>
  <c r="O763" i="13"/>
  <c r="O764" i="13"/>
  <c r="O765" i="13"/>
  <c r="O766" i="13"/>
  <c r="O767" i="13"/>
  <c r="O768" i="13"/>
  <c r="O769" i="13"/>
  <c r="O770" i="13"/>
  <c r="O771" i="13"/>
  <c r="O772" i="13"/>
  <c r="O773" i="13"/>
  <c r="O774" i="13"/>
  <c r="O775" i="13"/>
  <c r="O776" i="13"/>
  <c r="O777" i="13"/>
  <c r="O778" i="13"/>
  <c r="O779" i="13"/>
  <c r="O780" i="13"/>
  <c r="O781" i="13"/>
  <c r="O782" i="13"/>
  <c r="O783" i="13"/>
  <c r="O784" i="13"/>
  <c r="O785" i="13"/>
  <c r="O786" i="13"/>
  <c r="O787" i="13"/>
  <c r="O788" i="13"/>
  <c r="O789" i="13"/>
  <c r="O790" i="13"/>
  <c r="O2" i="13"/>
  <c r="N3" i="13"/>
  <c r="N4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57" i="13"/>
  <c r="N58" i="13"/>
  <c r="N59" i="13"/>
  <c r="N60" i="13"/>
  <c r="N61" i="13"/>
  <c r="N62" i="13"/>
  <c r="N63" i="13"/>
  <c r="N64" i="13"/>
  <c r="N65" i="13"/>
  <c r="N66" i="13"/>
  <c r="N67" i="13"/>
  <c r="N68" i="13"/>
  <c r="N69" i="13"/>
  <c r="N70" i="13"/>
  <c r="N71" i="13"/>
  <c r="N72" i="13"/>
  <c r="N73" i="13"/>
  <c r="N74" i="13"/>
  <c r="N75" i="13"/>
  <c r="N76" i="13"/>
  <c r="N77" i="13"/>
  <c r="N78" i="13"/>
  <c r="N79" i="13"/>
  <c r="N80" i="13"/>
  <c r="N81" i="13"/>
  <c r="N82" i="13"/>
  <c r="N83" i="13"/>
  <c r="N84" i="13"/>
  <c r="N85" i="13"/>
  <c r="N86" i="13"/>
  <c r="N87" i="13"/>
  <c r="N88" i="13"/>
  <c r="N89" i="13"/>
  <c r="N90" i="13"/>
  <c r="N91" i="13"/>
  <c r="N92" i="13"/>
  <c r="N93" i="13"/>
  <c r="N94" i="13"/>
  <c r="N95" i="13"/>
  <c r="N96" i="13"/>
  <c r="N97" i="13"/>
  <c r="N98" i="13"/>
  <c r="N99" i="13"/>
  <c r="N100" i="13"/>
  <c r="N101" i="13"/>
  <c r="N102" i="13"/>
  <c r="N103" i="13"/>
  <c r="N104" i="13"/>
  <c r="N105" i="13"/>
  <c r="N106" i="13"/>
  <c r="N107" i="13"/>
  <c r="N108" i="13"/>
  <c r="N109" i="13"/>
  <c r="N110" i="13"/>
  <c r="N111" i="13"/>
  <c r="N112" i="13"/>
  <c r="N113" i="13"/>
  <c r="N114" i="13"/>
  <c r="N115" i="13"/>
  <c r="N116" i="13"/>
  <c r="N117" i="13"/>
  <c r="N118" i="13"/>
  <c r="N119" i="13"/>
  <c r="N120" i="13"/>
  <c r="N121" i="13"/>
  <c r="N122" i="13"/>
  <c r="N123" i="13"/>
  <c r="N124" i="13"/>
  <c r="N125" i="13"/>
  <c r="N126" i="13"/>
  <c r="N127" i="13"/>
  <c r="N128" i="13"/>
  <c r="N129" i="13"/>
  <c r="N130" i="13"/>
  <c r="N131" i="13"/>
  <c r="N132" i="13"/>
  <c r="N133" i="13"/>
  <c r="N134" i="13"/>
  <c r="N135" i="13"/>
  <c r="N136" i="13"/>
  <c r="N137" i="13"/>
  <c r="N138" i="13"/>
  <c r="N139" i="13"/>
  <c r="N140" i="13"/>
  <c r="N141" i="13"/>
  <c r="N142" i="13"/>
  <c r="N143" i="13"/>
  <c r="N144" i="13"/>
  <c r="N145" i="13"/>
  <c r="N146" i="13"/>
  <c r="N147" i="13"/>
  <c r="N148" i="13"/>
  <c r="N149" i="13"/>
  <c r="N150" i="13"/>
  <c r="N151" i="13"/>
  <c r="N152" i="13"/>
  <c r="N153" i="13"/>
  <c r="N154" i="13"/>
  <c r="N155" i="13"/>
  <c r="N156" i="13"/>
  <c r="N157" i="13"/>
  <c r="N158" i="13"/>
  <c r="N159" i="13"/>
  <c r="N160" i="13"/>
  <c r="N161" i="13"/>
  <c r="N162" i="13"/>
  <c r="N163" i="13"/>
  <c r="N164" i="13"/>
  <c r="N165" i="13"/>
  <c r="N166" i="13"/>
  <c r="N167" i="13"/>
  <c r="N168" i="13"/>
  <c r="N169" i="13"/>
  <c r="N170" i="13"/>
  <c r="N171" i="13"/>
  <c r="N172" i="13"/>
  <c r="N173" i="13"/>
  <c r="N174" i="13"/>
  <c r="N175" i="13"/>
  <c r="N176" i="13"/>
  <c r="N177" i="13"/>
  <c r="N178" i="13"/>
  <c r="N179" i="13"/>
  <c r="N180" i="13"/>
  <c r="N181" i="13"/>
  <c r="N182" i="13"/>
  <c r="N183" i="13"/>
  <c r="N184" i="13"/>
  <c r="N185" i="13"/>
  <c r="N186" i="13"/>
  <c r="N187" i="13"/>
  <c r="N188" i="13"/>
  <c r="N189" i="13"/>
  <c r="N190" i="13"/>
  <c r="N191" i="13"/>
  <c r="N192" i="13"/>
  <c r="N193" i="13"/>
  <c r="N194" i="13"/>
  <c r="N195" i="13"/>
  <c r="N196" i="13"/>
  <c r="N197" i="13"/>
  <c r="N198" i="13"/>
  <c r="N199" i="13"/>
  <c r="N200" i="13"/>
  <c r="N201" i="13"/>
  <c r="N202" i="13"/>
  <c r="N203" i="13"/>
  <c r="N204" i="13"/>
  <c r="N205" i="13"/>
  <c r="N206" i="13"/>
  <c r="N207" i="13"/>
  <c r="N208" i="13"/>
  <c r="N209" i="13"/>
  <c r="N210" i="13"/>
  <c r="N211" i="13"/>
  <c r="N212" i="13"/>
  <c r="N213" i="13"/>
  <c r="N214" i="13"/>
  <c r="N215" i="13"/>
  <c r="N216" i="13"/>
  <c r="N217" i="13"/>
  <c r="N218" i="13"/>
  <c r="N219" i="13"/>
  <c r="N220" i="13"/>
  <c r="N221" i="13"/>
  <c r="N222" i="13"/>
  <c r="N223" i="13"/>
  <c r="N224" i="13"/>
  <c r="N225" i="13"/>
  <c r="N226" i="13"/>
  <c r="N227" i="13"/>
  <c r="N228" i="13"/>
  <c r="N229" i="13"/>
  <c r="N230" i="13"/>
  <c r="N231" i="13"/>
  <c r="N232" i="13"/>
  <c r="N233" i="13"/>
  <c r="N234" i="13"/>
  <c r="N235" i="13"/>
  <c r="N236" i="13"/>
  <c r="N237" i="13"/>
  <c r="N238" i="13"/>
  <c r="N239" i="13"/>
  <c r="N240" i="13"/>
  <c r="N241" i="13"/>
  <c r="N242" i="13"/>
  <c r="N243" i="13"/>
  <c r="N244" i="13"/>
  <c r="N245" i="13"/>
  <c r="N246" i="13"/>
  <c r="N247" i="13"/>
  <c r="N248" i="13"/>
  <c r="N249" i="13"/>
  <c r="N250" i="13"/>
  <c r="N251" i="13"/>
  <c r="N252" i="13"/>
  <c r="N253" i="13"/>
  <c r="N254" i="13"/>
  <c r="N255" i="13"/>
  <c r="N256" i="13"/>
  <c r="N257" i="13"/>
  <c r="N258" i="13"/>
  <c r="N259" i="13"/>
  <c r="N260" i="13"/>
  <c r="N261" i="13"/>
  <c r="N262" i="13"/>
  <c r="N263" i="13"/>
  <c r="N264" i="13"/>
  <c r="N265" i="13"/>
  <c r="N266" i="13"/>
  <c r="N267" i="13"/>
  <c r="N268" i="13"/>
  <c r="N269" i="13"/>
  <c r="N270" i="13"/>
  <c r="N271" i="13"/>
  <c r="N272" i="13"/>
  <c r="N273" i="13"/>
  <c r="N274" i="13"/>
  <c r="N275" i="13"/>
  <c r="N276" i="13"/>
  <c r="N277" i="13"/>
  <c r="N278" i="13"/>
  <c r="N279" i="13"/>
  <c r="N280" i="13"/>
  <c r="N281" i="13"/>
  <c r="N282" i="13"/>
  <c r="N283" i="13"/>
  <c r="N284" i="13"/>
  <c r="N285" i="13"/>
  <c r="N286" i="13"/>
  <c r="N287" i="13"/>
  <c r="N288" i="13"/>
  <c r="N289" i="13"/>
  <c r="N290" i="13"/>
  <c r="N291" i="13"/>
  <c r="N292" i="13"/>
  <c r="N293" i="13"/>
  <c r="N294" i="13"/>
  <c r="N295" i="13"/>
  <c r="N296" i="13"/>
  <c r="N297" i="13"/>
  <c r="N298" i="13"/>
  <c r="N299" i="13"/>
  <c r="N300" i="13"/>
  <c r="N301" i="13"/>
  <c r="N302" i="13"/>
  <c r="N303" i="13"/>
  <c r="N304" i="13"/>
  <c r="N305" i="13"/>
  <c r="N306" i="13"/>
  <c r="N307" i="13"/>
  <c r="N308" i="13"/>
  <c r="N309" i="13"/>
  <c r="N310" i="13"/>
  <c r="N311" i="13"/>
  <c r="N312" i="13"/>
  <c r="N313" i="13"/>
  <c r="N314" i="13"/>
  <c r="N315" i="13"/>
  <c r="N316" i="13"/>
  <c r="N317" i="13"/>
  <c r="N318" i="13"/>
  <c r="N319" i="13"/>
  <c r="N320" i="13"/>
  <c r="N321" i="13"/>
  <c r="N322" i="13"/>
  <c r="N323" i="13"/>
  <c r="N324" i="13"/>
  <c r="N325" i="13"/>
  <c r="N326" i="13"/>
  <c r="N327" i="13"/>
  <c r="N328" i="13"/>
  <c r="N329" i="13"/>
  <c r="N330" i="13"/>
  <c r="N331" i="13"/>
  <c r="N332" i="13"/>
  <c r="N333" i="13"/>
  <c r="N334" i="13"/>
  <c r="N335" i="13"/>
  <c r="N336" i="13"/>
  <c r="N337" i="13"/>
  <c r="N338" i="13"/>
  <c r="N339" i="13"/>
  <c r="N340" i="13"/>
  <c r="N341" i="13"/>
  <c r="N342" i="13"/>
  <c r="N343" i="13"/>
  <c r="N344" i="13"/>
  <c r="N345" i="13"/>
  <c r="N346" i="13"/>
  <c r="N347" i="13"/>
  <c r="N348" i="13"/>
  <c r="N349" i="13"/>
  <c r="N350" i="13"/>
  <c r="N351" i="13"/>
  <c r="N352" i="13"/>
  <c r="N353" i="13"/>
  <c r="N354" i="13"/>
  <c r="N355" i="13"/>
  <c r="N356" i="13"/>
  <c r="N357" i="13"/>
  <c r="N358" i="13"/>
  <c r="N359" i="13"/>
  <c r="N360" i="13"/>
  <c r="N361" i="13"/>
  <c r="N362" i="13"/>
  <c r="N363" i="13"/>
  <c r="N364" i="13"/>
  <c r="N365" i="13"/>
  <c r="N366" i="13"/>
  <c r="N367" i="13"/>
  <c r="N368" i="13"/>
  <c r="N369" i="13"/>
  <c r="N370" i="13"/>
  <c r="N371" i="13"/>
  <c r="N372" i="13"/>
  <c r="N373" i="13"/>
  <c r="N374" i="13"/>
  <c r="N375" i="13"/>
  <c r="N376" i="13"/>
  <c r="N377" i="13"/>
  <c r="N378" i="13"/>
  <c r="N379" i="13"/>
  <c r="N380" i="13"/>
  <c r="N381" i="13"/>
  <c r="N382" i="13"/>
  <c r="N383" i="13"/>
  <c r="N384" i="13"/>
  <c r="N385" i="13"/>
  <c r="N386" i="13"/>
  <c r="N387" i="13"/>
  <c r="N388" i="13"/>
  <c r="N389" i="13"/>
  <c r="N390" i="13"/>
  <c r="N391" i="13"/>
  <c r="N392" i="13"/>
  <c r="N393" i="13"/>
  <c r="N394" i="13"/>
  <c r="N395" i="13"/>
  <c r="N396" i="13"/>
  <c r="N397" i="13"/>
  <c r="N398" i="13"/>
  <c r="N399" i="13"/>
  <c r="N400" i="13"/>
  <c r="N401" i="13"/>
  <c r="N402" i="13"/>
  <c r="N403" i="13"/>
  <c r="N404" i="13"/>
  <c r="N405" i="13"/>
  <c r="N406" i="13"/>
  <c r="N407" i="13"/>
  <c r="N408" i="13"/>
  <c r="N409" i="13"/>
  <c r="N410" i="13"/>
  <c r="N411" i="13"/>
  <c r="N412" i="13"/>
  <c r="N413" i="13"/>
  <c r="N414" i="13"/>
  <c r="N415" i="13"/>
  <c r="N416" i="13"/>
  <c r="N417" i="13"/>
  <c r="N418" i="13"/>
  <c r="N419" i="13"/>
  <c r="N420" i="13"/>
  <c r="N421" i="13"/>
  <c r="N422" i="13"/>
  <c r="N423" i="13"/>
  <c r="N424" i="13"/>
  <c r="N425" i="13"/>
  <c r="N426" i="13"/>
  <c r="N427" i="13"/>
  <c r="N428" i="13"/>
  <c r="N429" i="13"/>
  <c r="N430" i="13"/>
  <c r="N431" i="13"/>
  <c r="N432" i="13"/>
  <c r="N433" i="13"/>
  <c r="N434" i="13"/>
  <c r="N435" i="13"/>
  <c r="N436" i="13"/>
  <c r="N437" i="13"/>
  <c r="N438" i="13"/>
  <c r="N439" i="13"/>
  <c r="N440" i="13"/>
  <c r="N441" i="13"/>
  <c r="N442" i="13"/>
  <c r="N443" i="13"/>
  <c r="N444" i="13"/>
  <c r="N445" i="13"/>
  <c r="N446" i="13"/>
  <c r="N447" i="13"/>
  <c r="N448" i="13"/>
  <c r="N449" i="13"/>
  <c r="N450" i="13"/>
  <c r="N451" i="13"/>
  <c r="N452" i="13"/>
  <c r="N453" i="13"/>
  <c r="N454" i="13"/>
  <c r="N455" i="13"/>
  <c r="N456" i="13"/>
  <c r="N457" i="13"/>
  <c r="N458" i="13"/>
  <c r="N459" i="13"/>
  <c r="N460" i="13"/>
  <c r="N461" i="13"/>
  <c r="N462" i="13"/>
  <c r="N463" i="13"/>
  <c r="N464" i="13"/>
  <c r="N465" i="13"/>
  <c r="N466" i="13"/>
  <c r="N467" i="13"/>
  <c r="N468" i="13"/>
  <c r="N469" i="13"/>
  <c r="N470" i="13"/>
  <c r="N471" i="13"/>
  <c r="N472" i="13"/>
  <c r="N473" i="13"/>
  <c r="N474" i="13"/>
  <c r="N475" i="13"/>
  <c r="N476" i="13"/>
  <c r="N477" i="13"/>
  <c r="N478" i="13"/>
  <c r="N479" i="13"/>
  <c r="N480" i="13"/>
  <c r="N481" i="13"/>
  <c r="N482" i="13"/>
  <c r="N483" i="13"/>
  <c r="N484" i="13"/>
  <c r="N485" i="13"/>
  <c r="N486" i="13"/>
  <c r="N487" i="13"/>
  <c r="N488" i="13"/>
  <c r="N489" i="13"/>
  <c r="N490" i="13"/>
  <c r="N491" i="13"/>
  <c r="N492" i="13"/>
  <c r="N493" i="13"/>
  <c r="N494" i="13"/>
  <c r="N495" i="13"/>
  <c r="N496" i="13"/>
  <c r="N497" i="13"/>
  <c r="N498" i="13"/>
  <c r="N499" i="13"/>
  <c r="N500" i="13"/>
  <c r="N501" i="13"/>
  <c r="N502" i="13"/>
  <c r="N503" i="13"/>
  <c r="N504" i="13"/>
  <c r="N505" i="13"/>
  <c r="N506" i="13"/>
  <c r="N507" i="13"/>
  <c r="N508" i="13"/>
  <c r="N509" i="13"/>
  <c r="N510" i="13"/>
  <c r="N511" i="13"/>
  <c r="N512" i="13"/>
  <c r="N513" i="13"/>
  <c r="N514" i="13"/>
  <c r="N515" i="13"/>
  <c r="N516" i="13"/>
  <c r="N517" i="13"/>
  <c r="N518" i="13"/>
  <c r="N519" i="13"/>
  <c r="N520" i="13"/>
  <c r="N521" i="13"/>
  <c r="N522" i="13"/>
  <c r="N523" i="13"/>
  <c r="N524" i="13"/>
  <c r="N525" i="13"/>
  <c r="N526" i="13"/>
  <c r="N527" i="13"/>
  <c r="N528" i="13"/>
  <c r="N529" i="13"/>
  <c r="N530" i="13"/>
  <c r="N531" i="13"/>
  <c r="N532" i="13"/>
  <c r="N533" i="13"/>
  <c r="N534" i="13"/>
  <c r="N535" i="13"/>
  <c r="N536" i="13"/>
  <c r="N537" i="13"/>
  <c r="N538" i="13"/>
  <c r="N539" i="13"/>
  <c r="N540" i="13"/>
  <c r="N541" i="13"/>
  <c r="N542" i="13"/>
  <c r="N543" i="13"/>
  <c r="N544" i="13"/>
  <c r="N545" i="13"/>
  <c r="N546" i="13"/>
  <c r="N547" i="13"/>
  <c r="N548" i="13"/>
  <c r="N549" i="13"/>
  <c r="N550" i="13"/>
  <c r="N551" i="13"/>
  <c r="N552" i="13"/>
  <c r="N553" i="13"/>
  <c r="N554" i="13"/>
  <c r="N555" i="13"/>
  <c r="N556" i="13"/>
  <c r="N557" i="13"/>
  <c r="N558" i="13"/>
  <c r="N559" i="13"/>
  <c r="N560" i="13"/>
  <c r="N561" i="13"/>
  <c r="N562" i="13"/>
  <c r="N563" i="13"/>
  <c r="N564" i="13"/>
  <c r="N565" i="13"/>
  <c r="N566" i="13"/>
  <c r="N567" i="13"/>
  <c r="N568" i="13"/>
  <c r="N569" i="13"/>
  <c r="N570" i="13"/>
  <c r="N571" i="13"/>
  <c r="N572" i="13"/>
  <c r="N573" i="13"/>
  <c r="N574" i="13"/>
  <c r="N575" i="13"/>
  <c r="N576" i="13"/>
  <c r="N577" i="13"/>
  <c r="N578" i="13"/>
  <c r="N579" i="13"/>
  <c r="N580" i="13"/>
  <c r="N581" i="13"/>
  <c r="N582" i="13"/>
  <c r="N583" i="13"/>
  <c r="N584" i="13"/>
  <c r="N585" i="13"/>
  <c r="N586" i="13"/>
  <c r="N587" i="13"/>
  <c r="N588" i="13"/>
  <c r="N589" i="13"/>
  <c r="N590" i="13"/>
  <c r="N591" i="13"/>
  <c r="N592" i="13"/>
  <c r="N593" i="13"/>
  <c r="N594" i="13"/>
  <c r="N595" i="13"/>
  <c r="N596" i="13"/>
  <c r="N597" i="13"/>
  <c r="N598" i="13"/>
  <c r="N599" i="13"/>
  <c r="N600" i="13"/>
  <c r="N601" i="13"/>
  <c r="N602" i="13"/>
  <c r="N603" i="13"/>
  <c r="N604" i="13"/>
  <c r="N605" i="13"/>
  <c r="N606" i="13"/>
  <c r="N607" i="13"/>
  <c r="N608" i="13"/>
  <c r="N609" i="13"/>
  <c r="N610" i="13"/>
  <c r="N611" i="13"/>
  <c r="N612" i="13"/>
  <c r="N613" i="13"/>
  <c r="N614" i="13"/>
  <c r="N615" i="13"/>
  <c r="N616" i="13"/>
  <c r="N617" i="13"/>
  <c r="N618" i="13"/>
  <c r="N619" i="13"/>
  <c r="N620" i="13"/>
  <c r="N621" i="13"/>
  <c r="N622" i="13"/>
  <c r="N623" i="13"/>
  <c r="N624" i="13"/>
  <c r="N625" i="13"/>
  <c r="N626" i="13"/>
  <c r="N627" i="13"/>
  <c r="N628" i="13"/>
  <c r="N629" i="13"/>
  <c r="N630" i="13"/>
  <c r="N631" i="13"/>
  <c r="N632" i="13"/>
  <c r="N633" i="13"/>
  <c r="N634" i="13"/>
  <c r="N635" i="13"/>
  <c r="N636" i="13"/>
  <c r="N637" i="13"/>
  <c r="N638" i="13"/>
  <c r="N639" i="13"/>
  <c r="N640" i="13"/>
  <c r="N641" i="13"/>
  <c r="N642" i="13"/>
  <c r="N643" i="13"/>
  <c r="N644" i="13"/>
  <c r="N645" i="13"/>
  <c r="N646" i="13"/>
  <c r="N647" i="13"/>
  <c r="N648" i="13"/>
  <c r="N649" i="13"/>
  <c r="N650" i="13"/>
  <c r="N651" i="13"/>
  <c r="N652" i="13"/>
  <c r="N653" i="13"/>
  <c r="N654" i="13"/>
  <c r="N655" i="13"/>
  <c r="N656" i="13"/>
  <c r="N657" i="13"/>
  <c r="N658" i="13"/>
  <c r="N659" i="13"/>
  <c r="N660" i="13"/>
  <c r="N661" i="13"/>
  <c r="N662" i="13"/>
  <c r="N663" i="13"/>
  <c r="N664" i="13"/>
  <c r="N665" i="13"/>
  <c r="N666" i="13"/>
  <c r="N667" i="13"/>
  <c r="N668" i="13"/>
  <c r="N669" i="13"/>
  <c r="N670" i="13"/>
  <c r="N671" i="13"/>
  <c r="N672" i="13"/>
  <c r="N673" i="13"/>
  <c r="N674" i="13"/>
  <c r="N675" i="13"/>
  <c r="N676" i="13"/>
  <c r="N677" i="13"/>
  <c r="N678" i="13"/>
  <c r="N679" i="13"/>
  <c r="N680" i="13"/>
  <c r="N681" i="13"/>
  <c r="N682" i="13"/>
  <c r="N683" i="13"/>
  <c r="N684" i="13"/>
  <c r="N685" i="13"/>
  <c r="N686" i="13"/>
  <c r="N687" i="13"/>
  <c r="N688" i="13"/>
  <c r="N689" i="13"/>
  <c r="N690" i="13"/>
  <c r="N691" i="13"/>
  <c r="N692" i="13"/>
  <c r="N693" i="13"/>
  <c r="N694" i="13"/>
  <c r="N695" i="13"/>
  <c r="N696" i="13"/>
  <c r="N697" i="13"/>
  <c r="N698" i="13"/>
  <c r="N699" i="13"/>
  <c r="N700" i="13"/>
  <c r="N701" i="13"/>
  <c r="N702" i="13"/>
  <c r="N703" i="13"/>
  <c r="N704" i="13"/>
  <c r="N705" i="13"/>
  <c r="N706" i="13"/>
  <c r="N707" i="13"/>
  <c r="N708" i="13"/>
  <c r="N709" i="13"/>
  <c r="N710" i="13"/>
  <c r="N711" i="13"/>
  <c r="N712" i="13"/>
  <c r="N713" i="13"/>
  <c r="N714" i="13"/>
  <c r="N715" i="13"/>
  <c r="N716" i="13"/>
  <c r="N717" i="13"/>
  <c r="N718" i="13"/>
  <c r="N719" i="13"/>
  <c r="N720" i="13"/>
  <c r="N721" i="13"/>
  <c r="N722" i="13"/>
  <c r="N723" i="13"/>
  <c r="N724" i="13"/>
  <c r="N725" i="13"/>
  <c r="N726" i="13"/>
  <c r="N727" i="13"/>
  <c r="N728" i="13"/>
  <c r="N729" i="13"/>
  <c r="N730" i="13"/>
  <c r="N731" i="13"/>
  <c r="N732" i="13"/>
  <c r="N733" i="13"/>
  <c r="N734" i="13"/>
  <c r="N735" i="13"/>
  <c r="N736" i="13"/>
  <c r="N737" i="13"/>
  <c r="N738" i="13"/>
  <c r="N739" i="13"/>
  <c r="N740" i="13"/>
  <c r="N741" i="13"/>
  <c r="N742" i="13"/>
  <c r="N743" i="13"/>
  <c r="N744" i="13"/>
  <c r="N745" i="13"/>
  <c r="N746" i="13"/>
  <c r="N747" i="13"/>
  <c r="N748" i="13"/>
  <c r="N749" i="13"/>
  <c r="N750" i="13"/>
  <c r="N751" i="13"/>
  <c r="N752" i="13"/>
  <c r="N753" i="13"/>
  <c r="N754" i="13"/>
  <c r="N755" i="13"/>
  <c r="N756" i="13"/>
  <c r="N757" i="13"/>
  <c r="N758" i="13"/>
  <c r="N759" i="13"/>
  <c r="N760" i="13"/>
  <c r="N761" i="13"/>
  <c r="N762" i="13"/>
  <c r="N763" i="13"/>
  <c r="N764" i="13"/>
  <c r="N765" i="13"/>
  <c r="N766" i="13"/>
  <c r="N767" i="13"/>
  <c r="N768" i="13"/>
  <c r="N769" i="13"/>
  <c r="N770" i="13"/>
  <c r="N771" i="13"/>
  <c r="N772" i="13"/>
  <c r="N773" i="13"/>
  <c r="N774" i="13"/>
  <c r="N775" i="13"/>
  <c r="N776" i="13"/>
  <c r="N777" i="13"/>
  <c r="N778" i="13"/>
  <c r="N779" i="13"/>
  <c r="N780" i="13"/>
  <c r="N781" i="13"/>
  <c r="N782" i="13"/>
  <c r="N783" i="13"/>
  <c r="N784" i="13"/>
  <c r="N785" i="13"/>
  <c r="N786" i="13"/>
  <c r="N787" i="13"/>
  <c r="N788" i="13"/>
  <c r="N789" i="13"/>
  <c r="N790" i="13"/>
  <c r="N2" i="13"/>
  <c r="M2" i="13"/>
  <c r="M3" i="13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68" i="13"/>
  <c r="M69" i="13"/>
  <c r="M70" i="13"/>
  <c r="M71" i="13"/>
  <c r="M72" i="13"/>
  <c r="M73" i="13"/>
  <c r="M74" i="13"/>
  <c r="M75" i="13"/>
  <c r="M76" i="13"/>
  <c r="M77" i="13"/>
  <c r="M78" i="13"/>
  <c r="M79" i="13"/>
  <c r="M80" i="13"/>
  <c r="M81" i="13"/>
  <c r="M82" i="13"/>
  <c r="M83" i="13"/>
  <c r="M84" i="13"/>
  <c r="M85" i="13"/>
  <c r="M86" i="13"/>
  <c r="M87" i="13"/>
  <c r="M88" i="13"/>
  <c r="M89" i="13"/>
  <c r="M90" i="13"/>
  <c r="M91" i="13"/>
  <c r="M92" i="13"/>
  <c r="M93" i="13"/>
  <c r="M94" i="13"/>
  <c r="M95" i="13"/>
  <c r="M96" i="13"/>
  <c r="M97" i="13"/>
  <c r="M98" i="13"/>
  <c r="M99" i="13"/>
  <c r="M100" i="13"/>
  <c r="M101" i="13"/>
  <c r="M102" i="13"/>
  <c r="M103" i="13"/>
  <c r="M104" i="13"/>
  <c r="M105" i="13"/>
  <c r="M106" i="13"/>
  <c r="M107" i="13"/>
  <c r="M108" i="13"/>
  <c r="M109" i="13"/>
  <c r="M110" i="13"/>
  <c r="M111" i="13"/>
  <c r="M112" i="13"/>
  <c r="M113" i="13"/>
  <c r="M114" i="13"/>
  <c r="M115" i="13"/>
  <c r="M116" i="13"/>
  <c r="M117" i="13"/>
  <c r="M118" i="13"/>
  <c r="M119" i="13"/>
  <c r="M120" i="13"/>
  <c r="M121" i="13"/>
  <c r="M122" i="13"/>
  <c r="M123" i="13"/>
  <c r="M124" i="13"/>
  <c r="M125" i="13"/>
  <c r="M126" i="13"/>
  <c r="M127" i="13"/>
  <c r="M128" i="13"/>
  <c r="M129" i="13"/>
  <c r="M130" i="13"/>
  <c r="M131" i="13"/>
  <c r="M132" i="13"/>
  <c r="M133" i="13"/>
  <c r="M134" i="13"/>
  <c r="M135" i="13"/>
  <c r="M136" i="13"/>
  <c r="M137" i="13"/>
  <c r="M138" i="13"/>
  <c r="M139" i="13"/>
  <c r="M140" i="13"/>
  <c r="M141" i="13"/>
  <c r="M142" i="13"/>
  <c r="M143" i="13"/>
  <c r="M144" i="13"/>
  <c r="M145" i="13"/>
  <c r="M146" i="13"/>
  <c r="M147" i="13"/>
  <c r="M148" i="13"/>
  <c r="M149" i="13"/>
  <c r="M150" i="13"/>
  <c r="M151" i="13"/>
  <c r="M152" i="13"/>
  <c r="M153" i="13"/>
  <c r="M154" i="13"/>
  <c r="M155" i="13"/>
  <c r="M156" i="13"/>
  <c r="M157" i="13"/>
  <c r="M158" i="13"/>
  <c r="M159" i="13"/>
  <c r="M160" i="13"/>
  <c r="M161" i="13"/>
  <c r="M162" i="13"/>
  <c r="M163" i="13"/>
  <c r="M164" i="13"/>
  <c r="M165" i="13"/>
  <c r="M166" i="13"/>
  <c r="M167" i="13"/>
  <c r="M168" i="13"/>
  <c r="M169" i="13"/>
  <c r="M170" i="13"/>
  <c r="M171" i="13"/>
  <c r="M172" i="13"/>
  <c r="M173" i="13"/>
  <c r="M174" i="13"/>
  <c r="M175" i="13"/>
  <c r="M176" i="13"/>
  <c r="M177" i="13"/>
  <c r="M178" i="13"/>
  <c r="M179" i="13"/>
  <c r="M180" i="13"/>
  <c r="M181" i="13"/>
  <c r="M182" i="13"/>
  <c r="M183" i="13"/>
  <c r="M184" i="13"/>
  <c r="M185" i="13"/>
  <c r="M186" i="13"/>
  <c r="M187" i="13"/>
  <c r="M188" i="13"/>
  <c r="M189" i="13"/>
  <c r="M190" i="13"/>
  <c r="M191" i="13"/>
  <c r="M192" i="13"/>
  <c r="M193" i="13"/>
  <c r="M194" i="13"/>
  <c r="M195" i="13"/>
  <c r="M196" i="13"/>
  <c r="M197" i="13"/>
  <c r="M198" i="13"/>
  <c r="M199" i="13"/>
  <c r="M200" i="13"/>
  <c r="M201" i="13"/>
  <c r="M202" i="13"/>
  <c r="M203" i="13"/>
  <c r="M204" i="13"/>
  <c r="M205" i="13"/>
  <c r="M206" i="13"/>
  <c r="M207" i="13"/>
  <c r="M208" i="13"/>
  <c r="M209" i="13"/>
  <c r="M210" i="13"/>
  <c r="M211" i="13"/>
  <c r="M212" i="13"/>
  <c r="M213" i="13"/>
  <c r="M214" i="13"/>
  <c r="M215" i="13"/>
  <c r="M216" i="13"/>
  <c r="M217" i="13"/>
  <c r="M218" i="13"/>
  <c r="M219" i="13"/>
  <c r="M220" i="13"/>
  <c r="M221" i="13"/>
  <c r="M222" i="13"/>
  <c r="M223" i="13"/>
  <c r="M224" i="13"/>
  <c r="M225" i="13"/>
  <c r="M226" i="13"/>
  <c r="M227" i="13"/>
  <c r="M228" i="13"/>
  <c r="M229" i="13"/>
  <c r="M230" i="13"/>
  <c r="M231" i="13"/>
  <c r="M232" i="13"/>
  <c r="M233" i="13"/>
  <c r="M234" i="13"/>
  <c r="M235" i="13"/>
  <c r="M236" i="13"/>
  <c r="M237" i="13"/>
  <c r="M238" i="13"/>
  <c r="M239" i="13"/>
  <c r="M240" i="13"/>
  <c r="M241" i="13"/>
  <c r="M242" i="13"/>
  <c r="M243" i="13"/>
  <c r="M244" i="13"/>
  <c r="M245" i="13"/>
  <c r="M246" i="13"/>
  <c r="M247" i="13"/>
  <c r="M248" i="13"/>
  <c r="M249" i="13"/>
  <c r="M250" i="13"/>
  <c r="M251" i="13"/>
  <c r="M252" i="13"/>
  <c r="M253" i="13"/>
  <c r="M254" i="13"/>
  <c r="M255" i="13"/>
  <c r="M256" i="13"/>
  <c r="M257" i="13"/>
  <c r="M258" i="13"/>
  <c r="M259" i="13"/>
  <c r="M260" i="13"/>
  <c r="M261" i="13"/>
  <c r="M262" i="13"/>
  <c r="M263" i="13"/>
  <c r="M264" i="13"/>
  <c r="M265" i="13"/>
  <c r="M266" i="13"/>
  <c r="M267" i="13"/>
  <c r="M268" i="13"/>
  <c r="M269" i="13"/>
  <c r="M270" i="13"/>
  <c r="M271" i="13"/>
  <c r="M272" i="13"/>
  <c r="M273" i="13"/>
  <c r="M274" i="13"/>
  <c r="M275" i="13"/>
  <c r="M276" i="13"/>
  <c r="M277" i="13"/>
  <c r="M278" i="13"/>
  <c r="M279" i="13"/>
  <c r="M280" i="13"/>
  <c r="M281" i="13"/>
  <c r="M282" i="13"/>
  <c r="M283" i="13"/>
  <c r="M284" i="13"/>
  <c r="M285" i="13"/>
  <c r="M286" i="13"/>
  <c r="M287" i="13"/>
  <c r="M288" i="13"/>
  <c r="M289" i="13"/>
  <c r="M290" i="13"/>
  <c r="M291" i="13"/>
  <c r="M292" i="13"/>
  <c r="M293" i="13"/>
  <c r="M294" i="13"/>
  <c r="M295" i="13"/>
  <c r="M296" i="13"/>
  <c r="M297" i="13"/>
  <c r="M298" i="13"/>
  <c r="M299" i="13"/>
  <c r="M300" i="13"/>
  <c r="M301" i="13"/>
  <c r="M302" i="13"/>
  <c r="M303" i="13"/>
  <c r="M304" i="13"/>
  <c r="M305" i="13"/>
  <c r="M306" i="13"/>
  <c r="M307" i="13"/>
  <c r="M308" i="13"/>
  <c r="M309" i="13"/>
  <c r="M310" i="13"/>
  <c r="M311" i="13"/>
  <c r="M312" i="13"/>
  <c r="M313" i="13"/>
  <c r="M314" i="13"/>
  <c r="M315" i="13"/>
  <c r="M316" i="13"/>
  <c r="M317" i="13"/>
  <c r="M318" i="13"/>
  <c r="M319" i="13"/>
  <c r="M320" i="13"/>
  <c r="M321" i="13"/>
  <c r="M322" i="13"/>
  <c r="M323" i="13"/>
  <c r="M324" i="13"/>
  <c r="M325" i="13"/>
  <c r="M326" i="13"/>
  <c r="M327" i="13"/>
  <c r="M328" i="13"/>
  <c r="M329" i="13"/>
  <c r="M330" i="13"/>
  <c r="M331" i="13"/>
  <c r="M332" i="13"/>
  <c r="M333" i="13"/>
  <c r="M334" i="13"/>
  <c r="M335" i="13"/>
  <c r="M336" i="13"/>
  <c r="M337" i="13"/>
  <c r="M338" i="13"/>
  <c r="M339" i="13"/>
  <c r="M340" i="13"/>
  <c r="M341" i="13"/>
  <c r="M342" i="13"/>
  <c r="M343" i="13"/>
  <c r="M344" i="13"/>
  <c r="M345" i="13"/>
  <c r="M346" i="13"/>
  <c r="M347" i="13"/>
  <c r="M348" i="13"/>
  <c r="M349" i="13"/>
  <c r="M350" i="13"/>
  <c r="M351" i="13"/>
  <c r="M352" i="13"/>
  <c r="M353" i="13"/>
  <c r="M354" i="13"/>
  <c r="M355" i="13"/>
  <c r="M356" i="13"/>
  <c r="M357" i="13"/>
  <c r="M358" i="13"/>
  <c r="M359" i="13"/>
  <c r="M360" i="13"/>
  <c r="M361" i="13"/>
  <c r="M362" i="13"/>
  <c r="M363" i="13"/>
  <c r="M364" i="13"/>
  <c r="M365" i="13"/>
  <c r="M366" i="13"/>
  <c r="M367" i="13"/>
  <c r="M368" i="13"/>
  <c r="M369" i="13"/>
  <c r="M370" i="13"/>
  <c r="M371" i="13"/>
  <c r="M372" i="13"/>
  <c r="M373" i="13"/>
  <c r="M374" i="13"/>
  <c r="M375" i="13"/>
  <c r="M376" i="13"/>
  <c r="M377" i="13"/>
  <c r="M378" i="13"/>
  <c r="M379" i="13"/>
  <c r="M380" i="13"/>
  <c r="M381" i="13"/>
  <c r="M382" i="13"/>
  <c r="M383" i="13"/>
  <c r="M384" i="13"/>
  <c r="M385" i="13"/>
  <c r="M386" i="13"/>
  <c r="M387" i="13"/>
  <c r="M388" i="13"/>
  <c r="M389" i="13"/>
  <c r="M390" i="13"/>
  <c r="M391" i="13"/>
  <c r="M392" i="13"/>
  <c r="M393" i="13"/>
  <c r="M394" i="13"/>
  <c r="M395" i="13"/>
  <c r="M396" i="13"/>
  <c r="M397" i="13"/>
  <c r="M398" i="13"/>
  <c r="M399" i="13"/>
  <c r="M400" i="13"/>
  <c r="M401" i="13"/>
  <c r="M402" i="13"/>
  <c r="M403" i="13"/>
  <c r="M404" i="13"/>
  <c r="M405" i="13"/>
  <c r="M406" i="13"/>
  <c r="M407" i="13"/>
  <c r="M408" i="13"/>
  <c r="M409" i="13"/>
  <c r="M410" i="13"/>
  <c r="M411" i="13"/>
  <c r="M412" i="13"/>
  <c r="M413" i="13"/>
  <c r="M414" i="13"/>
  <c r="M415" i="13"/>
  <c r="M416" i="13"/>
  <c r="M417" i="13"/>
  <c r="M418" i="13"/>
  <c r="M419" i="13"/>
  <c r="M420" i="13"/>
  <c r="M421" i="13"/>
  <c r="M422" i="13"/>
  <c r="M423" i="13"/>
  <c r="M424" i="13"/>
  <c r="M425" i="13"/>
  <c r="M426" i="13"/>
  <c r="M427" i="13"/>
  <c r="M428" i="13"/>
  <c r="M429" i="13"/>
  <c r="M430" i="13"/>
  <c r="M431" i="13"/>
  <c r="M432" i="13"/>
  <c r="M433" i="13"/>
  <c r="M434" i="13"/>
  <c r="M435" i="13"/>
  <c r="M436" i="13"/>
  <c r="M437" i="13"/>
  <c r="M438" i="13"/>
  <c r="M439" i="13"/>
  <c r="M440" i="13"/>
  <c r="M441" i="13"/>
  <c r="M442" i="13"/>
  <c r="M443" i="13"/>
  <c r="M444" i="13"/>
  <c r="M445" i="13"/>
  <c r="M446" i="13"/>
  <c r="M447" i="13"/>
  <c r="M448" i="13"/>
  <c r="M449" i="13"/>
  <c r="M450" i="13"/>
  <c r="M451" i="13"/>
  <c r="M452" i="13"/>
  <c r="M453" i="13"/>
  <c r="M454" i="13"/>
  <c r="M455" i="13"/>
  <c r="M456" i="13"/>
  <c r="M457" i="13"/>
  <c r="M458" i="13"/>
  <c r="M459" i="13"/>
  <c r="M460" i="13"/>
  <c r="M461" i="13"/>
  <c r="M462" i="13"/>
  <c r="M463" i="13"/>
  <c r="M464" i="13"/>
  <c r="M465" i="13"/>
  <c r="M466" i="13"/>
  <c r="M467" i="13"/>
  <c r="M468" i="13"/>
  <c r="M469" i="13"/>
  <c r="M470" i="13"/>
  <c r="M471" i="13"/>
  <c r="M472" i="13"/>
  <c r="M473" i="13"/>
  <c r="M474" i="13"/>
  <c r="M475" i="13"/>
  <c r="M476" i="13"/>
  <c r="M477" i="13"/>
  <c r="M478" i="13"/>
  <c r="M479" i="13"/>
  <c r="M480" i="13"/>
  <c r="M481" i="13"/>
  <c r="M482" i="13"/>
  <c r="M483" i="13"/>
  <c r="M484" i="13"/>
  <c r="M485" i="13"/>
  <c r="M486" i="13"/>
  <c r="M487" i="13"/>
  <c r="M488" i="13"/>
  <c r="M489" i="13"/>
  <c r="M490" i="13"/>
  <c r="M491" i="13"/>
  <c r="M492" i="13"/>
  <c r="M493" i="13"/>
  <c r="M494" i="13"/>
  <c r="M495" i="13"/>
  <c r="M496" i="13"/>
  <c r="M497" i="13"/>
  <c r="M498" i="13"/>
  <c r="M499" i="13"/>
  <c r="M500" i="13"/>
  <c r="M501" i="13"/>
  <c r="M502" i="13"/>
  <c r="M503" i="13"/>
  <c r="M504" i="13"/>
  <c r="M505" i="13"/>
  <c r="M506" i="13"/>
  <c r="M507" i="13"/>
  <c r="M508" i="13"/>
  <c r="M509" i="13"/>
  <c r="M510" i="13"/>
  <c r="M511" i="13"/>
  <c r="M512" i="13"/>
  <c r="M513" i="13"/>
  <c r="M514" i="13"/>
  <c r="M515" i="13"/>
  <c r="M516" i="13"/>
  <c r="M517" i="13"/>
  <c r="M518" i="13"/>
  <c r="M519" i="13"/>
  <c r="M520" i="13"/>
  <c r="M521" i="13"/>
  <c r="M522" i="13"/>
  <c r="M523" i="13"/>
  <c r="M524" i="13"/>
  <c r="M525" i="13"/>
  <c r="M526" i="13"/>
  <c r="M527" i="13"/>
  <c r="M528" i="13"/>
  <c r="M529" i="13"/>
  <c r="M530" i="13"/>
  <c r="M531" i="13"/>
  <c r="M532" i="13"/>
  <c r="M533" i="13"/>
  <c r="M534" i="13"/>
  <c r="M535" i="13"/>
  <c r="M536" i="13"/>
  <c r="M537" i="13"/>
  <c r="M538" i="13"/>
  <c r="M539" i="13"/>
  <c r="M540" i="13"/>
  <c r="M541" i="13"/>
  <c r="M542" i="13"/>
  <c r="M543" i="13"/>
  <c r="M544" i="13"/>
  <c r="M545" i="13"/>
  <c r="M546" i="13"/>
  <c r="M547" i="13"/>
  <c r="M548" i="13"/>
  <c r="M549" i="13"/>
  <c r="M550" i="13"/>
  <c r="M551" i="13"/>
  <c r="M552" i="13"/>
  <c r="M553" i="13"/>
  <c r="M554" i="13"/>
  <c r="M555" i="13"/>
  <c r="M556" i="13"/>
  <c r="M557" i="13"/>
  <c r="M558" i="13"/>
  <c r="M559" i="13"/>
  <c r="M560" i="13"/>
  <c r="M561" i="13"/>
  <c r="M562" i="13"/>
  <c r="M563" i="13"/>
  <c r="M564" i="13"/>
  <c r="M565" i="13"/>
  <c r="M566" i="13"/>
  <c r="M567" i="13"/>
  <c r="M568" i="13"/>
  <c r="M569" i="13"/>
  <c r="M570" i="13"/>
  <c r="M571" i="13"/>
  <c r="M572" i="13"/>
  <c r="M573" i="13"/>
  <c r="M574" i="13"/>
  <c r="M575" i="13"/>
  <c r="M576" i="13"/>
  <c r="M577" i="13"/>
  <c r="M578" i="13"/>
  <c r="M579" i="13"/>
  <c r="M580" i="13"/>
  <c r="M581" i="13"/>
  <c r="M582" i="13"/>
  <c r="M583" i="13"/>
  <c r="M584" i="13"/>
  <c r="M585" i="13"/>
  <c r="M586" i="13"/>
  <c r="M587" i="13"/>
  <c r="M588" i="13"/>
  <c r="M589" i="13"/>
  <c r="M590" i="13"/>
  <c r="M591" i="13"/>
  <c r="M592" i="13"/>
  <c r="M593" i="13"/>
  <c r="M594" i="13"/>
  <c r="M595" i="13"/>
  <c r="M596" i="13"/>
  <c r="M597" i="13"/>
  <c r="M598" i="13"/>
  <c r="M599" i="13"/>
  <c r="M600" i="13"/>
  <c r="M601" i="13"/>
  <c r="M602" i="13"/>
  <c r="M603" i="13"/>
  <c r="M604" i="13"/>
  <c r="M605" i="13"/>
  <c r="M606" i="13"/>
  <c r="M607" i="13"/>
  <c r="M608" i="13"/>
  <c r="M609" i="13"/>
  <c r="M610" i="13"/>
  <c r="M611" i="13"/>
  <c r="M612" i="13"/>
  <c r="M613" i="13"/>
  <c r="M614" i="13"/>
  <c r="M615" i="13"/>
  <c r="M616" i="13"/>
  <c r="M617" i="13"/>
  <c r="M618" i="13"/>
  <c r="M619" i="13"/>
  <c r="M620" i="13"/>
  <c r="M621" i="13"/>
  <c r="M622" i="13"/>
  <c r="M623" i="13"/>
  <c r="M624" i="13"/>
  <c r="M625" i="13"/>
  <c r="M626" i="13"/>
  <c r="M627" i="13"/>
  <c r="M628" i="13"/>
  <c r="M629" i="13"/>
  <c r="M630" i="13"/>
  <c r="M631" i="13"/>
  <c r="M632" i="13"/>
  <c r="M633" i="13"/>
  <c r="M634" i="13"/>
  <c r="M635" i="13"/>
  <c r="M636" i="13"/>
  <c r="M637" i="13"/>
  <c r="M638" i="13"/>
  <c r="M639" i="13"/>
  <c r="M640" i="13"/>
  <c r="M641" i="13"/>
  <c r="M642" i="13"/>
  <c r="M643" i="13"/>
  <c r="M644" i="13"/>
  <c r="M645" i="13"/>
  <c r="M646" i="13"/>
  <c r="M647" i="13"/>
  <c r="M648" i="13"/>
  <c r="M649" i="13"/>
  <c r="M650" i="13"/>
  <c r="M651" i="13"/>
  <c r="M652" i="13"/>
  <c r="M653" i="13"/>
  <c r="M654" i="13"/>
  <c r="M655" i="13"/>
  <c r="M656" i="13"/>
  <c r="M657" i="13"/>
  <c r="M658" i="13"/>
  <c r="M659" i="13"/>
  <c r="M660" i="13"/>
  <c r="M661" i="13"/>
  <c r="M662" i="13"/>
  <c r="M663" i="13"/>
  <c r="M664" i="13"/>
  <c r="M665" i="13"/>
  <c r="M666" i="13"/>
  <c r="M667" i="13"/>
  <c r="M668" i="13"/>
  <c r="M669" i="13"/>
  <c r="M670" i="13"/>
  <c r="M671" i="13"/>
  <c r="M672" i="13"/>
  <c r="M673" i="13"/>
  <c r="M674" i="13"/>
  <c r="M675" i="13"/>
  <c r="M676" i="13"/>
  <c r="M677" i="13"/>
  <c r="M678" i="13"/>
  <c r="M679" i="13"/>
  <c r="M680" i="13"/>
  <c r="M681" i="13"/>
  <c r="M682" i="13"/>
  <c r="M683" i="13"/>
  <c r="M684" i="13"/>
  <c r="M685" i="13"/>
  <c r="M686" i="13"/>
  <c r="M687" i="13"/>
  <c r="M688" i="13"/>
  <c r="M689" i="13"/>
  <c r="M690" i="13"/>
  <c r="M691" i="13"/>
  <c r="M692" i="13"/>
  <c r="M693" i="13"/>
  <c r="M694" i="13"/>
  <c r="M695" i="13"/>
  <c r="M696" i="13"/>
  <c r="M697" i="13"/>
  <c r="M698" i="13"/>
  <c r="M699" i="13"/>
  <c r="M700" i="13"/>
  <c r="M701" i="13"/>
  <c r="M702" i="13"/>
  <c r="M703" i="13"/>
  <c r="M704" i="13"/>
  <c r="M705" i="13"/>
  <c r="M706" i="13"/>
  <c r="M707" i="13"/>
  <c r="M708" i="13"/>
  <c r="M709" i="13"/>
  <c r="M710" i="13"/>
  <c r="M711" i="13"/>
  <c r="M712" i="13"/>
  <c r="M713" i="13"/>
  <c r="M714" i="13"/>
  <c r="M715" i="13"/>
  <c r="M716" i="13"/>
  <c r="M717" i="13"/>
  <c r="M718" i="13"/>
  <c r="M719" i="13"/>
  <c r="M720" i="13"/>
  <c r="M721" i="13"/>
  <c r="M722" i="13"/>
  <c r="M723" i="13"/>
  <c r="M724" i="13"/>
  <c r="M725" i="13"/>
  <c r="M726" i="13"/>
  <c r="M727" i="13"/>
  <c r="M728" i="13"/>
  <c r="M729" i="13"/>
  <c r="M730" i="13"/>
  <c r="M731" i="13"/>
  <c r="M732" i="13"/>
  <c r="M733" i="13"/>
  <c r="M734" i="13"/>
  <c r="M735" i="13"/>
  <c r="M736" i="13"/>
  <c r="M737" i="13"/>
  <c r="M738" i="13"/>
  <c r="M739" i="13"/>
  <c r="M740" i="13"/>
  <c r="M741" i="13"/>
  <c r="M742" i="13"/>
  <c r="M743" i="13"/>
  <c r="M744" i="13"/>
  <c r="M745" i="13"/>
  <c r="M746" i="13"/>
  <c r="M747" i="13"/>
  <c r="M748" i="13"/>
  <c r="M749" i="13"/>
  <c r="M750" i="13"/>
  <c r="M751" i="13"/>
  <c r="M752" i="13"/>
  <c r="M753" i="13"/>
  <c r="M754" i="13"/>
  <c r="M755" i="13"/>
  <c r="M756" i="13"/>
  <c r="M757" i="13"/>
  <c r="M758" i="13"/>
  <c r="M759" i="13"/>
  <c r="M760" i="13"/>
  <c r="M761" i="13"/>
  <c r="M762" i="13"/>
  <c r="M763" i="13"/>
  <c r="M764" i="13"/>
  <c r="M765" i="13"/>
  <c r="M766" i="13"/>
  <c r="M767" i="13"/>
  <c r="M768" i="13"/>
  <c r="M769" i="13"/>
  <c r="M770" i="13"/>
  <c r="M771" i="13"/>
  <c r="M772" i="13"/>
  <c r="M773" i="13"/>
  <c r="M774" i="13"/>
  <c r="M775" i="13"/>
  <c r="M776" i="13"/>
  <c r="M777" i="13"/>
  <c r="M778" i="13"/>
  <c r="M779" i="13"/>
  <c r="M780" i="13"/>
  <c r="M781" i="13"/>
  <c r="M782" i="13"/>
  <c r="M783" i="13"/>
  <c r="M784" i="13"/>
  <c r="M785" i="13"/>
  <c r="M786" i="13"/>
  <c r="M787" i="13"/>
  <c r="M788" i="13"/>
  <c r="M789" i="13"/>
  <c r="M790" i="13"/>
  <c r="L3" i="13"/>
  <c r="L4" i="13"/>
  <c r="L5" i="13"/>
  <c r="L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61" i="13"/>
  <c r="L62" i="13"/>
  <c r="L63" i="13"/>
  <c r="L64" i="13"/>
  <c r="L65" i="13"/>
  <c r="L66" i="13"/>
  <c r="L67" i="13"/>
  <c r="L68" i="13"/>
  <c r="L69" i="13"/>
  <c r="L70" i="13"/>
  <c r="L71" i="13"/>
  <c r="L72" i="13"/>
  <c r="L73" i="13"/>
  <c r="L74" i="13"/>
  <c r="L75" i="13"/>
  <c r="L76" i="13"/>
  <c r="L77" i="13"/>
  <c r="L78" i="13"/>
  <c r="L79" i="13"/>
  <c r="L80" i="13"/>
  <c r="L81" i="13"/>
  <c r="L82" i="13"/>
  <c r="L83" i="13"/>
  <c r="L84" i="13"/>
  <c r="L85" i="13"/>
  <c r="L86" i="13"/>
  <c r="L87" i="13"/>
  <c r="L88" i="13"/>
  <c r="L89" i="13"/>
  <c r="L90" i="13"/>
  <c r="L91" i="13"/>
  <c r="L92" i="13"/>
  <c r="L93" i="13"/>
  <c r="L94" i="13"/>
  <c r="L95" i="13"/>
  <c r="L96" i="13"/>
  <c r="L97" i="13"/>
  <c r="L98" i="13"/>
  <c r="L99" i="13"/>
  <c r="L100" i="13"/>
  <c r="L101" i="13"/>
  <c r="L102" i="13"/>
  <c r="L103" i="13"/>
  <c r="L104" i="13"/>
  <c r="L105" i="13"/>
  <c r="L106" i="13"/>
  <c r="L107" i="13"/>
  <c r="L108" i="13"/>
  <c r="L109" i="13"/>
  <c r="L110" i="13"/>
  <c r="L111" i="13"/>
  <c r="L112" i="13"/>
  <c r="L113" i="13"/>
  <c r="L114" i="13"/>
  <c r="L115" i="13"/>
  <c r="L116" i="13"/>
  <c r="L117" i="13"/>
  <c r="L118" i="13"/>
  <c r="L119" i="13"/>
  <c r="L120" i="13"/>
  <c r="L121" i="13"/>
  <c r="L122" i="13"/>
  <c r="L123" i="13"/>
  <c r="L124" i="13"/>
  <c r="L125" i="13"/>
  <c r="L126" i="13"/>
  <c r="L127" i="13"/>
  <c r="L128" i="13"/>
  <c r="L129" i="13"/>
  <c r="L130" i="13"/>
  <c r="L131" i="13"/>
  <c r="L132" i="13"/>
  <c r="L133" i="13"/>
  <c r="L134" i="13"/>
  <c r="L135" i="13"/>
  <c r="L136" i="13"/>
  <c r="L137" i="13"/>
  <c r="L138" i="13"/>
  <c r="L139" i="13"/>
  <c r="L140" i="13"/>
  <c r="L141" i="13"/>
  <c r="L142" i="13"/>
  <c r="L143" i="13"/>
  <c r="L144" i="13"/>
  <c r="L145" i="13"/>
  <c r="L146" i="13"/>
  <c r="L147" i="13"/>
  <c r="L148" i="13"/>
  <c r="L149" i="13"/>
  <c r="L150" i="13"/>
  <c r="L151" i="13"/>
  <c r="L152" i="13"/>
  <c r="L153" i="13"/>
  <c r="L154" i="13"/>
  <c r="L155" i="13"/>
  <c r="L156" i="13"/>
  <c r="L157" i="13"/>
  <c r="L158" i="13"/>
  <c r="L159" i="13"/>
  <c r="L160" i="13"/>
  <c r="L161" i="13"/>
  <c r="L162" i="13"/>
  <c r="L163" i="13"/>
  <c r="L164" i="13"/>
  <c r="L165" i="13"/>
  <c r="L166" i="13"/>
  <c r="L167" i="13"/>
  <c r="L168" i="13"/>
  <c r="L169" i="13"/>
  <c r="L170" i="13"/>
  <c r="L171" i="13"/>
  <c r="L172" i="13"/>
  <c r="L173" i="13"/>
  <c r="L174" i="13"/>
  <c r="L175" i="13"/>
  <c r="L176" i="13"/>
  <c r="L177" i="13"/>
  <c r="L178" i="13"/>
  <c r="L179" i="13"/>
  <c r="L180" i="13"/>
  <c r="L181" i="13"/>
  <c r="L182" i="13"/>
  <c r="L183" i="13"/>
  <c r="L184" i="13"/>
  <c r="L185" i="13"/>
  <c r="L186" i="13"/>
  <c r="L187" i="13"/>
  <c r="L188" i="13"/>
  <c r="L189" i="13"/>
  <c r="L190" i="13"/>
  <c r="L191" i="13"/>
  <c r="L192" i="13"/>
  <c r="L193" i="13"/>
  <c r="L194" i="13"/>
  <c r="L195" i="13"/>
  <c r="L196" i="13"/>
  <c r="L197" i="13"/>
  <c r="L198" i="13"/>
  <c r="L199" i="13"/>
  <c r="L200" i="13"/>
  <c r="L201" i="13"/>
  <c r="L202" i="13"/>
  <c r="L203" i="13"/>
  <c r="L204" i="13"/>
  <c r="L205" i="13"/>
  <c r="L206" i="13"/>
  <c r="L207" i="13"/>
  <c r="L208" i="13"/>
  <c r="L209" i="13"/>
  <c r="L210" i="13"/>
  <c r="L211" i="13"/>
  <c r="L212" i="13"/>
  <c r="L213" i="13"/>
  <c r="L214" i="13"/>
  <c r="L215" i="13"/>
  <c r="L216" i="13"/>
  <c r="L217" i="13"/>
  <c r="L218" i="13"/>
  <c r="L219" i="13"/>
  <c r="L220" i="13"/>
  <c r="L221" i="13"/>
  <c r="L222" i="13"/>
  <c r="L223" i="13"/>
  <c r="L224" i="13"/>
  <c r="L225" i="13"/>
  <c r="L226" i="13"/>
  <c r="L227" i="13"/>
  <c r="L228" i="13"/>
  <c r="L229" i="13"/>
  <c r="L230" i="13"/>
  <c r="L231" i="13"/>
  <c r="L232" i="13"/>
  <c r="L233" i="13"/>
  <c r="L234" i="13"/>
  <c r="L235" i="13"/>
  <c r="L236" i="13"/>
  <c r="L237" i="13"/>
  <c r="L238" i="13"/>
  <c r="L239" i="13"/>
  <c r="L240" i="13"/>
  <c r="L241" i="13"/>
  <c r="L242" i="13"/>
  <c r="L243" i="13"/>
  <c r="L244" i="13"/>
  <c r="L245" i="13"/>
  <c r="L246" i="13"/>
  <c r="L247" i="13"/>
  <c r="L248" i="13"/>
  <c r="L249" i="13"/>
  <c r="L250" i="13"/>
  <c r="L251" i="13"/>
  <c r="L252" i="13"/>
  <c r="L253" i="13"/>
  <c r="L254" i="13"/>
  <c r="L255" i="13"/>
  <c r="L256" i="13"/>
  <c r="L257" i="13"/>
  <c r="L258" i="13"/>
  <c r="L259" i="13"/>
  <c r="L260" i="13"/>
  <c r="L261" i="13"/>
  <c r="L262" i="13"/>
  <c r="L263" i="13"/>
  <c r="L264" i="13"/>
  <c r="L265" i="13"/>
  <c r="L266" i="13"/>
  <c r="L267" i="13"/>
  <c r="L268" i="13"/>
  <c r="L269" i="13"/>
  <c r="L270" i="13"/>
  <c r="L271" i="13"/>
  <c r="L272" i="13"/>
  <c r="L273" i="13"/>
  <c r="L274" i="13"/>
  <c r="L275" i="13"/>
  <c r="L276" i="13"/>
  <c r="L277" i="13"/>
  <c r="L278" i="13"/>
  <c r="L279" i="13"/>
  <c r="L280" i="13"/>
  <c r="L281" i="13"/>
  <c r="L282" i="13"/>
  <c r="L283" i="13"/>
  <c r="L284" i="13"/>
  <c r="L285" i="13"/>
  <c r="L286" i="13"/>
  <c r="L287" i="13"/>
  <c r="L288" i="13"/>
  <c r="L289" i="13"/>
  <c r="L290" i="13"/>
  <c r="L291" i="13"/>
  <c r="L292" i="13"/>
  <c r="L293" i="13"/>
  <c r="L294" i="13"/>
  <c r="L295" i="13"/>
  <c r="L296" i="13"/>
  <c r="L297" i="13"/>
  <c r="L298" i="13"/>
  <c r="L299" i="13"/>
  <c r="L300" i="13"/>
  <c r="L301" i="13"/>
  <c r="L302" i="13"/>
  <c r="L303" i="13"/>
  <c r="L304" i="13"/>
  <c r="L305" i="13"/>
  <c r="L306" i="13"/>
  <c r="L307" i="13"/>
  <c r="L308" i="13"/>
  <c r="L309" i="13"/>
  <c r="L310" i="13"/>
  <c r="L311" i="13"/>
  <c r="L312" i="13"/>
  <c r="L313" i="13"/>
  <c r="L314" i="13"/>
  <c r="L315" i="13"/>
  <c r="L316" i="13"/>
  <c r="L317" i="13"/>
  <c r="L318" i="13"/>
  <c r="L319" i="13"/>
  <c r="L320" i="13"/>
  <c r="L321" i="13"/>
  <c r="L322" i="13"/>
  <c r="L323" i="13"/>
  <c r="L324" i="13"/>
  <c r="L325" i="13"/>
  <c r="L326" i="13"/>
  <c r="L327" i="13"/>
  <c r="L328" i="13"/>
  <c r="L329" i="13"/>
  <c r="L330" i="13"/>
  <c r="L331" i="13"/>
  <c r="L332" i="13"/>
  <c r="L333" i="13"/>
  <c r="L334" i="13"/>
  <c r="L335" i="13"/>
  <c r="L336" i="13"/>
  <c r="L337" i="13"/>
  <c r="L338" i="13"/>
  <c r="L339" i="13"/>
  <c r="L340" i="13"/>
  <c r="L341" i="13"/>
  <c r="L342" i="13"/>
  <c r="L343" i="13"/>
  <c r="L344" i="13"/>
  <c r="L345" i="13"/>
  <c r="L346" i="13"/>
  <c r="L347" i="13"/>
  <c r="L348" i="13"/>
  <c r="L349" i="13"/>
  <c r="L350" i="13"/>
  <c r="L351" i="13"/>
  <c r="L352" i="13"/>
  <c r="L353" i="13"/>
  <c r="L354" i="13"/>
  <c r="L355" i="13"/>
  <c r="L356" i="13"/>
  <c r="L357" i="13"/>
  <c r="L358" i="13"/>
  <c r="L359" i="13"/>
  <c r="L360" i="13"/>
  <c r="L361" i="13"/>
  <c r="L362" i="13"/>
  <c r="L363" i="13"/>
  <c r="L364" i="13"/>
  <c r="L365" i="13"/>
  <c r="L366" i="13"/>
  <c r="L367" i="13"/>
  <c r="L368" i="13"/>
  <c r="L369" i="13"/>
  <c r="L370" i="13"/>
  <c r="L371" i="13"/>
  <c r="L372" i="13"/>
  <c r="L373" i="13"/>
  <c r="L374" i="13"/>
  <c r="L375" i="13"/>
  <c r="L376" i="13"/>
  <c r="L377" i="13"/>
  <c r="L378" i="13"/>
  <c r="L379" i="13"/>
  <c r="L380" i="13"/>
  <c r="L381" i="13"/>
  <c r="L382" i="13"/>
  <c r="L383" i="13"/>
  <c r="L384" i="13"/>
  <c r="L385" i="13"/>
  <c r="L386" i="13"/>
  <c r="L387" i="13"/>
  <c r="L388" i="13"/>
  <c r="L389" i="13"/>
  <c r="L390" i="13"/>
  <c r="L391" i="13"/>
  <c r="L392" i="13"/>
  <c r="L393" i="13"/>
  <c r="L394" i="13"/>
  <c r="L395" i="13"/>
  <c r="L396" i="13"/>
  <c r="L397" i="13"/>
  <c r="L398" i="13"/>
  <c r="L399" i="13"/>
  <c r="L400" i="13"/>
  <c r="L401" i="13"/>
  <c r="L402" i="13"/>
  <c r="L403" i="13"/>
  <c r="L404" i="13"/>
  <c r="L405" i="13"/>
  <c r="L406" i="13"/>
  <c r="L407" i="13"/>
  <c r="L408" i="13"/>
  <c r="L409" i="13"/>
  <c r="L410" i="13"/>
  <c r="L411" i="13"/>
  <c r="L412" i="13"/>
  <c r="L413" i="13"/>
  <c r="L414" i="13"/>
  <c r="L415" i="13"/>
  <c r="L416" i="13"/>
  <c r="L417" i="13"/>
  <c r="L418" i="13"/>
  <c r="L419" i="13"/>
  <c r="L420" i="13"/>
  <c r="L421" i="13"/>
  <c r="L422" i="13"/>
  <c r="L423" i="13"/>
  <c r="L424" i="13"/>
  <c r="L425" i="13"/>
  <c r="L426" i="13"/>
  <c r="L427" i="13"/>
  <c r="L428" i="13"/>
  <c r="L429" i="13"/>
  <c r="L430" i="13"/>
  <c r="L431" i="13"/>
  <c r="L432" i="13"/>
  <c r="L433" i="13"/>
  <c r="L434" i="13"/>
  <c r="L435" i="13"/>
  <c r="L436" i="13"/>
  <c r="L437" i="13"/>
  <c r="L438" i="13"/>
  <c r="L439" i="13"/>
  <c r="L440" i="13"/>
  <c r="L441" i="13"/>
  <c r="L442" i="13"/>
  <c r="L443" i="13"/>
  <c r="L444" i="13"/>
  <c r="L445" i="13"/>
  <c r="L446" i="13"/>
  <c r="L447" i="13"/>
  <c r="L448" i="13"/>
  <c r="L449" i="13"/>
  <c r="L450" i="13"/>
  <c r="L451" i="13"/>
  <c r="L452" i="13"/>
  <c r="L453" i="13"/>
  <c r="L454" i="13"/>
  <c r="L455" i="13"/>
  <c r="L456" i="13"/>
  <c r="L457" i="13"/>
  <c r="L458" i="13"/>
  <c r="L459" i="13"/>
  <c r="L460" i="13"/>
  <c r="L461" i="13"/>
  <c r="L462" i="13"/>
  <c r="L463" i="13"/>
  <c r="L464" i="13"/>
  <c r="L465" i="13"/>
  <c r="L466" i="13"/>
  <c r="L467" i="13"/>
  <c r="L468" i="13"/>
  <c r="L469" i="13"/>
  <c r="L470" i="13"/>
  <c r="L471" i="13"/>
  <c r="L472" i="13"/>
  <c r="L473" i="13"/>
  <c r="L474" i="13"/>
  <c r="L475" i="13"/>
  <c r="L476" i="13"/>
  <c r="L477" i="13"/>
  <c r="L478" i="13"/>
  <c r="L479" i="13"/>
  <c r="L480" i="13"/>
  <c r="L481" i="13"/>
  <c r="L482" i="13"/>
  <c r="L483" i="13"/>
  <c r="L484" i="13"/>
  <c r="L485" i="13"/>
  <c r="L486" i="13"/>
  <c r="L487" i="13"/>
  <c r="L488" i="13"/>
  <c r="L489" i="13"/>
  <c r="L490" i="13"/>
  <c r="L491" i="13"/>
  <c r="L492" i="13"/>
  <c r="L493" i="13"/>
  <c r="L494" i="13"/>
  <c r="L495" i="13"/>
  <c r="L496" i="13"/>
  <c r="L497" i="13"/>
  <c r="L498" i="13"/>
  <c r="L499" i="13"/>
  <c r="L500" i="13"/>
  <c r="L501" i="13"/>
  <c r="L502" i="13"/>
  <c r="L503" i="13"/>
  <c r="L504" i="13"/>
  <c r="L505" i="13"/>
  <c r="L506" i="13"/>
  <c r="L507" i="13"/>
  <c r="L508" i="13"/>
  <c r="L509" i="13"/>
  <c r="L510" i="13"/>
  <c r="L511" i="13"/>
  <c r="L512" i="13"/>
  <c r="L513" i="13"/>
  <c r="L514" i="13"/>
  <c r="L515" i="13"/>
  <c r="L516" i="13"/>
  <c r="L517" i="13"/>
  <c r="L518" i="13"/>
  <c r="L519" i="13"/>
  <c r="L520" i="13"/>
  <c r="L521" i="13"/>
  <c r="L522" i="13"/>
  <c r="L523" i="13"/>
  <c r="L524" i="13"/>
  <c r="L525" i="13"/>
  <c r="L526" i="13"/>
  <c r="L527" i="13"/>
  <c r="L528" i="13"/>
  <c r="L529" i="13"/>
  <c r="L530" i="13"/>
  <c r="L531" i="13"/>
  <c r="L532" i="13"/>
  <c r="L533" i="13"/>
  <c r="L534" i="13"/>
  <c r="L535" i="13"/>
  <c r="L536" i="13"/>
  <c r="L537" i="13"/>
  <c r="L538" i="13"/>
  <c r="L539" i="13"/>
  <c r="L540" i="13"/>
  <c r="L541" i="13"/>
  <c r="L542" i="13"/>
  <c r="L543" i="13"/>
  <c r="L544" i="13"/>
  <c r="L545" i="13"/>
  <c r="L546" i="13"/>
  <c r="L547" i="13"/>
  <c r="L548" i="13"/>
  <c r="L549" i="13"/>
  <c r="L550" i="13"/>
  <c r="L551" i="13"/>
  <c r="L552" i="13"/>
  <c r="L553" i="13"/>
  <c r="L554" i="13"/>
  <c r="L555" i="13"/>
  <c r="L556" i="13"/>
  <c r="L557" i="13"/>
  <c r="L558" i="13"/>
  <c r="L559" i="13"/>
  <c r="L560" i="13"/>
  <c r="L561" i="13"/>
  <c r="L562" i="13"/>
  <c r="L563" i="13"/>
  <c r="L564" i="13"/>
  <c r="L565" i="13"/>
  <c r="L566" i="13"/>
  <c r="L567" i="13"/>
  <c r="L568" i="13"/>
  <c r="L569" i="13"/>
  <c r="L570" i="13"/>
  <c r="L571" i="13"/>
  <c r="L572" i="13"/>
  <c r="L573" i="13"/>
  <c r="L574" i="13"/>
  <c r="L575" i="13"/>
  <c r="L576" i="13"/>
  <c r="L577" i="13"/>
  <c r="L578" i="13"/>
  <c r="L579" i="13"/>
  <c r="L580" i="13"/>
  <c r="L581" i="13"/>
  <c r="L582" i="13"/>
  <c r="L583" i="13"/>
  <c r="L584" i="13"/>
  <c r="L585" i="13"/>
  <c r="L586" i="13"/>
  <c r="L587" i="13"/>
  <c r="L588" i="13"/>
  <c r="L589" i="13"/>
  <c r="L590" i="13"/>
  <c r="L591" i="13"/>
  <c r="L592" i="13"/>
  <c r="L593" i="13"/>
  <c r="L594" i="13"/>
  <c r="L595" i="13"/>
  <c r="L596" i="13"/>
  <c r="L597" i="13"/>
  <c r="L598" i="13"/>
  <c r="L599" i="13"/>
  <c r="L600" i="13"/>
  <c r="L601" i="13"/>
  <c r="L602" i="13"/>
  <c r="L603" i="13"/>
  <c r="L604" i="13"/>
  <c r="L605" i="13"/>
  <c r="L606" i="13"/>
  <c r="L607" i="13"/>
  <c r="L608" i="13"/>
  <c r="L609" i="13"/>
  <c r="L610" i="13"/>
  <c r="L611" i="13"/>
  <c r="L612" i="13"/>
  <c r="L613" i="13"/>
  <c r="L614" i="13"/>
  <c r="L615" i="13"/>
  <c r="L616" i="13"/>
  <c r="L617" i="13"/>
  <c r="L618" i="13"/>
  <c r="L619" i="13"/>
  <c r="L620" i="13"/>
  <c r="L621" i="13"/>
  <c r="L622" i="13"/>
  <c r="L623" i="13"/>
  <c r="L624" i="13"/>
  <c r="L625" i="13"/>
  <c r="L626" i="13"/>
  <c r="L627" i="13"/>
  <c r="L628" i="13"/>
  <c r="L629" i="13"/>
  <c r="L630" i="13"/>
  <c r="L631" i="13"/>
  <c r="L632" i="13"/>
  <c r="L633" i="13"/>
  <c r="L634" i="13"/>
  <c r="L635" i="13"/>
  <c r="L636" i="13"/>
  <c r="L637" i="13"/>
  <c r="L638" i="13"/>
  <c r="L639" i="13"/>
  <c r="L640" i="13"/>
  <c r="L641" i="13"/>
  <c r="L642" i="13"/>
  <c r="L643" i="13"/>
  <c r="L644" i="13"/>
  <c r="L645" i="13"/>
  <c r="L646" i="13"/>
  <c r="L647" i="13"/>
  <c r="L648" i="13"/>
  <c r="L649" i="13"/>
  <c r="L650" i="13"/>
  <c r="L651" i="13"/>
  <c r="L652" i="13"/>
  <c r="L653" i="13"/>
  <c r="L654" i="13"/>
  <c r="L655" i="13"/>
  <c r="L656" i="13"/>
  <c r="L657" i="13"/>
  <c r="L658" i="13"/>
  <c r="L659" i="13"/>
  <c r="L660" i="13"/>
  <c r="L661" i="13"/>
  <c r="L662" i="13"/>
  <c r="L663" i="13"/>
  <c r="L664" i="13"/>
  <c r="L665" i="13"/>
  <c r="L666" i="13"/>
  <c r="L667" i="13"/>
  <c r="L668" i="13"/>
  <c r="L669" i="13"/>
  <c r="L670" i="13"/>
  <c r="L671" i="13"/>
  <c r="L672" i="13"/>
  <c r="L673" i="13"/>
  <c r="L674" i="13"/>
  <c r="L675" i="13"/>
  <c r="L676" i="13"/>
  <c r="L677" i="13"/>
  <c r="L678" i="13"/>
  <c r="L679" i="13"/>
  <c r="L680" i="13"/>
  <c r="L681" i="13"/>
  <c r="L682" i="13"/>
  <c r="L683" i="13"/>
  <c r="L684" i="13"/>
  <c r="L685" i="13"/>
  <c r="L686" i="13"/>
  <c r="L687" i="13"/>
  <c r="L688" i="13"/>
  <c r="L689" i="13"/>
  <c r="L690" i="13"/>
  <c r="L691" i="13"/>
  <c r="L692" i="13"/>
  <c r="L693" i="13"/>
  <c r="L694" i="13"/>
  <c r="L695" i="13"/>
  <c r="L696" i="13"/>
  <c r="L697" i="13"/>
  <c r="L698" i="13"/>
  <c r="L699" i="13"/>
  <c r="L700" i="13"/>
  <c r="L701" i="13"/>
  <c r="L702" i="13"/>
  <c r="L703" i="13"/>
  <c r="L704" i="13"/>
  <c r="L705" i="13"/>
  <c r="L706" i="13"/>
  <c r="L707" i="13"/>
  <c r="L708" i="13"/>
  <c r="L709" i="13"/>
  <c r="L710" i="13"/>
  <c r="L711" i="13"/>
  <c r="L712" i="13"/>
  <c r="L713" i="13"/>
  <c r="L714" i="13"/>
  <c r="L715" i="13"/>
  <c r="L716" i="13"/>
  <c r="L717" i="13"/>
  <c r="L718" i="13"/>
  <c r="L719" i="13"/>
  <c r="L720" i="13"/>
  <c r="L721" i="13"/>
  <c r="L722" i="13"/>
  <c r="L723" i="13"/>
  <c r="L724" i="13"/>
  <c r="L725" i="13"/>
  <c r="L726" i="13"/>
  <c r="L727" i="13"/>
  <c r="L728" i="13"/>
  <c r="L729" i="13"/>
  <c r="L730" i="13"/>
  <c r="L731" i="13"/>
  <c r="L732" i="13"/>
  <c r="L733" i="13"/>
  <c r="L734" i="13"/>
  <c r="L735" i="13"/>
  <c r="L736" i="13"/>
  <c r="L737" i="13"/>
  <c r="L738" i="13"/>
  <c r="L739" i="13"/>
  <c r="L740" i="13"/>
  <c r="L741" i="13"/>
  <c r="L742" i="13"/>
  <c r="L743" i="13"/>
  <c r="L744" i="13"/>
  <c r="L745" i="13"/>
  <c r="L746" i="13"/>
  <c r="L747" i="13"/>
  <c r="L748" i="13"/>
  <c r="L749" i="13"/>
  <c r="L750" i="13"/>
  <c r="L751" i="13"/>
  <c r="L752" i="13"/>
  <c r="L753" i="13"/>
  <c r="L754" i="13"/>
  <c r="L755" i="13"/>
  <c r="L756" i="13"/>
  <c r="L757" i="13"/>
  <c r="L758" i="13"/>
  <c r="L759" i="13"/>
  <c r="L760" i="13"/>
  <c r="L761" i="13"/>
  <c r="L762" i="13"/>
  <c r="L763" i="13"/>
  <c r="L764" i="13"/>
  <c r="L765" i="13"/>
  <c r="L766" i="13"/>
  <c r="L767" i="13"/>
  <c r="L768" i="13"/>
  <c r="L769" i="13"/>
  <c r="L770" i="13"/>
  <c r="L771" i="13"/>
  <c r="L772" i="13"/>
  <c r="L773" i="13"/>
  <c r="L774" i="13"/>
  <c r="L775" i="13"/>
  <c r="L776" i="13"/>
  <c r="L777" i="13"/>
  <c r="L778" i="13"/>
  <c r="L779" i="13"/>
  <c r="L780" i="13"/>
  <c r="L781" i="13"/>
  <c r="L782" i="13"/>
  <c r="L783" i="13"/>
  <c r="L784" i="13"/>
  <c r="L785" i="13"/>
  <c r="L786" i="13"/>
  <c r="L787" i="13"/>
  <c r="L788" i="13"/>
  <c r="L789" i="13"/>
  <c r="L790" i="13"/>
  <c r="L2" i="13"/>
  <c r="K2" i="13"/>
  <c r="K3" i="13"/>
  <c r="K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52" i="13"/>
  <c r="K53" i="13"/>
  <c r="K54" i="13"/>
  <c r="K55" i="13"/>
  <c r="K56" i="13"/>
  <c r="K57" i="13"/>
  <c r="K58" i="13"/>
  <c r="K59" i="13"/>
  <c r="K60" i="13"/>
  <c r="K61" i="13"/>
  <c r="K62" i="13"/>
  <c r="K63" i="13"/>
  <c r="K64" i="13"/>
  <c r="K65" i="13"/>
  <c r="K66" i="13"/>
  <c r="K67" i="13"/>
  <c r="K68" i="13"/>
  <c r="K69" i="13"/>
  <c r="K70" i="13"/>
  <c r="K71" i="13"/>
  <c r="K72" i="13"/>
  <c r="K73" i="13"/>
  <c r="K74" i="13"/>
  <c r="K75" i="13"/>
  <c r="K76" i="13"/>
  <c r="K77" i="13"/>
  <c r="K78" i="13"/>
  <c r="K79" i="13"/>
  <c r="K80" i="13"/>
  <c r="K81" i="13"/>
  <c r="K82" i="13"/>
  <c r="K83" i="13"/>
  <c r="K84" i="13"/>
  <c r="K85" i="13"/>
  <c r="K86" i="13"/>
  <c r="K87" i="13"/>
  <c r="K88" i="13"/>
  <c r="K89" i="13"/>
  <c r="K90" i="13"/>
  <c r="K91" i="13"/>
  <c r="K92" i="13"/>
  <c r="K93" i="13"/>
  <c r="K94" i="13"/>
  <c r="K95" i="13"/>
  <c r="K96" i="13"/>
  <c r="K97" i="13"/>
  <c r="K98" i="13"/>
  <c r="K99" i="13"/>
  <c r="K100" i="13"/>
  <c r="K101" i="13"/>
  <c r="K102" i="13"/>
  <c r="K103" i="13"/>
  <c r="K104" i="13"/>
  <c r="K105" i="13"/>
  <c r="K106" i="13"/>
  <c r="K107" i="13"/>
  <c r="K108" i="13"/>
  <c r="K109" i="13"/>
  <c r="K110" i="13"/>
  <c r="K111" i="13"/>
  <c r="K112" i="13"/>
  <c r="K113" i="13"/>
  <c r="K114" i="13"/>
  <c r="K115" i="13"/>
  <c r="K116" i="13"/>
  <c r="K117" i="13"/>
  <c r="K118" i="13"/>
  <c r="K119" i="13"/>
  <c r="K120" i="13"/>
  <c r="K121" i="13"/>
  <c r="K122" i="13"/>
  <c r="K123" i="13"/>
  <c r="K124" i="13"/>
  <c r="K125" i="13"/>
  <c r="K126" i="13"/>
  <c r="K127" i="13"/>
  <c r="K128" i="13"/>
  <c r="K129" i="13"/>
  <c r="K130" i="13"/>
  <c r="K131" i="13"/>
  <c r="K132" i="13"/>
  <c r="K133" i="13"/>
  <c r="K134" i="13"/>
  <c r="K135" i="13"/>
  <c r="K136" i="13"/>
  <c r="K137" i="13"/>
  <c r="K138" i="13"/>
  <c r="K139" i="13"/>
  <c r="K140" i="13"/>
  <c r="K141" i="13"/>
  <c r="K142" i="13"/>
  <c r="K143" i="13"/>
  <c r="K144" i="13"/>
  <c r="K145" i="13"/>
  <c r="K146" i="13"/>
  <c r="K147" i="13"/>
  <c r="K148" i="13"/>
  <c r="K149" i="13"/>
  <c r="K150" i="13"/>
  <c r="K151" i="13"/>
  <c r="K152" i="13"/>
  <c r="K153" i="13"/>
  <c r="K154" i="13"/>
  <c r="K155" i="13"/>
  <c r="K156" i="13"/>
  <c r="K157" i="13"/>
  <c r="K158" i="13"/>
  <c r="K159" i="13"/>
  <c r="K160" i="13"/>
  <c r="K161" i="13"/>
  <c r="K162" i="13"/>
  <c r="K163" i="13"/>
  <c r="K164" i="13"/>
  <c r="K165" i="13"/>
  <c r="K166" i="13"/>
  <c r="K167" i="13"/>
  <c r="K168" i="13"/>
  <c r="K169" i="13"/>
  <c r="K170" i="13"/>
  <c r="K171" i="13"/>
  <c r="K172" i="13"/>
  <c r="K173" i="13"/>
  <c r="K174" i="13"/>
  <c r="K175" i="13"/>
  <c r="K176" i="13"/>
  <c r="K177" i="13"/>
  <c r="K178" i="13"/>
  <c r="K179" i="13"/>
  <c r="K180" i="13"/>
  <c r="K181" i="13"/>
  <c r="K182" i="13"/>
  <c r="K183" i="13"/>
  <c r="K184" i="13"/>
  <c r="K185" i="13"/>
  <c r="K186" i="13"/>
  <c r="K187" i="13"/>
  <c r="K188" i="13"/>
  <c r="K189" i="13"/>
  <c r="K190" i="13"/>
  <c r="K191" i="13"/>
  <c r="K192" i="13"/>
  <c r="K193" i="13"/>
  <c r="K194" i="13"/>
  <c r="K195" i="13"/>
  <c r="K196" i="13"/>
  <c r="K197" i="13"/>
  <c r="K198" i="13"/>
  <c r="K199" i="13"/>
  <c r="K200" i="13"/>
  <c r="K201" i="13"/>
  <c r="K202" i="13"/>
  <c r="K203" i="13"/>
  <c r="K204" i="13"/>
  <c r="K205" i="13"/>
  <c r="K206" i="13"/>
  <c r="K207" i="13"/>
  <c r="K208" i="13"/>
  <c r="K209" i="13"/>
  <c r="K210" i="13"/>
  <c r="K211" i="13"/>
  <c r="K212" i="13"/>
  <c r="K213" i="13"/>
  <c r="K214" i="13"/>
  <c r="K215" i="13"/>
  <c r="K216" i="13"/>
  <c r="K217" i="13"/>
  <c r="K218" i="13"/>
  <c r="K219" i="13"/>
  <c r="K220" i="13"/>
  <c r="K221" i="13"/>
  <c r="K222" i="13"/>
  <c r="K223" i="13"/>
  <c r="K224" i="13"/>
  <c r="K225" i="13"/>
  <c r="K226" i="13"/>
  <c r="K227" i="13"/>
  <c r="K228" i="13"/>
  <c r="K229" i="13"/>
  <c r="K230" i="13"/>
  <c r="K231" i="13"/>
  <c r="K232" i="13"/>
  <c r="K233" i="13"/>
  <c r="K234" i="13"/>
  <c r="K235" i="13"/>
  <c r="K236" i="13"/>
  <c r="K237" i="13"/>
  <c r="K238" i="13"/>
  <c r="K239" i="13"/>
  <c r="K240" i="13"/>
  <c r="K241" i="13"/>
  <c r="K242" i="13"/>
  <c r="K243" i="13"/>
  <c r="K244" i="13"/>
  <c r="K245" i="13"/>
  <c r="K246" i="13"/>
  <c r="K247" i="13"/>
  <c r="K248" i="13"/>
  <c r="K249" i="13"/>
  <c r="K250" i="13"/>
  <c r="K251" i="13"/>
  <c r="K252" i="13"/>
  <c r="K253" i="13"/>
  <c r="K254" i="13"/>
  <c r="K255" i="13"/>
  <c r="K256" i="13"/>
  <c r="K257" i="13"/>
  <c r="K258" i="13"/>
  <c r="K259" i="13"/>
  <c r="K260" i="13"/>
  <c r="K261" i="13"/>
  <c r="K262" i="13"/>
  <c r="K263" i="13"/>
  <c r="K264" i="13"/>
  <c r="K265" i="13"/>
  <c r="K266" i="13"/>
  <c r="K267" i="13"/>
  <c r="K268" i="13"/>
  <c r="K269" i="13"/>
  <c r="K270" i="13"/>
  <c r="K271" i="13"/>
  <c r="K272" i="13"/>
  <c r="K273" i="13"/>
  <c r="K274" i="13"/>
  <c r="K275" i="13"/>
  <c r="K276" i="13"/>
  <c r="K277" i="13"/>
  <c r="K278" i="13"/>
  <c r="K279" i="13"/>
  <c r="K280" i="13"/>
  <c r="K281" i="13"/>
  <c r="K282" i="13"/>
  <c r="K283" i="13"/>
  <c r="K284" i="13"/>
  <c r="K285" i="13"/>
  <c r="K286" i="13"/>
  <c r="K287" i="13"/>
  <c r="K288" i="13"/>
  <c r="K289" i="13"/>
  <c r="K290" i="13"/>
  <c r="K291" i="13"/>
  <c r="K292" i="13"/>
  <c r="K293" i="13"/>
  <c r="K294" i="13"/>
  <c r="K295" i="13"/>
  <c r="K296" i="13"/>
  <c r="K297" i="13"/>
  <c r="K298" i="13"/>
  <c r="K299" i="13"/>
  <c r="K300" i="13"/>
  <c r="K301" i="13"/>
  <c r="K302" i="13"/>
  <c r="K303" i="13"/>
  <c r="K304" i="13"/>
  <c r="K305" i="13"/>
  <c r="K306" i="13"/>
  <c r="K307" i="13"/>
  <c r="K308" i="13"/>
  <c r="K309" i="13"/>
  <c r="K310" i="13"/>
  <c r="K311" i="13"/>
  <c r="K312" i="13"/>
  <c r="K313" i="13"/>
  <c r="K314" i="13"/>
  <c r="K315" i="13"/>
  <c r="K316" i="13"/>
  <c r="K317" i="13"/>
  <c r="K318" i="13"/>
  <c r="K319" i="13"/>
  <c r="K320" i="13"/>
  <c r="K321" i="13"/>
  <c r="K322" i="13"/>
  <c r="K323" i="13"/>
  <c r="K324" i="13"/>
  <c r="K325" i="13"/>
  <c r="K326" i="13"/>
  <c r="K327" i="13"/>
  <c r="K328" i="13"/>
  <c r="K329" i="13"/>
  <c r="K330" i="13"/>
  <c r="K331" i="13"/>
  <c r="K332" i="13"/>
  <c r="K333" i="13"/>
  <c r="K334" i="13"/>
  <c r="K335" i="13"/>
  <c r="K336" i="13"/>
  <c r="K337" i="13"/>
  <c r="K338" i="13"/>
  <c r="K339" i="13"/>
  <c r="K340" i="13"/>
  <c r="K341" i="13"/>
  <c r="K342" i="13"/>
  <c r="K343" i="13"/>
  <c r="K344" i="13"/>
  <c r="K345" i="13"/>
  <c r="K346" i="13"/>
  <c r="K347" i="13"/>
  <c r="K348" i="13"/>
  <c r="K349" i="13"/>
  <c r="K350" i="13"/>
  <c r="K351" i="13"/>
  <c r="K352" i="13"/>
  <c r="K353" i="13"/>
  <c r="K354" i="13"/>
  <c r="K355" i="13"/>
  <c r="K356" i="13"/>
  <c r="K357" i="13"/>
  <c r="K358" i="13"/>
  <c r="K359" i="13"/>
  <c r="K360" i="13"/>
  <c r="K361" i="13"/>
  <c r="K362" i="13"/>
  <c r="K363" i="13"/>
  <c r="K364" i="13"/>
  <c r="K365" i="13"/>
  <c r="K366" i="13"/>
  <c r="K367" i="13"/>
  <c r="K368" i="13"/>
  <c r="K369" i="13"/>
  <c r="K370" i="13"/>
  <c r="K371" i="13"/>
  <c r="K372" i="13"/>
  <c r="K373" i="13"/>
  <c r="K374" i="13"/>
  <c r="K375" i="13"/>
  <c r="K376" i="13"/>
  <c r="K377" i="13"/>
  <c r="K378" i="13"/>
  <c r="K379" i="13"/>
  <c r="K380" i="13"/>
  <c r="K381" i="13"/>
  <c r="K382" i="13"/>
  <c r="K383" i="13"/>
  <c r="K384" i="13"/>
  <c r="K385" i="13"/>
  <c r="K386" i="13"/>
  <c r="K387" i="13"/>
  <c r="K388" i="13"/>
  <c r="K389" i="13"/>
  <c r="K390" i="13"/>
  <c r="K391" i="13"/>
  <c r="K392" i="13"/>
  <c r="K393" i="13"/>
  <c r="K394" i="13"/>
  <c r="K395" i="13"/>
  <c r="K396" i="13"/>
  <c r="K397" i="13"/>
  <c r="K398" i="13"/>
  <c r="K399" i="13"/>
  <c r="K400" i="13"/>
  <c r="K401" i="13"/>
  <c r="K402" i="13"/>
  <c r="K403" i="13"/>
  <c r="K404" i="13"/>
  <c r="K405" i="13"/>
  <c r="K406" i="13"/>
  <c r="K407" i="13"/>
  <c r="K408" i="13"/>
  <c r="K409" i="13"/>
  <c r="K410" i="13"/>
  <c r="K411" i="13"/>
  <c r="K412" i="13"/>
  <c r="K413" i="13"/>
  <c r="K414" i="13"/>
  <c r="K415" i="13"/>
  <c r="K416" i="13"/>
  <c r="K417" i="13"/>
  <c r="K418" i="13"/>
  <c r="K419" i="13"/>
  <c r="K420" i="13"/>
  <c r="K421" i="13"/>
  <c r="K422" i="13"/>
  <c r="K423" i="13"/>
  <c r="K424" i="13"/>
  <c r="K425" i="13"/>
  <c r="K426" i="13"/>
  <c r="K427" i="13"/>
  <c r="K428" i="13"/>
  <c r="K429" i="13"/>
  <c r="K430" i="13"/>
  <c r="K431" i="13"/>
  <c r="K432" i="13"/>
  <c r="K433" i="13"/>
  <c r="K434" i="13"/>
  <c r="K435" i="13"/>
  <c r="K436" i="13"/>
  <c r="K437" i="13"/>
  <c r="K438" i="13"/>
  <c r="K439" i="13"/>
  <c r="K440" i="13"/>
  <c r="K441" i="13"/>
  <c r="K442" i="13"/>
  <c r="K443" i="13"/>
  <c r="K444" i="13"/>
  <c r="K445" i="13"/>
  <c r="K446" i="13"/>
  <c r="K447" i="13"/>
  <c r="K448" i="13"/>
  <c r="K449" i="13"/>
  <c r="K450" i="13"/>
  <c r="K451" i="13"/>
  <c r="K452" i="13"/>
  <c r="K453" i="13"/>
  <c r="K454" i="13"/>
  <c r="K455" i="13"/>
  <c r="K456" i="13"/>
  <c r="K457" i="13"/>
  <c r="K458" i="13"/>
  <c r="K459" i="13"/>
  <c r="K460" i="13"/>
  <c r="K461" i="13"/>
  <c r="K462" i="13"/>
  <c r="K463" i="13"/>
  <c r="K464" i="13"/>
  <c r="K465" i="13"/>
  <c r="K466" i="13"/>
  <c r="K467" i="13"/>
  <c r="K468" i="13"/>
  <c r="K469" i="13"/>
  <c r="K470" i="13"/>
  <c r="K471" i="13"/>
  <c r="K472" i="13"/>
  <c r="K473" i="13"/>
  <c r="K474" i="13"/>
  <c r="K475" i="13"/>
  <c r="K476" i="13"/>
  <c r="K477" i="13"/>
  <c r="K478" i="13"/>
  <c r="K479" i="13"/>
  <c r="K480" i="13"/>
  <c r="K481" i="13"/>
  <c r="K482" i="13"/>
  <c r="K483" i="13"/>
  <c r="K484" i="13"/>
  <c r="K485" i="13"/>
  <c r="K486" i="13"/>
  <c r="K487" i="13"/>
  <c r="K488" i="13"/>
  <c r="K489" i="13"/>
  <c r="K490" i="13"/>
  <c r="K491" i="13"/>
  <c r="K492" i="13"/>
  <c r="K493" i="13"/>
  <c r="K494" i="13"/>
  <c r="K495" i="13"/>
  <c r="K496" i="13"/>
  <c r="K497" i="13"/>
  <c r="K498" i="13"/>
  <c r="K499" i="13"/>
  <c r="K500" i="13"/>
  <c r="K501" i="13"/>
  <c r="K502" i="13"/>
  <c r="K503" i="13"/>
  <c r="K504" i="13"/>
  <c r="K505" i="13"/>
  <c r="K506" i="13"/>
  <c r="K507" i="13"/>
  <c r="K508" i="13"/>
  <c r="K509" i="13"/>
  <c r="K510" i="13"/>
  <c r="K511" i="13"/>
  <c r="K512" i="13"/>
  <c r="K513" i="13"/>
  <c r="K514" i="13"/>
  <c r="K515" i="13"/>
  <c r="K516" i="13"/>
  <c r="K517" i="13"/>
  <c r="K518" i="13"/>
  <c r="K519" i="13"/>
  <c r="K520" i="13"/>
  <c r="K521" i="13"/>
  <c r="K522" i="13"/>
  <c r="K523" i="13"/>
  <c r="K524" i="13"/>
  <c r="K525" i="13"/>
  <c r="K526" i="13"/>
  <c r="K527" i="13"/>
  <c r="K528" i="13"/>
  <c r="K529" i="13"/>
  <c r="K530" i="13"/>
  <c r="K531" i="13"/>
  <c r="K532" i="13"/>
  <c r="K533" i="13"/>
  <c r="K534" i="13"/>
  <c r="K535" i="13"/>
  <c r="K536" i="13"/>
  <c r="K537" i="13"/>
  <c r="K538" i="13"/>
  <c r="K539" i="13"/>
  <c r="K540" i="13"/>
  <c r="K541" i="13"/>
  <c r="K542" i="13"/>
  <c r="K543" i="13"/>
  <c r="K544" i="13"/>
  <c r="K545" i="13"/>
  <c r="K546" i="13"/>
  <c r="K547" i="13"/>
  <c r="K548" i="13"/>
  <c r="K549" i="13"/>
  <c r="K550" i="13"/>
  <c r="K551" i="13"/>
  <c r="K552" i="13"/>
  <c r="K553" i="13"/>
  <c r="K554" i="13"/>
  <c r="K555" i="13"/>
  <c r="K556" i="13"/>
  <c r="K557" i="13"/>
  <c r="K558" i="13"/>
  <c r="K559" i="13"/>
  <c r="K560" i="13"/>
  <c r="K561" i="13"/>
  <c r="K562" i="13"/>
  <c r="K563" i="13"/>
  <c r="K564" i="13"/>
  <c r="K565" i="13"/>
  <c r="K566" i="13"/>
  <c r="K567" i="13"/>
  <c r="K568" i="13"/>
  <c r="K569" i="13"/>
  <c r="K570" i="13"/>
  <c r="K571" i="13"/>
  <c r="K572" i="13"/>
  <c r="K573" i="13"/>
  <c r="K574" i="13"/>
  <c r="K575" i="13"/>
  <c r="K576" i="13"/>
  <c r="K577" i="13"/>
  <c r="K578" i="13"/>
  <c r="K579" i="13"/>
  <c r="K580" i="13"/>
  <c r="K581" i="13"/>
  <c r="K582" i="13"/>
  <c r="K583" i="13"/>
  <c r="K584" i="13"/>
  <c r="K585" i="13"/>
  <c r="K586" i="13"/>
  <c r="K587" i="13"/>
  <c r="K588" i="13"/>
  <c r="K589" i="13"/>
  <c r="K590" i="13"/>
  <c r="K591" i="13"/>
  <c r="K592" i="13"/>
  <c r="K593" i="13"/>
  <c r="K594" i="13"/>
  <c r="K595" i="13"/>
  <c r="K596" i="13"/>
  <c r="K597" i="13"/>
  <c r="K598" i="13"/>
  <c r="K599" i="13"/>
  <c r="K600" i="13"/>
  <c r="K601" i="13"/>
  <c r="K602" i="13"/>
  <c r="K603" i="13"/>
  <c r="K604" i="13"/>
  <c r="K605" i="13"/>
  <c r="K606" i="13"/>
  <c r="K607" i="13"/>
  <c r="K608" i="13"/>
  <c r="K609" i="13"/>
  <c r="K610" i="13"/>
  <c r="K611" i="13"/>
  <c r="K612" i="13"/>
  <c r="K613" i="13"/>
  <c r="K614" i="13"/>
  <c r="K615" i="13"/>
  <c r="K616" i="13"/>
  <c r="K617" i="13"/>
  <c r="K618" i="13"/>
  <c r="K619" i="13"/>
  <c r="K620" i="13"/>
  <c r="K621" i="13"/>
  <c r="K622" i="13"/>
  <c r="K623" i="13"/>
  <c r="K624" i="13"/>
  <c r="K625" i="13"/>
  <c r="K626" i="13"/>
  <c r="K627" i="13"/>
  <c r="K628" i="13"/>
  <c r="K629" i="13"/>
  <c r="K630" i="13"/>
  <c r="K631" i="13"/>
  <c r="K632" i="13"/>
  <c r="K633" i="13"/>
  <c r="K634" i="13"/>
  <c r="K635" i="13"/>
  <c r="K636" i="13"/>
  <c r="K637" i="13"/>
  <c r="K638" i="13"/>
  <c r="K639" i="13"/>
  <c r="K640" i="13"/>
  <c r="K641" i="13"/>
  <c r="K642" i="13"/>
  <c r="K643" i="13"/>
  <c r="K644" i="13"/>
  <c r="K645" i="13"/>
  <c r="K646" i="13"/>
  <c r="K647" i="13"/>
  <c r="K648" i="13"/>
  <c r="K649" i="13"/>
  <c r="K650" i="13"/>
  <c r="K651" i="13"/>
  <c r="K652" i="13"/>
  <c r="K653" i="13"/>
  <c r="K654" i="13"/>
  <c r="K655" i="13"/>
  <c r="K656" i="13"/>
  <c r="K657" i="13"/>
  <c r="K658" i="13"/>
  <c r="K659" i="13"/>
  <c r="K660" i="13"/>
  <c r="K661" i="13"/>
  <c r="K662" i="13"/>
  <c r="K663" i="13"/>
  <c r="K664" i="13"/>
  <c r="K665" i="13"/>
  <c r="K666" i="13"/>
  <c r="K667" i="13"/>
  <c r="K668" i="13"/>
  <c r="K669" i="13"/>
  <c r="K670" i="13"/>
  <c r="K671" i="13"/>
  <c r="K672" i="13"/>
  <c r="K673" i="13"/>
  <c r="K674" i="13"/>
  <c r="K675" i="13"/>
  <c r="K676" i="13"/>
  <c r="K677" i="13"/>
  <c r="K678" i="13"/>
  <c r="K679" i="13"/>
  <c r="K680" i="13"/>
  <c r="K681" i="13"/>
  <c r="K682" i="13"/>
  <c r="K683" i="13"/>
  <c r="K684" i="13"/>
  <c r="K685" i="13"/>
  <c r="K686" i="13"/>
  <c r="K687" i="13"/>
  <c r="K688" i="13"/>
  <c r="K689" i="13"/>
  <c r="K690" i="13"/>
  <c r="K691" i="13"/>
  <c r="K692" i="13"/>
  <c r="K693" i="13"/>
  <c r="K694" i="13"/>
  <c r="K695" i="13"/>
  <c r="K696" i="13"/>
  <c r="K697" i="13"/>
  <c r="K698" i="13"/>
  <c r="K699" i="13"/>
  <c r="K700" i="13"/>
  <c r="K701" i="13"/>
  <c r="K702" i="13"/>
  <c r="K703" i="13"/>
  <c r="K704" i="13"/>
  <c r="K705" i="13"/>
  <c r="K706" i="13"/>
  <c r="K707" i="13"/>
  <c r="K708" i="13"/>
  <c r="K709" i="13"/>
  <c r="K710" i="13"/>
  <c r="K711" i="13"/>
  <c r="K712" i="13"/>
  <c r="K713" i="13"/>
  <c r="K714" i="13"/>
  <c r="K715" i="13"/>
  <c r="K716" i="13"/>
  <c r="K717" i="13"/>
  <c r="K718" i="13"/>
  <c r="K719" i="13"/>
  <c r="K720" i="13"/>
  <c r="K721" i="13"/>
  <c r="K722" i="13"/>
  <c r="K723" i="13"/>
  <c r="K724" i="13"/>
  <c r="K725" i="13"/>
  <c r="K726" i="13"/>
  <c r="K727" i="13"/>
  <c r="K728" i="13"/>
  <c r="K729" i="13"/>
  <c r="K730" i="13"/>
  <c r="K731" i="13"/>
  <c r="K732" i="13"/>
  <c r="K733" i="13"/>
  <c r="K734" i="13"/>
  <c r="K735" i="13"/>
  <c r="K736" i="13"/>
  <c r="K737" i="13"/>
  <c r="K738" i="13"/>
  <c r="K739" i="13"/>
  <c r="K740" i="13"/>
  <c r="K741" i="13"/>
  <c r="K742" i="13"/>
  <c r="K743" i="13"/>
  <c r="K744" i="13"/>
  <c r="K745" i="13"/>
  <c r="K746" i="13"/>
  <c r="K747" i="13"/>
  <c r="K748" i="13"/>
  <c r="K749" i="13"/>
  <c r="K750" i="13"/>
  <c r="K751" i="13"/>
  <c r="K752" i="13"/>
  <c r="K753" i="13"/>
  <c r="K754" i="13"/>
  <c r="K755" i="13"/>
  <c r="K756" i="13"/>
  <c r="K757" i="13"/>
  <c r="K758" i="13"/>
  <c r="K759" i="13"/>
  <c r="K760" i="13"/>
  <c r="K761" i="13"/>
  <c r="K762" i="13"/>
  <c r="K763" i="13"/>
  <c r="K764" i="13"/>
  <c r="K765" i="13"/>
  <c r="K766" i="13"/>
  <c r="K767" i="13"/>
  <c r="K768" i="13"/>
  <c r="K769" i="13"/>
  <c r="K770" i="13"/>
  <c r="K771" i="13"/>
  <c r="K772" i="13"/>
  <c r="K773" i="13"/>
  <c r="K774" i="13"/>
  <c r="K775" i="13"/>
  <c r="K776" i="13"/>
  <c r="K777" i="13"/>
  <c r="K778" i="13"/>
  <c r="K779" i="13"/>
  <c r="K780" i="13"/>
  <c r="K781" i="13"/>
  <c r="K782" i="13"/>
  <c r="K783" i="13"/>
  <c r="K784" i="13"/>
  <c r="K785" i="13"/>
  <c r="K786" i="13"/>
  <c r="K787" i="13"/>
  <c r="K788" i="13"/>
  <c r="K789" i="13"/>
  <c r="K790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<sst xmlns="http://schemas.openxmlformats.org/spreadsheetml/2006/main" count="6668" uniqueCount="302">
  <si>
    <t>JENumber</t>
  </si>
  <si>
    <t>GLAccountNumber</t>
  </si>
  <si>
    <t>EffectiveDate</t>
  </si>
  <si>
    <t>PreparerID</t>
  </si>
  <si>
    <t>Source</t>
  </si>
  <si>
    <t>BusinessUnit</t>
  </si>
  <si>
    <t>JEDescription</t>
  </si>
  <si>
    <t>Debit</t>
  </si>
  <si>
    <t>Credit</t>
  </si>
  <si>
    <t>Amount</t>
  </si>
  <si>
    <t>AccountType</t>
  </si>
  <si>
    <t>AccountClass</t>
  </si>
  <si>
    <t>GLAccountName</t>
  </si>
  <si>
    <t>POS</t>
  </si>
  <si>
    <t>HOTEL PANTRY</t>
  </si>
  <si>
    <t>CREDIT CARD RECEIPTS</t>
  </si>
  <si>
    <t/>
  </si>
  <si>
    <t>Assets</t>
  </si>
  <si>
    <t>Cash</t>
  </si>
  <si>
    <t>Operating Bank Account</t>
  </si>
  <si>
    <t>Revenue</t>
  </si>
  <si>
    <t>Sales-Other</t>
  </si>
  <si>
    <t>Sales - Other</t>
  </si>
  <si>
    <t>FOOD SERVICE</t>
  </si>
  <si>
    <t>Sales-Dining</t>
  </si>
  <si>
    <t>Sales - Dining Halls</t>
  </si>
  <si>
    <t>LUNA BAKING COMPANY</t>
  </si>
  <si>
    <t>Inventory</t>
  </si>
  <si>
    <t>Food Service Inventory</t>
  </si>
  <si>
    <t>CHECK</t>
  </si>
  <si>
    <t>HOUSEKEEPING</t>
  </si>
  <si>
    <t>PAYCHEX</t>
  </si>
  <si>
    <t>Liabilities</t>
  </si>
  <si>
    <t>Accrued Payroll</t>
  </si>
  <si>
    <t>Payroll Deductions Liability</t>
  </si>
  <si>
    <t>HOTEL</t>
  </si>
  <si>
    <t>ALSCO INC</t>
  </si>
  <si>
    <t>Accounts Payable</t>
  </si>
  <si>
    <t>SYSCO ATLANTA</t>
  </si>
  <si>
    <t>ROYAL FOOD SERVICE C</t>
  </si>
  <si>
    <t>GUESTSYS</t>
  </si>
  <si>
    <t>CASH RECEIPTS</t>
  </si>
  <si>
    <t>Other Enterprises</t>
  </si>
  <si>
    <t>HALPERNS' STEAK &amp; SE</t>
  </si>
  <si>
    <t>Sales-Hotel</t>
  </si>
  <si>
    <t>Rents - Hotels</t>
  </si>
  <si>
    <t>Hotel Pantry Inventory</t>
  </si>
  <si>
    <t>TROPICAL NUT &amp; FRUIT</t>
  </si>
  <si>
    <t>MAINTENANCE</t>
  </si>
  <si>
    <t>PARKING SERVICES OF AMERICA</t>
  </si>
  <si>
    <t>Expenses</t>
  </si>
  <si>
    <t>SG&amp;A</t>
  </si>
  <si>
    <t>Contracts</t>
  </si>
  <si>
    <t>SALAR-HSAM CHG</t>
  </si>
  <si>
    <t>PAYROLL (OVERTIME-REGULAR)</t>
  </si>
  <si>
    <t>SALAR-FICA CHG</t>
  </si>
  <si>
    <t>Payroll Taxes</t>
  </si>
  <si>
    <t>CASH RECEIPT</t>
  </si>
  <si>
    <t>Direct Expense</t>
  </si>
  <si>
    <t>Dues &amp; Memberships</t>
  </si>
  <si>
    <t>PAYROLL (SALARIED)</t>
  </si>
  <si>
    <t>Equipment Purchases 3000.00-4999.99</t>
  </si>
  <si>
    <t>SALAR-TRS</t>
  </si>
  <si>
    <t>Equipment - Audio/Visual</t>
  </si>
  <si>
    <t>Equipment - Non-Inventory</t>
  </si>
  <si>
    <t>SALAR-KPHM CHG</t>
  </si>
  <si>
    <t>SALAR-HDHP CHG</t>
  </si>
  <si>
    <t>Freight or Express Shipments</t>
  </si>
  <si>
    <t>SALAR-HMO CHG</t>
  </si>
  <si>
    <t>FEDEX</t>
  </si>
  <si>
    <t>General Office Supplies</t>
  </si>
  <si>
    <t>OFFICE DEPOT #1214</t>
  </si>
  <si>
    <t xml:space="preserve">FICA - OASDI               </t>
  </si>
  <si>
    <t>FREEBAIRN</t>
  </si>
  <si>
    <t>Advertising - General</t>
  </si>
  <si>
    <t>SALAR-PPO CHG</t>
  </si>
  <si>
    <t>KROGER 255</t>
  </si>
  <si>
    <t>US FOODS 5I</t>
  </si>
  <si>
    <t>A1 JANITOR SUPPL</t>
  </si>
  <si>
    <t>AMERICAN HOTEL REGIS</t>
  </si>
  <si>
    <t>CONFERENCE - FOOD SERVICE</t>
  </si>
  <si>
    <t>CONFERENCE - HOTEL</t>
  </si>
  <si>
    <t>STATE NATURAL GAS</t>
  </si>
  <si>
    <t>AMAZON MKTPLACE PMTS</t>
  </si>
  <si>
    <t>AMAZON.COM</t>
  </si>
  <si>
    <t>EMILY R ANDERSON P</t>
  </si>
  <si>
    <t>KROGER #428</t>
  </si>
  <si>
    <t>DINING JUN</t>
  </si>
  <si>
    <t>SOUTHEASTERN PAPER G</t>
  </si>
  <si>
    <t>OFFICEMAX/OFFICE DEP</t>
  </si>
  <si>
    <t>MANNING BROTHERS FOO</t>
  </si>
  <si>
    <t>MONTH-LIFE CHG</t>
  </si>
  <si>
    <t>JITTERY JOE'S WEBSTO</t>
  </si>
  <si>
    <t>MONTH-FICA CHG</t>
  </si>
  <si>
    <t>MONTH-HSAM CHG</t>
  </si>
  <si>
    <t>SYSCO FOOD SERVICES</t>
  </si>
  <si>
    <t>MONTH-TRS</t>
  </si>
  <si>
    <t>MONTH-HDHP CHG</t>
  </si>
  <si>
    <t>MONTH-ORP CHG</t>
  </si>
  <si>
    <t>MONTH-HMO CHG</t>
  </si>
  <si>
    <t>PAYROLL (MONTHLY)</t>
  </si>
  <si>
    <t>REGULAR JV</t>
  </si>
  <si>
    <t>OPER - GENERAL</t>
  </si>
  <si>
    <t>MONTHLY DEPRECIATION - BUILDINGS</t>
  </si>
  <si>
    <t>Plant, Property and Equipment</t>
  </si>
  <si>
    <t>Accumulated Depreciation - Building &amp; Improvements</t>
  </si>
  <si>
    <t>Depreciation Expense</t>
  </si>
  <si>
    <t>Depreciation Expense - Building</t>
  </si>
  <si>
    <t>MONTHLY DEPRECIATION - EQUIPMENT</t>
  </si>
  <si>
    <t>Accumulated Depreciation - Equipment</t>
  </si>
  <si>
    <t>Depreciation Expense - Equipment</t>
  </si>
  <si>
    <t>PAYROLL S/B JV</t>
  </si>
  <si>
    <t>70300-FS</t>
  </si>
  <si>
    <t>COGS-Food</t>
  </si>
  <si>
    <t>Cost of Goods Sold</t>
  </si>
  <si>
    <t>STAPLS71573084150000</t>
  </si>
  <si>
    <t>STAPLS71573073480000</t>
  </si>
  <si>
    <t>Other Expenses</t>
  </si>
  <si>
    <t>MONTH-KPHM CHG</t>
  </si>
  <si>
    <t>ONE PRICE DRY CLEANI</t>
  </si>
  <si>
    <t>NAVAJO MANUFACTURING</t>
  </si>
  <si>
    <t>Accounts Receivable</t>
  </si>
  <si>
    <t xml:space="preserve">Food Service Conference Accounts Receivable </t>
  </si>
  <si>
    <t>MOOD PANDORA</t>
  </si>
  <si>
    <t>TASTEMAKER MAGAZINE</t>
  </si>
  <si>
    <t>GENTRY,NIA</t>
  </si>
  <si>
    <t>JITTERY JOES</t>
  </si>
  <si>
    <t>EARTH FARE #300</t>
  </si>
  <si>
    <t>OUTLET SHIRTS</t>
  </si>
  <si>
    <t>HOTSCHEDULES ONLINE</t>
  </si>
  <si>
    <t>Telecommunications - Cellular</t>
  </si>
  <si>
    <t>MONTH-PPO CHG</t>
  </si>
  <si>
    <t>COURTESY PRODUCTS-WE</t>
  </si>
  <si>
    <t>DOORWAY ENTERPRISES</t>
  </si>
  <si>
    <t>UNIFORMS UNL64060094</t>
  </si>
  <si>
    <t>DYNAMIC SECU64605456</t>
  </si>
  <si>
    <t>FLAGPOLEINC</t>
  </si>
  <si>
    <t>Vending Operations</t>
  </si>
  <si>
    <t>Workmen Compensation</t>
  </si>
  <si>
    <t>Group Life Insurance</t>
  </si>
  <si>
    <t>Telecommunications - Other</t>
  </si>
  <si>
    <t>Payroll Expense</t>
  </si>
  <si>
    <t>Hourly Bi-Weekly</t>
  </si>
  <si>
    <t>341LBCLRL A</t>
  </si>
  <si>
    <t>340LBCLRL A</t>
  </si>
  <si>
    <t>THE WEBSTAURANT STOR</t>
  </si>
  <si>
    <t>Insurance - Employee Liability</t>
  </si>
  <si>
    <t>Equipment</t>
  </si>
  <si>
    <t>WAL-MART #2811</t>
  </si>
  <si>
    <t>Other Income</t>
  </si>
  <si>
    <t>Interest on Investment</t>
  </si>
  <si>
    <t>Interns</t>
  </si>
  <si>
    <t>341STUWKL A</t>
  </si>
  <si>
    <t>340STUWKL A</t>
  </si>
  <si>
    <t>Monthly Payroll</t>
  </si>
  <si>
    <t>Motor Vehicle Expenses</t>
  </si>
  <si>
    <t>Natural Gas</t>
  </si>
  <si>
    <t>Non-Employee Travel</t>
  </si>
  <si>
    <t>Other</t>
  </si>
  <si>
    <t>HOBBY LOBBY #320</t>
  </si>
  <si>
    <t>Other Equipment</t>
  </si>
  <si>
    <t>Other Per Diems</t>
  </si>
  <si>
    <t>Other Services</t>
  </si>
  <si>
    <t>CE FOOD SVC COGS - JUN 2016</t>
  </si>
  <si>
    <t>LACOSTE HOSP71459357</t>
  </si>
  <si>
    <t>Overtime</t>
  </si>
  <si>
    <t>70300-HP</t>
  </si>
  <si>
    <t>COGS-Hotel Pantry</t>
  </si>
  <si>
    <t>A1 BANNE67211121</t>
  </si>
  <si>
    <t>Overtime - Interns</t>
  </si>
  <si>
    <t>Postage</t>
  </si>
  <si>
    <t>MAILROOM JUN</t>
  </si>
  <si>
    <t>GRAPHICS JUN</t>
  </si>
  <si>
    <t>Printing - On Campus</t>
  </si>
  <si>
    <t>Publications</t>
  </si>
  <si>
    <t>SUPPLYWORKS CORP</t>
  </si>
  <si>
    <t>Registration Fees</t>
  </si>
  <si>
    <t>COMPEAT INC</t>
  </si>
  <si>
    <t>Reimbursable Expense</t>
  </si>
  <si>
    <t>Relocation Expenses - Nontaxable</t>
  </si>
  <si>
    <t>Relocation Expenses - Taxable</t>
  </si>
  <si>
    <t>Rents - Other Than Real Estate</t>
  </si>
  <si>
    <t>CONVENTIONSO75610368</t>
  </si>
  <si>
    <t>TRUE NORTH L63144780</t>
  </si>
  <si>
    <t>Repairs and Maintenance</t>
  </si>
  <si>
    <t>COPIES JUN</t>
  </si>
  <si>
    <t>MITEC 63880942</t>
  </si>
  <si>
    <t>YOUNG ENTERP63880398</t>
  </si>
  <si>
    <t>341CLRTCL A</t>
  </si>
  <si>
    <t>342CLRTCL A</t>
  </si>
  <si>
    <t>340CLRTCL A</t>
  </si>
  <si>
    <t>Retirement Benefits</t>
  </si>
  <si>
    <t>Retirement - 401k</t>
  </si>
  <si>
    <t>Retirement - Pension</t>
  </si>
  <si>
    <t>FICA - HI</t>
  </si>
  <si>
    <t>Advertising - HR</t>
  </si>
  <si>
    <t>CABLEVISION</t>
  </si>
  <si>
    <t>Salaried Bi-Weekly</t>
  </si>
  <si>
    <t>HEARTLAND FOOD PRODU</t>
  </si>
  <si>
    <t>DADE PAPER &amp;66842482</t>
  </si>
  <si>
    <t>Software</t>
  </si>
  <si>
    <t>Subscriptions</t>
  </si>
  <si>
    <t>RL SCHREIBER INC</t>
  </si>
  <si>
    <t>ONLINE TIE ORDER</t>
  </si>
  <si>
    <t>AMAZONPRIME MEMBERSH</t>
  </si>
  <si>
    <t>Supplies and Materials</t>
  </si>
  <si>
    <t>COOPERS COPY CENTER</t>
  </si>
  <si>
    <t>PURE WATER TECHNOLOG</t>
  </si>
  <si>
    <t>ZEP SALES &amp; 68668209</t>
  </si>
  <si>
    <t>SQ INDEPENDENT BAK</t>
  </si>
  <si>
    <t>INTERNATIONAL GOURME</t>
  </si>
  <si>
    <t>COLUMBIA COUNTY BOE</t>
  </si>
  <si>
    <t>TELECOM GTA JUN 2016</t>
  </si>
  <si>
    <t>Travel</t>
  </si>
  <si>
    <t>COCA-COLA ENTERPRIS</t>
  </si>
  <si>
    <t>Travel - Mileage</t>
  </si>
  <si>
    <t>ATLANTA FIXTURE SALE</t>
  </si>
  <si>
    <t>Unemployment Security</t>
  </si>
  <si>
    <t>Computers and Peripherals 100.00-499.99</t>
  </si>
  <si>
    <t>Conferences and Workshops</t>
  </si>
  <si>
    <t>HENDERSON,KENNY</t>
  </si>
  <si>
    <t>HODGES,CHAYA</t>
  </si>
  <si>
    <t>CENTRAL DUPLICATING</t>
  </si>
  <si>
    <t>COPELAND,MELODY</t>
  </si>
  <si>
    <t>SA647 CARD JUN</t>
  </si>
  <si>
    <t>MCCONNELL,MARCOS</t>
  </si>
  <si>
    <t>CAIN,HAVEN</t>
  </si>
  <si>
    <t>WILKERSON,ABBIGAIL</t>
  </si>
  <si>
    <t>SA649 CARD JUN</t>
  </si>
  <si>
    <t>MACIAS,MAKHI</t>
  </si>
  <si>
    <t>WHITE,GERALD</t>
  </si>
  <si>
    <t>BREAKFAST APR</t>
  </si>
  <si>
    <t>BREAKFAST FEB</t>
  </si>
  <si>
    <t>EITS NIS WO# 30963 -</t>
  </si>
  <si>
    <t>COLLIER,TOMAS</t>
  </si>
  <si>
    <t>HILL,JASE</t>
  </si>
  <si>
    <t>STATE FCCLA</t>
  </si>
  <si>
    <t>YU,FRIDA</t>
  </si>
  <si>
    <t>BLANKETS MAY</t>
  </si>
  <si>
    <t>EXPERIENT INC</t>
  </si>
  <si>
    <t>HOTEL REV SHR</t>
  </si>
  <si>
    <t>BEARD,JARED</t>
  </si>
  <si>
    <t>BECKER,HAZEL</t>
  </si>
  <si>
    <t>CE PANTRY SVC COGS - JUN 2016</t>
  </si>
  <si>
    <t>SWEETIE PIE BY SAVIE</t>
  </si>
  <si>
    <t>NELSON,MIRA</t>
  </si>
  <si>
    <t>THE BEVERAGE GOURMET</t>
  </si>
  <si>
    <t>Support Services</t>
  </si>
  <si>
    <t>LODGING MAYJU</t>
  </si>
  <si>
    <t>DISTR GRP C INT INC 6/30/16</t>
  </si>
  <si>
    <t>Petty Cash</t>
  </si>
  <si>
    <t>Prepaid Expenses</t>
  </si>
  <si>
    <t>Short-term Investments</t>
  </si>
  <si>
    <t>Other ST Assets</t>
  </si>
  <si>
    <t>Land and Improvements</t>
  </si>
  <si>
    <t>Buildings &amp; Building Improvements</t>
  </si>
  <si>
    <t>Other Short-term Liabilities</t>
  </si>
  <si>
    <t>Other ST Liabilities</t>
  </si>
  <si>
    <t>Payroll Liability</t>
  </si>
  <si>
    <t>Other Non-current Liabilities</t>
  </si>
  <si>
    <t>Other LT Liabilities</t>
  </si>
  <si>
    <t>Investment in Plant</t>
  </si>
  <si>
    <t>Equity</t>
  </si>
  <si>
    <t>Investments</t>
  </si>
  <si>
    <t>Retained Earnings</t>
  </si>
  <si>
    <t>Equipment - Computers &amp; Peripherals</t>
  </si>
  <si>
    <t>Consultant</t>
  </si>
  <si>
    <t>Telecommunications - Data</t>
  </si>
  <si>
    <t>Computer Charges</t>
  </si>
  <si>
    <t xml:space="preserve">Elizabeth Rees|Food Operations Manager       </t>
  </si>
  <si>
    <t>Victoria Simpson|Accounting Manager</t>
  </si>
  <si>
    <t xml:space="preserve">Brian Gibson|Assistant Manager            </t>
  </si>
  <si>
    <t xml:space="preserve">Carolyn Slater|Food Operations Manager       </t>
  </si>
  <si>
    <t xml:space="preserve">Alexander Knox|Assistant Manager            </t>
  </si>
  <si>
    <t>Yvonne Chapman|Catering Manager              </t>
  </si>
  <si>
    <t>Rodney Wilkins|Maintenance Supervisor</t>
  </si>
  <si>
    <t>Trevor Roberts|Housekeeping Supervisor       </t>
  </si>
  <si>
    <t>David Brown|Accounting Manager</t>
  </si>
  <si>
    <t>Gavin McGrath|Dining Commons Manager</t>
  </si>
  <si>
    <t>Group Health Insurance</t>
  </si>
  <si>
    <t>INTEREST</t>
  </si>
  <si>
    <t>INT INC 6/30/16</t>
  </si>
  <si>
    <t>DSI CONSTRUCTION</t>
  </si>
  <si>
    <t>MANNING BROTHERS FOOD</t>
  </si>
  <si>
    <t>ATLAS ENVIRO</t>
  </si>
  <si>
    <t>BusinessUnitID</t>
  </si>
  <si>
    <t>PreparerName</t>
  </si>
  <si>
    <t>SourceID</t>
  </si>
  <si>
    <t>CREDIT CARD RECEIPT</t>
  </si>
  <si>
    <t>PAYROLL JV</t>
  </si>
  <si>
    <t>PAYROLL MANUAL JV</t>
  </si>
  <si>
    <t>PURCHASE CARD</t>
  </si>
  <si>
    <t xml:space="preserve">Transactions related to guest rooms and overall hotel operations. Includes payroll for administrative staff, clerks and interns. </t>
  </si>
  <si>
    <t xml:space="preserve">Transactions related to the Housekeeping Department. Primarily includes payroll for housekeepers and housekeeping supplies. </t>
  </si>
  <si>
    <t>Transactions related to the hotel convenience store, including some food and beverage costs.</t>
  </si>
  <si>
    <t xml:space="preserve">Transactions related to food and beverage service. Includes all guest transactions in the hotel restaurants, catering-related transactions and food service payroll. </t>
  </si>
  <si>
    <t>Transactions related to the hotel Maintenance Department. Primarily includes payroll for maintenance, grounds keepers and related supplies.</t>
  </si>
  <si>
    <t>Interest from the cash operations account.</t>
  </si>
  <si>
    <t>Transactions related to corporate accounting functions, e.g., monthly depreciation entries.</t>
  </si>
  <si>
    <t>Transactions related to payroll for employees.</t>
  </si>
  <si>
    <t>BUDescription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</si>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</sst>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left"/>
    </xf>
    <xf numFmtId="4" fontId="0" fillId="0" borderId="0" xfId="1" applyNumberFormat="1" applyFont="1" applyFill="1"/>
    <xf numFmtId="14" fontId="2" fillId="0" borderId="0" xfId="0" applyNumberFormat="1" applyFont="1"/>
    <xf numFmtId="2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1" fontId="0" fillId="0" borderId="0" xfId="0" applyNumberFormat="1"/>
  </cellXfs>
  <cellStyles count="2">
    <cellStyle name="Comma" xfId="1" builtinId="3"/>
    <cellStyle name="Normal" xfId="0" builtinId="0"/>
  </cellStyles>
  <dxfs count="3">
    <dxf>
      <alignment horizontal="general" vertical="bottom" textRotation="0" wrapText="1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BF7D1D83-53B8-4CE7-BA99-CD984F8A095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1D94A8-EB68-4CFD-8B78-952AA4BF8C9A}" name="Table1" displayName="Table1" ref="A1:C9" totalsRowShown="0">
  <autoFilter ref="A1:C9" xr:uid="{E51D94A8-EB68-4CFD-8B78-952AA4BF8C9A}"/>
  <tableColumns count="3">
    <tableColumn id="1" xr3:uid="{B28D1D1F-8518-4604-8E5B-28DE324083F9}" name="BusinessUnitID" dataDxfId="2"/>
    <tableColumn id="2" xr3:uid="{BC261865-3EE0-4311-BF89-859E163BFB91}" name="BusinessUnit" dataDxfId="1"/>
    <tableColumn id="3" xr3:uid="{DFAEB43B-0E8B-4CA9-A002-13442EFD90DD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0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N13" sqref="N13"/>
    </sheetView>
  </sheetViews>
  <sheetFormatPr defaultColWidth="8.77734375" defaultRowHeight="14.4" x14ac:dyDescent="0.3"/>
  <cols>
    <col min="1" max="1" width="11.77734375" bestFit="1" customWidth="1"/>
    <col min="2" max="2" width="19.21875" bestFit="1" customWidth="1"/>
    <col min="3" max="3" width="15.44140625" bestFit="1" customWidth="1"/>
    <col min="4" max="4" width="9.77734375" style="2" bestFit="1" customWidth="1"/>
    <col min="5" max="5" width="8.21875" bestFit="1" customWidth="1"/>
    <col min="6" max="6" width="15" style="1" bestFit="1" customWidth="1"/>
    <col min="7" max="7" width="35.77734375" bestFit="1" customWidth="1"/>
    <col min="8" max="8" width="10.21875" style="4" bestFit="1" customWidth="1"/>
    <col min="9" max="10" width="11" style="4" bestFit="1" customWidth="1"/>
  </cols>
  <sheetData>
    <row r="1" spans="1:10" x14ac:dyDescent="0.3">
      <c r="A1" t="s">
        <v>0</v>
      </c>
      <c r="B1" t="s">
        <v>1</v>
      </c>
      <c r="C1" t="s">
        <v>285</v>
      </c>
      <c r="D1" s="2" t="s">
        <v>3</v>
      </c>
      <c r="E1" t="s">
        <v>287</v>
      </c>
      <c r="F1" s="1" t="s">
        <v>2</v>
      </c>
      <c r="G1" t="s">
        <v>6</v>
      </c>
      <c r="H1" s="4" t="s">
        <v>7</v>
      </c>
      <c r="I1" s="4" t="s">
        <v>8</v>
      </c>
      <c r="J1" s="4" t="s">
        <v>9</v>
      </c>
    </row>
    <row r="2" spans="1:10" ht="14.55" customHeight="1" x14ac:dyDescent="0.3">
      <c r="A2" s="3">
        <v>2033520</v>
      </c>
      <c r="B2">
        <v>76930</v>
      </c>
      <c r="C2">
        <v>1</v>
      </c>
      <c r="D2" s="9">
        <v>101</v>
      </c>
      <c r="E2">
        <v>1002</v>
      </c>
      <c r="F2" s="1">
        <v>44002</v>
      </c>
      <c r="G2" t="s">
        <v>212</v>
      </c>
      <c r="H2" s="4">
        <v>36.9</v>
      </c>
      <c r="I2" s="4" t="s">
        <v>16</v>
      </c>
      <c r="J2" s="4">
        <v>36.9</v>
      </c>
    </row>
    <row r="3" spans="1:10" ht="14.55" customHeight="1" x14ac:dyDescent="0.3">
      <c r="A3" s="3">
        <v>2033520</v>
      </c>
      <c r="B3">
        <v>11845</v>
      </c>
      <c r="C3">
        <v>1</v>
      </c>
      <c r="D3" s="9">
        <v>101</v>
      </c>
      <c r="E3">
        <v>1002</v>
      </c>
      <c r="F3" s="1">
        <v>44002</v>
      </c>
      <c r="G3" t="s">
        <v>212</v>
      </c>
      <c r="H3" s="4" t="s">
        <v>16</v>
      </c>
      <c r="I3" s="4">
        <v>-36.9</v>
      </c>
      <c r="J3" s="4">
        <v>-36.9</v>
      </c>
    </row>
    <row r="4" spans="1:10" ht="14.55" customHeight="1" x14ac:dyDescent="0.3">
      <c r="A4" s="3">
        <v>2033521</v>
      </c>
      <c r="B4">
        <v>11845</v>
      </c>
      <c r="C4">
        <v>3</v>
      </c>
      <c r="D4" s="9">
        <v>102</v>
      </c>
      <c r="E4">
        <v>1001</v>
      </c>
      <c r="F4" s="1">
        <v>44002</v>
      </c>
      <c r="G4" t="s">
        <v>41</v>
      </c>
      <c r="H4" s="4">
        <v>63.1</v>
      </c>
      <c r="I4" s="4" t="s">
        <v>16</v>
      </c>
      <c r="J4" s="4">
        <v>63.1</v>
      </c>
    </row>
    <row r="5" spans="1:10" ht="14.55" customHeight="1" x14ac:dyDescent="0.3">
      <c r="A5" s="3">
        <v>2033521</v>
      </c>
      <c r="B5">
        <v>43440</v>
      </c>
      <c r="C5">
        <v>3</v>
      </c>
      <c r="D5" s="9">
        <v>102</v>
      </c>
      <c r="E5">
        <v>1001</v>
      </c>
      <c r="F5" s="1">
        <v>44002</v>
      </c>
      <c r="G5" t="s">
        <v>41</v>
      </c>
      <c r="H5" s="4" t="s">
        <v>16</v>
      </c>
      <c r="I5" s="4">
        <v>-63.1</v>
      </c>
      <c r="J5" s="4">
        <v>-63.1</v>
      </c>
    </row>
    <row r="6" spans="1:10" ht="14.55" customHeight="1" x14ac:dyDescent="0.3">
      <c r="A6" s="3">
        <v>2033522</v>
      </c>
      <c r="B6">
        <v>11845</v>
      </c>
      <c r="C6">
        <v>1</v>
      </c>
      <c r="D6" s="9">
        <v>102</v>
      </c>
      <c r="E6">
        <v>1003</v>
      </c>
      <c r="F6" s="1">
        <v>44002</v>
      </c>
      <c r="G6" t="s">
        <v>15</v>
      </c>
      <c r="H6" s="4">
        <v>68.28</v>
      </c>
      <c r="I6" s="4" t="s">
        <v>16</v>
      </c>
      <c r="J6" s="4">
        <v>68.28</v>
      </c>
    </row>
    <row r="7" spans="1:10" x14ac:dyDescent="0.3">
      <c r="A7" s="3">
        <v>2033522</v>
      </c>
      <c r="B7">
        <v>43310</v>
      </c>
      <c r="C7">
        <v>1</v>
      </c>
      <c r="D7" s="9">
        <v>102</v>
      </c>
      <c r="E7">
        <v>1003</v>
      </c>
      <c r="F7" s="1">
        <v>44002</v>
      </c>
      <c r="G7" t="s">
        <v>15</v>
      </c>
      <c r="H7" s="4" t="s">
        <v>16</v>
      </c>
      <c r="I7" s="4">
        <v>-68.28</v>
      </c>
      <c r="J7" s="4">
        <v>-68.28</v>
      </c>
    </row>
    <row r="8" spans="1:10" x14ac:dyDescent="0.3">
      <c r="A8" s="3">
        <v>2033523</v>
      </c>
      <c r="B8">
        <v>11845</v>
      </c>
      <c r="C8">
        <v>2</v>
      </c>
      <c r="D8" s="9">
        <v>106</v>
      </c>
      <c r="E8">
        <v>1003</v>
      </c>
      <c r="F8" s="1">
        <v>44002</v>
      </c>
      <c r="G8" t="s">
        <v>81</v>
      </c>
      <c r="H8" s="4">
        <v>99</v>
      </c>
      <c r="I8" s="4" t="s">
        <v>16</v>
      </c>
      <c r="J8" s="4">
        <v>99</v>
      </c>
    </row>
    <row r="9" spans="1:10" x14ac:dyDescent="0.3">
      <c r="A9" s="3">
        <v>2033523</v>
      </c>
      <c r="B9">
        <v>43180</v>
      </c>
      <c r="C9">
        <v>2</v>
      </c>
      <c r="D9" s="9">
        <v>106</v>
      </c>
      <c r="E9">
        <v>1003</v>
      </c>
      <c r="F9" s="1">
        <v>44002</v>
      </c>
      <c r="G9" t="s">
        <v>81</v>
      </c>
      <c r="H9" s="4" t="s">
        <v>16</v>
      </c>
      <c r="I9" s="4">
        <v>-99</v>
      </c>
      <c r="J9" s="4">
        <v>-99</v>
      </c>
    </row>
    <row r="10" spans="1:10" x14ac:dyDescent="0.3">
      <c r="A10" s="3">
        <v>2033524</v>
      </c>
      <c r="B10">
        <v>11845</v>
      </c>
      <c r="C10">
        <v>3</v>
      </c>
      <c r="D10" s="9">
        <v>102</v>
      </c>
      <c r="E10">
        <v>1003</v>
      </c>
      <c r="F10" s="1">
        <v>44002</v>
      </c>
      <c r="G10" t="s">
        <v>15</v>
      </c>
      <c r="H10" s="4">
        <v>107.21</v>
      </c>
      <c r="I10" s="4" t="s">
        <v>16</v>
      </c>
      <c r="J10" s="4">
        <v>107.21</v>
      </c>
    </row>
    <row r="11" spans="1:10" x14ac:dyDescent="0.3">
      <c r="A11" s="3">
        <v>2033524</v>
      </c>
      <c r="B11">
        <v>43440</v>
      </c>
      <c r="C11">
        <v>3</v>
      </c>
      <c r="D11" s="9">
        <v>102</v>
      </c>
      <c r="E11">
        <v>1003</v>
      </c>
      <c r="F11" s="1">
        <v>44002</v>
      </c>
      <c r="G11" t="s">
        <v>15</v>
      </c>
      <c r="H11" s="4" t="s">
        <v>16</v>
      </c>
      <c r="I11" s="4">
        <v>-107.21</v>
      </c>
      <c r="J11" s="4">
        <v>-107.21</v>
      </c>
    </row>
    <row r="12" spans="1:10" x14ac:dyDescent="0.3">
      <c r="A12" s="3">
        <v>2033525</v>
      </c>
      <c r="B12">
        <v>11845</v>
      </c>
      <c r="C12">
        <v>2</v>
      </c>
      <c r="D12" s="9">
        <v>104</v>
      </c>
      <c r="E12">
        <v>1003</v>
      </c>
      <c r="F12" s="1">
        <v>44002</v>
      </c>
      <c r="G12" t="s">
        <v>220</v>
      </c>
      <c r="H12" s="4">
        <v>129</v>
      </c>
      <c r="I12" s="4" t="s">
        <v>16</v>
      </c>
      <c r="J12" s="4">
        <v>129</v>
      </c>
    </row>
    <row r="13" spans="1:10" x14ac:dyDescent="0.3">
      <c r="A13" s="3">
        <v>2033525</v>
      </c>
      <c r="B13">
        <v>43180</v>
      </c>
      <c r="C13">
        <v>2</v>
      </c>
      <c r="D13" s="9">
        <v>104</v>
      </c>
      <c r="E13">
        <v>1003</v>
      </c>
      <c r="F13" s="1">
        <v>44002</v>
      </c>
      <c r="G13" t="s">
        <v>220</v>
      </c>
      <c r="H13" s="4" t="s">
        <v>16</v>
      </c>
      <c r="I13" s="4">
        <v>-129</v>
      </c>
      <c r="J13" s="4">
        <v>-129</v>
      </c>
    </row>
    <row r="14" spans="1:10" x14ac:dyDescent="0.3">
      <c r="A14" s="3">
        <v>2033526</v>
      </c>
      <c r="B14">
        <v>11845</v>
      </c>
      <c r="C14">
        <v>2</v>
      </c>
      <c r="D14" s="9">
        <v>104</v>
      </c>
      <c r="E14">
        <v>1003</v>
      </c>
      <c r="F14" s="1">
        <v>44002</v>
      </c>
      <c r="G14" t="s">
        <v>125</v>
      </c>
      <c r="H14" s="4">
        <v>258</v>
      </c>
      <c r="I14" s="4" t="s">
        <v>16</v>
      </c>
      <c r="J14" s="4">
        <v>258</v>
      </c>
    </row>
    <row r="15" spans="1:10" x14ac:dyDescent="0.3">
      <c r="A15" s="3">
        <v>2033526</v>
      </c>
      <c r="B15">
        <v>43180</v>
      </c>
      <c r="C15">
        <v>2</v>
      </c>
      <c r="D15" s="9">
        <v>104</v>
      </c>
      <c r="E15">
        <v>1003</v>
      </c>
      <c r="F15" s="1">
        <v>44002</v>
      </c>
      <c r="G15" t="s">
        <v>125</v>
      </c>
      <c r="H15" s="4" t="s">
        <v>16</v>
      </c>
      <c r="I15" s="4">
        <v>-258</v>
      </c>
      <c r="J15" s="4">
        <v>-258</v>
      </c>
    </row>
    <row r="16" spans="1:10" x14ac:dyDescent="0.3">
      <c r="A16" s="3">
        <v>2033527</v>
      </c>
      <c r="B16">
        <v>11845</v>
      </c>
      <c r="C16">
        <v>2</v>
      </c>
      <c r="D16" s="9">
        <v>104</v>
      </c>
      <c r="E16">
        <v>1003</v>
      </c>
      <c r="F16" s="1">
        <v>44002</v>
      </c>
      <c r="G16" t="s">
        <v>221</v>
      </c>
      <c r="H16" s="4">
        <v>418</v>
      </c>
      <c r="I16" s="4" t="s">
        <v>16</v>
      </c>
      <c r="J16" s="4">
        <v>418</v>
      </c>
    </row>
    <row r="17" spans="1:10" x14ac:dyDescent="0.3">
      <c r="A17" s="3">
        <v>2033527</v>
      </c>
      <c r="B17">
        <v>43180</v>
      </c>
      <c r="C17">
        <v>2</v>
      </c>
      <c r="D17" s="9">
        <v>104</v>
      </c>
      <c r="E17">
        <v>1003</v>
      </c>
      <c r="F17" s="1">
        <v>44002</v>
      </c>
      <c r="G17" t="s">
        <v>221</v>
      </c>
      <c r="H17" s="4" t="s">
        <v>16</v>
      </c>
      <c r="I17" s="4">
        <v>-418</v>
      </c>
      <c r="J17" s="4">
        <v>-418</v>
      </c>
    </row>
    <row r="18" spans="1:10" x14ac:dyDescent="0.3">
      <c r="A18" s="3">
        <v>2033528</v>
      </c>
      <c r="B18">
        <v>71900</v>
      </c>
      <c r="C18">
        <v>1</v>
      </c>
      <c r="D18" s="9">
        <v>102</v>
      </c>
      <c r="E18">
        <v>1002</v>
      </c>
      <c r="F18" s="1">
        <v>44002</v>
      </c>
      <c r="G18" t="s">
        <v>36</v>
      </c>
      <c r="H18" s="4">
        <v>431.8</v>
      </c>
      <c r="I18" s="4" t="s">
        <v>16</v>
      </c>
      <c r="J18" s="4">
        <v>431.8</v>
      </c>
    </row>
    <row r="19" spans="1:10" x14ac:dyDescent="0.3">
      <c r="A19" s="3">
        <v>2033528</v>
      </c>
      <c r="B19">
        <v>11845</v>
      </c>
      <c r="C19">
        <v>1</v>
      </c>
      <c r="D19" s="9">
        <v>102</v>
      </c>
      <c r="E19">
        <v>1002</v>
      </c>
      <c r="F19" s="1">
        <v>44002</v>
      </c>
      <c r="G19" t="s">
        <v>36</v>
      </c>
      <c r="H19" s="4" t="s">
        <v>16</v>
      </c>
      <c r="I19" s="4">
        <v>-431.8</v>
      </c>
      <c r="J19" s="4">
        <v>-431.8</v>
      </c>
    </row>
    <row r="20" spans="1:10" x14ac:dyDescent="0.3">
      <c r="A20" s="3">
        <v>2033529</v>
      </c>
      <c r="B20">
        <v>11845</v>
      </c>
      <c r="C20">
        <v>1</v>
      </c>
      <c r="D20" s="9">
        <v>102</v>
      </c>
      <c r="E20">
        <v>1001</v>
      </c>
      <c r="F20" s="1">
        <v>44002</v>
      </c>
      <c r="G20" t="s">
        <v>41</v>
      </c>
      <c r="H20" s="4">
        <v>612.54</v>
      </c>
      <c r="I20" s="4" t="s">
        <v>16</v>
      </c>
      <c r="J20" s="4">
        <v>612.54</v>
      </c>
    </row>
    <row r="21" spans="1:10" x14ac:dyDescent="0.3">
      <c r="A21" s="3">
        <v>2033529</v>
      </c>
      <c r="B21">
        <v>43310</v>
      </c>
      <c r="C21">
        <v>1</v>
      </c>
      <c r="D21" s="9">
        <v>102</v>
      </c>
      <c r="E21">
        <v>1001</v>
      </c>
      <c r="F21" s="1">
        <v>44002</v>
      </c>
      <c r="G21" t="s">
        <v>41</v>
      </c>
      <c r="H21" s="4" t="s">
        <v>16</v>
      </c>
      <c r="I21" s="4">
        <v>-612.54</v>
      </c>
      <c r="J21" s="4">
        <v>-612.54</v>
      </c>
    </row>
    <row r="22" spans="1:10" x14ac:dyDescent="0.3">
      <c r="A22" s="3">
        <v>2033530</v>
      </c>
      <c r="B22">
        <v>76930</v>
      </c>
      <c r="C22">
        <v>2</v>
      </c>
      <c r="D22" s="9">
        <v>101</v>
      </c>
      <c r="E22">
        <v>1002</v>
      </c>
      <c r="F22" s="1">
        <v>44002</v>
      </c>
      <c r="G22" t="s">
        <v>212</v>
      </c>
      <c r="H22" s="4">
        <v>1015.21</v>
      </c>
      <c r="I22" s="4" t="s">
        <v>16</v>
      </c>
      <c r="J22" s="4">
        <v>1015.21</v>
      </c>
    </row>
    <row r="23" spans="1:10" x14ac:dyDescent="0.3">
      <c r="A23" s="3">
        <v>2033530</v>
      </c>
      <c r="B23">
        <v>11845</v>
      </c>
      <c r="C23">
        <v>2</v>
      </c>
      <c r="D23" s="9">
        <v>101</v>
      </c>
      <c r="E23">
        <v>1002</v>
      </c>
      <c r="F23" s="1">
        <v>44002</v>
      </c>
      <c r="G23" t="s">
        <v>212</v>
      </c>
      <c r="H23" s="4" t="s">
        <v>16</v>
      </c>
      <c r="I23" s="4">
        <v>-1015.21</v>
      </c>
      <c r="J23" s="4">
        <v>-1015.21</v>
      </c>
    </row>
    <row r="24" spans="1:10" x14ac:dyDescent="0.3">
      <c r="A24" s="3">
        <v>2033531</v>
      </c>
      <c r="B24">
        <v>11845</v>
      </c>
      <c r="C24">
        <v>1</v>
      </c>
      <c r="D24" s="9">
        <v>102</v>
      </c>
      <c r="E24">
        <v>1003</v>
      </c>
      <c r="F24" s="1">
        <v>44002</v>
      </c>
      <c r="G24" t="s">
        <v>15</v>
      </c>
      <c r="H24" s="4">
        <v>2157.2199999999998</v>
      </c>
      <c r="I24" s="4" t="s">
        <v>16</v>
      </c>
      <c r="J24" s="4">
        <v>2157.2199999999998</v>
      </c>
    </row>
    <row r="25" spans="1:10" x14ac:dyDescent="0.3">
      <c r="A25" s="3">
        <v>2033531</v>
      </c>
      <c r="B25">
        <v>43310</v>
      </c>
      <c r="C25">
        <v>1</v>
      </c>
      <c r="D25" s="9">
        <v>102</v>
      </c>
      <c r="E25">
        <v>1003</v>
      </c>
      <c r="F25" s="1">
        <v>44002</v>
      </c>
      <c r="G25" t="s">
        <v>15</v>
      </c>
      <c r="H25" s="4" t="s">
        <v>16</v>
      </c>
      <c r="I25" s="4">
        <v>-2157.2199999999998</v>
      </c>
      <c r="J25" s="4">
        <v>-2157.2199999999998</v>
      </c>
    </row>
    <row r="26" spans="1:10" x14ac:dyDescent="0.3">
      <c r="A26" s="3">
        <v>2033532</v>
      </c>
      <c r="B26">
        <v>11845</v>
      </c>
      <c r="C26">
        <v>1</v>
      </c>
      <c r="D26" s="9">
        <v>106</v>
      </c>
      <c r="E26">
        <v>1003</v>
      </c>
      <c r="F26" s="1">
        <v>44002</v>
      </c>
      <c r="G26" t="s">
        <v>80</v>
      </c>
      <c r="H26" s="4">
        <v>4503.3</v>
      </c>
      <c r="I26" s="4" t="s">
        <v>16</v>
      </c>
      <c r="J26" s="4">
        <v>4503.3</v>
      </c>
    </row>
    <row r="27" spans="1:10" x14ac:dyDescent="0.3">
      <c r="A27" s="3">
        <v>2033532</v>
      </c>
      <c r="B27">
        <v>43310</v>
      </c>
      <c r="C27">
        <v>1</v>
      </c>
      <c r="D27" s="9">
        <v>106</v>
      </c>
      <c r="E27">
        <v>1003</v>
      </c>
      <c r="F27" s="1">
        <v>44002</v>
      </c>
      <c r="G27" t="s">
        <v>80</v>
      </c>
      <c r="H27" s="4" t="s">
        <v>16</v>
      </c>
      <c r="I27" s="4">
        <v>-4503.3</v>
      </c>
      <c r="J27" s="4">
        <v>-4503.3</v>
      </c>
    </row>
    <row r="28" spans="1:10" x14ac:dyDescent="0.3">
      <c r="A28" s="3">
        <v>2033533</v>
      </c>
      <c r="B28">
        <v>11845</v>
      </c>
      <c r="C28">
        <v>2</v>
      </c>
      <c r="D28" s="9">
        <v>104</v>
      </c>
      <c r="E28">
        <v>1003</v>
      </c>
      <c r="F28" s="1">
        <v>44002</v>
      </c>
      <c r="G28" t="s">
        <v>15</v>
      </c>
      <c r="H28" s="4">
        <v>6197</v>
      </c>
      <c r="I28" s="4" t="s">
        <v>16</v>
      </c>
      <c r="J28" s="4">
        <v>6197</v>
      </c>
    </row>
    <row r="29" spans="1:10" x14ac:dyDescent="0.3">
      <c r="A29" s="3">
        <v>2033533</v>
      </c>
      <c r="B29">
        <v>43180</v>
      </c>
      <c r="C29">
        <v>2</v>
      </c>
      <c r="D29" s="9">
        <v>104</v>
      </c>
      <c r="E29">
        <v>1003</v>
      </c>
      <c r="F29" s="1">
        <v>44002</v>
      </c>
      <c r="G29" t="s">
        <v>15</v>
      </c>
      <c r="H29" s="4" t="s">
        <v>16</v>
      </c>
      <c r="I29" s="4">
        <v>-6197</v>
      </c>
      <c r="J29" s="4">
        <v>-6197</v>
      </c>
    </row>
    <row r="30" spans="1:10" x14ac:dyDescent="0.3">
      <c r="A30" s="3">
        <v>2033534</v>
      </c>
      <c r="B30">
        <v>71400</v>
      </c>
      <c r="C30">
        <v>2</v>
      </c>
      <c r="D30" s="9">
        <v>101</v>
      </c>
      <c r="E30">
        <v>1002</v>
      </c>
      <c r="F30" s="1">
        <v>44002</v>
      </c>
      <c r="G30" t="s">
        <v>49</v>
      </c>
      <c r="H30" s="4">
        <v>26770</v>
      </c>
      <c r="I30" s="4" t="s">
        <v>16</v>
      </c>
      <c r="J30" s="4">
        <v>26770</v>
      </c>
    </row>
    <row r="31" spans="1:10" x14ac:dyDescent="0.3">
      <c r="A31" s="3">
        <v>2033534</v>
      </c>
      <c r="B31">
        <v>11845</v>
      </c>
      <c r="C31">
        <v>2</v>
      </c>
      <c r="D31" s="9">
        <v>101</v>
      </c>
      <c r="E31">
        <v>1002</v>
      </c>
      <c r="F31" s="1">
        <v>44002</v>
      </c>
      <c r="G31" t="s">
        <v>49</v>
      </c>
      <c r="H31" s="4" t="s">
        <v>16</v>
      </c>
      <c r="I31" s="4">
        <v>-26770</v>
      </c>
      <c r="J31" s="4">
        <v>-26770</v>
      </c>
    </row>
    <row r="32" spans="1:10" x14ac:dyDescent="0.3">
      <c r="A32" s="3">
        <v>2033535</v>
      </c>
      <c r="B32">
        <v>11845</v>
      </c>
      <c r="C32">
        <v>3</v>
      </c>
      <c r="D32" s="9">
        <v>102</v>
      </c>
      <c r="E32">
        <v>1001</v>
      </c>
      <c r="F32" s="1">
        <v>44003</v>
      </c>
      <c r="G32" t="s">
        <v>41</v>
      </c>
      <c r="H32" s="4">
        <v>38.29</v>
      </c>
      <c r="I32" s="4" t="s">
        <v>16</v>
      </c>
      <c r="J32" s="4">
        <v>38.29</v>
      </c>
    </row>
    <row r="33" spans="1:10" x14ac:dyDescent="0.3">
      <c r="A33" s="3">
        <v>2033535</v>
      </c>
      <c r="B33">
        <v>43440</v>
      </c>
      <c r="C33">
        <v>3</v>
      </c>
      <c r="D33" s="9">
        <v>102</v>
      </c>
      <c r="E33">
        <v>1001</v>
      </c>
      <c r="F33" s="1">
        <v>44003</v>
      </c>
      <c r="G33" t="s">
        <v>41</v>
      </c>
      <c r="H33" s="4" t="s">
        <v>16</v>
      </c>
      <c r="I33" s="4">
        <v>-38.29</v>
      </c>
      <c r="J33" s="4">
        <v>-38.29</v>
      </c>
    </row>
    <row r="34" spans="1:10" x14ac:dyDescent="0.3">
      <c r="A34" s="3">
        <v>2033536</v>
      </c>
      <c r="B34">
        <v>11845</v>
      </c>
      <c r="C34">
        <v>3</v>
      </c>
      <c r="D34" s="9">
        <v>102</v>
      </c>
      <c r="E34">
        <v>1003</v>
      </c>
      <c r="F34" s="1">
        <v>44003</v>
      </c>
      <c r="G34" t="s">
        <v>15</v>
      </c>
      <c r="H34" s="4">
        <v>47.96</v>
      </c>
      <c r="I34" s="4" t="s">
        <v>16</v>
      </c>
      <c r="J34" s="4">
        <v>47.96</v>
      </c>
    </row>
    <row r="35" spans="1:10" x14ac:dyDescent="0.3">
      <c r="A35" s="3">
        <v>2033536</v>
      </c>
      <c r="B35">
        <v>43440</v>
      </c>
      <c r="C35">
        <v>3</v>
      </c>
      <c r="D35" s="9">
        <v>102</v>
      </c>
      <c r="E35">
        <v>1003</v>
      </c>
      <c r="F35" s="1">
        <v>44003</v>
      </c>
      <c r="G35" t="s">
        <v>15</v>
      </c>
      <c r="H35" s="4" t="s">
        <v>16</v>
      </c>
      <c r="I35" s="4">
        <v>-47.96</v>
      </c>
      <c r="J35" s="4">
        <v>-47.96</v>
      </c>
    </row>
    <row r="36" spans="1:10" x14ac:dyDescent="0.3">
      <c r="A36" s="3">
        <v>2033537</v>
      </c>
      <c r="B36">
        <v>14250</v>
      </c>
      <c r="C36">
        <v>3</v>
      </c>
      <c r="D36" s="9">
        <v>102</v>
      </c>
      <c r="E36">
        <v>1002</v>
      </c>
      <c r="F36" s="1">
        <v>44003</v>
      </c>
      <c r="G36" t="s">
        <v>47</v>
      </c>
      <c r="H36" s="4">
        <v>197.08</v>
      </c>
      <c r="I36" s="4" t="s">
        <v>16</v>
      </c>
      <c r="J36" s="4">
        <v>197.08</v>
      </c>
    </row>
    <row r="37" spans="1:10" x14ac:dyDescent="0.3">
      <c r="A37" s="3">
        <v>2033537</v>
      </c>
      <c r="B37">
        <v>11845</v>
      </c>
      <c r="C37">
        <v>3</v>
      </c>
      <c r="D37" s="9">
        <v>102</v>
      </c>
      <c r="E37">
        <v>1002</v>
      </c>
      <c r="F37" s="1">
        <v>44003</v>
      </c>
      <c r="G37" t="s">
        <v>47</v>
      </c>
      <c r="H37" s="4" t="s">
        <v>16</v>
      </c>
      <c r="I37" s="4">
        <v>-197.08</v>
      </c>
      <c r="J37" s="4">
        <v>-197.08</v>
      </c>
    </row>
    <row r="38" spans="1:10" x14ac:dyDescent="0.3">
      <c r="A38" s="3">
        <v>2033538</v>
      </c>
      <c r="B38">
        <v>72760</v>
      </c>
      <c r="C38">
        <v>6</v>
      </c>
      <c r="D38" s="9">
        <v>101</v>
      </c>
      <c r="E38">
        <v>1002</v>
      </c>
      <c r="F38" s="1">
        <v>44003</v>
      </c>
      <c r="G38" t="s">
        <v>135</v>
      </c>
      <c r="H38" s="4">
        <v>236.32</v>
      </c>
      <c r="I38" s="4" t="s">
        <v>16</v>
      </c>
      <c r="J38" s="4">
        <v>236.32</v>
      </c>
    </row>
    <row r="39" spans="1:10" x14ac:dyDescent="0.3">
      <c r="A39" s="3">
        <v>2033538</v>
      </c>
      <c r="B39">
        <v>11845</v>
      </c>
      <c r="C39">
        <v>6</v>
      </c>
      <c r="D39" s="9">
        <v>101</v>
      </c>
      <c r="E39">
        <v>1002</v>
      </c>
      <c r="F39" s="1">
        <v>44003</v>
      </c>
      <c r="G39" t="s">
        <v>135</v>
      </c>
      <c r="H39" s="4" t="s">
        <v>16</v>
      </c>
      <c r="I39" s="4">
        <v>-236.32</v>
      </c>
      <c r="J39" s="4">
        <v>-236.32</v>
      </c>
    </row>
    <row r="40" spans="1:10" x14ac:dyDescent="0.3">
      <c r="A40" s="3">
        <v>2033539</v>
      </c>
      <c r="B40">
        <v>72760</v>
      </c>
      <c r="C40">
        <v>6</v>
      </c>
      <c r="D40" s="9">
        <v>101</v>
      </c>
      <c r="E40">
        <v>1002</v>
      </c>
      <c r="F40" s="1">
        <v>44003</v>
      </c>
      <c r="G40" t="s">
        <v>135</v>
      </c>
      <c r="H40" s="4">
        <v>236.32</v>
      </c>
      <c r="I40" s="4" t="s">
        <v>16</v>
      </c>
      <c r="J40" s="4">
        <v>236.32</v>
      </c>
    </row>
    <row r="41" spans="1:10" x14ac:dyDescent="0.3">
      <c r="A41" s="3">
        <v>2033539</v>
      </c>
      <c r="B41">
        <v>11845</v>
      </c>
      <c r="C41">
        <v>6</v>
      </c>
      <c r="D41" s="9">
        <v>101</v>
      </c>
      <c r="E41">
        <v>1002</v>
      </c>
      <c r="F41" s="1">
        <v>44003</v>
      </c>
      <c r="G41" t="s">
        <v>135</v>
      </c>
      <c r="H41" s="4" t="s">
        <v>16</v>
      </c>
      <c r="I41" s="4">
        <v>-236.32</v>
      </c>
      <c r="J41" s="4">
        <v>-236.32</v>
      </c>
    </row>
    <row r="42" spans="1:10" x14ac:dyDescent="0.3">
      <c r="A42" s="3">
        <v>2033540</v>
      </c>
      <c r="B42">
        <v>14250</v>
      </c>
      <c r="C42">
        <v>3</v>
      </c>
      <c r="D42" s="9">
        <v>102</v>
      </c>
      <c r="E42">
        <v>1002</v>
      </c>
      <c r="F42" s="1">
        <v>44003</v>
      </c>
      <c r="G42" t="s">
        <v>214</v>
      </c>
      <c r="H42" s="4">
        <v>328.56</v>
      </c>
      <c r="I42" s="4" t="s">
        <v>16</v>
      </c>
      <c r="J42" s="4">
        <v>328.56</v>
      </c>
    </row>
    <row r="43" spans="1:10" x14ac:dyDescent="0.3">
      <c r="A43" s="3">
        <v>2033540</v>
      </c>
      <c r="B43">
        <v>11845</v>
      </c>
      <c r="C43">
        <v>3</v>
      </c>
      <c r="D43" s="9">
        <v>102</v>
      </c>
      <c r="E43">
        <v>1002</v>
      </c>
      <c r="F43" s="1">
        <v>44003</v>
      </c>
      <c r="G43" t="s">
        <v>214</v>
      </c>
      <c r="H43" s="4" t="s">
        <v>16</v>
      </c>
      <c r="I43" s="4">
        <v>-328.56</v>
      </c>
      <c r="J43" s="4">
        <v>-328.56</v>
      </c>
    </row>
    <row r="44" spans="1:10" x14ac:dyDescent="0.3">
      <c r="A44" s="3">
        <v>2033541</v>
      </c>
      <c r="B44">
        <v>11845</v>
      </c>
      <c r="C44">
        <v>1</v>
      </c>
      <c r="D44" s="9">
        <v>102</v>
      </c>
      <c r="E44">
        <v>1001</v>
      </c>
      <c r="F44" s="1">
        <v>44003</v>
      </c>
      <c r="G44" t="s">
        <v>41</v>
      </c>
      <c r="H44" s="4">
        <v>603.45000000000005</v>
      </c>
      <c r="I44" s="4" t="s">
        <v>16</v>
      </c>
      <c r="J44" s="4">
        <v>603.45000000000005</v>
      </c>
    </row>
    <row r="45" spans="1:10" x14ac:dyDescent="0.3">
      <c r="A45" s="3">
        <v>2033541</v>
      </c>
      <c r="B45">
        <v>43310</v>
      </c>
      <c r="C45">
        <v>1</v>
      </c>
      <c r="D45" s="9">
        <v>102</v>
      </c>
      <c r="E45">
        <v>1001</v>
      </c>
      <c r="F45" s="1">
        <v>44003</v>
      </c>
      <c r="G45" t="s">
        <v>41</v>
      </c>
      <c r="H45" s="4" t="s">
        <v>16</v>
      </c>
      <c r="I45" s="4">
        <v>-603.45000000000005</v>
      </c>
      <c r="J45" s="4">
        <v>-603.45000000000005</v>
      </c>
    </row>
    <row r="46" spans="1:10" x14ac:dyDescent="0.3">
      <c r="A46" s="3">
        <v>2033542</v>
      </c>
      <c r="B46">
        <v>11845</v>
      </c>
      <c r="C46">
        <v>1</v>
      </c>
      <c r="D46" s="9">
        <v>102</v>
      </c>
      <c r="E46">
        <v>1003</v>
      </c>
      <c r="F46" s="1">
        <v>44003</v>
      </c>
      <c r="G46" t="s">
        <v>15</v>
      </c>
      <c r="H46" s="4">
        <v>2422.96</v>
      </c>
      <c r="I46" s="4" t="s">
        <v>16</v>
      </c>
      <c r="J46" s="4">
        <v>2422.96</v>
      </c>
    </row>
    <row r="47" spans="1:10" x14ac:dyDescent="0.3">
      <c r="A47" s="3">
        <v>2033542</v>
      </c>
      <c r="B47">
        <v>43310</v>
      </c>
      <c r="C47">
        <v>1</v>
      </c>
      <c r="D47" s="9">
        <v>102</v>
      </c>
      <c r="E47">
        <v>1003</v>
      </c>
      <c r="F47" s="1">
        <v>44003</v>
      </c>
      <c r="G47" t="s">
        <v>15</v>
      </c>
      <c r="H47" s="4" t="s">
        <v>16</v>
      </c>
      <c r="I47" s="4">
        <v>-2422.96</v>
      </c>
      <c r="J47" s="4">
        <v>-2422.96</v>
      </c>
    </row>
    <row r="48" spans="1:10" x14ac:dyDescent="0.3">
      <c r="A48" s="3">
        <v>2033543</v>
      </c>
      <c r="B48">
        <v>11845</v>
      </c>
      <c r="C48">
        <v>2</v>
      </c>
      <c r="D48" s="9">
        <v>104</v>
      </c>
      <c r="E48">
        <v>1003</v>
      </c>
      <c r="F48" s="1">
        <v>44003</v>
      </c>
      <c r="G48" t="s">
        <v>15</v>
      </c>
      <c r="H48" s="4">
        <v>3400</v>
      </c>
      <c r="I48" s="4" t="s">
        <v>16</v>
      </c>
      <c r="J48" s="4">
        <v>3400</v>
      </c>
    </row>
    <row r="49" spans="1:10" x14ac:dyDescent="0.3">
      <c r="A49" s="3">
        <v>2033543</v>
      </c>
      <c r="B49">
        <v>43180</v>
      </c>
      <c r="C49">
        <v>2</v>
      </c>
      <c r="D49" s="9">
        <v>104</v>
      </c>
      <c r="E49">
        <v>1003</v>
      </c>
      <c r="F49" s="1">
        <v>44003</v>
      </c>
      <c r="G49" t="s">
        <v>15</v>
      </c>
      <c r="H49" s="4" t="s">
        <v>16</v>
      </c>
      <c r="I49" s="4">
        <v>-3400</v>
      </c>
      <c r="J49" s="4">
        <v>-3400</v>
      </c>
    </row>
    <row r="50" spans="1:10" x14ac:dyDescent="0.3">
      <c r="A50" s="3">
        <v>2033544</v>
      </c>
      <c r="B50">
        <v>16200</v>
      </c>
      <c r="C50">
        <v>2</v>
      </c>
      <c r="D50" s="9">
        <v>102</v>
      </c>
      <c r="E50">
        <v>1002</v>
      </c>
      <c r="F50" s="1">
        <v>44003</v>
      </c>
      <c r="G50" t="s">
        <v>284</v>
      </c>
      <c r="H50" s="4">
        <v>3000</v>
      </c>
      <c r="J50" s="4">
        <v>3000</v>
      </c>
    </row>
    <row r="51" spans="1:10" x14ac:dyDescent="0.3">
      <c r="A51" s="3">
        <v>2033544</v>
      </c>
      <c r="B51" s="2">
        <v>11845</v>
      </c>
      <c r="C51">
        <v>2</v>
      </c>
      <c r="D51" s="9">
        <v>102</v>
      </c>
      <c r="E51">
        <v>1002</v>
      </c>
      <c r="F51" s="1">
        <v>44003</v>
      </c>
      <c r="G51" t="s">
        <v>284</v>
      </c>
      <c r="I51" s="4">
        <v>-3000</v>
      </c>
      <c r="J51" s="4">
        <v>-3000</v>
      </c>
    </row>
    <row r="52" spans="1:10" x14ac:dyDescent="0.3">
      <c r="A52" s="3">
        <v>2033545</v>
      </c>
      <c r="B52">
        <v>71400</v>
      </c>
      <c r="C52">
        <v>1</v>
      </c>
      <c r="D52" s="9">
        <v>101</v>
      </c>
      <c r="E52">
        <v>1002</v>
      </c>
      <c r="F52" s="1">
        <v>44004</v>
      </c>
      <c r="G52" t="s">
        <v>222</v>
      </c>
      <c r="H52" s="4">
        <v>6.37</v>
      </c>
      <c r="I52" s="4" t="s">
        <v>16</v>
      </c>
      <c r="J52" s="4">
        <v>6.37</v>
      </c>
    </row>
    <row r="53" spans="1:10" x14ac:dyDescent="0.3">
      <c r="A53" s="3">
        <v>2033545</v>
      </c>
      <c r="B53">
        <v>11845</v>
      </c>
      <c r="C53">
        <v>1</v>
      </c>
      <c r="D53" s="9">
        <v>101</v>
      </c>
      <c r="E53">
        <v>1002</v>
      </c>
      <c r="F53" s="1">
        <v>44004</v>
      </c>
      <c r="G53" t="s">
        <v>222</v>
      </c>
      <c r="H53" s="4" t="s">
        <v>16</v>
      </c>
      <c r="I53" s="4">
        <v>-6.37</v>
      </c>
      <c r="J53" s="4">
        <v>-6.37</v>
      </c>
    </row>
    <row r="54" spans="1:10" x14ac:dyDescent="0.3">
      <c r="A54" s="3">
        <v>2033546</v>
      </c>
      <c r="B54">
        <v>11845</v>
      </c>
      <c r="C54">
        <v>1</v>
      </c>
      <c r="D54" s="9">
        <v>102</v>
      </c>
      <c r="E54">
        <v>1001</v>
      </c>
      <c r="F54" s="1">
        <v>44004</v>
      </c>
      <c r="G54" t="s">
        <v>223</v>
      </c>
      <c r="H54" s="4">
        <v>7.66</v>
      </c>
      <c r="I54" s="4" t="s">
        <v>16</v>
      </c>
      <c r="J54" s="4">
        <v>7.66</v>
      </c>
    </row>
    <row r="55" spans="1:10" x14ac:dyDescent="0.3">
      <c r="A55" s="3">
        <v>2033546</v>
      </c>
      <c r="B55">
        <v>43310</v>
      </c>
      <c r="C55">
        <v>1</v>
      </c>
      <c r="D55" s="9">
        <v>102</v>
      </c>
      <c r="E55">
        <v>1001</v>
      </c>
      <c r="F55" s="1">
        <v>44004</v>
      </c>
      <c r="G55" t="s">
        <v>223</v>
      </c>
      <c r="H55" s="4" t="s">
        <v>16</v>
      </c>
      <c r="I55" s="4">
        <v>-7.66</v>
      </c>
      <c r="J55" s="4">
        <v>-7.66</v>
      </c>
    </row>
    <row r="56" spans="1:10" x14ac:dyDescent="0.3">
      <c r="A56" s="3">
        <v>2033547</v>
      </c>
      <c r="B56">
        <v>11845</v>
      </c>
      <c r="C56">
        <v>3</v>
      </c>
      <c r="D56" s="9">
        <v>102</v>
      </c>
      <c r="E56">
        <v>1003</v>
      </c>
      <c r="F56" s="1">
        <v>44004</v>
      </c>
      <c r="G56" t="s">
        <v>15</v>
      </c>
      <c r="H56" s="4">
        <v>17.21</v>
      </c>
      <c r="I56" s="4" t="s">
        <v>16</v>
      </c>
      <c r="J56" s="4">
        <v>17.21</v>
      </c>
    </row>
    <row r="57" spans="1:10" x14ac:dyDescent="0.3">
      <c r="A57" s="3">
        <v>2033547</v>
      </c>
      <c r="B57">
        <v>43440</v>
      </c>
      <c r="C57">
        <v>3</v>
      </c>
      <c r="D57" s="9">
        <v>102</v>
      </c>
      <c r="E57">
        <v>1003</v>
      </c>
      <c r="F57" s="1">
        <v>44004</v>
      </c>
      <c r="G57" t="s">
        <v>15</v>
      </c>
      <c r="H57" s="4" t="s">
        <v>16</v>
      </c>
      <c r="I57" s="4">
        <v>-17.21</v>
      </c>
      <c r="J57" s="4">
        <v>-17.21</v>
      </c>
    </row>
    <row r="58" spans="1:10" x14ac:dyDescent="0.3">
      <c r="A58" s="3">
        <v>2033548</v>
      </c>
      <c r="B58">
        <v>11845</v>
      </c>
      <c r="C58">
        <v>1</v>
      </c>
      <c r="D58" s="9">
        <v>102</v>
      </c>
      <c r="E58">
        <v>1003</v>
      </c>
      <c r="F58" s="1">
        <v>44004</v>
      </c>
      <c r="G58" t="s">
        <v>15</v>
      </c>
      <c r="H58" s="4">
        <v>26.98</v>
      </c>
      <c r="I58" s="4" t="s">
        <v>16</v>
      </c>
      <c r="J58" s="4">
        <v>26.98</v>
      </c>
    </row>
    <row r="59" spans="1:10" x14ac:dyDescent="0.3">
      <c r="A59" s="3">
        <v>2033548</v>
      </c>
      <c r="B59">
        <v>43310</v>
      </c>
      <c r="C59">
        <v>1</v>
      </c>
      <c r="D59" s="9">
        <v>102</v>
      </c>
      <c r="E59">
        <v>1003</v>
      </c>
      <c r="F59" s="1">
        <v>44004</v>
      </c>
      <c r="G59" t="s">
        <v>15</v>
      </c>
      <c r="H59" s="4" t="s">
        <v>16</v>
      </c>
      <c r="I59" s="4">
        <v>-26.98</v>
      </c>
      <c r="J59" s="4">
        <v>-26.98</v>
      </c>
    </row>
    <row r="60" spans="1:10" x14ac:dyDescent="0.3">
      <c r="A60" s="3">
        <v>2033549</v>
      </c>
      <c r="B60">
        <v>71400</v>
      </c>
      <c r="C60">
        <v>2</v>
      </c>
      <c r="D60" s="9">
        <v>101</v>
      </c>
      <c r="E60">
        <v>1002</v>
      </c>
      <c r="F60" s="1">
        <v>44004</v>
      </c>
      <c r="G60" t="s">
        <v>224</v>
      </c>
      <c r="H60" s="4">
        <v>40</v>
      </c>
      <c r="I60" s="4" t="s">
        <v>16</v>
      </c>
      <c r="J60" s="4">
        <v>40</v>
      </c>
    </row>
    <row r="61" spans="1:10" x14ac:dyDescent="0.3">
      <c r="A61" s="3">
        <v>2033549</v>
      </c>
      <c r="B61">
        <v>11845</v>
      </c>
      <c r="C61">
        <v>2</v>
      </c>
      <c r="D61" s="9">
        <v>101</v>
      </c>
      <c r="E61">
        <v>1002</v>
      </c>
      <c r="F61" s="1">
        <v>44004</v>
      </c>
      <c r="G61" t="s">
        <v>224</v>
      </c>
      <c r="H61" s="4" t="s">
        <v>16</v>
      </c>
      <c r="I61" s="4">
        <v>-40</v>
      </c>
      <c r="J61" s="4">
        <v>-40</v>
      </c>
    </row>
    <row r="62" spans="1:10" x14ac:dyDescent="0.3">
      <c r="A62" s="3">
        <v>2033550</v>
      </c>
      <c r="B62">
        <v>71400</v>
      </c>
      <c r="C62">
        <v>1</v>
      </c>
      <c r="D62" s="9">
        <v>101</v>
      </c>
      <c r="E62">
        <v>1002</v>
      </c>
      <c r="F62" s="1">
        <v>44004</v>
      </c>
      <c r="G62" t="s">
        <v>222</v>
      </c>
      <c r="H62" s="4">
        <v>45</v>
      </c>
      <c r="I62" s="4" t="s">
        <v>16</v>
      </c>
      <c r="J62" s="4">
        <v>45</v>
      </c>
    </row>
    <row r="63" spans="1:10" x14ac:dyDescent="0.3">
      <c r="A63" s="3">
        <v>2033550</v>
      </c>
      <c r="B63">
        <v>11845</v>
      </c>
      <c r="C63">
        <v>1</v>
      </c>
      <c r="D63" s="9">
        <v>101</v>
      </c>
      <c r="E63">
        <v>1002</v>
      </c>
      <c r="F63" s="1">
        <v>44004</v>
      </c>
      <c r="G63" t="s">
        <v>222</v>
      </c>
      <c r="H63" s="4" t="s">
        <v>16</v>
      </c>
      <c r="I63" s="4">
        <v>-45</v>
      </c>
      <c r="J63" s="4">
        <v>-45</v>
      </c>
    </row>
    <row r="64" spans="1:10" x14ac:dyDescent="0.3">
      <c r="A64" s="3">
        <v>2033551</v>
      </c>
      <c r="B64">
        <v>11845</v>
      </c>
      <c r="C64">
        <v>3</v>
      </c>
      <c r="D64" s="9">
        <v>102</v>
      </c>
      <c r="E64">
        <v>1001</v>
      </c>
      <c r="F64" s="1">
        <v>44004</v>
      </c>
      <c r="G64" t="s">
        <v>41</v>
      </c>
      <c r="H64" s="4">
        <v>49.51</v>
      </c>
      <c r="I64" s="4" t="s">
        <v>16</v>
      </c>
      <c r="J64" s="4">
        <v>49.51</v>
      </c>
    </row>
    <row r="65" spans="1:10" x14ac:dyDescent="0.3">
      <c r="A65" s="3">
        <v>2033551</v>
      </c>
      <c r="B65">
        <v>43440</v>
      </c>
      <c r="C65">
        <v>3</v>
      </c>
      <c r="D65" s="9">
        <v>102</v>
      </c>
      <c r="E65">
        <v>1001</v>
      </c>
      <c r="F65" s="1">
        <v>44004</v>
      </c>
      <c r="G65" t="s">
        <v>41</v>
      </c>
      <c r="H65" s="4" t="s">
        <v>16</v>
      </c>
      <c r="I65" s="4">
        <v>-49.51</v>
      </c>
      <c r="J65" s="4">
        <v>-49.51</v>
      </c>
    </row>
    <row r="66" spans="1:10" x14ac:dyDescent="0.3">
      <c r="A66" s="3">
        <v>2033552</v>
      </c>
      <c r="B66">
        <v>72732</v>
      </c>
      <c r="C66">
        <v>1</v>
      </c>
      <c r="D66" s="9">
        <v>101</v>
      </c>
      <c r="E66">
        <v>1002</v>
      </c>
      <c r="F66" s="1">
        <v>44004</v>
      </c>
      <c r="G66" t="s">
        <v>69</v>
      </c>
      <c r="H66" s="4">
        <v>55</v>
      </c>
      <c r="I66" s="4" t="s">
        <v>16</v>
      </c>
      <c r="J66" s="4">
        <v>55</v>
      </c>
    </row>
    <row r="67" spans="1:10" x14ac:dyDescent="0.3">
      <c r="A67" s="3">
        <v>2033552</v>
      </c>
      <c r="B67">
        <v>11845</v>
      </c>
      <c r="C67">
        <v>1</v>
      </c>
      <c r="D67" s="9">
        <v>101</v>
      </c>
      <c r="E67">
        <v>1002</v>
      </c>
      <c r="F67" s="1">
        <v>44004</v>
      </c>
      <c r="G67" t="s">
        <v>69</v>
      </c>
      <c r="H67" s="4" t="s">
        <v>16</v>
      </c>
      <c r="I67" s="4">
        <v>-55</v>
      </c>
      <c r="J67" s="4">
        <v>-55</v>
      </c>
    </row>
    <row r="68" spans="1:10" x14ac:dyDescent="0.3">
      <c r="A68" s="3">
        <v>2033553</v>
      </c>
      <c r="B68">
        <v>11845</v>
      </c>
      <c r="C68">
        <v>3</v>
      </c>
      <c r="D68" s="9">
        <v>102</v>
      </c>
      <c r="E68">
        <v>1003</v>
      </c>
      <c r="F68" s="1">
        <v>44004</v>
      </c>
      <c r="G68" t="s">
        <v>15</v>
      </c>
      <c r="H68" s="4">
        <v>58.02</v>
      </c>
      <c r="I68" s="4" t="s">
        <v>16</v>
      </c>
      <c r="J68" s="4">
        <v>58.02</v>
      </c>
    </row>
    <row r="69" spans="1:10" x14ac:dyDescent="0.3">
      <c r="A69" s="3">
        <v>2033553</v>
      </c>
      <c r="B69">
        <v>43440</v>
      </c>
      <c r="C69">
        <v>3</v>
      </c>
      <c r="D69" s="9">
        <v>102</v>
      </c>
      <c r="E69">
        <v>1003</v>
      </c>
      <c r="F69" s="1">
        <v>44004</v>
      </c>
      <c r="G69" t="s">
        <v>15</v>
      </c>
      <c r="H69" s="4" t="s">
        <v>16</v>
      </c>
      <c r="I69" s="4">
        <v>-58.02</v>
      </c>
      <c r="J69" s="4">
        <v>-58.02</v>
      </c>
    </row>
    <row r="70" spans="1:10" x14ac:dyDescent="0.3">
      <c r="A70" s="3">
        <v>2033554</v>
      </c>
      <c r="B70">
        <v>11845</v>
      </c>
      <c r="C70">
        <v>1</v>
      </c>
      <c r="D70" s="9">
        <v>102</v>
      </c>
      <c r="E70">
        <v>1003</v>
      </c>
      <c r="F70" s="1">
        <v>44004</v>
      </c>
      <c r="G70" t="s">
        <v>87</v>
      </c>
      <c r="H70" s="4">
        <v>80.239999999999995</v>
      </c>
      <c r="I70" s="4" t="s">
        <v>16</v>
      </c>
      <c r="J70" s="4">
        <v>80.239999999999995</v>
      </c>
    </row>
    <row r="71" spans="1:10" x14ac:dyDescent="0.3">
      <c r="A71" s="3">
        <v>2033554</v>
      </c>
      <c r="B71">
        <v>43310</v>
      </c>
      <c r="C71">
        <v>1</v>
      </c>
      <c r="D71" s="9">
        <v>102</v>
      </c>
      <c r="E71">
        <v>1003</v>
      </c>
      <c r="F71" s="1">
        <v>44004</v>
      </c>
      <c r="G71" t="s">
        <v>87</v>
      </c>
      <c r="H71" s="4" t="s">
        <v>16</v>
      </c>
      <c r="I71" s="4">
        <v>-80.239999999999995</v>
      </c>
      <c r="J71" s="4">
        <v>-80.239999999999995</v>
      </c>
    </row>
    <row r="72" spans="1:10" x14ac:dyDescent="0.3">
      <c r="A72" s="3">
        <v>2033555</v>
      </c>
      <c r="B72">
        <v>11845</v>
      </c>
      <c r="C72">
        <v>1</v>
      </c>
      <c r="D72" s="9">
        <v>102</v>
      </c>
      <c r="E72">
        <v>1003</v>
      </c>
      <c r="F72" s="1">
        <v>44004</v>
      </c>
      <c r="G72" t="s">
        <v>15</v>
      </c>
      <c r="H72" s="4">
        <v>91</v>
      </c>
      <c r="I72" s="4" t="s">
        <v>16</v>
      </c>
      <c r="J72" s="4">
        <v>91</v>
      </c>
    </row>
    <row r="73" spans="1:10" x14ac:dyDescent="0.3">
      <c r="A73" s="3">
        <v>2033555</v>
      </c>
      <c r="B73">
        <v>43310</v>
      </c>
      <c r="C73">
        <v>1</v>
      </c>
      <c r="D73" s="9">
        <v>102</v>
      </c>
      <c r="E73">
        <v>1003</v>
      </c>
      <c r="F73" s="1">
        <v>44004</v>
      </c>
      <c r="G73" t="s">
        <v>15</v>
      </c>
      <c r="H73" s="4" t="s">
        <v>16</v>
      </c>
      <c r="I73" s="4">
        <v>-91</v>
      </c>
      <c r="J73" s="4">
        <v>-91</v>
      </c>
    </row>
    <row r="74" spans="1:10" x14ac:dyDescent="0.3">
      <c r="A74" s="3">
        <v>2033556</v>
      </c>
      <c r="B74">
        <v>71400</v>
      </c>
      <c r="C74">
        <v>1</v>
      </c>
      <c r="D74" s="9">
        <v>101</v>
      </c>
      <c r="E74">
        <v>1002</v>
      </c>
      <c r="F74" s="1">
        <v>44004</v>
      </c>
      <c r="G74" t="s">
        <v>224</v>
      </c>
      <c r="H74" s="4">
        <v>100</v>
      </c>
      <c r="I74" s="4" t="s">
        <v>16</v>
      </c>
      <c r="J74" s="4">
        <v>100</v>
      </c>
    </row>
    <row r="75" spans="1:10" x14ac:dyDescent="0.3">
      <c r="A75" s="3">
        <v>2033556</v>
      </c>
      <c r="B75">
        <v>11845</v>
      </c>
      <c r="C75">
        <v>1</v>
      </c>
      <c r="D75" s="9">
        <v>101</v>
      </c>
      <c r="E75">
        <v>1002</v>
      </c>
      <c r="F75" s="1">
        <v>44004</v>
      </c>
      <c r="G75" t="s">
        <v>224</v>
      </c>
      <c r="H75" s="4" t="s">
        <v>16</v>
      </c>
      <c r="I75" s="4">
        <v>-100</v>
      </c>
      <c r="J75" s="4">
        <v>-100</v>
      </c>
    </row>
    <row r="76" spans="1:10" x14ac:dyDescent="0.3">
      <c r="A76" s="3">
        <v>2033557</v>
      </c>
      <c r="B76">
        <v>72702</v>
      </c>
      <c r="C76">
        <v>2</v>
      </c>
      <c r="D76" s="9">
        <v>101</v>
      </c>
      <c r="E76">
        <v>1002</v>
      </c>
      <c r="F76" s="1">
        <v>44004</v>
      </c>
      <c r="G76" t="s">
        <v>119</v>
      </c>
      <c r="H76" s="4">
        <v>111.15</v>
      </c>
      <c r="I76" s="4" t="s">
        <v>16</v>
      </c>
      <c r="J76" s="4">
        <v>111.15</v>
      </c>
    </row>
    <row r="77" spans="1:10" x14ac:dyDescent="0.3">
      <c r="A77" s="3">
        <v>2033557</v>
      </c>
      <c r="B77">
        <v>11845</v>
      </c>
      <c r="C77">
        <v>2</v>
      </c>
      <c r="D77" s="9">
        <v>101</v>
      </c>
      <c r="E77">
        <v>1002</v>
      </c>
      <c r="F77" s="1">
        <v>44004</v>
      </c>
      <c r="G77" t="s">
        <v>119</v>
      </c>
      <c r="H77" s="4" t="s">
        <v>16</v>
      </c>
      <c r="I77" s="4">
        <v>-111.15</v>
      </c>
      <c r="J77" s="4">
        <v>-111.15</v>
      </c>
    </row>
    <row r="78" spans="1:10" x14ac:dyDescent="0.3">
      <c r="A78" s="3">
        <v>2033558</v>
      </c>
      <c r="B78">
        <v>11845</v>
      </c>
      <c r="C78">
        <v>1</v>
      </c>
      <c r="D78" s="9">
        <v>106</v>
      </c>
      <c r="E78">
        <v>1003</v>
      </c>
      <c r="F78" s="1">
        <v>44004</v>
      </c>
      <c r="G78" t="s">
        <v>80</v>
      </c>
      <c r="H78" s="4">
        <v>138.16</v>
      </c>
      <c r="I78" s="4" t="s">
        <v>16</v>
      </c>
      <c r="J78" s="4">
        <v>138.16</v>
      </c>
    </row>
    <row r="79" spans="1:10" x14ac:dyDescent="0.3">
      <c r="A79" s="3">
        <v>2033558</v>
      </c>
      <c r="B79">
        <v>43310</v>
      </c>
      <c r="C79">
        <v>1</v>
      </c>
      <c r="D79" s="9">
        <v>106</v>
      </c>
      <c r="E79">
        <v>1003</v>
      </c>
      <c r="F79" s="1">
        <v>44004</v>
      </c>
      <c r="G79" t="s">
        <v>80</v>
      </c>
      <c r="H79" s="4" t="s">
        <v>16</v>
      </c>
      <c r="I79" s="4">
        <v>-138.16</v>
      </c>
      <c r="J79" s="4">
        <v>-138.16</v>
      </c>
    </row>
    <row r="80" spans="1:10" x14ac:dyDescent="0.3">
      <c r="A80" s="3">
        <v>2033559</v>
      </c>
      <c r="B80">
        <v>71400</v>
      </c>
      <c r="C80">
        <v>1</v>
      </c>
      <c r="D80" s="9">
        <v>101</v>
      </c>
      <c r="E80">
        <v>1002</v>
      </c>
      <c r="F80" s="1">
        <v>44004</v>
      </c>
      <c r="G80" t="s">
        <v>207</v>
      </c>
      <c r="H80" s="4">
        <v>159.9</v>
      </c>
      <c r="I80" s="4" t="s">
        <v>16</v>
      </c>
      <c r="J80" s="4">
        <v>159.9</v>
      </c>
    </row>
    <row r="81" spans="1:10" x14ac:dyDescent="0.3">
      <c r="A81" s="3">
        <v>2033559</v>
      </c>
      <c r="B81">
        <v>11845</v>
      </c>
      <c r="C81">
        <v>1</v>
      </c>
      <c r="D81" s="9">
        <v>101</v>
      </c>
      <c r="E81">
        <v>1002</v>
      </c>
      <c r="F81" s="1">
        <v>44004</v>
      </c>
      <c r="G81" t="s">
        <v>207</v>
      </c>
      <c r="H81" s="4" t="s">
        <v>16</v>
      </c>
      <c r="I81" s="4">
        <v>-159.9</v>
      </c>
      <c r="J81" s="4">
        <v>-159.9</v>
      </c>
    </row>
    <row r="82" spans="1:10" x14ac:dyDescent="0.3">
      <c r="A82" s="3">
        <v>2033560</v>
      </c>
      <c r="B82">
        <v>71400</v>
      </c>
      <c r="C82">
        <v>1</v>
      </c>
      <c r="D82" s="9">
        <v>101</v>
      </c>
      <c r="E82">
        <v>1002</v>
      </c>
      <c r="F82" s="1">
        <v>44004</v>
      </c>
      <c r="G82" t="s">
        <v>207</v>
      </c>
      <c r="H82" s="4">
        <v>159.9</v>
      </c>
      <c r="I82" s="4" t="s">
        <v>16</v>
      </c>
      <c r="J82" s="4">
        <v>159.9</v>
      </c>
    </row>
    <row r="83" spans="1:10" x14ac:dyDescent="0.3">
      <c r="A83" s="3">
        <v>2033560</v>
      </c>
      <c r="B83">
        <v>11845</v>
      </c>
      <c r="C83">
        <v>1</v>
      </c>
      <c r="D83" s="9">
        <v>101</v>
      </c>
      <c r="E83">
        <v>1002</v>
      </c>
      <c r="F83" s="1">
        <v>44004</v>
      </c>
      <c r="G83" t="s">
        <v>207</v>
      </c>
      <c r="H83" s="4" t="s">
        <v>16</v>
      </c>
      <c r="I83" s="4">
        <v>-159.9</v>
      </c>
      <c r="J83" s="4">
        <v>-159.9</v>
      </c>
    </row>
    <row r="84" spans="1:10" x14ac:dyDescent="0.3">
      <c r="A84" s="3">
        <v>2033561</v>
      </c>
      <c r="B84">
        <v>71400</v>
      </c>
      <c r="C84">
        <v>1</v>
      </c>
      <c r="D84" s="9">
        <v>101</v>
      </c>
      <c r="E84">
        <v>1002</v>
      </c>
      <c r="F84" s="1">
        <v>44004</v>
      </c>
      <c r="G84" t="s">
        <v>207</v>
      </c>
      <c r="H84" s="4">
        <v>159.9</v>
      </c>
      <c r="I84" s="4" t="s">
        <v>16</v>
      </c>
      <c r="J84" s="4">
        <v>159.9</v>
      </c>
    </row>
    <row r="85" spans="1:10" x14ac:dyDescent="0.3">
      <c r="A85" s="3">
        <v>2033561</v>
      </c>
      <c r="B85">
        <v>11845</v>
      </c>
      <c r="C85">
        <v>1</v>
      </c>
      <c r="D85" s="9">
        <v>101</v>
      </c>
      <c r="E85">
        <v>1002</v>
      </c>
      <c r="F85" s="1">
        <v>44004</v>
      </c>
      <c r="G85" t="s">
        <v>207</v>
      </c>
      <c r="H85" s="4" t="s">
        <v>16</v>
      </c>
      <c r="I85" s="4">
        <v>-159.9</v>
      </c>
      <c r="J85" s="4">
        <v>-159.9</v>
      </c>
    </row>
    <row r="86" spans="1:10" x14ac:dyDescent="0.3">
      <c r="A86" s="3">
        <v>2033562</v>
      </c>
      <c r="B86">
        <v>71400</v>
      </c>
      <c r="C86">
        <v>1</v>
      </c>
      <c r="D86" s="9">
        <v>101</v>
      </c>
      <c r="E86">
        <v>1002</v>
      </c>
      <c r="F86" s="1">
        <v>44004</v>
      </c>
      <c r="G86" t="s">
        <v>207</v>
      </c>
      <c r="H86" s="4">
        <v>159.9</v>
      </c>
      <c r="I86" s="4" t="s">
        <v>16</v>
      </c>
      <c r="J86" s="4">
        <v>159.9</v>
      </c>
    </row>
    <row r="87" spans="1:10" x14ac:dyDescent="0.3">
      <c r="A87" s="3">
        <v>2033562</v>
      </c>
      <c r="B87">
        <v>11845</v>
      </c>
      <c r="C87">
        <v>1</v>
      </c>
      <c r="D87" s="9">
        <v>101</v>
      </c>
      <c r="E87">
        <v>1002</v>
      </c>
      <c r="F87" s="1">
        <v>44004</v>
      </c>
      <c r="G87" t="s">
        <v>207</v>
      </c>
      <c r="H87" s="4" t="s">
        <v>16</v>
      </c>
      <c r="I87" s="4">
        <v>-159.9</v>
      </c>
      <c r="J87" s="4">
        <v>-159.9</v>
      </c>
    </row>
    <row r="88" spans="1:10" x14ac:dyDescent="0.3">
      <c r="A88" s="3">
        <v>2033563</v>
      </c>
      <c r="B88">
        <v>71400</v>
      </c>
      <c r="C88">
        <v>1</v>
      </c>
      <c r="D88" s="9">
        <v>101</v>
      </c>
      <c r="E88">
        <v>1002</v>
      </c>
      <c r="F88" s="1">
        <v>44004</v>
      </c>
      <c r="G88" t="s">
        <v>207</v>
      </c>
      <c r="H88" s="4">
        <v>159.9</v>
      </c>
      <c r="I88" s="4" t="s">
        <v>16</v>
      </c>
      <c r="J88" s="4">
        <v>159.9</v>
      </c>
    </row>
    <row r="89" spans="1:10" x14ac:dyDescent="0.3">
      <c r="A89" s="3">
        <v>2033563</v>
      </c>
      <c r="B89">
        <v>11845</v>
      </c>
      <c r="C89">
        <v>1</v>
      </c>
      <c r="D89" s="9">
        <v>101</v>
      </c>
      <c r="E89">
        <v>1002</v>
      </c>
      <c r="F89" s="1">
        <v>44004</v>
      </c>
      <c r="G89" t="s">
        <v>207</v>
      </c>
      <c r="H89" s="4" t="s">
        <v>16</v>
      </c>
      <c r="I89" s="4">
        <v>-159.9</v>
      </c>
      <c r="J89" s="4">
        <v>-159.9</v>
      </c>
    </row>
    <row r="90" spans="1:10" x14ac:dyDescent="0.3">
      <c r="A90" s="3">
        <v>2033564</v>
      </c>
      <c r="B90">
        <v>11845</v>
      </c>
      <c r="C90">
        <v>2</v>
      </c>
      <c r="D90" s="9">
        <v>104</v>
      </c>
      <c r="E90">
        <v>1003</v>
      </c>
      <c r="F90" s="1">
        <v>44004</v>
      </c>
      <c r="G90" t="s">
        <v>223</v>
      </c>
      <c r="H90" s="4">
        <v>198</v>
      </c>
      <c r="I90" s="4" t="s">
        <v>16</v>
      </c>
      <c r="J90" s="4">
        <v>198</v>
      </c>
    </row>
    <row r="91" spans="1:10" x14ac:dyDescent="0.3">
      <c r="A91" s="3">
        <v>2033564</v>
      </c>
      <c r="B91">
        <v>43180</v>
      </c>
      <c r="C91">
        <v>2</v>
      </c>
      <c r="D91" s="9">
        <v>104</v>
      </c>
      <c r="E91">
        <v>1003</v>
      </c>
      <c r="F91" s="1">
        <v>44004</v>
      </c>
      <c r="G91" t="s">
        <v>223</v>
      </c>
      <c r="H91" s="4" t="s">
        <v>16</v>
      </c>
      <c r="I91" s="4">
        <v>-198</v>
      </c>
      <c r="J91" s="4">
        <v>-198</v>
      </c>
    </row>
    <row r="92" spans="1:10" x14ac:dyDescent="0.3">
      <c r="A92" s="3">
        <v>2033565</v>
      </c>
      <c r="B92">
        <v>14260</v>
      </c>
      <c r="C92">
        <v>1</v>
      </c>
      <c r="D92" s="9">
        <v>101</v>
      </c>
      <c r="E92">
        <v>1002</v>
      </c>
      <c r="F92" s="1">
        <v>44004</v>
      </c>
      <c r="G92" t="s">
        <v>85</v>
      </c>
      <c r="H92" s="4">
        <v>223</v>
      </c>
      <c r="I92" s="4" t="s">
        <v>16</v>
      </c>
      <c r="J92" s="4">
        <v>223</v>
      </c>
    </row>
    <row r="93" spans="1:10" x14ac:dyDescent="0.3">
      <c r="A93" s="3">
        <v>2033565</v>
      </c>
      <c r="B93">
        <v>11845</v>
      </c>
      <c r="C93">
        <v>1</v>
      </c>
      <c r="D93" s="9">
        <v>101</v>
      </c>
      <c r="E93">
        <v>1002</v>
      </c>
      <c r="F93" s="1">
        <v>44004</v>
      </c>
      <c r="G93" t="s">
        <v>85</v>
      </c>
      <c r="H93" s="4" t="s">
        <v>16</v>
      </c>
      <c r="I93" s="4">
        <v>-223</v>
      </c>
      <c r="J93" s="4">
        <v>-223</v>
      </c>
    </row>
    <row r="94" spans="1:10" x14ac:dyDescent="0.3">
      <c r="A94" s="3">
        <v>2033566</v>
      </c>
      <c r="B94">
        <v>11845</v>
      </c>
      <c r="C94">
        <v>1</v>
      </c>
      <c r="D94" s="9">
        <v>102</v>
      </c>
      <c r="E94">
        <v>1003</v>
      </c>
      <c r="F94" s="1">
        <v>44004</v>
      </c>
      <c r="G94" t="s">
        <v>15</v>
      </c>
      <c r="H94" s="4">
        <v>228.59</v>
      </c>
      <c r="I94" s="4" t="s">
        <v>16</v>
      </c>
      <c r="J94" s="4">
        <v>228.59</v>
      </c>
    </row>
    <row r="95" spans="1:10" x14ac:dyDescent="0.3">
      <c r="A95" s="3">
        <v>2033566</v>
      </c>
      <c r="B95">
        <v>43310</v>
      </c>
      <c r="C95">
        <v>1</v>
      </c>
      <c r="D95" s="9">
        <v>102</v>
      </c>
      <c r="E95">
        <v>1003</v>
      </c>
      <c r="F95" s="1">
        <v>44004</v>
      </c>
      <c r="G95" t="s">
        <v>15</v>
      </c>
      <c r="H95" s="4" t="s">
        <v>16</v>
      </c>
      <c r="I95" s="4">
        <v>-228.59</v>
      </c>
      <c r="J95" s="4">
        <v>-228.59</v>
      </c>
    </row>
    <row r="96" spans="1:10" x14ac:dyDescent="0.3">
      <c r="A96" s="3">
        <v>2033567</v>
      </c>
      <c r="B96">
        <v>71400</v>
      </c>
      <c r="C96">
        <v>2</v>
      </c>
      <c r="D96" s="9">
        <v>101</v>
      </c>
      <c r="E96">
        <v>1002</v>
      </c>
      <c r="F96" s="1">
        <v>44004</v>
      </c>
      <c r="G96" t="s">
        <v>208</v>
      </c>
      <c r="H96" s="4">
        <v>240.73</v>
      </c>
      <c r="I96" s="4" t="s">
        <v>16</v>
      </c>
      <c r="J96" s="4">
        <v>240.73</v>
      </c>
    </row>
    <row r="97" spans="1:10" x14ac:dyDescent="0.3">
      <c r="A97" s="3">
        <v>2033567</v>
      </c>
      <c r="B97">
        <v>11845</v>
      </c>
      <c r="C97">
        <v>2</v>
      </c>
      <c r="D97" s="9">
        <v>101</v>
      </c>
      <c r="E97">
        <v>1002</v>
      </c>
      <c r="F97" s="1">
        <v>44004</v>
      </c>
      <c r="G97" t="s">
        <v>208</v>
      </c>
      <c r="H97" s="4" t="s">
        <v>16</v>
      </c>
      <c r="I97" s="4">
        <v>-240.73</v>
      </c>
      <c r="J97" s="4">
        <v>-240.73</v>
      </c>
    </row>
    <row r="98" spans="1:10" x14ac:dyDescent="0.3">
      <c r="A98" s="3">
        <v>2033568</v>
      </c>
      <c r="B98">
        <v>11845</v>
      </c>
      <c r="C98">
        <v>2</v>
      </c>
      <c r="D98" s="9">
        <v>104</v>
      </c>
      <c r="E98">
        <v>1003</v>
      </c>
      <c r="F98" s="1">
        <v>44004</v>
      </c>
      <c r="G98" t="s">
        <v>225</v>
      </c>
      <c r="H98" s="4">
        <v>258</v>
      </c>
      <c r="I98" s="4" t="s">
        <v>16</v>
      </c>
      <c r="J98" s="4">
        <v>258</v>
      </c>
    </row>
    <row r="99" spans="1:10" x14ac:dyDescent="0.3">
      <c r="A99" s="3">
        <v>2033568</v>
      </c>
      <c r="B99">
        <v>43180</v>
      </c>
      <c r="C99">
        <v>2</v>
      </c>
      <c r="D99" s="9">
        <v>104</v>
      </c>
      <c r="E99">
        <v>1003</v>
      </c>
      <c r="F99" s="1">
        <v>44004</v>
      </c>
      <c r="G99" t="s">
        <v>225</v>
      </c>
      <c r="H99" s="4" t="s">
        <v>16</v>
      </c>
      <c r="I99" s="4">
        <v>-258</v>
      </c>
      <c r="J99" s="4">
        <v>-258</v>
      </c>
    </row>
    <row r="100" spans="1:10" x14ac:dyDescent="0.3">
      <c r="A100" s="3">
        <v>2033569</v>
      </c>
      <c r="B100">
        <v>11845</v>
      </c>
      <c r="C100">
        <v>2</v>
      </c>
      <c r="D100" s="9">
        <v>104</v>
      </c>
      <c r="E100">
        <v>1003</v>
      </c>
      <c r="F100" s="1">
        <v>44004</v>
      </c>
      <c r="G100" t="s">
        <v>226</v>
      </c>
      <c r="H100" s="4">
        <v>258</v>
      </c>
      <c r="I100" s="4" t="s">
        <v>16</v>
      </c>
      <c r="J100" s="4">
        <v>258</v>
      </c>
    </row>
    <row r="101" spans="1:10" x14ac:dyDescent="0.3">
      <c r="A101" s="3">
        <v>2033569</v>
      </c>
      <c r="B101">
        <v>43180</v>
      </c>
      <c r="C101">
        <v>2</v>
      </c>
      <c r="D101" s="9">
        <v>104</v>
      </c>
      <c r="E101">
        <v>1003</v>
      </c>
      <c r="F101" s="1">
        <v>44004</v>
      </c>
      <c r="G101" t="s">
        <v>226</v>
      </c>
      <c r="H101" s="4" t="s">
        <v>16</v>
      </c>
      <c r="I101" s="4">
        <v>-258</v>
      </c>
      <c r="J101" s="4">
        <v>-258</v>
      </c>
    </row>
    <row r="102" spans="1:10" x14ac:dyDescent="0.3">
      <c r="A102" s="3">
        <v>2033570</v>
      </c>
      <c r="B102">
        <v>14260</v>
      </c>
      <c r="C102">
        <v>1</v>
      </c>
      <c r="D102" s="9">
        <v>101</v>
      </c>
      <c r="E102">
        <v>1002</v>
      </c>
      <c r="F102" s="1">
        <v>44004</v>
      </c>
      <c r="G102" t="s">
        <v>85</v>
      </c>
      <c r="H102" s="4">
        <v>268.39</v>
      </c>
      <c r="I102" s="4" t="s">
        <v>16</v>
      </c>
      <c r="J102" s="4">
        <v>268.39</v>
      </c>
    </row>
    <row r="103" spans="1:10" x14ac:dyDescent="0.3">
      <c r="A103" s="3">
        <v>2033570</v>
      </c>
      <c r="B103">
        <v>11845</v>
      </c>
      <c r="C103">
        <v>1</v>
      </c>
      <c r="D103" s="9">
        <v>101</v>
      </c>
      <c r="E103">
        <v>1002</v>
      </c>
      <c r="F103" s="1">
        <v>44004</v>
      </c>
      <c r="G103" t="s">
        <v>85</v>
      </c>
      <c r="H103" s="4" t="s">
        <v>16</v>
      </c>
      <c r="I103" s="4">
        <v>-268.39</v>
      </c>
      <c r="J103" s="4">
        <v>-268.39</v>
      </c>
    </row>
    <row r="104" spans="1:10" x14ac:dyDescent="0.3">
      <c r="A104" s="3">
        <v>2033571</v>
      </c>
      <c r="B104">
        <v>71900</v>
      </c>
      <c r="C104">
        <v>1</v>
      </c>
      <c r="D104" s="9">
        <v>102</v>
      </c>
      <c r="E104">
        <v>1002</v>
      </c>
      <c r="F104" s="1">
        <v>44004</v>
      </c>
      <c r="G104" t="s">
        <v>36</v>
      </c>
      <c r="H104" s="4">
        <v>308.2</v>
      </c>
      <c r="I104" s="4" t="s">
        <v>16</v>
      </c>
      <c r="J104" s="4">
        <v>308.2</v>
      </c>
    </row>
    <row r="105" spans="1:10" x14ac:dyDescent="0.3">
      <c r="A105" s="3">
        <v>2033571</v>
      </c>
      <c r="B105">
        <v>11845</v>
      </c>
      <c r="C105">
        <v>1</v>
      </c>
      <c r="D105" s="9">
        <v>102</v>
      </c>
      <c r="E105">
        <v>1002</v>
      </c>
      <c r="F105" s="1">
        <v>44004</v>
      </c>
      <c r="G105" t="s">
        <v>36</v>
      </c>
      <c r="H105" s="4" t="s">
        <v>16</v>
      </c>
      <c r="I105" s="4">
        <v>-308.2</v>
      </c>
      <c r="J105" s="4">
        <v>-308.2</v>
      </c>
    </row>
    <row r="106" spans="1:10" x14ac:dyDescent="0.3">
      <c r="A106" s="3">
        <v>2033572</v>
      </c>
      <c r="B106">
        <v>11845</v>
      </c>
      <c r="C106">
        <v>1</v>
      </c>
      <c r="D106" s="9">
        <v>106</v>
      </c>
      <c r="E106">
        <v>1003</v>
      </c>
      <c r="F106" s="1">
        <v>44004</v>
      </c>
      <c r="G106" t="s">
        <v>80</v>
      </c>
      <c r="H106" s="4">
        <v>386</v>
      </c>
      <c r="I106" s="4" t="s">
        <v>16</v>
      </c>
      <c r="J106" s="4">
        <v>386</v>
      </c>
    </row>
    <row r="107" spans="1:10" x14ac:dyDescent="0.3">
      <c r="A107" s="3">
        <v>2033572</v>
      </c>
      <c r="B107">
        <v>43440</v>
      </c>
      <c r="C107">
        <v>1</v>
      </c>
      <c r="D107" s="9">
        <v>106</v>
      </c>
      <c r="E107">
        <v>1003</v>
      </c>
      <c r="F107" s="1">
        <v>44004</v>
      </c>
      <c r="G107" t="s">
        <v>80</v>
      </c>
      <c r="H107" s="4" t="s">
        <v>16</v>
      </c>
      <c r="I107" s="4">
        <v>-386</v>
      </c>
      <c r="J107" s="4">
        <v>-386</v>
      </c>
    </row>
    <row r="108" spans="1:10" x14ac:dyDescent="0.3">
      <c r="A108" s="3">
        <v>2033573</v>
      </c>
      <c r="B108">
        <v>11845</v>
      </c>
      <c r="C108">
        <v>1</v>
      </c>
      <c r="D108" s="9">
        <v>106</v>
      </c>
      <c r="E108">
        <v>1003</v>
      </c>
      <c r="F108" s="1">
        <v>44004</v>
      </c>
      <c r="G108" t="s">
        <v>80</v>
      </c>
      <c r="H108" s="4">
        <v>393.24</v>
      </c>
      <c r="I108" s="4" t="s">
        <v>16</v>
      </c>
      <c r="J108" s="4">
        <v>393.24</v>
      </c>
    </row>
    <row r="109" spans="1:10" x14ac:dyDescent="0.3">
      <c r="A109" s="3">
        <v>2033573</v>
      </c>
      <c r="B109">
        <v>43310</v>
      </c>
      <c r="C109">
        <v>1</v>
      </c>
      <c r="D109" s="9">
        <v>106</v>
      </c>
      <c r="E109">
        <v>1003</v>
      </c>
      <c r="F109" s="1">
        <v>44004</v>
      </c>
      <c r="G109" t="s">
        <v>80</v>
      </c>
      <c r="H109" s="4" t="s">
        <v>16</v>
      </c>
      <c r="I109" s="4">
        <v>-393.24</v>
      </c>
      <c r="J109" s="4">
        <v>-393.24</v>
      </c>
    </row>
    <row r="110" spans="1:10" x14ac:dyDescent="0.3">
      <c r="A110" s="3">
        <v>2033574</v>
      </c>
      <c r="B110">
        <v>11845</v>
      </c>
      <c r="C110">
        <v>1</v>
      </c>
      <c r="D110" s="9">
        <v>106</v>
      </c>
      <c r="E110">
        <v>1003</v>
      </c>
      <c r="F110" s="1">
        <v>44004</v>
      </c>
      <c r="G110" t="s">
        <v>80</v>
      </c>
      <c r="H110" s="4">
        <v>566.70000000000005</v>
      </c>
      <c r="I110" s="4" t="s">
        <v>16</v>
      </c>
      <c r="J110" s="4">
        <v>566.70000000000005</v>
      </c>
    </row>
    <row r="111" spans="1:10" x14ac:dyDescent="0.3">
      <c r="A111" s="3">
        <v>2033574</v>
      </c>
      <c r="B111">
        <v>43310</v>
      </c>
      <c r="C111">
        <v>1</v>
      </c>
      <c r="D111" s="9">
        <v>106</v>
      </c>
      <c r="E111">
        <v>1003</v>
      </c>
      <c r="F111" s="1">
        <v>44004</v>
      </c>
      <c r="G111" t="s">
        <v>80</v>
      </c>
      <c r="H111" s="4" t="s">
        <v>16</v>
      </c>
      <c r="I111" s="4">
        <v>-566.70000000000005</v>
      </c>
      <c r="J111" s="4">
        <v>-566.70000000000005</v>
      </c>
    </row>
    <row r="112" spans="1:10" x14ac:dyDescent="0.3">
      <c r="A112" s="3">
        <v>2033575</v>
      </c>
      <c r="B112">
        <v>71740</v>
      </c>
      <c r="C112">
        <v>1</v>
      </c>
      <c r="D112" s="9">
        <v>101</v>
      </c>
      <c r="E112">
        <v>1002</v>
      </c>
      <c r="F112" s="1">
        <v>44004</v>
      </c>
      <c r="G112" t="s">
        <v>82</v>
      </c>
      <c r="H112" s="4">
        <v>579.15</v>
      </c>
      <c r="I112" s="4" t="s">
        <v>16</v>
      </c>
      <c r="J112" s="4">
        <v>579.15</v>
      </c>
    </row>
    <row r="113" spans="1:10" x14ac:dyDescent="0.3">
      <c r="A113" s="3">
        <v>2033575</v>
      </c>
      <c r="B113">
        <v>11845</v>
      </c>
      <c r="C113">
        <v>1</v>
      </c>
      <c r="D113" s="9">
        <v>101</v>
      </c>
      <c r="E113">
        <v>1002</v>
      </c>
      <c r="F113" s="1">
        <v>44004</v>
      </c>
      <c r="G113" t="s">
        <v>82</v>
      </c>
      <c r="H113" s="4" t="s">
        <v>16</v>
      </c>
      <c r="I113" s="4">
        <v>-579.15</v>
      </c>
      <c r="J113" s="4">
        <v>-579.15</v>
      </c>
    </row>
    <row r="114" spans="1:10" x14ac:dyDescent="0.3">
      <c r="A114" s="3">
        <v>2033576</v>
      </c>
      <c r="B114">
        <v>72725</v>
      </c>
      <c r="C114">
        <v>1</v>
      </c>
      <c r="D114" s="9">
        <v>101</v>
      </c>
      <c r="E114">
        <v>1002</v>
      </c>
      <c r="F114" s="1">
        <v>44004</v>
      </c>
      <c r="G114" t="s">
        <v>177</v>
      </c>
      <c r="H114" s="4">
        <v>695</v>
      </c>
      <c r="I114" s="4" t="s">
        <v>16</v>
      </c>
      <c r="J114" s="4">
        <v>695</v>
      </c>
    </row>
    <row r="115" spans="1:10" x14ac:dyDescent="0.3">
      <c r="A115" s="3">
        <v>2033576</v>
      </c>
      <c r="B115">
        <v>11845</v>
      </c>
      <c r="C115">
        <v>1</v>
      </c>
      <c r="D115" s="9">
        <v>101</v>
      </c>
      <c r="E115">
        <v>1002</v>
      </c>
      <c r="F115" s="1">
        <v>44004</v>
      </c>
      <c r="G115" t="s">
        <v>177</v>
      </c>
      <c r="H115" s="4" t="s">
        <v>16</v>
      </c>
      <c r="I115" s="4">
        <v>-695</v>
      </c>
      <c r="J115" s="4">
        <v>-695</v>
      </c>
    </row>
    <row r="116" spans="1:10" x14ac:dyDescent="0.3">
      <c r="A116" s="3">
        <v>2033577</v>
      </c>
      <c r="B116">
        <v>11845</v>
      </c>
      <c r="C116">
        <v>1</v>
      </c>
      <c r="D116" s="9">
        <v>102</v>
      </c>
      <c r="E116">
        <v>1001</v>
      </c>
      <c r="F116" s="1">
        <v>44004</v>
      </c>
      <c r="G116" t="s">
        <v>41</v>
      </c>
      <c r="H116" s="4">
        <v>714.13</v>
      </c>
      <c r="I116" s="4" t="s">
        <v>16</v>
      </c>
      <c r="J116" s="4">
        <v>714.13</v>
      </c>
    </row>
    <row r="117" spans="1:10" x14ac:dyDescent="0.3">
      <c r="A117" s="3">
        <v>2033577</v>
      </c>
      <c r="B117">
        <v>43310</v>
      </c>
      <c r="C117">
        <v>1</v>
      </c>
      <c r="D117" s="9">
        <v>102</v>
      </c>
      <c r="E117">
        <v>1001</v>
      </c>
      <c r="F117" s="1">
        <v>44004</v>
      </c>
      <c r="G117" t="s">
        <v>41</v>
      </c>
      <c r="H117" s="4" t="s">
        <v>16</v>
      </c>
      <c r="I117" s="4">
        <v>-714.13</v>
      </c>
      <c r="J117" s="4">
        <v>-714.13</v>
      </c>
    </row>
    <row r="118" spans="1:10" x14ac:dyDescent="0.3">
      <c r="A118" s="3">
        <v>2033578</v>
      </c>
      <c r="B118">
        <v>71500</v>
      </c>
      <c r="C118">
        <v>6</v>
      </c>
      <c r="D118" s="9">
        <v>101</v>
      </c>
      <c r="E118">
        <v>1002</v>
      </c>
      <c r="F118" s="1">
        <v>44004</v>
      </c>
      <c r="G118" t="s">
        <v>187</v>
      </c>
      <c r="H118" s="4">
        <v>740</v>
      </c>
      <c r="I118" s="4" t="s">
        <v>16</v>
      </c>
      <c r="J118" s="4">
        <v>740</v>
      </c>
    </row>
    <row r="119" spans="1:10" x14ac:dyDescent="0.3">
      <c r="A119" s="3">
        <v>2033578</v>
      </c>
      <c r="B119">
        <v>11845</v>
      </c>
      <c r="C119">
        <v>6</v>
      </c>
      <c r="D119" s="9">
        <v>101</v>
      </c>
      <c r="E119">
        <v>1002</v>
      </c>
      <c r="F119" s="1">
        <v>44004</v>
      </c>
      <c r="G119" t="s">
        <v>187</v>
      </c>
      <c r="H119" s="4" t="s">
        <v>16</v>
      </c>
      <c r="I119" s="4">
        <v>-740</v>
      </c>
      <c r="J119" s="4">
        <v>-740</v>
      </c>
    </row>
    <row r="120" spans="1:10" x14ac:dyDescent="0.3">
      <c r="A120" s="3">
        <v>2033579</v>
      </c>
      <c r="B120">
        <v>11845</v>
      </c>
      <c r="C120">
        <v>2</v>
      </c>
      <c r="D120" s="9">
        <v>104</v>
      </c>
      <c r="E120">
        <v>1003</v>
      </c>
      <c r="F120" s="1">
        <v>44004</v>
      </c>
      <c r="G120" t="s">
        <v>227</v>
      </c>
      <c r="H120" s="4">
        <v>774</v>
      </c>
      <c r="I120" s="4" t="s">
        <v>16</v>
      </c>
      <c r="J120" s="4">
        <v>774</v>
      </c>
    </row>
    <row r="121" spans="1:10" x14ac:dyDescent="0.3">
      <c r="A121" s="3">
        <v>2033579</v>
      </c>
      <c r="B121">
        <v>43180</v>
      </c>
      <c r="C121">
        <v>2</v>
      </c>
      <c r="D121" s="9">
        <v>104</v>
      </c>
      <c r="E121">
        <v>1003</v>
      </c>
      <c r="F121" s="1">
        <v>44004</v>
      </c>
      <c r="G121" t="s">
        <v>227</v>
      </c>
      <c r="H121" s="4" t="s">
        <v>16</v>
      </c>
      <c r="I121" s="4">
        <v>-774</v>
      </c>
      <c r="J121" s="4">
        <v>-774</v>
      </c>
    </row>
    <row r="122" spans="1:10" x14ac:dyDescent="0.3">
      <c r="A122" s="3">
        <v>2033580</v>
      </c>
      <c r="B122">
        <v>72760</v>
      </c>
      <c r="C122">
        <v>1</v>
      </c>
      <c r="D122" s="9">
        <v>101</v>
      </c>
      <c r="E122">
        <v>1002</v>
      </c>
      <c r="F122" s="1">
        <v>44004</v>
      </c>
      <c r="G122" t="s">
        <v>164</v>
      </c>
      <c r="H122" s="4">
        <v>900</v>
      </c>
      <c r="I122" s="4" t="s">
        <v>16</v>
      </c>
      <c r="J122" s="4">
        <v>900</v>
      </c>
    </row>
    <row r="123" spans="1:10" x14ac:dyDescent="0.3">
      <c r="A123" s="3">
        <v>2033580</v>
      </c>
      <c r="B123">
        <v>11845</v>
      </c>
      <c r="C123">
        <v>1</v>
      </c>
      <c r="D123" s="9">
        <v>101</v>
      </c>
      <c r="E123">
        <v>1002</v>
      </c>
      <c r="F123" s="1">
        <v>44004</v>
      </c>
      <c r="G123" t="s">
        <v>164</v>
      </c>
      <c r="H123" s="4" t="s">
        <v>16</v>
      </c>
      <c r="I123" s="4">
        <v>-900</v>
      </c>
      <c r="J123" s="4">
        <v>-900</v>
      </c>
    </row>
    <row r="124" spans="1:10" x14ac:dyDescent="0.3">
      <c r="A124" s="3">
        <v>2033581</v>
      </c>
      <c r="B124">
        <v>11845</v>
      </c>
      <c r="C124">
        <v>1</v>
      </c>
      <c r="D124" s="9">
        <v>106</v>
      </c>
      <c r="E124">
        <v>1003</v>
      </c>
      <c r="F124" s="1">
        <v>44004</v>
      </c>
      <c r="G124" t="s">
        <v>80</v>
      </c>
      <c r="H124" s="4">
        <v>1408.75</v>
      </c>
      <c r="I124" s="4" t="s">
        <v>16</v>
      </c>
      <c r="J124" s="4">
        <v>1408.75</v>
      </c>
    </row>
    <row r="125" spans="1:10" x14ac:dyDescent="0.3">
      <c r="A125" s="3">
        <v>2033581</v>
      </c>
      <c r="B125">
        <v>43440</v>
      </c>
      <c r="C125">
        <v>1</v>
      </c>
      <c r="D125" s="9">
        <v>106</v>
      </c>
      <c r="E125">
        <v>1003</v>
      </c>
      <c r="F125" s="1">
        <v>44004</v>
      </c>
      <c r="G125" t="s">
        <v>80</v>
      </c>
      <c r="H125" s="4" t="s">
        <v>16</v>
      </c>
      <c r="I125" s="4">
        <v>-1408.75</v>
      </c>
      <c r="J125" s="4">
        <v>-1408.75</v>
      </c>
    </row>
    <row r="126" spans="1:10" x14ac:dyDescent="0.3">
      <c r="A126" s="3">
        <v>2033582</v>
      </c>
      <c r="B126">
        <v>11845</v>
      </c>
      <c r="C126">
        <v>2</v>
      </c>
      <c r="D126" s="9">
        <v>106</v>
      </c>
      <c r="E126">
        <v>1003</v>
      </c>
      <c r="F126" s="1">
        <v>44004</v>
      </c>
      <c r="G126" t="s">
        <v>81</v>
      </c>
      <c r="H126" s="4">
        <v>1785</v>
      </c>
      <c r="I126" s="4" t="s">
        <v>16</v>
      </c>
      <c r="J126" s="4">
        <v>1785</v>
      </c>
    </row>
    <row r="127" spans="1:10" x14ac:dyDescent="0.3">
      <c r="A127" s="3">
        <v>2033582</v>
      </c>
      <c r="B127">
        <v>43180</v>
      </c>
      <c r="C127">
        <v>2</v>
      </c>
      <c r="D127" s="9">
        <v>106</v>
      </c>
      <c r="E127">
        <v>1003</v>
      </c>
      <c r="F127" s="1">
        <v>44004</v>
      </c>
      <c r="G127" t="s">
        <v>81</v>
      </c>
      <c r="H127" s="4" t="s">
        <v>16</v>
      </c>
      <c r="I127" s="4">
        <v>-1785</v>
      </c>
      <c r="J127" s="4">
        <v>-1785</v>
      </c>
    </row>
    <row r="128" spans="1:10" x14ac:dyDescent="0.3">
      <c r="A128" s="3">
        <v>2033583</v>
      </c>
      <c r="B128">
        <v>11845</v>
      </c>
      <c r="C128">
        <v>1</v>
      </c>
      <c r="D128" s="9">
        <v>102</v>
      </c>
      <c r="E128">
        <v>1003</v>
      </c>
      <c r="F128" s="1">
        <v>44004</v>
      </c>
      <c r="G128" t="s">
        <v>15</v>
      </c>
      <c r="H128" s="4">
        <v>1875</v>
      </c>
      <c r="I128" s="4" t="s">
        <v>16</v>
      </c>
      <c r="J128" s="4">
        <v>1875</v>
      </c>
    </row>
    <row r="129" spans="1:10" x14ac:dyDescent="0.3">
      <c r="A129" s="3">
        <v>2033583</v>
      </c>
      <c r="B129">
        <v>43310</v>
      </c>
      <c r="C129">
        <v>1</v>
      </c>
      <c r="D129" s="9">
        <v>102</v>
      </c>
      <c r="E129">
        <v>1003</v>
      </c>
      <c r="F129" s="1">
        <v>44004</v>
      </c>
      <c r="G129" t="s">
        <v>15</v>
      </c>
      <c r="H129" s="4" t="s">
        <v>16</v>
      </c>
      <c r="I129" s="4">
        <v>-1875</v>
      </c>
      <c r="J129" s="4">
        <v>-1875</v>
      </c>
    </row>
    <row r="130" spans="1:10" x14ac:dyDescent="0.3">
      <c r="A130" s="3">
        <v>2033584</v>
      </c>
      <c r="B130">
        <v>11845</v>
      </c>
      <c r="C130">
        <v>1</v>
      </c>
      <c r="D130" s="9">
        <v>102</v>
      </c>
      <c r="E130">
        <v>1003</v>
      </c>
      <c r="F130" s="1">
        <v>44004</v>
      </c>
      <c r="G130" t="s">
        <v>15</v>
      </c>
      <c r="H130" s="4">
        <v>2134.79</v>
      </c>
      <c r="I130" s="4" t="s">
        <v>16</v>
      </c>
      <c r="J130" s="4">
        <v>2134.79</v>
      </c>
    </row>
    <row r="131" spans="1:10" x14ac:dyDescent="0.3">
      <c r="A131" s="3">
        <v>2033584</v>
      </c>
      <c r="B131">
        <v>43310</v>
      </c>
      <c r="C131">
        <v>1</v>
      </c>
      <c r="D131" s="9">
        <v>102</v>
      </c>
      <c r="E131">
        <v>1003</v>
      </c>
      <c r="F131" s="1">
        <v>44004</v>
      </c>
      <c r="G131" t="s">
        <v>15</v>
      </c>
      <c r="H131" s="4" t="s">
        <v>16</v>
      </c>
      <c r="I131" s="4">
        <v>-2134.79</v>
      </c>
      <c r="J131" s="4">
        <v>-2134.79</v>
      </c>
    </row>
    <row r="132" spans="1:10" x14ac:dyDescent="0.3">
      <c r="A132" s="3">
        <v>2033585</v>
      </c>
      <c r="B132">
        <v>11845</v>
      </c>
      <c r="C132">
        <v>2</v>
      </c>
      <c r="D132" s="9">
        <v>104</v>
      </c>
      <c r="E132">
        <v>1003</v>
      </c>
      <c r="F132" s="1">
        <v>44004</v>
      </c>
      <c r="G132" t="s">
        <v>41</v>
      </c>
      <c r="H132" s="4">
        <v>2663.75</v>
      </c>
      <c r="I132" s="4" t="s">
        <v>16</v>
      </c>
      <c r="J132" s="4">
        <v>2663.75</v>
      </c>
    </row>
    <row r="133" spans="1:10" x14ac:dyDescent="0.3">
      <c r="A133" s="3">
        <v>2033585</v>
      </c>
      <c r="B133">
        <v>43180</v>
      </c>
      <c r="C133">
        <v>2</v>
      </c>
      <c r="D133" s="9">
        <v>104</v>
      </c>
      <c r="E133">
        <v>1003</v>
      </c>
      <c r="F133" s="1">
        <v>44004</v>
      </c>
      <c r="G133" t="s">
        <v>41</v>
      </c>
      <c r="H133" s="4" t="s">
        <v>16</v>
      </c>
      <c r="I133" s="4">
        <v>-2663.75</v>
      </c>
      <c r="J133" s="4">
        <v>-2663.75</v>
      </c>
    </row>
    <row r="134" spans="1:10" x14ac:dyDescent="0.3">
      <c r="A134" s="3">
        <v>2033586</v>
      </c>
      <c r="B134">
        <v>72725</v>
      </c>
      <c r="C134">
        <v>1</v>
      </c>
      <c r="D134" s="9">
        <v>101</v>
      </c>
      <c r="E134">
        <v>1002</v>
      </c>
      <c r="F134" s="1">
        <v>44004</v>
      </c>
      <c r="G134" t="s">
        <v>177</v>
      </c>
      <c r="H134" s="4">
        <v>2780</v>
      </c>
      <c r="I134" s="4" t="s">
        <v>16</v>
      </c>
      <c r="J134" s="4">
        <v>2780</v>
      </c>
    </row>
    <row r="135" spans="1:10" x14ac:dyDescent="0.3">
      <c r="A135" s="3">
        <v>2033586</v>
      </c>
      <c r="B135">
        <v>11845</v>
      </c>
      <c r="C135">
        <v>1</v>
      </c>
      <c r="D135" s="9">
        <v>101</v>
      </c>
      <c r="E135">
        <v>1002</v>
      </c>
      <c r="F135" s="1">
        <v>44004</v>
      </c>
      <c r="G135" t="s">
        <v>177</v>
      </c>
      <c r="H135" s="4" t="s">
        <v>16</v>
      </c>
      <c r="I135" s="4">
        <v>-2780</v>
      </c>
      <c r="J135" s="4">
        <v>-2780</v>
      </c>
    </row>
    <row r="136" spans="1:10" x14ac:dyDescent="0.3">
      <c r="A136" s="3">
        <v>2033587</v>
      </c>
      <c r="B136">
        <v>11845</v>
      </c>
      <c r="C136">
        <v>2</v>
      </c>
      <c r="D136" s="9">
        <v>106</v>
      </c>
      <c r="E136">
        <v>1003</v>
      </c>
      <c r="F136" s="1">
        <v>44004</v>
      </c>
      <c r="G136" t="s">
        <v>81</v>
      </c>
      <c r="H136" s="4">
        <v>6438</v>
      </c>
      <c r="I136" s="4" t="s">
        <v>16</v>
      </c>
      <c r="J136" s="4">
        <v>6438</v>
      </c>
    </row>
    <row r="137" spans="1:10" x14ac:dyDescent="0.3">
      <c r="A137" s="3">
        <v>2033587</v>
      </c>
      <c r="B137">
        <v>43180</v>
      </c>
      <c r="C137">
        <v>2</v>
      </c>
      <c r="D137" s="9">
        <v>106</v>
      </c>
      <c r="E137">
        <v>1003</v>
      </c>
      <c r="F137" s="1">
        <v>44004</v>
      </c>
      <c r="G137" t="s">
        <v>81</v>
      </c>
      <c r="H137" s="4" t="s">
        <v>16</v>
      </c>
      <c r="I137" s="4">
        <v>-6438</v>
      </c>
      <c r="J137" s="4">
        <v>-6438</v>
      </c>
    </row>
    <row r="138" spans="1:10" x14ac:dyDescent="0.3">
      <c r="A138" s="3">
        <v>2033588</v>
      </c>
      <c r="B138">
        <v>11845</v>
      </c>
      <c r="C138">
        <v>2</v>
      </c>
      <c r="D138" s="9">
        <v>104</v>
      </c>
      <c r="E138">
        <v>1003</v>
      </c>
      <c r="F138" s="1">
        <v>44004</v>
      </c>
      <c r="G138" t="s">
        <v>15</v>
      </c>
      <c r="H138" s="4">
        <v>7550</v>
      </c>
      <c r="I138" s="4" t="s">
        <v>16</v>
      </c>
      <c r="J138" s="4">
        <v>7550</v>
      </c>
    </row>
    <row r="139" spans="1:10" x14ac:dyDescent="0.3">
      <c r="A139" s="3">
        <v>2033588</v>
      </c>
      <c r="B139">
        <v>43180</v>
      </c>
      <c r="C139">
        <v>2</v>
      </c>
      <c r="D139" s="9">
        <v>104</v>
      </c>
      <c r="E139">
        <v>1003</v>
      </c>
      <c r="F139" s="1">
        <v>44004</v>
      </c>
      <c r="G139" t="s">
        <v>15</v>
      </c>
      <c r="H139" s="4" t="s">
        <v>16</v>
      </c>
      <c r="I139" s="4">
        <v>-7550</v>
      </c>
      <c r="J139" s="4">
        <v>-7550</v>
      </c>
    </row>
    <row r="140" spans="1:10" x14ac:dyDescent="0.3">
      <c r="A140" s="3">
        <v>2033589</v>
      </c>
      <c r="B140">
        <v>11845</v>
      </c>
      <c r="C140">
        <v>1</v>
      </c>
      <c r="D140" s="9">
        <v>106</v>
      </c>
      <c r="E140">
        <v>1003</v>
      </c>
      <c r="F140" s="1">
        <v>44004</v>
      </c>
      <c r="G140" t="s">
        <v>80</v>
      </c>
      <c r="H140" s="4">
        <v>11410.75</v>
      </c>
      <c r="I140" s="4" t="s">
        <v>16</v>
      </c>
      <c r="J140" s="4">
        <v>11410.75</v>
      </c>
    </row>
    <row r="141" spans="1:10" x14ac:dyDescent="0.3">
      <c r="A141" s="3">
        <v>2033589</v>
      </c>
      <c r="B141">
        <v>43310</v>
      </c>
      <c r="C141">
        <v>1</v>
      </c>
      <c r="D141" s="9">
        <v>106</v>
      </c>
      <c r="E141">
        <v>1003</v>
      </c>
      <c r="F141" s="1">
        <v>44004</v>
      </c>
      <c r="G141" t="s">
        <v>80</v>
      </c>
      <c r="H141" s="4" t="s">
        <v>16</v>
      </c>
      <c r="I141" s="4">
        <v>-11410.75</v>
      </c>
      <c r="J141" s="4">
        <v>-11410.75</v>
      </c>
    </row>
    <row r="142" spans="1:10" x14ac:dyDescent="0.3">
      <c r="A142" s="3">
        <v>2033590</v>
      </c>
      <c r="B142">
        <v>11845</v>
      </c>
      <c r="C142">
        <v>1</v>
      </c>
      <c r="D142" s="9">
        <v>106</v>
      </c>
      <c r="E142">
        <v>1003</v>
      </c>
      <c r="F142" s="1">
        <v>44004</v>
      </c>
      <c r="G142" t="s">
        <v>80</v>
      </c>
      <c r="H142" s="4">
        <v>23600.86</v>
      </c>
      <c r="I142" s="4" t="s">
        <v>16</v>
      </c>
      <c r="J142" s="4">
        <v>23600.86</v>
      </c>
    </row>
    <row r="143" spans="1:10" x14ac:dyDescent="0.3">
      <c r="A143" s="3">
        <v>2033590</v>
      </c>
      <c r="B143">
        <v>43310</v>
      </c>
      <c r="C143">
        <v>1</v>
      </c>
      <c r="D143" s="9">
        <v>106</v>
      </c>
      <c r="E143">
        <v>1003</v>
      </c>
      <c r="F143" s="1">
        <v>44004</v>
      </c>
      <c r="G143" t="s">
        <v>80</v>
      </c>
      <c r="H143" s="4" t="s">
        <v>16</v>
      </c>
      <c r="I143" s="4">
        <v>-23600.86</v>
      </c>
      <c r="J143" s="4">
        <v>-23600.86</v>
      </c>
    </row>
    <row r="144" spans="1:10" x14ac:dyDescent="0.3">
      <c r="A144" s="3">
        <v>2033591</v>
      </c>
      <c r="B144">
        <v>11845</v>
      </c>
      <c r="C144">
        <v>2</v>
      </c>
      <c r="D144" s="9">
        <v>104</v>
      </c>
      <c r="E144">
        <v>1003</v>
      </c>
      <c r="F144" s="1">
        <v>44004</v>
      </c>
      <c r="G144" t="s">
        <v>15</v>
      </c>
      <c r="H144" s="4">
        <v>122671</v>
      </c>
      <c r="I144" s="4" t="s">
        <v>16</v>
      </c>
      <c r="J144" s="4">
        <v>122671</v>
      </c>
    </row>
    <row r="145" spans="1:10" x14ac:dyDescent="0.3">
      <c r="A145" s="3">
        <v>2033591</v>
      </c>
      <c r="B145">
        <v>43180</v>
      </c>
      <c r="C145">
        <v>2</v>
      </c>
      <c r="D145" s="9">
        <v>104</v>
      </c>
      <c r="E145">
        <v>1003</v>
      </c>
      <c r="F145" s="1">
        <v>44004</v>
      </c>
      <c r="G145" t="s">
        <v>15</v>
      </c>
      <c r="H145" s="4" t="s">
        <v>16</v>
      </c>
      <c r="I145" s="4">
        <v>-122671</v>
      </c>
      <c r="J145" s="4">
        <v>-122671</v>
      </c>
    </row>
    <row r="146" spans="1:10" x14ac:dyDescent="0.3">
      <c r="A146" s="3">
        <v>2033592</v>
      </c>
      <c r="B146">
        <v>16200</v>
      </c>
      <c r="C146">
        <v>2</v>
      </c>
      <c r="D146" s="9">
        <v>102</v>
      </c>
      <c r="E146">
        <v>1002</v>
      </c>
      <c r="F146" s="1">
        <v>44004</v>
      </c>
      <c r="G146" t="s">
        <v>283</v>
      </c>
      <c r="H146" s="4">
        <v>9515.5400000000009</v>
      </c>
      <c r="J146" s="4">
        <v>9515.5400000000009</v>
      </c>
    </row>
    <row r="147" spans="1:10" x14ac:dyDescent="0.3">
      <c r="A147" s="3">
        <v>2033592</v>
      </c>
      <c r="B147" s="2">
        <v>11845</v>
      </c>
      <c r="C147">
        <v>2</v>
      </c>
      <c r="D147" s="9">
        <v>102</v>
      </c>
      <c r="E147">
        <v>1002</v>
      </c>
      <c r="F147" s="1">
        <v>44004</v>
      </c>
      <c r="G147" t="s">
        <v>283</v>
      </c>
      <c r="I147" s="4">
        <v>-9515.5400000000009</v>
      </c>
      <c r="J147" s="4">
        <v>-9515.5400000000009</v>
      </c>
    </row>
    <row r="148" spans="1:10" x14ac:dyDescent="0.3">
      <c r="A148" s="3">
        <v>2033593</v>
      </c>
      <c r="B148">
        <v>11845</v>
      </c>
      <c r="C148">
        <v>2</v>
      </c>
      <c r="D148" s="9">
        <v>104</v>
      </c>
      <c r="E148">
        <v>1003</v>
      </c>
      <c r="F148" s="1">
        <v>44005</v>
      </c>
      <c r="G148" t="s">
        <v>41</v>
      </c>
      <c r="H148" s="4">
        <v>5</v>
      </c>
      <c r="I148" s="4" t="s">
        <v>16</v>
      </c>
      <c r="J148" s="4">
        <v>5</v>
      </c>
    </row>
    <row r="149" spans="1:10" x14ac:dyDescent="0.3">
      <c r="A149" s="3">
        <v>2033593</v>
      </c>
      <c r="B149">
        <v>43180</v>
      </c>
      <c r="C149">
        <v>2</v>
      </c>
      <c r="D149" s="9">
        <v>104</v>
      </c>
      <c r="E149">
        <v>1003</v>
      </c>
      <c r="F149" s="1">
        <v>44005</v>
      </c>
      <c r="G149" t="s">
        <v>41</v>
      </c>
      <c r="H149" s="4" t="s">
        <v>16</v>
      </c>
      <c r="I149" s="4">
        <v>-5</v>
      </c>
      <c r="J149" s="4">
        <v>-5</v>
      </c>
    </row>
    <row r="150" spans="1:10" x14ac:dyDescent="0.3">
      <c r="A150" s="3">
        <v>2033594</v>
      </c>
      <c r="B150">
        <v>11845</v>
      </c>
      <c r="C150">
        <v>3</v>
      </c>
      <c r="D150" s="9">
        <v>102</v>
      </c>
      <c r="E150">
        <v>1001</v>
      </c>
      <c r="F150" s="1">
        <v>44005</v>
      </c>
      <c r="G150" t="s">
        <v>41</v>
      </c>
      <c r="H150" s="4">
        <v>15.25</v>
      </c>
      <c r="I150" s="4" t="s">
        <v>16</v>
      </c>
      <c r="J150" s="4">
        <v>15.25</v>
      </c>
    </row>
    <row r="151" spans="1:10" x14ac:dyDescent="0.3">
      <c r="A151" s="3">
        <v>2033594</v>
      </c>
      <c r="B151">
        <v>43440</v>
      </c>
      <c r="C151">
        <v>3</v>
      </c>
      <c r="D151" s="9">
        <v>102</v>
      </c>
      <c r="E151">
        <v>1001</v>
      </c>
      <c r="F151" s="1">
        <v>44005</v>
      </c>
      <c r="G151" t="s">
        <v>41</v>
      </c>
      <c r="H151" s="4" t="s">
        <v>16</v>
      </c>
      <c r="I151" s="4">
        <v>-15.25</v>
      </c>
      <c r="J151" s="4">
        <v>-15.25</v>
      </c>
    </row>
    <row r="152" spans="1:10" x14ac:dyDescent="0.3">
      <c r="A152" s="3">
        <v>2033595</v>
      </c>
      <c r="B152">
        <v>51610</v>
      </c>
      <c r="C152">
        <v>2</v>
      </c>
      <c r="D152" s="9">
        <v>105</v>
      </c>
      <c r="E152">
        <v>1006</v>
      </c>
      <c r="F152" s="1">
        <v>44005</v>
      </c>
      <c r="G152" t="s">
        <v>53</v>
      </c>
      <c r="H152" s="4">
        <v>20</v>
      </c>
      <c r="I152" s="4" t="s">
        <v>16</v>
      </c>
      <c r="J152" s="4">
        <v>20</v>
      </c>
    </row>
    <row r="153" spans="1:10" x14ac:dyDescent="0.3">
      <c r="A153" s="3">
        <v>2033595</v>
      </c>
      <c r="B153">
        <v>22110</v>
      </c>
      <c r="C153">
        <v>2</v>
      </c>
      <c r="D153" s="9">
        <v>105</v>
      </c>
      <c r="E153">
        <v>1006</v>
      </c>
      <c r="F153" s="1">
        <v>44005</v>
      </c>
      <c r="G153" t="s">
        <v>53</v>
      </c>
      <c r="H153" s="4" t="s">
        <v>16</v>
      </c>
      <c r="I153" s="4">
        <v>-20</v>
      </c>
      <c r="J153" s="4">
        <v>-20</v>
      </c>
    </row>
    <row r="154" spans="1:10" x14ac:dyDescent="0.3">
      <c r="A154" s="3">
        <v>2033596</v>
      </c>
      <c r="B154">
        <v>11845</v>
      </c>
      <c r="C154">
        <v>1</v>
      </c>
      <c r="D154" s="9">
        <v>106</v>
      </c>
      <c r="E154">
        <v>1003</v>
      </c>
      <c r="F154" s="1">
        <v>44005</v>
      </c>
      <c r="G154" t="s">
        <v>80</v>
      </c>
      <c r="H154" s="4">
        <v>25</v>
      </c>
      <c r="I154" s="4" t="s">
        <v>16</v>
      </c>
      <c r="J154" s="4">
        <v>25</v>
      </c>
    </row>
    <row r="155" spans="1:10" x14ac:dyDescent="0.3">
      <c r="A155" s="3">
        <v>2033596</v>
      </c>
      <c r="B155">
        <v>43440</v>
      </c>
      <c r="C155">
        <v>1</v>
      </c>
      <c r="D155" s="9">
        <v>106</v>
      </c>
      <c r="E155">
        <v>1003</v>
      </c>
      <c r="F155" s="1">
        <v>44005</v>
      </c>
      <c r="G155" t="s">
        <v>80</v>
      </c>
      <c r="H155" s="4" t="s">
        <v>16</v>
      </c>
      <c r="I155" s="4">
        <v>-25</v>
      </c>
      <c r="J155" s="4">
        <v>-25</v>
      </c>
    </row>
    <row r="156" spans="1:10" x14ac:dyDescent="0.3">
      <c r="A156" s="3">
        <v>2033597</v>
      </c>
      <c r="B156">
        <v>51402</v>
      </c>
      <c r="C156">
        <v>6</v>
      </c>
      <c r="D156" s="9">
        <v>105</v>
      </c>
      <c r="E156">
        <v>1006</v>
      </c>
      <c r="F156" s="1">
        <v>44005</v>
      </c>
      <c r="G156" t="s">
        <v>55</v>
      </c>
      <c r="H156" s="4">
        <v>25.8</v>
      </c>
      <c r="I156" s="4" t="s">
        <v>16</v>
      </c>
      <c r="J156" s="4">
        <v>25.8</v>
      </c>
    </row>
    <row r="157" spans="1:10" x14ac:dyDescent="0.3">
      <c r="A157" s="3">
        <v>2033597</v>
      </c>
      <c r="B157">
        <v>22110</v>
      </c>
      <c r="C157">
        <v>6</v>
      </c>
      <c r="D157" s="9">
        <v>105</v>
      </c>
      <c r="E157">
        <v>1006</v>
      </c>
      <c r="F157" s="1">
        <v>44005</v>
      </c>
      <c r="G157" t="s">
        <v>55</v>
      </c>
      <c r="H157" s="4" t="s">
        <v>16</v>
      </c>
      <c r="I157" s="4">
        <v>-25.8</v>
      </c>
      <c r="J157" s="4">
        <v>-25.8</v>
      </c>
    </row>
    <row r="158" spans="1:10" x14ac:dyDescent="0.3">
      <c r="A158" s="3">
        <v>2033598</v>
      </c>
      <c r="B158">
        <v>11845</v>
      </c>
      <c r="C158">
        <v>3</v>
      </c>
      <c r="D158" s="9">
        <v>102</v>
      </c>
      <c r="E158">
        <v>1003</v>
      </c>
      <c r="F158" s="1">
        <v>44005</v>
      </c>
      <c r="G158" t="s">
        <v>15</v>
      </c>
      <c r="H158" s="4">
        <v>30.03</v>
      </c>
      <c r="I158" s="4" t="s">
        <v>16</v>
      </c>
      <c r="J158" s="4">
        <v>30.03</v>
      </c>
    </row>
    <row r="159" spans="1:10" x14ac:dyDescent="0.3">
      <c r="A159" s="3">
        <v>2033598</v>
      </c>
      <c r="B159">
        <v>43440</v>
      </c>
      <c r="C159">
        <v>3</v>
      </c>
      <c r="D159" s="9">
        <v>102</v>
      </c>
      <c r="E159">
        <v>1003</v>
      </c>
      <c r="F159" s="1">
        <v>44005</v>
      </c>
      <c r="G159" t="s">
        <v>15</v>
      </c>
      <c r="H159" s="4" t="s">
        <v>16</v>
      </c>
      <c r="I159" s="4">
        <v>-30.03</v>
      </c>
      <c r="J159" s="4">
        <v>-30.03</v>
      </c>
    </row>
    <row r="160" spans="1:10" x14ac:dyDescent="0.3">
      <c r="A160" s="3">
        <v>2033599</v>
      </c>
      <c r="B160">
        <v>51610</v>
      </c>
      <c r="C160">
        <v>4</v>
      </c>
      <c r="D160" s="9">
        <v>105</v>
      </c>
      <c r="E160">
        <v>1006</v>
      </c>
      <c r="F160" s="1">
        <v>44005</v>
      </c>
      <c r="G160" t="s">
        <v>53</v>
      </c>
      <c r="H160" s="4">
        <v>45</v>
      </c>
      <c r="I160" s="4" t="s">
        <v>16</v>
      </c>
      <c r="J160" s="4">
        <v>45</v>
      </c>
    </row>
    <row r="161" spans="1:10" x14ac:dyDescent="0.3">
      <c r="A161" s="3">
        <v>2033599</v>
      </c>
      <c r="B161">
        <v>22110</v>
      </c>
      <c r="C161">
        <v>4</v>
      </c>
      <c r="D161" s="9">
        <v>105</v>
      </c>
      <c r="E161">
        <v>1006</v>
      </c>
      <c r="F161" s="1">
        <v>44005</v>
      </c>
      <c r="G161" t="s">
        <v>53</v>
      </c>
      <c r="H161" s="4" t="s">
        <v>16</v>
      </c>
      <c r="I161" s="4">
        <v>-45</v>
      </c>
      <c r="J161" s="4">
        <v>-45</v>
      </c>
    </row>
    <row r="162" spans="1:10" x14ac:dyDescent="0.3">
      <c r="A162" s="3">
        <v>2033600</v>
      </c>
      <c r="B162">
        <v>11845</v>
      </c>
      <c r="C162">
        <v>3</v>
      </c>
      <c r="D162" s="9">
        <v>102</v>
      </c>
      <c r="E162">
        <v>1003</v>
      </c>
      <c r="F162" s="1">
        <v>44005</v>
      </c>
      <c r="G162" t="s">
        <v>15</v>
      </c>
      <c r="H162" s="4">
        <v>47.42</v>
      </c>
      <c r="I162" s="4" t="s">
        <v>16</v>
      </c>
      <c r="J162" s="4">
        <v>47.42</v>
      </c>
    </row>
    <row r="163" spans="1:10" x14ac:dyDescent="0.3">
      <c r="A163" s="3">
        <v>2033600</v>
      </c>
      <c r="B163">
        <v>43440</v>
      </c>
      <c r="C163">
        <v>3</v>
      </c>
      <c r="D163" s="9">
        <v>102</v>
      </c>
      <c r="E163">
        <v>1003</v>
      </c>
      <c r="F163" s="1">
        <v>44005</v>
      </c>
      <c r="G163" t="s">
        <v>15</v>
      </c>
      <c r="H163" s="4" t="s">
        <v>16</v>
      </c>
      <c r="I163" s="4">
        <v>-47.42</v>
      </c>
      <c r="J163" s="4">
        <v>-47.42</v>
      </c>
    </row>
    <row r="164" spans="1:10" x14ac:dyDescent="0.3">
      <c r="A164" s="3">
        <v>2033601</v>
      </c>
      <c r="B164">
        <v>51402</v>
      </c>
      <c r="C164">
        <v>2</v>
      </c>
      <c r="D164" s="9">
        <v>105</v>
      </c>
      <c r="E164">
        <v>1006</v>
      </c>
      <c r="F164" s="1">
        <v>44005</v>
      </c>
      <c r="G164" t="s">
        <v>55</v>
      </c>
      <c r="H164" s="4">
        <v>48.27</v>
      </c>
      <c r="I164" s="4" t="s">
        <v>16</v>
      </c>
      <c r="J164" s="4">
        <v>48.27</v>
      </c>
    </row>
    <row r="165" spans="1:10" x14ac:dyDescent="0.3">
      <c r="A165" s="3">
        <v>2033601</v>
      </c>
      <c r="B165">
        <v>22110</v>
      </c>
      <c r="C165">
        <v>2</v>
      </c>
      <c r="D165" s="9">
        <v>105</v>
      </c>
      <c r="E165">
        <v>1006</v>
      </c>
      <c r="F165" s="1">
        <v>44005</v>
      </c>
      <c r="G165" t="s">
        <v>55</v>
      </c>
      <c r="H165" s="4" t="s">
        <v>16</v>
      </c>
      <c r="I165" s="4">
        <v>-48.27</v>
      </c>
      <c r="J165" s="4">
        <v>-48.27</v>
      </c>
    </row>
    <row r="166" spans="1:10" x14ac:dyDescent="0.3">
      <c r="A166" s="3">
        <v>2033602</v>
      </c>
      <c r="B166">
        <v>11845</v>
      </c>
      <c r="C166">
        <v>3</v>
      </c>
      <c r="D166" s="9">
        <v>102</v>
      </c>
      <c r="E166">
        <v>1001</v>
      </c>
      <c r="F166" s="1">
        <v>44005</v>
      </c>
      <c r="G166" t="s">
        <v>41</v>
      </c>
      <c r="H166" s="4">
        <v>52.31</v>
      </c>
      <c r="I166" s="4" t="s">
        <v>16</v>
      </c>
      <c r="J166" s="4">
        <v>52.31</v>
      </c>
    </row>
    <row r="167" spans="1:10" x14ac:dyDescent="0.3">
      <c r="A167" s="3">
        <v>2033602</v>
      </c>
      <c r="B167">
        <v>43440</v>
      </c>
      <c r="C167">
        <v>3</v>
      </c>
      <c r="D167" s="9">
        <v>102</v>
      </c>
      <c r="E167">
        <v>1001</v>
      </c>
      <c r="F167" s="1">
        <v>44005</v>
      </c>
      <c r="G167" t="s">
        <v>41</v>
      </c>
      <c r="H167" s="4" t="s">
        <v>16</v>
      </c>
      <c r="I167" s="4">
        <v>-52.31</v>
      </c>
      <c r="J167" s="4">
        <v>-52.31</v>
      </c>
    </row>
    <row r="168" spans="1:10" x14ac:dyDescent="0.3">
      <c r="A168" s="3">
        <v>2033603</v>
      </c>
      <c r="B168">
        <v>51610</v>
      </c>
      <c r="C168">
        <v>1</v>
      </c>
      <c r="D168" s="9">
        <v>105</v>
      </c>
      <c r="E168">
        <v>1006</v>
      </c>
      <c r="F168" s="1">
        <v>44005</v>
      </c>
      <c r="G168" t="s">
        <v>53</v>
      </c>
      <c r="H168" s="4">
        <v>75</v>
      </c>
      <c r="I168" s="4" t="s">
        <v>16</v>
      </c>
      <c r="J168" s="4">
        <v>75</v>
      </c>
    </row>
    <row r="169" spans="1:10" x14ac:dyDescent="0.3">
      <c r="A169" s="3">
        <v>2033603</v>
      </c>
      <c r="B169">
        <v>22110</v>
      </c>
      <c r="C169">
        <v>1</v>
      </c>
      <c r="D169" s="9">
        <v>105</v>
      </c>
      <c r="E169">
        <v>1006</v>
      </c>
      <c r="F169" s="1">
        <v>44005</v>
      </c>
      <c r="G169" t="s">
        <v>53</v>
      </c>
      <c r="H169" s="4" t="s">
        <v>16</v>
      </c>
      <c r="I169" s="4">
        <v>-75</v>
      </c>
      <c r="J169" s="4">
        <v>-75</v>
      </c>
    </row>
    <row r="170" spans="1:10" x14ac:dyDescent="0.3">
      <c r="A170" s="3">
        <v>2033604</v>
      </c>
      <c r="B170">
        <v>11845</v>
      </c>
      <c r="C170">
        <v>2</v>
      </c>
      <c r="D170" s="9">
        <v>104</v>
      </c>
      <c r="E170">
        <v>1003</v>
      </c>
      <c r="F170" s="1">
        <v>44005</v>
      </c>
      <c r="G170" t="s">
        <v>41</v>
      </c>
      <c r="H170" s="4">
        <v>99</v>
      </c>
      <c r="I170" s="4" t="s">
        <v>16</v>
      </c>
      <c r="J170" s="4">
        <v>99</v>
      </c>
    </row>
    <row r="171" spans="1:10" x14ac:dyDescent="0.3">
      <c r="A171" s="3">
        <v>2033604</v>
      </c>
      <c r="B171">
        <v>43180</v>
      </c>
      <c r="C171">
        <v>2</v>
      </c>
      <c r="D171" s="9">
        <v>104</v>
      </c>
      <c r="E171">
        <v>1003</v>
      </c>
      <c r="F171" s="1">
        <v>44005</v>
      </c>
      <c r="G171" t="s">
        <v>41</v>
      </c>
      <c r="H171" s="4" t="s">
        <v>16</v>
      </c>
      <c r="I171" s="4">
        <v>-99</v>
      </c>
      <c r="J171" s="4">
        <v>-99</v>
      </c>
    </row>
    <row r="172" spans="1:10" x14ac:dyDescent="0.3">
      <c r="A172" s="3">
        <v>2033605</v>
      </c>
      <c r="B172">
        <v>71400</v>
      </c>
      <c r="C172">
        <v>1</v>
      </c>
      <c r="D172" s="9">
        <v>101</v>
      </c>
      <c r="E172">
        <v>1002</v>
      </c>
      <c r="F172" s="1">
        <v>44005</v>
      </c>
      <c r="G172" t="s">
        <v>228</v>
      </c>
      <c r="H172" s="4">
        <v>100</v>
      </c>
      <c r="I172" s="4" t="s">
        <v>16</v>
      </c>
      <c r="J172" s="4">
        <v>100</v>
      </c>
    </row>
    <row r="173" spans="1:10" x14ac:dyDescent="0.3">
      <c r="A173" s="3">
        <v>2033605</v>
      </c>
      <c r="B173">
        <v>11845</v>
      </c>
      <c r="C173">
        <v>1</v>
      </c>
      <c r="D173" s="9">
        <v>101</v>
      </c>
      <c r="E173">
        <v>1002</v>
      </c>
      <c r="F173" s="1">
        <v>44005</v>
      </c>
      <c r="G173" t="s">
        <v>228</v>
      </c>
      <c r="H173" s="4" t="s">
        <v>16</v>
      </c>
      <c r="I173" s="4">
        <v>-100</v>
      </c>
      <c r="J173" s="4">
        <v>-100</v>
      </c>
    </row>
    <row r="174" spans="1:10" x14ac:dyDescent="0.3">
      <c r="A174" s="3">
        <v>2033606</v>
      </c>
      <c r="B174">
        <v>51400</v>
      </c>
      <c r="C174">
        <v>6</v>
      </c>
      <c r="D174" s="9">
        <v>105</v>
      </c>
      <c r="E174">
        <v>1006</v>
      </c>
      <c r="F174" s="1">
        <v>44005</v>
      </c>
      <c r="G174" t="s">
        <v>55</v>
      </c>
      <c r="H174" s="4">
        <v>110.32</v>
      </c>
      <c r="I174" s="4" t="s">
        <v>16</v>
      </c>
      <c r="J174" s="4">
        <v>110.32</v>
      </c>
    </row>
    <row r="175" spans="1:10" x14ac:dyDescent="0.3">
      <c r="A175" s="3">
        <v>2033606</v>
      </c>
      <c r="B175">
        <v>22110</v>
      </c>
      <c r="C175">
        <v>6</v>
      </c>
      <c r="D175" s="9">
        <v>105</v>
      </c>
      <c r="E175">
        <v>1006</v>
      </c>
      <c r="F175" s="1">
        <v>44005</v>
      </c>
      <c r="G175" t="s">
        <v>55</v>
      </c>
      <c r="H175" s="4" t="s">
        <v>16</v>
      </c>
      <c r="I175" s="4">
        <v>-110.32</v>
      </c>
      <c r="J175" s="4">
        <v>-110.32</v>
      </c>
    </row>
    <row r="176" spans="1:10" x14ac:dyDescent="0.3">
      <c r="A176" s="3">
        <v>2033607</v>
      </c>
      <c r="B176">
        <v>51140</v>
      </c>
      <c r="C176">
        <v>6</v>
      </c>
      <c r="D176" s="9">
        <v>105</v>
      </c>
      <c r="E176">
        <v>1004</v>
      </c>
      <c r="F176" s="1">
        <v>44005</v>
      </c>
      <c r="G176" t="s">
        <v>54</v>
      </c>
      <c r="H176" s="4">
        <v>120.69</v>
      </c>
      <c r="I176" s="4" t="s">
        <v>16</v>
      </c>
      <c r="J176" s="4">
        <v>120.69</v>
      </c>
    </row>
    <row r="177" spans="1:10" x14ac:dyDescent="0.3">
      <c r="A177" s="3">
        <v>2033607</v>
      </c>
      <c r="B177">
        <v>11845</v>
      </c>
      <c r="C177">
        <v>6</v>
      </c>
      <c r="D177" s="9">
        <v>105</v>
      </c>
      <c r="E177">
        <v>1004</v>
      </c>
      <c r="F177" s="1">
        <v>44005</v>
      </c>
      <c r="G177" t="s">
        <v>54</v>
      </c>
      <c r="H177" s="4" t="s">
        <v>16</v>
      </c>
      <c r="I177" s="4">
        <v>-120.69</v>
      </c>
      <c r="J177" s="4">
        <v>-120.69</v>
      </c>
    </row>
    <row r="178" spans="1:10" x14ac:dyDescent="0.3">
      <c r="A178" s="3">
        <v>2033608</v>
      </c>
      <c r="B178">
        <v>51402</v>
      </c>
      <c r="C178">
        <v>4</v>
      </c>
      <c r="D178" s="9">
        <v>105</v>
      </c>
      <c r="E178">
        <v>1006</v>
      </c>
      <c r="F178" s="1">
        <v>44005</v>
      </c>
      <c r="G178" t="s">
        <v>55</v>
      </c>
      <c r="H178" s="4">
        <v>121.22</v>
      </c>
      <c r="I178" s="4" t="s">
        <v>16</v>
      </c>
      <c r="J178" s="4">
        <v>121.22</v>
      </c>
    </row>
    <row r="179" spans="1:10" x14ac:dyDescent="0.3">
      <c r="A179" s="3">
        <v>2033608</v>
      </c>
      <c r="B179">
        <v>22110</v>
      </c>
      <c r="C179">
        <v>4</v>
      </c>
      <c r="D179" s="9">
        <v>105</v>
      </c>
      <c r="E179">
        <v>1006</v>
      </c>
      <c r="F179" s="1">
        <v>44005</v>
      </c>
      <c r="G179" t="s">
        <v>55</v>
      </c>
      <c r="H179" s="4" t="s">
        <v>16</v>
      </c>
      <c r="I179" s="4">
        <v>-121.22</v>
      </c>
      <c r="J179" s="4">
        <v>-121.22</v>
      </c>
    </row>
    <row r="180" spans="1:10" x14ac:dyDescent="0.3">
      <c r="A180" s="3">
        <v>2033609</v>
      </c>
      <c r="B180">
        <v>51610</v>
      </c>
      <c r="C180">
        <v>2</v>
      </c>
      <c r="D180" s="9">
        <v>105</v>
      </c>
      <c r="E180">
        <v>1006</v>
      </c>
      <c r="F180" s="1">
        <v>44005</v>
      </c>
      <c r="G180" t="s">
        <v>75</v>
      </c>
      <c r="H180" s="4">
        <v>195.5</v>
      </c>
      <c r="I180" s="4" t="s">
        <v>16</v>
      </c>
      <c r="J180" s="4">
        <v>195.5</v>
      </c>
    </row>
    <row r="181" spans="1:10" x14ac:dyDescent="0.3">
      <c r="A181" s="3">
        <v>2033609</v>
      </c>
      <c r="B181">
        <v>22110</v>
      </c>
      <c r="C181">
        <v>2</v>
      </c>
      <c r="D181" s="9">
        <v>105</v>
      </c>
      <c r="E181">
        <v>1006</v>
      </c>
      <c r="F181" s="1">
        <v>44005</v>
      </c>
      <c r="G181" t="s">
        <v>75</v>
      </c>
      <c r="H181" s="4" t="s">
        <v>16</v>
      </c>
      <c r="I181" s="4">
        <v>-195.5</v>
      </c>
      <c r="J181" s="4">
        <v>-195.5</v>
      </c>
    </row>
    <row r="182" spans="1:10" x14ac:dyDescent="0.3">
      <c r="A182" s="3">
        <v>2033610</v>
      </c>
      <c r="B182">
        <v>11845</v>
      </c>
      <c r="C182">
        <v>2</v>
      </c>
      <c r="D182" s="9">
        <v>104</v>
      </c>
      <c r="E182">
        <v>1003</v>
      </c>
      <c r="F182" s="1">
        <v>44005</v>
      </c>
      <c r="G182" t="s">
        <v>229</v>
      </c>
      <c r="H182" s="4">
        <v>198</v>
      </c>
      <c r="I182" s="4" t="s">
        <v>16</v>
      </c>
      <c r="J182" s="4">
        <v>198</v>
      </c>
    </row>
    <row r="183" spans="1:10" x14ac:dyDescent="0.3">
      <c r="A183" s="3">
        <v>2033610</v>
      </c>
      <c r="B183">
        <v>43180</v>
      </c>
      <c r="C183">
        <v>2</v>
      </c>
      <c r="D183" s="9">
        <v>104</v>
      </c>
      <c r="E183">
        <v>1003</v>
      </c>
      <c r="F183" s="1">
        <v>44005</v>
      </c>
      <c r="G183" t="s">
        <v>229</v>
      </c>
      <c r="H183" s="4" t="s">
        <v>16</v>
      </c>
      <c r="I183" s="4">
        <v>-198</v>
      </c>
      <c r="J183" s="4">
        <v>-198</v>
      </c>
    </row>
    <row r="184" spans="1:10" x14ac:dyDescent="0.3">
      <c r="A184" s="3">
        <v>2033611</v>
      </c>
      <c r="B184">
        <v>51400</v>
      </c>
      <c r="C184">
        <v>2</v>
      </c>
      <c r="D184" s="9">
        <v>105</v>
      </c>
      <c r="E184">
        <v>1006</v>
      </c>
      <c r="F184" s="1">
        <v>44005</v>
      </c>
      <c r="G184" t="s">
        <v>55</v>
      </c>
      <c r="H184" s="4">
        <v>206.41</v>
      </c>
      <c r="I184" s="4" t="s">
        <v>16</v>
      </c>
      <c r="J184" s="4">
        <v>206.41</v>
      </c>
    </row>
    <row r="185" spans="1:10" x14ac:dyDescent="0.3">
      <c r="A185" s="3">
        <v>2033611</v>
      </c>
      <c r="B185">
        <v>22110</v>
      </c>
      <c r="C185">
        <v>2</v>
      </c>
      <c r="D185" s="9">
        <v>105</v>
      </c>
      <c r="E185">
        <v>1006</v>
      </c>
      <c r="F185" s="1">
        <v>44005</v>
      </c>
      <c r="G185" t="s">
        <v>55</v>
      </c>
      <c r="H185" s="4" t="s">
        <v>16</v>
      </c>
      <c r="I185" s="4">
        <v>-206.41</v>
      </c>
      <c r="J185" s="4">
        <v>-206.41</v>
      </c>
    </row>
    <row r="186" spans="1:10" x14ac:dyDescent="0.3">
      <c r="A186" s="3">
        <v>2033612</v>
      </c>
      <c r="B186">
        <v>11845</v>
      </c>
      <c r="C186">
        <v>1</v>
      </c>
      <c r="D186" s="9">
        <v>102</v>
      </c>
      <c r="E186">
        <v>1001</v>
      </c>
      <c r="F186" s="1">
        <v>44005</v>
      </c>
      <c r="G186" t="s">
        <v>41</v>
      </c>
      <c r="H186" s="4">
        <v>207.83</v>
      </c>
      <c r="I186" s="4" t="s">
        <v>16</v>
      </c>
      <c r="J186" s="4">
        <v>207.83</v>
      </c>
    </row>
    <row r="187" spans="1:10" x14ac:dyDescent="0.3">
      <c r="A187" s="3">
        <v>2033612</v>
      </c>
      <c r="B187">
        <v>43310</v>
      </c>
      <c r="C187">
        <v>1</v>
      </c>
      <c r="D187" s="9">
        <v>102</v>
      </c>
      <c r="E187">
        <v>1001</v>
      </c>
      <c r="F187" s="1">
        <v>44005</v>
      </c>
      <c r="G187" t="s">
        <v>41</v>
      </c>
      <c r="H187" s="4" t="s">
        <v>16</v>
      </c>
      <c r="I187" s="4">
        <v>-207.83</v>
      </c>
      <c r="J187" s="4">
        <v>-207.83</v>
      </c>
    </row>
    <row r="188" spans="1:10" x14ac:dyDescent="0.3">
      <c r="A188" s="3">
        <v>2033613</v>
      </c>
      <c r="B188">
        <v>51402</v>
      </c>
      <c r="C188">
        <v>1</v>
      </c>
      <c r="D188" s="9">
        <v>105</v>
      </c>
      <c r="E188">
        <v>1006</v>
      </c>
      <c r="F188" s="1">
        <v>44005</v>
      </c>
      <c r="G188" t="s">
        <v>55</v>
      </c>
      <c r="H188" s="4">
        <v>238.54</v>
      </c>
      <c r="I188" s="4" t="s">
        <v>16</v>
      </c>
      <c r="J188" s="4">
        <v>238.54</v>
      </c>
    </row>
    <row r="189" spans="1:10" x14ac:dyDescent="0.3">
      <c r="A189" s="3">
        <v>2033613</v>
      </c>
      <c r="B189">
        <v>22110</v>
      </c>
      <c r="C189">
        <v>1</v>
      </c>
      <c r="D189" s="9">
        <v>105</v>
      </c>
      <c r="E189">
        <v>1006</v>
      </c>
      <c r="F189" s="1">
        <v>44005</v>
      </c>
      <c r="G189" t="s">
        <v>55</v>
      </c>
      <c r="H189" s="4" t="s">
        <v>16</v>
      </c>
      <c r="I189" s="4">
        <v>-238.54</v>
      </c>
      <c r="J189" s="4">
        <v>-238.54</v>
      </c>
    </row>
    <row r="190" spans="1:10" x14ac:dyDescent="0.3">
      <c r="A190" s="3">
        <v>2033614</v>
      </c>
      <c r="B190">
        <v>11845</v>
      </c>
      <c r="C190">
        <v>2</v>
      </c>
      <c r="D190" s="9">
        <v>104</v>
      </c>
      <c r="E190">
        <v>1003</v>
      </c>
      <c r="F190" s="1">
        <v>44005</v>
      </c>
      <c r="G190" t="s">
        <v>230</v>
      </c>
      <c r="H190" s="4">
        <v>258</v>
      </c>
      <c r="I190" s="4" t="s">
        <v>16</v>
      </c>
      <c r="J190" s="4">
        <v>258</v>
      </c>
    </row>
    <row r="191" spans="1:10" x14ac:dyDescent="0.3">
      <c r="A191" s="3">
        <v>2033614</v>
      </c>
      <c r="B191">
        <v>43180</v>
      </c>
      <c r="C191">
        <v>2</v>
      </c>
      <c r="D191" s="9">
        <v>104</v>
      </c>
      <c r="E191">
        <v>1003</v>
      </c>
      <c r="F191" s="1">
        <v>44005</v>
      </c>
      <c r="G191" t="s">
        <v>230</v>
      </c>
      <c r="H191" s="4" t="s">
        <v>16</v>
      </c>
      <c r="I191" s="4">
        <v>-258</v>
      </c>
      <c r="J191" s="4">
        <v>-258</v>
      </c>
    </row>
    <row r="192" spans="1:10" x14ac:dyDescent="0.3">
      <c r="A192" s="3">
        <v>2033615</v>
      </c>
      <c r="B192">
        <v>51610</v>
      </c>
      <c r="C192">
        <v>1</v>
      </c>
      <c r="D192" s="9">
        <v>105</v>
      </c>
      <c r="E192">
        <v>1006</v>
      </c>
      <c r="F192" s="1">
        <v>44005</v>
      </c>
      <c r="G192" t="s">
        <v>65</v>
      </c>
      <c r="H192" s="4">
        <v>293.83</v>
      </c>
      <c r="I192" s="4" t="s">
        <v>16</v>
      </c>
      <c r="J192" s="4">
        <v>293.83</v>
      </c>
    </row>
    <row r="193" spans="1:10" x14ac:dyDescent="0.3">
      <c r="A193" s="3">
        <v>2033615</v>
      </c>
      <c r="B193">
        <v>22110</v>
      </c>
      <c r="C193">
        <v>1</v>
      </c>
      <c r="D193" s="9">
        <v>105</v>
      </c>
      <c r="E193">
        <v>1006</v>
      </c>
      <c r="F193" s="1">
        <v>44005</v>
      </c>
      <c r="G193" t="s">
        <v>65</v>
      </c>
      <c r="H193" s="4" t="s">
        <v>16</v>
      </c>
      <c r="I193" s="4">
        <v>-293.83</v>
      </c>
      <c r="J193" s="4">
        <v>-293.83</v>
      </c>
    </row>
    <row r="194" spans="1:10" x14ac:dyDescent="0.3">
      <c r="A194" s="3">
        <v>2033616</v>
      </c>
      <c r="B194">
        <v>51510</v>
      </c>
      <c r="C194">
        <v>6</v>
      </c>
      <c r="D194" s="9">
        <v>105</v>
      </c>
      <c r="E194">
        <v>1006</v>
      </c>
      <c r="F194" s="1">
        <v>44005</v>
      </c>
      <c r="G194" t="s">
        <v>62</v>
      </c>
      <c r="H194" s="4">
        <v>312.14</v>
      </c>
      <c r="I194" s="4" t="s">
        <v>16</v>
      </c>
      <c r="J194" s="4">
        <v>312.14</v>
      </c>
    </row>
    <row r="195" spans="1:10" x14ac:dyDescent="0.3">
      <c r="A195" s="3">
        <v>2033616</v>
      </c>
      <c r="B195">
        <v>22110</v>
      </c>
      <c r="C195">
        <v>6</v>
      </c>
      <c r="D195" s="9">
        <v>105</v>
      </c>
      <c r="E195">
        <v>1006</v>
      </c>
      <c r="F195" s="1">
        <v>44005</v>
      </c>
      <c r="G195" t="s">
        <v>62</v>
      </c>
      <c r="H195" s="4" t="s">
        <v>16</v>
      </c>
      <c r="I195" s="4">
        <v>-312.14</v>
      </c>
      <c r="J195" s="4">
        <v>-312.14</v>
      </c>
    </row>
    <row r="196" spans="1:10" x14ac:dyDescent="0.3">
      <c r="A196" s="3">
        <v>2033617</v>
      </c>
      <c r="B196">
        <v>11845</v>
      </c>
      <c r="C196">
        <v>1</v>
      </c>
      <c r="D196" s="9">
        <v>102</v>
      </c>
      <c r="E196">
        <v>1003</v>
      </c>
      <c r="F196" s="1">
        <v>44005</v>
      </c>
      <c r="G196" t="s">
        <v>15</v>
      </c>
      <c r="H196" s="4">
        <v>339.08</v>
      </c>
      <c r="I196" s="4" t="s">
        <v>16</v>
      </c>
      <c r="J196" s="4">
        <v>339.08</v>
      </c>
    </row>
    <row r="197" spans="1:10" x14ac:dyDescent="0.3">
      <c r="A197" s="3">
        <v>2033617</v>
      </c>
      <c r="B197">
        <v>43310</v>
      </c>
      <c r="C197">
        <v>1</v>
      </c>
      <c r="D197" s="9">
        <v>102</v>
      </c>
      <c r="E197">
        <v>1003</v>
      </c>
      <c r="F197" s="1">
        <v>44005</v>
      </c>
      <c r="G197" t="s">
        <v>15</v>
      </c>
      <c r="H197" s="4" t="s">
        <v>16</v>
      </c>
      <c r="I197" s="4">
        <v>-339.08</v>
      </c>
      <c r="J197" s="4">
        <v>-339.08</v>
      </c>
    </row>
    <row r="198" spans="1:10" x14ac:dyDescent="0.3">
      <c r="A198" s="3">
        <v>2033618</v>
      </c>
      <c r="B198">
        <v>71400</v>
      </c>
      <c r="C198">
        <v>2</v>
      </c>
      <c r="D198" s="9">
        <v>101</v>
      </c>
      <c r="E198">
        <v>1002</v>
      </c>
      <c r="F198" s="1">
        <v>44005</v>
      </c>
      <c r="G198" t="s">
        <v>231</v>
      </c>
      <c r="H198" s="4">
        <v>375</v>
      </c>
      <c r="I198" s="4" t="s">
        <v>16</v>
      </c>
      <c r="J198" s="4">
        <v>375</v>
      </c>
    </row>
    <row r="199" spans="1:10" x14ac:dyDescent="0.3">
      <c r="A199" s="3">
        <v>2033618</v>
      </c>
      <c r="B199">
        <v>11845</v>
      </c>
      <c r="C199">
        <v>2</v>
      </c>
      <c r="D199" s="9">
        <v>101</v>
      </c>
      <c r="E199">
        <v>1002</v>
      </c>
      <c r="F199" s="1">
        <v>44005</v>
      </c>
      <c r="G199" t="s">
        <v>231</v>
      </c>
      <c r="H199" s="4" t="s">
        <v>16</v>
      </c>
      <c r="I199" s="4">
        <v>-375</v>
      </c>
      <c r="J199" s="4">
        <v>-375</v>
      </c>
    </row>
    <row r="200" spans="1:10" x14ac:dyDescent="0.3">
      <c r="A200" s="3">
        <v>2033619</v>
      </c>
      <c r="B200">
        <v>71400</v>
      </c>
      <c r="C200">
        <v>2</v>
      </c>
      <c r="D200" s="9">
        <v>101</v>
      </c>
      <c r="E200">
        <v>1002</v>
      </c>
      <c r="F200" s="1">
        <v>44005</v>
      </c>
      <c r="G200" t="s">
        <v>232</v>
      </c>
      <c r="H200" s="4">
        <v>388.5</v>
      </c>
      <c r="I200" s="4" t="s">
        <v>16</v>
      </c>
      <c r="J200" s="4">
        <v>388.5</v>
      </c>
    </row>
    <row r="201" spans="1:10" x14ac:dyDescent="0.3">
      <c r="A201" s="3">
        <v>2033619</v>
      </c>
      <c r="B201">
        <v>11845</v>
      </c>
      <c r="C201">
        <v>2</v>
      </c>
      <c r="D201" s="9">
        <v>101</v>
      </c>
      <c r="E201">
        <v>1002</v>
      </c>
      <c r="F201" s="1">
        <v>44005</v>
      </c>
      <c r="G201" t="s">
        <v>232</v>
      </c>
      <c r="H201" s="4" t="s">
        <v>16</v>
      </c>
      <c r="I201" s="4">
        <v>-388.5</v>
      </c>
      <c r="J201" s="4">
        <v>-388.5</v>
      </c>
    </row>
    <row r="202" spans="1:10" x14ac:dyDescent="0.3">
      <c r="A202" s="3">
        <v>2033620</v>
      </c>
      <c r="B202">
        <v>51510</v>
      </c>
      <c r="C202">
        <v>2</v>
      </c>
      <c r="D202" s="9">
        <v>105</v>
      </c>
      <c r="E202">
        <v>1006</v>
      </c>
      <c r="F202" s="1">
        <v>44005</v>
      </c>
      <c r="G202" t="s">
        <v>62</v>
      </c>
      <c r="H202" s="4">
        <v>414.06</v>
      </c>
      <c r="I202" s="4" t="s">
        <v>16</v>
      </c>
      <c r="J202" s="4">
        <v>414.06</v>
      </c>
    </row>
    <row r="203" spans="1:10" x14ac:dyDescent="0.3">
      <c r="A203" s="3">
        <v>2033620</v>
      </c>
      <c r="B203">
        <v>22110</v>
      </c>
      <c r="C203">
        <v>2</v>
      </c>
      <c r="D203" s="9">
        <v>105</v>
      </c>
      <c r="E203">
        <v>1006</v>
      </c>
      <c r="F203" s="1">
        <v>44005</v>
      </c>
      <c r="G203" t="s">
        <v>62</v>
      </c>
      <c r="H203" s="4" t="s">
        <v>16</v>
      </c>
      <c r="I203" s="4">
        <v>-414.06</v>
      </c>
      <c r="J203" s="4">
        <v>-414.06</v>
      </c>
    </row>
    <row r="204" spans="1:10" x14ac:dyDescent="0.3">
      <c r="A204" s="3">
        <v>2033621</v>
      </c>
      <c r="B204">
        <v>51400</v>
      </c>
      <c r="C204">
        <v>4</v>
      </c>
      <c r="D204" s="9">
        <v>105</v>
      </c>
      <c r="E204">
        <v>1006</v>
      </c>
      <c r="F204" s="1">
        <v>44005</v>
      </c>
      <c r="G204" t="s">
        <v>55</v>
      </c>
      <c r="H204" s="4">
        <v>518.32000000000005</v>
      </c>
      <c r="I204" s="4" t="s">
        <v>16</v>
      </c>
      <c r="J204" s="4">
        <v>518.32000000000005</v>
      </c>
    </row>
    <row r="205" spans="1:10" x14ac:dyDescent="0.3">
      <c r="A205" s="3">
        <v>2033621</v>
      </c>
      <c r="B205">
        <v>22110</v>
      </c>
      <c r="C205">
        <v>4</v>
      </c>
      <c r="D205" s="9">
        <v>105</v>
      </c>
      <c r="E205">
        <v>1006</v>
      </c>
      <c r="F205" s="1">
        <v>44005</v>
      </c>
      <c r="G205" t="s">
        <v>55</v>
      </c>
      <c r="H205" s="4" t="s">
        <v>16</v>
      </c>
      <c r="I205" s="4">
        <v>-518.32000000000005</v>
      </c>
      <c r="J205" s="4">
        <v>-518.32000000000005</v>
      </c>
    </row>
    <row r="206" spans="1:10" x14ac:dyDescent="0.3">
      <c r="A206" s="3">
        <v>2033622</v>
      </c>
      <c r="B206">
        <v>51610</v>
      </c>
      <c r="C206">
        <v>2</v>
      </c>
      <c r="D206" s="9">
        <v>105</v>
      </c>
      <c r="E206">
        <v>1006</v>
      </c>
      <c r="F206" s="1">
        <v>44005</v>
      </c>
      <c r="G206" t="s">
        <v>66</v>
      </c>
      <c r="H206" s="4">
        <v>581</v>
      </c>
      <c r="I206" s="4" t="s">
        <v>16</v>
      </c>
      <c r="J206" s="4">
        <v>581</v>
      </c>
    </row>
    <row r="207" spans="1:10" x14ac:dyDescent="0.3">
      <c r="A207" s="3">
        <v>2033622</v>
      </c>
      <c r="B207">
        <v>22110</v>
      </c>
      <c r="C207">
        <v>2</v>
      </c>
      <c r="D207" s="9">
        <v>105</v>
      </c>
      <c r="E207">
        <v>1006</v>
      </c>
      <c r="F207" s="1">
        <v>44005</v>
      </c>
      <c r="G207" t="s">
        <v>66</v>
      </c>
      <c r="H207" s="4" t="s">
        <v>16</v>
      </c>
      <c r="I207" s="4">
        <v>-581</v>
      </c>
      <c r="J207" s="4">
        <v>-581</v>
      </c>
    </row>
    <row r="208" spans="1:10" x14ac:dyDescent="0.3">
      <c r="A208" s="3">
        <v>2033623</v>
      </c>
      <c r="B208">
        <v>51610</v>
      </c>
      <c r="C208">
        <v>4</v>
      </c>
      <c r="D208" s="9">
        <v>105</v>
      </c>
      <c r="E208">
        <v>1006</v>
      </c>
      <c r="F208" s="1">
        <v>44005</v>
      </c>
      <c r="G208" t="s">
        <v>68</v>
      </c>
      <c r="H208" s="4">
        <v>594</v>
      </c>
      <c r="I208" s="4" t="s">
        <v>16</v>
      </c>
      <c r="J208" s="4">
        <v>594</v>
      </c>
    </row>
    <row r="209" spans="1:10" x14ac:dyDescent="0.3">
      <c r="A209" s="3">
        <v>2033623</v>
      </c>
      <c r="B209">
        <v>22110</v>
      </c>
      <c r="C209">
        <v>4</v>
      </c>
      <c r="D209" s="9">
        <v>105</v>
      </c>
      <c r="E209">
        <v>1006</v>
      </c>
      <c r="F209" s="1">
        <v>44005</v>
      </c>
      <c r="G209" t="s">
        <v>68</v>
      </c>
      <c r="H209" s="4" t="s">
        <v>16</v>
      </c>
      <c r="I209" s="4">
        <v>-594</v>
      </c>
      <c r="J209" s="4">
        <v>-594</v>
      </c>
    </row>
    <row r="210" spans="1:10" x14ac:dyDescent="0.3">
      <c r="A210" s="3">
        <v>2033624</v>
      </c>
      <c r="B210">
        <v>51140</v>
      </c>
      <c r="C210">
        <v>2</v>
      </c>
      <c r="D210" s="9">
        <v>105</v>
      </c>
      <c r="E210">
        <v>1004</v>
      </c>
      <c r="F210" s="1">
        <v>44005</v>
      </c>
      <c r="G210" t="s">
        <v>54</v>
      </c>
      <c r="H210" s="4">
        <v>770.35</v>
      </c>
      <c r="I210" s="4" t="s">
        <v>16</v>
      </c>
      <c r="J210" s="4">
        <v>770.35</v>
      </c>
    </row>
    <row r="211" spans="1:10" x14ac:dyDescent="0.3">
      <c r="A211" s="3">
        <v>2033624</v>
      </c>
      <c r="B211">
        <v>11845</v>
      </c>
      <c r="C211">
        <v>2</v>
      </c>
      <c r="D211" s="9">
        <v>105</v>
      </c>
      <c r="E211">
        <v>1004</v>
      </c>
      <c r="F211" s="1">
        <v>44005</v>
      </c>
      <c r="G211" t="s">
        <v>54</v>
      </c>
      <c r="H211" s="4" t="s">
        <v>16</v>
      </c>
      <c r="I211" s="4">
        <v>-770.35</v>
      </c>
      <c r="J211" s="4">
        <v>-770.35</v>
      </c>
    </row>
    <row r="212" spans="1:10" x14ac:dyDescent="0.3">
      <c r="A212" s="3">
        <v>2033625</v>
      </c>
      <c r="B212">
        <v>51610</v>
      </c>
      <c r="C212">
        <v>6</v>
      </c>
      <c r="D212" s="9">
        <v>105</v>
      </c>
      <c r="E212">
        <v>1006</v>
      </c>
      <c r="F212" s="1">
        <v>44005</v>
      </c>
      <c r="G212" t="s">
        <v>68</v>
      </c>
      <c r="H212" s="4">
        <v>773</v>
      </c>
      <c r="I212" s="4" t="s">
        <v>16</v>
      </c>
      <c r="J212" s="4">
        <v>773</v>
      </c>
    </row>
    <row r="213" spans="1:10" x14ac:dyDescent="0.3">
      <c r="A213" s="3">
        <v>2033625</v>
      </c>
      <c r="B213">
        <v>22110</v>
      </c>
      <c r="C213">
        <v>6</v>
      </c>
      <c r="D213" s="9">
        <v>105</v>
      </c>
      <c r="E213">
        <v>1006</v>
      </c>
      <c r="F213" s="1">
        <v>44005</v>
      </c>
      <c r="G213" t="s">
        <v>68</v>
      </c>
      <c r="H213" s="4" t="s">
        <v>16</v>
      </c>
      <c r="I213" s="4">
        <v>-773</v>
      </c>
      <c r="J213" s="4">
        <v>-773</v>
      </c>
    </row>
    <row r="214" spans="1:10" x14ac:dyDescent="0.3">
      <c r="A214" s="3">
        <v>2033626</v>
      </c>
      <c r="B214">
        <v>11845</v>
      </c>
      <c r="C214">
        <v>1</v>
      </c>
      <c r="D214" s="9">
        <v>102</v>
      </c>
      <c r="E214">
        <v>1001</v>
      </c>
      <c r="F214" s="1">
        <v>44005</v>
      </c>
      <c r="G214" t="s">
        <v>41</v>
      </c>
      <c r="H214" s="4">
        <v>795.55</v>
      </c>
      <c r="I214" s="4" t="s">
        <v>16</v>
      </c>
      <c r="J214" s="4">
        <v>795.55</v>
      </c>
    </row>
    <row r="215" spans="1:10" x14ac:dyDescent="0.3">
      <c r="A215" s="3">
        <v>2033626</v>
      </c>
      <c r="B215">
        <v>43310</v>
      </c>
      <c r="C215">
        <v>1</v>
      </c>
      <c r="D215" s="9">
        <v>102</v>
      </c>
      <c r="E215">
        <v>1001</v>
      </c>
      <c r="F215" s="1">
        <v>44005</v>
      </c>
      <c r="G215" t="s">
        <v>41</v>
      </c>
      <c r="H215" s="4" t="s">
        <v>16</v>
      </c>
      <c r="I215" s="4">
        <v>-795.55</v>
      </c>
      <c r="J215" s="4">
        <v>-795.55</v>
      </c>
    </row>
    <row r="216" spans="1:10" x14ac:dyDescent="0.3">
      <c r="A216" s="3">
        <v>2033627</v>
      </c>
      <c r="B216">
        <v>51610</v>
      </c>
      <c r="C216">
        <v>4</v>
      </c>
      <c r="D216" s="9">
        <v>105</v>
      </c>
      <c r="E216">
        <v>1006</v>
      </c>
      <c r="F216" s="1">
        <v>44005</v>
      </c>
      <c r="G216" t="s">
        <v>66</v>
      </c>
      <c r="H216" s="4">
        <v>800</v>
      </c>
      <c r="I216" s="4" t="s">
        <v>16</v>
      </c>
      <c r="J216" s="4">
        <v>800</v>
      </c>
    </row>
    <row r="217" spans="1:10" x14ac:dyDescent="0.3">
      <c r="A217" s="3">
        <v>2033627</v>
      </c>
      <c r="B217">
        <v>22110</v>
      </c>
      <c r="C217">
        <v>4</v>
      </c>
      <c r="D217" s="9">
        <v>105</v>
      </c>
      <c r="E217">
        <v>1006</v>
      </c>
      <c r="F217" s="1">
        <v>44005</v>
      </c>
      <c r="G217" t="s">
        <v>66</v>
      </c>
      <c r="H217" s="4" t="s">
        <v>16</v>
      </c>
      <c r="I217" s="4">
        <v>-800</v>
      </c>
      <c r="J217" s="4">
        <v>-800</v>
      </c>
    </row>
    <row r="218" spans="1:10" x14ac:dyDescent="0.3">
      <c r="A218" s="3">
        <v>2033628</v>
      </c>
      <c r="B218">
        <v>51610</v>
      </c>
      <c r="C218">
        <v>1</v>
      </c>
      <c r="D218" s="9">
        <v>105</v>
      </c>
      <c r="E218">
        <v>1006</v>
      </c>
      <c r="F218" s="1">
        <v>44005</v>
      </c>
      <c r="G218" t="s">
        <v>68</v>
      </c>
      <c r="H218" s="4">
        <v>812.5</v>
      </c>
      <c r="I218" s="4" t="s">
        <v>16</v>
      </c>
      <c r="J218" s="4">
        <v>812.5</v>
      </c>
    </row>
    <row r="219" spans="1:10" x14ac:dyDescent="0.3">
      <c r="A219" s="3">
        <v>2033628</v>
      </c>
      <c r="B219">
        <v>22110</v>
      </c>
      <c r="C219">
        <v>1</v>
      </c>
      <c r="D219" s="9">
        <v>105</v>
      </c>
      <c r="E219">
        <v>1006</v>
      </c>
      <c r="F219" s="1">
        <v>44005</v>
      </c>
      <c r="G219" t="s">
        <v>68</v>
      </c>
      <c r="H219" s="4" t="s">
        <v>16</v>
      </c>
      <c r="I219" s="4">
        <v>-812.5</v>
      </c>
      <c r="J219" s="4">
        <v>-812.5</v>
      </c>
    </row>
    <row r="220" spans="1:10" x14ac:dyDescent="0.3">
      <c r="A220" s="3">
        <v>2033629</v>
      </c>
      <c r="B220">
        <v>51140</v>
      </c>
      <c r="C220">
        <v>1</v>
      </c>
      <c r="D220" s="9">
        <v>105</v>
      </c>
      <c r="E220">
        <v>1004</v>
      </c>
      <c r="F220" s="1">
        <v>44005</v>
      </c>
      <c r="G220" t="s">
        <v>54</v>
      </c>
      <c r="H220" s="4">
        <v>989.67</v>
      </c>
      <c r="I220" s="4" t="s">
        <v>16</v>
      </c>
      <c r="J220" s="4">
        <v>989.67</v>
      </c>
    </row>
    <row r="221" spans="1:10" x14ac:dyDescent="0.3">
      <c r="A221" s="3">
        <v>2033629</v>
      </c>
      <c r="B221">
        <v>11845</v>
      </c>
      <c r="C221">
        <v>1</v>
      </c>
      <c r="D221" s="9">
        <v>105</v>
      </c>
      <c r="E221">
        <v>1004</v>
      </c>
      <c r="F221" s="1">
        <v>44005</v>
      </c>
      <c r="G221" t="s">
        <v>54</v>
      </c>
      <c r="H221" s="4" t="s">
        <v>16</v>
      </c>
      <c r="I221" s="4">
        <v>-989.67</v>
      </c>
      <c r="J221" s="4">
        <v>-989.67</v>
      </c>
    </row>
    <row r="222" spans="1:10" x14ac:dyDescent="0.3">
      <c r="A222" s="3">
        <v>2033630</v>
      </c>
      <c r="B222">
        <v>51610</v>
      </c>
      <c r="C222">
        <v>1</v>
      </c>
      <c r="D222" s="9">
        <v>105</v>
      </c>
      <c r="E222">
        <v>1006</v>
      </c>
      <c r="F222" s="1">
        <v>44005</v>
      </c>
      <c r="G222" t="s">
        <v>75</v>
      </c>
      <c r="H222" s="4">
        <v>997.5</v>
      </c>
      <c r="I222" s="4" t="s">
        <v>16</v>
      </c>
      <c r="J222" s="4">
        <v>997.5</v>
      </c>
    </row>
    <row r="223" spans="1:10" x14ac:dyDescent="0.3">
      <c r="A223" s="3">
        <v>2033630</v>
      </c>
      <c r="B223">
        <v>22110</v>
      </c>
      <c r="C223">
        <v>1</v>
      </c>
      <c r="D223" s="9">
        <v>105</v>
      </c>
      <c r="E223">
        <v>1006</v>
      </c>
      <c r="F223" s="1">
        <v>44005</v>
      </c>
      <c r="G223" t="s">
        <v>75</v>
      </c>
      <c r="H223" s="4" t="s">
        <v>16</v>
      </c>
      <c r="I223" s="4">
        <v>-997.5</v>
      </c>
      <c r="J223" s="4">
        <v>-997.5</v>
      </c>
    </row>
    <row r="224" spans="1:10" x14ac:dyDescent="0.3">
      <c r="A224" s="3">
        <v>2033631</v>
      </c>
      <c r="B224">
        <v>51400</v>
      </c>
      <c r="C224">
        <v>1</v>
      </c>
      <c r="D224" s="9">
        <v>105</v>
      </c>
      <c r="E224">
        <v>1006</v>
      </c>
      <c r="F224" s="1">
        <v>44005</v>
      </c>
      <c r="G224" t="s">
        <v>55</v>
      </c>
      <c r="H224" s="4">
        <v>1019.94</v>
      </c>
      <c r="I224" s="4" t="s">
        <v>16</v>
      </c>
      <c r="J224" s="4">
        <v>1019.94</v>
      </c>
    </row>
    <row r="225" spans="1:10" x14ac:dyDescent="0.3">
      <c r="A225" s="3">
        <v>2033631</v>
      </c>
      <c r="B225">
        <v>22110</v>
      </c>
      <c r="C225">
        <v>1</v>
      </c>
      <c r="D225" s="9">
        <v>105</v>
      </c>
      <c r="E225">
        <v>1006</v>
      </c>
      <c r="F225" s="1">
        <v>44005</v>
      </c>
      <c r="G225" t="s">
        <v>55</v>
      </c>
      <c r="H225" s="4" t="s">
        <v>16</v>
      </c>
      <c r="I225" s="4">
        <v>-1019.94</v>
      </c>
      <c r="J225" s="4">
        <v>-1019.94</v>
      </c>
    </row>
    <row r="226" spans="1:10" x14ac:dyDescent="0.3">
      <c r="A226" s="3">
        <v>2033632</v>
      </c>
      <c r="B226">
        <v>51510</v>
      </c>
      <c r="C226">
        <v>4</v>
      </c>
      <c r="D226" s="9">
        <v>105</v>
      </c>
      <c r="E226">
        <v>1006</v>
      </c>
      <c r="F226" s="1">
        <v>44005</v>
      </c>
      <c r="G226" t="s">
        <v>62</v>
      </c>
      <c r="H226" s="4">
        <v>1051.7</v>
      </c>
      <c r="I226" s="4" t="s">
        <v>16</v>
      </c>
      <c r="J226" s="4">
        <v>1051.7</v>
      </c>
    </row>
    <row r="227" spans="1:10" x14ac:dyDescent="0.3">
      <c r="A227" s="3">
        <v>2033632</v>
      </c>
      <c r="B227">
        <v>22110</v>
      </c>
      <c r="C227">
        <v>4</v>
      </c>
      <c r="D227" s="9">
        <v>105</v>
      </c>
      <c r="E227">
        <v>1006</v>
      </c>
      <c r="F227" s="1">
        <v>44005</v>
      </c>
      <c r="G227" t="s">
        <v>62</v>
      </c>
      <c r="H227" s="4" t="s">
        <v>16</v>
      </c>
      <c r="I227" s="4">
        <v>-1051.7</v>
      </c>
      <c r="J227" s="4">
        <v>-1051.7</v>
      </c>
    </row>
    <row r="228" spans="1:10" x14ac:dyDescent="0.3">
      <c r="A228" s="3">
        <v>2033633</v>
      </c>
      <c r="B228">
        <v>51610</v>
      </c>
      <c r="C228">
        <v>1</v>
      </c>
      <c r="D228" s="9">
        <v>105</v>
      </c>
      <c r="E228">
        <v>1006</v>
      </c>
      <c r="F228" s="1">
        <v>44005</v>
      </c>
      <c r="G228" t="s">
        <v>66</v>
      </c>
      <c r="H228" s="4">
        <v>1200</v>
      </c>
      <c r="I228" s="4" t="s">
        <v>16</v>
      </c>
      <c r="J228" s="4">
        <v>1200</v>
      </c>
    </row>
    <row r="229" spans="1:10" x14ac:dyDescent="0.3">
      <c r="A229" s="3">
        <v>2033633</v>
      </c>
      <c r="B229">
        <v>22110</v>
      </c>
      <c r="C229">
        <v>1</v>
      </c>
      <c r="D229" s="9">
        <v>105</v>
      </c>
      <c r="E229">
        <v>1006</v>
      </c>
      <c r="F229" s="1">
        <v>44005</v>
      </c>
      <c r="G229" t="s">
        <v>66</v>
      </c>
      <c r="H229" s="4" t="s">
        <v>16</v>
      </c>
      <c r="I229" s="4">
        <v>-1200</v>
      </c>
      <c r="J229" s="4">
        <v>-1200</v>
      </c>
    </row>
    <row r="230" spans="1:10" x14ac:dyDescent="0.3">
      <c r="A230" s="3">
        <v>2033634</v>
      </c>
      <c r="B230">
        <v>51140</v>
      </c>
      <c r="C230">
        <v>4</v>
      </c>
      <c r="D230" s="9">
        <v>105</v>
      </c>
      <c r="E230">
        <v>1004</v>
      </c>
      <c r="F230" s="1">
        <v>44005</v>
      </c>
      <c r="G230" t="s">
        <v>54</v>
      </c>
      <c r="H230" s="4">
        <v>1722.74</v>
      </c>
      <c r="I230" s="4" t="s">
        <v>16</v>
      </c>
      <c r="J230" s="4">
        <v>1722.74</v>
      </c>
    </row>
    <row r="231" spans="1:10" x14ac:dyDescent="0.3">
      <c r="A231" s="3">
        <v>2033634</v>
      </c>
      <c r="B231">
        <v>11845</v>
      </c>
      <c r="C231">
        <v>4</v>
      </c>
      <c r="D231" s="9">
        <v>105</v>
      </c>
      <c r="E231">
        <v>1004</v>
      </c>
      <c r="F231" s="1">
        <v>44005</v>
      </c>
      <c r="G231" t="s">
        <v>54</v>
      </c>
      <c r="H231" s="4" t="s">
        <v>16</v>
      </c>
      <c r="I231" s="4">
        <v>-1722.74</v>
      </c>
      <c r="J231" s="4">
        <v>-1722.74</v>
      </c>
    </row>
    <row r="232" spans="1:10" x14ac:dyDescent="0.3">
      <c r="A232" s="3">
        <v>2033635</v>
      </c>
      <c r="B232">
        <v>51120</v>
      </c>
      <c r="C232">
        <v>6</v>
      </c>
      <c r="D232" s="9">
        <v>105</v>
      </c>
      <c r="E232">
        <v>1004</v>
      </c>
      <c r="F232" s="1">
        <v>44005</v>
      </c>
      <c r="G232" t="s">
        <v>60</v>
      </c>
      <c r="H232" s="4">
        <v>2187.36</v>
      </c>
      <c r="I232" s="4" t="s">
        <v>16</v>
      </c>
      <c r="J232" s="4">
        <v>2187.36</v>
      </c>
    </row>
    <row r="233" spans="1:10" x14ac:dyDescent="0.3">
      <c r="A233" s="3">
        <v>2033635</v>
      </c>
      <c r="B233">
        <v>11845</v>
      </c>
      <c r="C233">
        <v>6</v>
      </c>
      <c r="D233" s="9">
        <v>105</v>
      </c>
      <c r="E233">
        <v>1004</v>
      </c>
      <c r="F233" s="1">
        <v>44005</v>
      </c>
      <c r="G233" t="s">
        <v>60</v>
      </c>
      <c r="H233" s="4" t="s">
        <v>16</v>
      </c>
      <c r="I233" s="4">
        <v>-2187.36</v>
      </c>
      <c r="J233" s="4">
        <v>-2187.36</v>
      </c>
    </row>
    <row r="234" spans="1:10" x14ac:dyDescent="0.3">
      <c r="A234" s="3">
        <v>2033636</v>
      </c>
      <c r="B234">
        <v>11845</v>
      </c>
      <c r="C234">
        <v>1</v>
      </c>
      <c r="D234" s="9">
        <v>102</v>
      </c>
      <c r="E234">
        <v>1003</v>
      </c>
      <c r="F234" s="1">
        <v>44005</v>
      </c>
      <c r="G234" t="s">
        <v>15</v>
      </c>
      <c r="H234" s="4">
        <v>2219.14</v>
      </c>
      <c r="I234" s="4" t="s">
        <v>16</v>
      </c>
      <c r="J234" s="4">
        <v>2219.14</v>
      </c>
    </row>
    <row r="235" spans="1:10" x14ac:dyDescent="0.3">
      <c r="A235" s="3">
        <v>2033636</v>
      </c>
      <c r="B235">
        <v>43310</v>
      </c>
      <c r="C235">
        <v>1</v>
      </c>
      <c r="D235" s="9">
        <v>102</v>
      </c>
      <c r="E235">
        <v>1003</v>
      </c>
      <c r="F235" s="1">
        <v>44005</v>
      </c>
      <c r="G235" t="s">
        <v>15</v>
      </c>
      <c r="H235" s="4" t="s">
        <v>16</v>
      </c>
      <c r="I235" s="4">
        <v>-2219.14</v>
      </c>
      <c r="J235" s="4">
        <v>-2219.14</v>
      </c>
    </row>
    <row r="236" spans="1:10" x14ac:dyDescent="0.3">
      <c r="A236" s="3">
        <v>2033637</v>
      </c>
      <c r="B236">
        <v>51120</v>
      </c>
      <c r="C236">
        <v>6</v>
      </c>
      <c r="D236" s="9">
        <v>105</v>
      </c>
      <c r="E236">
        <v>1005</v>
      </c>
      <c r="F236" s="1">
        <v>44005</v>
      </c>
      <c r="G236" t="s">
        <v>189</v>
      </c>
      <c r="H236" s="4">
        <v>2405.92</v>
      </c>
      <c r="I236" s="4" t="s">
        <v>16</v>
      </c>
      <c r="J236" s="4">
        <v>2405.92</v>
      </c>
    </row>
    <row r="237" spans="1:10" x14ac:dyDescent="0.3">
      <c r="A237" s="3">
        <v>2033637</v>
      </c>
      <c r="B237">
        <v>11845</v>
      </c>
      <c r="C237">
        <v>6</v>
      </c>
      <c r="D237" s="9">
        <v>105</v>
      </c>
      <c r="E237">
        <v>1005</v>
      </c>
      <c r="F237" s="1">
        <v>44005</v>
      </c>
      <c r="G237" t="s">
        <v>189</v>
      </c>
      <c r="H237" s="4" t="s">
        <v>16</v>
      </c>
      <c r="I237" s="4">
        <v>-2405.92</v>
      </c>
      <c r="J237" s="4">
        <v>-2405.92</v>
      </c>
    </row>
    <row r="238" spans="1:10" x14ac:dyDescent="0.3">
      <c r="A238" s="3">
        <v>2033638</v>
      </c>
      <c r="B238">
        <v>71400</v>
      </c>
      <c r="C238">
        <v>1</v>
      </c>
      <c r="D238" s="9">
        <v>102</v>
      </c>
      <c r="E238">
        <v>1002</v>
      </c>
      <c r="F238" s="1">
        <v>44005</v>
      </c>
      <c r="G238" t="s">
        <v>134</v>
      </c>
      <c r="H238" s="4">
        <v>2436</v>
      </c>
      <c r="I238" s="4" t="s">
        <v>16</v>
      </c>
      <c r="J238" s="4">
        <v>2436</v>
      </c>
    </row>
    <row r="239" spans="1:10" x14ac:dyDescent="0.3">
      <c r="A239" s="3">
        <v>2033638</v>
      </c>
      <c r="B239">
        <v>11845</v>
      </c>
      <c r="C239">
        <v>1</v>
      </c>
      <c r="D239" s="9">
        <v>102</v>
      </c>
      <c r="E239">
        <v>1002</v>
      </c>
      <c r="F239" s="1">
        <v>44005</v>
      </c>
      <c r="G239" t="s">
        <v>134</v>
      </c>
      <c r="H239" s="4" t="s">
        <v>16</v>
      </c>
      <c r="I239" s="4">
        <v>-2436</v>
      </c>
      <c r="J239" s="4">
        <v>-2436</v>
      </c>
    </row>
    <row r="240" spans="1:10" x14ac:dyDescent="0.3">
      <c r="A240" s="3">
        <v>2033639</v>
      </c>
      <c r="B240">
        <v>51510</v>
      </c>
      <c r="C240">
        <v>1</v>
      </c>
      <c r="D240" s="9">
        <v>105</v>
      </c>
      <c r="E240">
        <v>1006</v>
      </c>
      <c r="F240" s="1">
        <v>44005</v>
      </c>
      <c r="G240" t="s">
        <v>62</v>
      </c>
      <c r="H240" s="4">
        <v>2481.11</v>
      </c>
      <c r="I240" s="4" t="s">
        <v>16</v>
      </c>
      <c r="J240" s="4">
        <v>2481.11</v>
      </c>
    </row>
    <row r="241" spans="1:10" x14ac:dyDescent="0.3">
      <c r="A241" s="3">
        <v>2033639</v>
      </c>
      <c r="B241">
        <v>22110</v>
      </c>
      <c r="C241">
        <v>1</v>
      </c>
      <c r="D241" s="9">
        <v>105</v>
      </c>
      <c r="E241">
        <v>1006</v>
      </c>
      <c r="F241" s="1">
        <v>44005</v>
      </c>
      <c r="G241" t="s">
        <v>62</v>
      </c>
      <c r="H241" s="4" t="s">
        <v>16</v>
      </c>
      <c r="I241" s="4">
        <v>-2481.11</v>
      </c>
      <c r="J241" s="4">
        <v>-2481.11</v>
      </c>
    </row>
    <row r="242" spans="1:10" x14ac:dyDescent="0.3">
      <c r="A242" s="3">
        <v>2033640</v>
      </c>
      <c r="B242">
        <v>51120</v>
      </c>
      <c r="C242">
        <v>2</v>
      </c>
      <c r="D242" s="9">
        <v>105</v>
      </c>
      <c r="E242">
        <v>1004</v>
      </c>
      <c r="F242" s="1">
        <v>44005</v>
      </c>
      <c r="G242" t="s">
        <v>60</v>
      </c>
      <c r="H242" s="4">
        <v>2901.53</v>
      </c>
      <c r="I242" s="4" t="s">
        <v>16</v>
      </c>
      <c r="J242" s="4">
        <v>2901.53</v>
      </c>
    </row>
    <row r="243" spans="1:10" x14ac:dyDescent="0.3">
      <c r="A243" s="3">
        <v>2033640</v>
      </c>
      <c r="B243">
        <v>11845</v>
      </c>
      <c r="C243">
        <v>2</v>
      </c>
      <c r="D243" s="9">
        <v>105</v>
      </c>
      <c r="E243">
        <v>1004</v>
      </c>
      <c r="F243" s="1">
        <v>44005</v>
      </c>
      <c r="G243" t="s">
        <v>60</v>
      </c>
      <c r="H243" s="4" t="s">
        <v>16</v>
      </c>
      <c r="I243" s="4">
        <v>-2901.53</v>
      </c>
      <c r="J243" s="4">
        <v>-2901.53</v>
      </c>
    </row>
    <row r="244" spans="1:10" x14ac:dyDescent="0.3">
      <c r="A244" s="3">
        <v>2033641</v>
      </c>
      <c r="B244">
        <v>11845</v>
      </c>
      <c r="C244">
        <v>1</v>
      </c>
      <c r="D244" s="9">
        <v>106</v>
      </c>
      <c r="E244">
        <v>1003</v>
      </c>
      <c r="F244" s="1">
        <v>44005</v>
      </c>
      <c r="G244" t="s">
        <v>80</v>
      </c>
      <c r="H244" s="4">
        <v>3155.58</v>
      </c>
      <c r="I244" s="4" t="s">
        <v>16</v>
      </c>
      <c r="J244" s="4">
        <v>3155.58</v>
      </c>
    </row>
    <row r="245" spans="1:10" x14ac:dyDescent="0.3">
      <c r="A245" s="3">
        <v>2033641</v>
      </c>
      <c r="B245">
        <v>43310</v>
      </c>
      <c r="C245">
        <v>1</v>
      </c>
      <c r="D245" s="9">
        <v>106</v>
      </c>
      <c r="E245">
        <v>1003</v>
      </c>
      <c r="F245" s="1">
        <v>44005</v>
      </c>
      <c r="G245" t="s">
        <v>80</v>
      </c>
      <c r="H245" s="4" t="s">
        <v>16</v>
      </c>
      <c r="I245" s="4">
        <v>-3155.58</v>
      </c>
      <c r="J245" s="4">
        <v>-3155.58</v>
      </c>
    </row>
    <row r="246" spans="1:10" x14ac:dyDescent="0.3">
      <c r="A246" s="3">
        <v>2033642</v>
      </c>
      <c r="B246">
        <v>51120</v>
      </c>
      <c r="C246">
        <v>2</v>
      </c>
      <c r="D246" s="9">
        <v>105</v>
      </c>
      <c r="E246">
        <v>1005</v>
      </c>
      <c r="F246" s="1">
        <v>44005</v>
      </c>
      <c r="G246" t="s">
        <v>188</v>
      </c>
      <c r="H246" s="4">
        <v>5459.3</v>
      </c>
      <c r="I246" s="4" t="s">
        <v>16</v>
      </c>
      <c r="J246" s="4">
        <v>5459.3</v>
      </c>
    </row>
    <row r="247" spans="1:10" x14ac:dyDescent="0.3">
      <c r="A247" s="3">
        <v>2033642</v>
      </c>
      <c r="B247">
        <v>11845</v>
      </c>
      <c r="C247">
        <v>2</v>
      </c>
      <c r="D247" s="9">
        <v>105</v>
      </c>
      <c r="E247">
        <v>1005</v>
      </c>
      <c r="F247" s="1">
        <v>44005</v>
      </c>
      <c r="G247" t="s">
        <v>188</v>
      </c>
      <c r="H247" s="4" t="s">
        <v>16</v>
      </c>
      <c r="I247" s="4">
        <v>-5459.3</v>
      </c>
      <c r="J247" s="4">
        <v>-5459.3</v>
      </c>
    </row>
    <row r="248" spans="1:10" x14ac:dyDescent="0.3">
      <c r="A248" s="3">
        <v>2033643</v>
      </c>
      <c r="B248">
        <v>51130</v>
      </c>
      <c r="C248">
        <v>2</v>
      </c>
      <c r="D248" s="9">
        <v>105</v>
      </c>
      <c r="E248">
        <v>1005</v>
      </c>
      <c r="F248" s="1">
        <v>44005</v>
      </c>
      <c r="G248" t="s">
        <v>143</v>
      </c>
      <c r="H248" s="4">
        <v>5874.63</v>
      </c>
      <c r="I248" s="4" t="s">
        <v>16</v>
      </c>
      <c r="J248" s="4">
        <v>5874.63</v>
      </c>
    </row>
    <row r="249" spans="1:10" x14ac:dyDescent="0.3">
      <c r="A249" s="3">
        <v>2033643</v>
      </c>
      <c r="B249">
        <v>11845</v>
      </c>
      <c r="C249">
        <v>2</v>
      </c>
      <c r="D249" s="9">
        <v>105</v>
      </c>
      <c r="E249">
        <v>1005</v>
      </c>
      <c r="F249" s="1">
        <v>44005</v>
      </c>
      <c r="G249" t="s">
        <v>143</v>
      </c>
      <c r="H249" s="4" t="s">
        <v>16</v>
      </c>
      <c r="I249" s="4">
        <v>-5874.63</v>
      </c>
      <c r="J249" s="4">
        <v>-5874.63</v>
      </c>
    </row>
    <row r="250" spans="1:10" x14ac:dyDescent="0.3">
      <c r="A250" s="3">
        <v>2033644</v>
      </c>
      <c r="B250">
        <v>51200</v>
      </c>
      <c r="C250">
        <v>2</v>
      </c>
      <c r="D250" s="9">
        <v>105</v>
      </c>
      <c r="E250">
        <v>1005</v>
      </c>
      <c r="F250" s="1">
        <v>44005</v>
      </c>
      <c r="G250" t="s">
        <v>152</v>
      </c>
      <c r="H250" s="4">
        <v>5874.63</v>
      </c>
      <c r="I250" s="4" t="s">
        <v>16</v>
      </c>
      <c r="J250" s="4">
        <v>5874.63</v>
      </c>
    </row>
    <row r="251" spans="1:10" x14ac:dyDescent="0.3">
      <c r="A251" s="3">
        <v>2033644</v>
      </c>
      <c r="B251">
        <v>11845</v>
      </c>
      <c r="C251">
        <v>2</v>
      </c>
      <c r="D251" s="9">
        <v>105</v>
      </c>
      <c r="E251">
        <v>1005</v>
      </c>
      <c r="F251" s="1">
        <v>44005</v>
      </c>
      <c r="G251" t="s">
        <v>152</v>
      </c>
      <c r="H251" s="4" t="s">
        <v>16</v>
      </c>
      <c r="I251" s="4">
        <v>-5874.63</v>
      </c>
      <c r="J251" s="4">
        <v>-5874.63</v>
      </c>
    </row>
    <row r="252" spans="1:10" x14ac:dyDescent="0.3">
      <c r="A252" s="3">
        <v>2033645</v>
      </c>
      <c r="B252">
        <v>11845</v>
      </c>
      <c r="C252">
        <v>2</v>
      </c>
      <c r="D252" s="9">
        <v>106</v>
      </c>
      <c r="E252">
        <v>1003</v>
      </c>
      <c r="F252" s="1">
        <v>44005</v>
      </c>
      <c r="G252" t="s">
        <v>81</v>
      </c>
      <c r="H252" s="4">
        <v>5908</v>
      </c>
      <c r="I252" s="4" t="s">
        <v>16</v>
      </c>
      <c r="J252" s="4">
        <v>5908</v>
      </c>
    </row>
    <row r="253" spans="1:10" x14ac:dyDescent="0.3">
      <c r="A253" s="3">
        <v>2033645</v>
      </c>
      <c r="B253">
        <v>43180</v>
      </c>
      <c r="C253">
        <v>2</v>
      </c>
      <c r="D253" s="9">
        <v>106</v>
      </c>
      <c r="E253">
        <v>1003</v>
      </c>
      <c r="F253" s="1">
        <v>44005</v>
      </c>
      <c r="G253" t="s">
        <v>81</v>
      </c>
      <c r="H253" s="4" t="s">
        <v>16</v>
      </c>
      <c r="I253" s="4">
        <v>-5908</v>
      </c>
      <c r="J253" s="4">
        <v>-5908</v>
      </c>
    </row>
    <row r="254" spans="1:10" x14ac:dyDescent="0.3">
      <c r="A254" s="3">
        <v>2033646</v>
      </c>
      <c r="B254">
        <v>11845</v>
      </c>
      <c r="C254">
        <v>2</v>
      </c>
      <c r="D254" s="9">
        <v>104</v>
      </c>
      <c r="E254">
        <v>1003</v>
      </c>
      <c r="F254" s="1">
        <v>44005</v>
      </c>
      <c r="G254" t="s">
        <v>15</v>
      </c>
      <c r="H254" s="4">
        <v>7000</v>
      </c>
      <c r="I254" s="4" t="s">
        <v>16</v>
      </c>
      <c r="J254" s="4">
        <v>7000</v>
      </c>
    </row>
    <row r="255" spans="1:10" x14ac:dyDescent="0.3">
      <c r="A255" s="3">
        <v>2033646</v>
      </c>
      <c r="B255">
        <v>43180</v>
      </c>
      <c r="C255">
        <v>2</v>
      </c>
      <c r="D255" s="9">
        <v>104</v>
      </c>
      <c r="E255">
        <v>1003</v>
      </c>
      <c r="F255" s="1">
        <v>44005</v>
      </c>
      <c r="G255" t="s">
        <v>15</v>
      </c>
      <c r="H255" s="4" t="s">
        <v>16</v>
      </c>
      <c r="I255" s="4">
        <v>-7000</v>
      </c>
      <c r="J255" s="4">
        <v>-7000</v>
      </c>
    </row>
    <row r="256" spans="1:10" x14ac:dyDescent="0.3">
      <c r="A256" s="3">
        <v>2033647</v>
      </c>
      <c r="B256">
        <v>51120</v>
      </c>
      <c r="C256">
        <v>4</v>
      </c>
      <c r="D256" s="9">
        <v>105</v>
      </c>
      <c r="E256">
        <v>1004</v>
      </c>
      <c r="F256" s="1">
        <v>44005</v>
      </c>
      <c r="G256" t="s">
        <v>60</v>
      </c>
      <c r="H256" s="4">
        <v>7370.02</v>
      </c>
      <c r="I256" s="4" t="s">
        <v>16</v>
      </c>
      <c r="J256" s="4">
        <v>7370.02</v>
      </c>
    </row>
    <row r="257" spans="1:10" x14ac:dyDescent="0.3">
      <c r="A257" s="3">
        <v>2033647</v>
      </c>
      <c r="B257">
        <v>11845</v>
      </c>
      <c r="C257">
        <v>4</v>
      </c>
      <c r="D257" s="9">
        <v>105</v>
      </c>
      <c r="E257">
        <v>1004</v>
      </c>
      <c r="F257" s="1">
        <v>44005</v>
      </c>
      <c r="G257" t="s">
        <v>60</v>
      </c>
      <c r="H257" s="4" t="s">
        <v>16</v>
      </c>
      <c r="I257" s="4">
        <v>-7370.02</v>
      </c>
      <c r="J257" s="4">
        <v>-7370.02</v>
      </c>
    </row>
    <row r="258" spans="1:10" x14ac:dyDescent="0.3">
      <c r="A258" s="3">
        <v>2033648</v>
      </c>
      <c r="B258">
        <v>51120</v>
      </c>
      <c r="C258">
        <v>4</v>
      </c>
      <c r="D258" s="9">
        <v>105</v>
      </c>
      <c r="E258">
        <v>1005</v>
      </c>
      <c r="F258" s="1">
        <v>44005</v>
      </c>
      <c r="G258" t="s">
        <v>188</v>
      </c>
      <c r="H258" s="4">
        <v>7880</v>
      </c>
      <c r="I258" s="4" t="s">
        <v>16</v>
      </c>
      <c r="J258" s="4">
        <v>7880</v>
      </c>
    </row>
    <row r="259" spans="1:10" x14ac:dyDescent="0.3">
      <c r="A259" s="3">
        <v>2033648</v>
      </c>
      <c r="B259">
        <v>11845</v>
      </c>
      <c r="C259">
        <v>4</v>
      </c>
      <c r="D259" s="9">
        <v>105</v>
      </c>
      <c r="E259">
        <v>1005</v>
      </c>
      <c r="F259" s="1">
        <v>44005</v>
      </c>
      <c r="G259" t="s">
        <v>188</v>
      </c>
      <c r="H259" s="4" t="s">
        <v>16</v>
      </c>
      <c r="I259" s="4">
        <v>-7880</v>
      </c>
      <c r="J259" s="4">
        <v>-7880</v>
      </c>
    </row>
    <row r="260" spans="1:10" x14ac:dyDescent="0.3">
      <c r="A260" s="3">
        <v>2033649</v>
      </c>
      <c r="B260">
        <v>51130</v>
      </c>
      <c r="C260">
        <v>4</v>
      </c>
      <c r="D260" s="9">
        <v>105</v>
      </c>
      <c r="E260">
        <v>1005</v>
      </c>
      <c r="F260" s="1">
        <v>44005</v>
      </c>
      <c r="G260" t="s">
        <v>143</v>
      </c>
      <c r="H260" s="4">
        <v>9525</v>
      </c>
      <c r="I260" s="4" t="s">
        <v>16</v>
      </c>
      <c r="J260" s="4">
        <v>9525</v>
      </c>
    </row>
    <row r="261" spans="1:10" x14ac:dyDescent="0.3">
      <c r="A261" s="3">
        <v>2033649</v>
      </c>
      <c r="B261">
        <v>11845</v>
      </c>
      <c r="C261">
        <v>4</v>
      </c>
      <c r="D261" s="9">
        <v>105</v>
      </c>
      <c r="E261">
        <v>1005</v>
      </c>
      <c r="F261" s="1">
        <v>44005</v>
      </c>
      <c r="G261" t="s">
        <v>143</v>
      </c>
      <c r="H261" s="4" t="s">
        <v>16</v>
      </c>
      <c r="I261" s="4">
        <v>-9525</v>
      </c>
      <c r="J261" s="4">
        <v>-9525</v>
      </c>
    </row>
    <row r="262" spans="1:10" x14ac:dyDescent="0.3">
      <c r="A262" s="3">
        <v>2033650</v>
      </c>
      <c r="B262">
        <v>11845</v>
      </c>
      <c r="C262">
        <v>2</v>
      </c>
      <c r="D262" s="9">
        <v>104</v>
      </c>
      <c r="E262">
        <v>1003</v>
      </c>
      <c r="F262" s="1">
        <v>44005</v>
      </c>
      <c r="G262" t="s">
        <v>15</v>
      </c>
      <c r="H262" s="4">
        <v>16000</v>
      </c>
      <c r="I262" s="4" t="s">
        <v>16</v>
      </c>
      <c r="J262" s="4">
        <v>16000</v>
      </c>
    </row>
    <row r="263" spans="1:10" x14ac:dyDescent="0.3">
      <c r="A263" s="3">
        <v>2033650</v>
      </c>
      <c r="B263">
        <v>43180</v>
      </c>
      <c r="C263">
        <v>2</v>
      </c>
      <c r="D263" s="9">
        <v>104</v>
      </c>
      <c r="E263">
        <v>1003</v>
      </c>
      <c r="F263" s="1">
        <v>44005</v>
      </c>
      <c r="G263" t="s">
        <v>15</v>
      </c>
      <c r="H263" s="4" t="s">
        <v>16</v>
      </c>
      <c r="I263" s="4">
        <v>-16000</v>
      </c>
      <c r="J263" s="4">
        <v>-16000</v>
      </c>
    </row>
    <row r="264" spans="1:10" x14ac:dyDescent="0.3">
      <c r="A264" s="3">
        <v>2033651</v>
      </c>
      <c r="B264">
        <v>51120</v>
      </c>
      <c r="C264">
        <v>1</v>
      </c>
      <c r="D264" s="9">
        <v>105</v>
      </c>
      <c r="E264">
        <v>1004</v>
      </c>
      <c r="F264" s="1">
        <v>44005</v>
      </c>
      <c r="G264" t="s">
        <v>60</v>
      </c>
      <c r="H264" s="4">
        <v>17386.89</v>
      </c>
      <c r="I264" s="4" t="s">
        <v>16</v>
      </c>
      <c r="J264" s="4">
        <v>17386.89</v>
      </c>
    </row>
    <row r="265" spans="1:10" x14ac:dyDescent="0.3">
      <c r="A265" s="3">
        <v>2033651</v>
      </c>
      <c r="B265">
        <v>11845</v>
      </c>
      <c r="C265">
        <v>1</v>
      </c>
      <c r="D265" s="9">
        <v>105</v>
      </c>
      <c r="E265">
        <v>1004</v>
      </c>
      <c r="F265" s="1">
        <v>44005</v>
      </c>
      <c r="G265" t="s">
        <v>60</v>
      </c>
      <c r="H265" s="4" t="s">
        <v>16</v>
      </c>
      <c r="I265" s="4">
        <v>-17386.89</v>
      </c>
      <c r="J265" s="4">
        <v>-17386.89</v>
      </c>
    </row>
    <row r="266" spans="1:10" x14ac:dyDescent="0.3">
      <c r="A266" s="3">
        <v>2033652</v>
      </c>
      <c r="B266">
        <v>51200</v>
      </c>
      <c r="C266">
        <v>1</v>
      </c>
      <c r="D266" s="9">
        <v>105</v>
      </c>
      <c r="E266">
        <v>1005</v>
      </c>
      <c r="F266" s="1">
        <v>44005</v>
      </c>
      <c r="G266" t="s">
        <v>153</v>
      </c>
      <c r="H266" s="4">
        <v>17730.47</v>
      </c>
      <c r="I266" s="4" t="s">
        <v>16</v>
      </c>
      <c r="J266" s="4">
        <v>17730.47</v>
      </c>
    </row>
    <row r="267" spans="1:10" x14ac:dyDescent="0.3">
      <c r="A267" s="3">
        <v>2033652</v>
      </c>
      <c r="B267">
        <v>11845</v>
      </c>
      <c r="C267">
        <v>1</v>
      </c>
      <c r="D267" s="9">
        <v>105</v>
      </c>
      <c r="E267">
        <v>1005</v>
      </c>
      <c r="F267" s="1">
        <v>44005</v>
      </c>
      <c r="G267" t="s">
        <v>153</v>
      </c>
      <c r="H267" s="4" t="s">
        <v>16</v>
      </c>
      <c r="I267" s="4">
        <v>-17730.47</v>
      </c>
      <c r="J267" s="4">
        <v>-17730.47</v>
      </c>
    </row>
    <row r="268" spans="1:10" x14ac:dyDescent="0.3">
      <c r="A268" s="3">
        <v>2033653</v>
      </c>
      <c r="B268">
        <v>51120</v>
      </c>
      <c r="C268">
        <v>1</v>
      </c>
      <c r="D268" s="9">
        <v>105</v>
      </c>
      <c r="E268">
        <v>1005</v>
      </c>
      <c r="F268" s="1">
        <v>44005</v>
      </c>
      <c r="G268" t="s">
        <v>190</v>
      </c>
      <c r="H268" s="4">
        <v>20808.8</v>
      </c>
      <c r="I268" s="4" t="s">
        <v>16</v>
      </c>
      <c r="J268" s="4">
        <v>20808.8</v>
      </c>
    </row>
    <row r="269" spans="1:10" x14ac:dyDescent="0.3">
      <c r="A269" s="3">
        <v>2033653</v>
      </c>
      <c r="B269">
        <v>11845</v>
      </c>
      <c r="C269">
        <v>1</v>
      </c>
      <c r="D269" s="9">
        <v>105</v>
      </c>
      <c r="E269">
        <v>1005</v>
      </c>
      <c r="F269" s="1">
        <v>44005</v>
      </c>
      <c r="G269" t="s">
        <v>190</v>
      </c>
      <c r="H269" s="4" t="s">
        <v>16</v>
      </c>
      <c r="I269" s="4">
        <v>-20808.8</v>
      </c>
      <c r="J269" s="4">
        <v>-20808.8</v>
      </c>
    </row>
    <row r="270" spans="1:10" x14ac:dyDescent="0.3">
      <c r="A270" s="3">
        <v>2033654</v>
      </c>
      <c r="B270">
        <v>51130</v>
      </c>
      <c r="C270">
        <v>1</v>
      </c>
      <c r="D270" s="9">
        <v>105</v>
      </c>
      <c r="E270">
        <v>1005</v>
      </c>
      <c r="F270" s="1">
        <v>44005</v>
      </c>
      <c r="G270" t="s">
        <v>144</v>
      </c>
      <c r="H270" s="4">
        <v>38894.58</v>
      </c>
      <c r="I270" s="4" t="s">
        <v>16</v>
      </c>
      <c r="J270" s="4">
        <v>38894.58</v>
      </c>
    </row>
    <row r="271" spans="1:10" x14ac:dyDescent="0.3">
      <c r="A271" s="3">
        <v>2033654</v>
      </c>
      <c r="B271">
        <v>11845</v>
      </c>
      <c r="C271">
        <v>1</v>
      </c>
      <c r="D271" s="9">
        <v>105</v>
      </c>
      <c r="E271">
        <v>1005</v>
      </c>
      <c r="F271" s="1">
        <v>44005</v>
      </c>
      <c r="G271" t="s">
        <v>144</v>
      </c>
      <c r="H271" s="4" t="s">
        <v>16</v>
      </c>
      <c r="I271" s="4">
        <v>-38894.58</v>
      </c>
      <c r="J271" s="4">
        <v>-38894.58</v>
      </c>
    </row>
    <row r="272" spans="1:10" x14ac:dyDescent="0.3">
      <c r="A272" s="3">
        <v>2033655</v>
      </c>
      <c r="B272">
        <v>71410</v>
      </c>
      <c r="C272">
        <v>1</v>
      </c>
      <c r="D272" s="9">
        <v>101</v>
      </c>
      <c r="E272">
        <v>1007</v>
      </c>
      <c r="F272" s="1">
        <v>44006</v>
      </c>
      <c r="G272" t="s">
        <v>86</v>
      </c>
      <c r="H272" s="4">
        <v>4.9800000000000004</v>
      </c>
      <c r="I272" s="4" t="s">
        <v>16</v>
      </c>
      <c r="J272" s="4">
        <v>4.9800000000000004</v>
      </c>
    </row>
    <row r="273" spans="1:10" x14ac:dyDescent="0.3">
      <c r="A273" s="3">
        <v>2033655</v>
      </c>
      <c r="B273">
        <v>11845</v>
      </c>
      <c r="C273">
        <v>1</v>
      </c>
      <c r="D273" s="9">
        <v>101</v>
      </c>
      <c r="E273">
        <v>1007</v>
      </c>
      <c r="F273" s="1">
        <v>44006</v>
      </c>
      <c r="G273" t="s">
        <v>86</v>
      </c>
      <c r="H273" s="4" t="s">
        <v>16</v>
      </c>
      <c r="I273" s="4">
        <v>-4.9800000000000004</v>
      </c>
      <c r="J273" s="4">
        <v>-4.9800000000000004</v>
      </c>
    </row>
    <row r="274" spans="1:10" x14ac:dyDescent="0.3">
      <c r="A274" s="3">
        <v>2033656</v>
      </c>
      <c r="B274">
        <v>14260</v>
      </c>
      <c r="C274">
        <v>1</v>
      </c>
      <c r="D274" s="9">
        <v>101</v>
      </c>
      <c r="E274">
        <v>1007</v>
      </c>
      <c r="F274" s="1">
        <v>44006</v>
      </c>
      <c r="G274" t="s">
        <v>127</v>
      </c>
      <c r="H274" s="4">
        <v>4.99</v>
      </c>
      <c r="I274" s="4" t="s">
        <v>16</v>
      </c>
      <c r="J274" s="4">
        <v>4.99</v>
      </c>
    </row>
    <row r="275" spans="1:10" x14ac:dyDescent="0.3">
      <c r="A275" s="3">
        <v>2033656</v>
      </c>
      <c r="B275">
        <v>11845</v>
      </c>
      <c r="C275">
        <v>1</v>
      </c>
      <c r="D275" s="9">
        <v>101</v>
      </c>
      <c r="E275">
        <v>1007</v>
      </c>
      <c r="F275" s="1">
        <v>44006</v>
      </c>
      <c r="G275" t="s">
        <v>127</v>
      </c>
      <c r="H275" s="4" t="s">
        <v>16</v>
      </c>
      <c r="I275" s="4">
        <v>-4.99</v>
      </c>
      <c r="J275" s="4">
        <v>-4.99</v>
      </c>
    </row>
    <row r="276" spans="1:10" x14ac:dyDescent="0.3">
      <c r="A276" s="3">
        <v>2033657</v>
      </c>
      <c r="B276">
        <v>14260</v>
      </c>
      <c r="C276">
        <v>1</v>
      </c>
      <c r="D276" s="9">
        <v>101</v>
      </c>
      <c r="E276">
        <v>1007</v>
      </c>
      <c r="F276" s="1">
        <v>44006</v>
      </c>
      <c r="G276" t="s">
        <v>86</v>
      </c>
      <c r="H276" s="4">
        <v>9.58</v>
      </c>
      <c r="I276" s="4" t="s">
        <v>16</v>
      </c>
      <c r="J276" s="4">
        <v>9.58</v>
      </c>
    </row>
    <row r="277" spans="1:10" x14ac:dyDescent="0.3">
      <c r="A277" s="3">
        <v>2033657</v>
      </c>
      <c r="B277">
        <v>11845</v>
      </c>
      <c r="C277">
        <v>1</v>
      </c>
      <c r="D277" s="9">
        <v>101</v>
      </c>
      <c r="E277">
        <v>1007</v>
      </c>
      <c r="F277" s="1">
        <v>44006</v>
      </c>
      <c r="G277" t="s">
        <v>86</v>
      </c>
      <c r="H277" s="4" t="s">
        <v>16</v>
      </c>
      <c r="I277" s="4">
        <v>-9.58</v>
      </c>
      <c r="J277" s="4">
        <v>-9.58</v>
      </c>
    </row>
    <row r="278" spans="1:10" x14ac:dyDescent="0.3">
      <c r="A278" s="3">
        <v>2033658</v>
      </c>
      <c r="B278">
        <v>14260</v>
      </c>
      <c r="C278">
        <v>1</v>
      </c>
      <c r="D278" s="9">
        <v>101</v>
      </c>
      <c r="E278">
        <v>1007</v>
      </c>
      <c r="F278" s="1">
        <v>44006</v>
      </c>
      <c r="G278" t="s">
        <v>86</v>
      </c>
      <c r="H278" s="4">
        <v>16.16</v>
      </c>
      <c r="I278" s="4" t="s">
        <v>16</v>
      </c>
      <c r="J278" s="4">
        <v>16.16</v>
      </c>
    </row>
    <row r="279" spans="1:10" x14ac:dyDescent="0.3">
      <c r="A279" s="3">
        <v>2033658</v>
      </c>
      <c r="B279">
        <v>11845</v>
      </c>
      <c r="C279">
        <v>1</v>
      </c>
      <c r="D279" s="9">
        <v>101</v>
      </c>
      <c r="E279">
        <v>1007</v>
      </c>
      <c r="F279" s="1">
        <v>44006</v>
      </c>
      <c r="G279" t="s">
        <v>86</v>
      </c>
      <c r="H279" s="4" t="s">
        <v>16</v>
      </c>
      <c r="I279" s="4">
        <v>-16.16</v>
      </c>
      <c r="J279" s="4">
        <v>-16.16</v>
      </c>
    </row>
    <row r="280" spans="1:10" x14ac:dyDescent="0.3">
      <c r="A280" s="3">
        <v>2033659</v>
      </c>
      <c r="B280">
        <v>71400</v>
      </c>
      <c r="C280">
        <v>1</v>
      </c>
      <c r="D280" s="9">
        <v>101</v>
      </c>
      <c r="E280">
        <v>1007</v>
      </c>
      <c r="F280" s="1">
        <v>44006</v>
      </c>
      <c r="G280" t="s">
        <v>206</v>
      </c>
      <c r="H280" s="4">
        <v>19.8</v>
      </c>
      <c r="I280" s="4" t="s">
        <v>16</v>
      </c>
      <c r="J280" s="4">
        <v>19.8</v>
      </c>
    </row>
    <row r="281" spans="1:10" x14ac:dyDescent="0.3">
      <c r="A281" s="3">
        <v>2033659</v>
      </c>
      <c r="B281">
        <v>11845</v>
      </c>
      <c r="C281">
        <v>1</v>
      </c>
      <c r="D281" s="9">
        <v>101</v>
      </c>
      <c r="E281">
        <v>1007</v>
      </c>
      <c r="F281" s="1">
        <v>44006</v>
      </c>
      <c r="G281" t="s">
        <v>206</v>
      </c>
      <c r="H281" s="4" t="s">
        <v>16</v>
      </c>
      <c r="I281" s="4">
        <v>-19.8</v>
      </c>
      <c r="J281" s="4">
        <v>-19.8</v>
      </c>
    </row>
    <row r="282" spans="1:10" x14ac:dyDescent="0.3">
      <c r="A282" s="3">
        <v>2033660</v>
      </c>
      <c r="B282">
        <v>71400</v>
      </c>
      <c r="C282">
        <v>1</v>
      </c>
      <c r="D282" s="9">
        <v>101</v>
      </c>
      <c r="E282">
        <v>1007</v>
      </c>
      <c r="F282" s="1">
        <v>44006</v>
      </c>
      <c r="G282" t="s">
        <v>76</v>
      </c>
      <c r="H282" s="4">
        <v>25.98</v>
      </c>
      <c r="I282" s="4" t="s">
        <v>16</v>
      </c>
      <c r="J282" s="4">
        <v>25.98</v>
      </c>
    </row>
    <row r="283" spans="1:10" x14ac:dyDescent="0.3">
      <c r="A283" s="3">
        <v>2033660</v>
      </c>
      <c r="B283">
        <v>11845</v>
      </c>
      <c r="C283">
        <v>1</v>
      </c>
      <c r="D283" s="9">
        <v>101</v>
      </c>
      <c r="E283">
        <v>1007</v>
      </c>
      <c r="F283" s="1">
        <v>44006</v>
      </c>
      <c r="G283" t="s">
        <v>76</v>
      </c>
      <c r="H283" s="4" t="s">
        <v>16</v>
      </c>
      <c r="I283" s="4">
        <v>-25.98</v>
      </c>
      <c r="J283" s="4">
        <v>-25.98</v>
      </c>
    </row>
    <row r="284" spans="1:10" x14ac:dyDescent="0.3">
      <c r="A284" s="3">
        <v>2033661</v>
      </c>
      <c r="B284">
        <v>72723</v>
      </c>
      <c r="C284">
        <v>1</v>
      </c>
      <c r="D284" s="9">
        <v>101</v>
      </c>
      <c r="E284">
        <v>1007</v>
      </c>
      <c r="F284" s="1">
        <v>44006</v>
      </c>
      <c r="G284" t="s">
        <v>123</v>
      </c>
      <c r="H284" s="4">
        <v>26.95</v>
      </c>
      <c r="I284" s="4" t="s">
        <v>16</v>
      </c>
      <c r="J284" s="4">
        <v>26.95</v>
      </c>
    </row>
    <row r="285" spans="1:10" x14ac:dyDescent="0.3">
      <c r="A285" s="3">
        <v>2033661</v>
      </c>
      <c r="B285">
        <v>11845</v>
      </c>
      <c r="C285">
        <v>1</v>
      </c>
      <c r="D285" s="9">
        <v>101</v>
      </c>
      <c r="E285">
        <v>1007</v>
      </c>
      <c r="F285" s="1">
        <v>44006</v>
      </c>
      <c r="G285" t="s">
        <v>123</v>
      </c>
      <c r="H285" s="4" t="s">
        <v>16</v>
      </c>
      <c r="I285" s="4">
        <v>-26.95</v>
      </c>
      <c r="J285" s="4">
        <v>-26.95</v>
      </c>
    </row>
    <row r="286" spans="1:10" x14ac:dyDescent="0.3">
      <c r="A286" s="3">
        <v>2033662</v>
      </c>
      <c r="B286">
        <v>71400</v>
      </c>
      <c r="C286">
        <v>1</v>
      </c>
      <c r="D286" s="9">
        <v>101</v>
      </c>
      <c r="E286">
        <v>1007</v>
      </c>
      <c r="F286" s="1">
        <v>44006</v>
      </c>
      <c r="G286" t="s">
        <v>90</v>
      </c>
      <c r="H286" s="4">
        <v>29.31</v>
      </c>
      <c r="I286" s="4" t="s">
        <v>16</v>
      </c>
      <c r="J286" s="4">
        <v>29.31</v>
      </c>
    </row>
    <row r="287" spans="1:10" x14ac:dyDescent="0.3">
      <c r="A287" s="3">
        <v>2033662</v>
      </c>
      <c r="B287">
        <v>11845</v>
      </c>
      <c r="C287">
        <v>1</v>
      </c>
      <c r="D287" s="9">
        <v>101</v>
      </c>
      <c r="E287">
        <v>1007</v>
      </c>
      <c r="F287" s="1">
        <v>44006</v>
      </c>
      <c r="G287" t="s">
        <v>90</v>
      </c>
      <c r="H287" s="4" t="s">
        <v>16</v>
      </c>
      <c r="I287" s="4">
        <v>-29.31</v>
      </c>
      <c r="J287" s="4">
        <v>-29.31</v>
      </c>
    </row>
    <row r="288" spans="1:10" x14ac:dyDescent="0.3">
      <c r="A288" s="3">
        <v>2033663</v>
      </c>
      <c r="B288">
        <v>71400</v>
      </c>
      <c r="C288">
        <v>1</v>
      </c>
      <c r="D288" s="9">
        <v>101</v>
      </c>
      <c r="E288">
        <v>1007</v>
      </c>
      <c r="F288" s="1">
        <v>44006</v>
      </c>
      <c r="G288" t="s">
        <v>159</v>
      </c>
      <c r="H288" s="4">
        <v>35.909999999999997</v>
      </c>
      <c r="I288" s="4" t="s">
        <v>16</v>
      </c>
      <c r="J288" s="4">
        <v>35.909999999999997</v>
      </c>
    </row>
    <row r="289" spans="1:10" x14ac:dyDescent="0.3">
      <c r="A289" s="3">
        <v>2033663</v>
      </c>
      <c r="B289">
        <v>11845</v>
      </c>
      <c r="C289">
        <v>1</v>
      </c>
      <c r="D289" s="9">
        <v>101</v>
      </c>
      <c r="E289">
        <v>1007</v>
      </c>
      <c r="F289" s="1">
        <v>44006</v>
      </c>
      <c r="G289" t="s">
        <v>159</v>
      </c>
      <c r="H289" s="4" t="s">
        <v>16</v>
      </c>
      <c r="I289" s="4">
        <v>-35.909999999999997</v>
      </c>
      <c r="J289" s="4">
        <v>-35.909999999999997</v>
      </c>
    </row>
    <row r="290" spans="1:10" x14ac:dyDescent="0.3">
      <c r="A290" s="3">
        <v>2033664</v>
      </c>
      <c r="B290">
        <v>14260</v>
      </c>
      <c r="C290">
        <v>1</v>
      </c>
      <c r="D290" s="9">
        <v>102</v>
      </c>
      <c r="E290">
        <v>1002</v>
      </c>
      <c r="F290" s="1">
        <v>44006</v>
      </c>
      <c r="G290" t="s">
        <v>26</v>
      </c>
      <c r="H290" s="4">
        <v>40.299999999999997</v>
      </c>
      <c r="I290" s="4" t="s">
        <v>16</v>
      </c>
      <c r="J290" s="4">
        <v>40.299999999999997</v>
      </c>
    </row>
    <row r="291" spans="1:10" x14ac:dyDescent="0.3">
      <c r="A291" s="3">
        <v>2033664</v>
      </c>
      <c r="B291">
        <v>11845</v>
      </c>
      <c r="C291">
        <v>1</v>
      </c>
      <c r="D291" s="9">
        <v>102</v>
      </c>
      <c r="E291">
        <v>1002</v>
      </c>
      <c r="F291" s="1">
        <v>44006</v>
      </c>
      <c r="G291" t="s">
        <v>26</v>
      </c>
      <c r="H291" s="4" t="s">
        <v>16</v>
      </c>
      <c r="I291" s="4">
        <v>-40.299999999999997</v>
      </c>
      <c r="J291" s="4">
        <v>-40.299999999999997</v>
      </c>
    </row>
    <row r="292" spans="1:10" x14ac:dyDescent="0.3">
      <c r="A292" s="3">
        <v>2033665</v>
      </c>
      <c r="B292">
        <v>71400</v>
      </c>
      <c r="C292">
        <v>1</v>
      </c>
      <c r="D292" s="9">
        <v>101</v>
      </c>
      <c r="E292">
        <v>1007</v>
      </c>
      <c r="F292" s="1">
        <v>44006</v>
      </c>
      <c r="G292" t="s">
        <v>89</v>
      </c>
      <c r="H292" s="4">
        <v>42.7</v>
      </c>
      <c r="I292" s="4" t="s">
        <v>16</v>
      </c>
      <c r="J292" s="4">
        <v>42.7</v>
      </c>
    </row>
    <row r="293" spans="1:10" x14ac:dyDescent="0.3">
      <c r="A293" s="3">
        <v>2033665</v>
      </c>
      <c r="B293">
        <v>11845</v>
      </c>
      <c r="C293">
        <v>1</v>
      </c>
      <c r="D293" s="9">
        <v>101</v>
      </c>
      <c r="E293">
        <v>1007</v>
      </c>
      <c r="F293" s="1">
        <v>44006</v>
      </c>
      <c r="G293" t="s">
        <v>89</v>
      </c>
      <c r="H293" s="4" t="s">
        <v>16</v>
      </c>
      <c r="I293" s="4">
        <v>-42.7</v>
      </c>
      <c r="J293" s="4">
        <v>-42.7</v>
      </c>
    </row>
    <row r="294" spans="1:10" x14ac:dyDescent="0.3">
      <c r="A294" s="3">
        <v>2033666</v>
      </c>
      <c r="B294">
        <v>14260</v>
      </c>
      <c r="C294">
        <v>1</v>
      </c>
      <c r="D294" s="9">
        <v>102</v>
      </c>
      <c r="E294">
        <v>1002</v>
      </c>
      <c r="F294" s="1">
        <v>44006</v>
      </c>
      <c r="G294" t="s">
        <v>26</v>
      </c>
      <c r="H294" s="4">
        <v>45.7</v>
      </c>
      <c r="I294" s="4" t="s">
        <v>16</v>
      </c>
      <c r="J294" s="4">
        <v>45.7</v>
      </c>
    </row>
    <row r="295" spans="1:10" x14ac:dyDescent="0.3">
      <c r="A295" s="3">
        <v>2033666</v>
      </c>
      <c r="B295">
        <v>11845</v>
      </c>
      <c r="C295">
        <v>1</v>
      </c>
      <c r="D295" s="9">
        <v>102</v>
      </c>
      <c r="E295">
        <v>1002</v>
      </c>
      <c r="F295" s="1">
        <v>44006</v>
      </c>
      <c r="G295" t="s">
        <v>26</v>
      </c>
      <c r="H295" s="4" t="s">
        <v>16</v>
      </c>
      <c r="I295" s="4">
        <v>-45.7</v>
      </c>
      <c r="J295" s="4">
        <v>-45.7</v>
      </c>
    </row>
    <row r="296" spans="1:10" x14ac:dyDescent="0.3">
      <c r="A296" s="3">
        <v>2033667</v>
      </c>
      <c r="B296">
        <v>71900</v>
      </c>
      <c r="C296">
        <v>1</v>
      </c>
      <c r="D296" s="9">
        <v>102</v>
      </c>
      <c r="E296">
        <v>1002</v>
      </c>
      <c r="F296" s="1">
        <v>44006</v>
      </c>
      <c r="G296" t="s">
        <v>36</v>
      </c>
      <c r="H296" s="4">
        <v>47.75</v>
      </c>
      <c r="I296" s="4" t="s">
        <v>16</v>
      </c>
      <c r="J296" s="4">
        <v>47.75</v>
      </c>
    </row>
    <row r="297" spans="1:10" x14ac:dyDescent="0.3">
      <c r="A297" s="3">
        <v>2033667</v>
      </c>
      <c r="B297">
        <v>11845</v>
      </c>
      <c r="C297">
        <v>1</v>
      </c>
      <c r="D297" s="9">
        <v>102</v>
      </c>
      <c r="E297">
        <v>1002</v>
      </c>
      <c r="F297" s="1">
        <v>44006</v>
      </c>
      <c r="G297" t="s">
        <v>36</v>
      </c>
      <c r="H297" s="4" t="s">
        <v>16</v>
      </c>
      <c r="I297" s="4">
        <v>-47.75</v>
      </c>
      <c r="J297" s="4">
        <v>-47.75</v>
      </c>
    </row>
    <row r="298" spans="1:10" x14ac:dyDescent="0.3">
      <c r="A298" s="3">
        <v>2033668</v>
      </c>
      <c r="B298">
        <v>71400</v>
      </c>
      <c r="C298">
        <v>1</v>
      </c>
      <c r="D298" s="9">
        <v>101</v>
      </c>
      <c r="E298">
        <v>1007</v>
      </c>
      <c r="F298" s="1">
        <v>44006</v>
      </c>
      <c r="G298" t="s">
        <v>90</v>
      </c>
      <c r="H298" s="4">
        <v>52.08</v>
      </c>
      <c r="I298" s="4" t="s">
        <v>16</v>
      </c>
      <c r="J298" s="4">
        <v>52.08</v>
      </c>
    </row>
    <row r="299" spans="1:10" x14ac:dyDescent="0.3">
      <c r="A299" s="3">
        <v>2033668</v>
      </c>
      <c r="B299">
        <v>11845</v>
      </c>
      <c r="C299">
        <v>1</v>
      </c>
      <c r="D299" s="9">
        <v>101</v>
      </c>
      <c r="E299">
        <v>1007</v>
      </c>
      <c r="F299" s="1">
        <v>44006</v>
      </c>
      <c r="G299" t="s">
        <v>90</v>
      </c>
      <c r="H299" s="4" t="s">
        <v>16</v>
      </c>
      <c r="I299" s="4">
        <v>-52.08</v>
      </c>
      <c r="J299" s="4">
        <v>-52.08</v>
      </c>
    </row>
    <row r="300" spans="1:10" x14ac:dyDescent="0.3">
      <c r="A300" s="3">
        <v>2033669</v>
      </c>
      <c r="B300">
        <v>14250</v>
      </c>
      <c r="C300">
        <v>3</v>
      </c>
      <c r="D300" s="9">
        <v>101</v>
      </c>
      <c r="E300">
        <v>1007</v>
      </c>
      <c r="F300" s="1">
        <v>44006</v>
      </c>
      <c r="G300" t="s">
        <v>83</v>
      </c>
      <c r="H300" s="4">
        <v>53.67</v>
      </c>
      <c r="I300" s="4" t="s">
        <v>16</v>
      </c>
      <c r="J300" s="4">
        <v>53.67</v>
      </c>
    </row>
    <row r="301" spans="1:10" x14ac:dyDescent="0.3">
      <c r="A301" s="3">
        <v>2033669</v>
      </c>
      <c r="B301">
        <v>11845</v>
      </c>
      <c r="C301">
        <v>3</v>
      </c>
      <c r="D301" s="9">
        <v>101</v>
      </c>
      <c r="E301">
        <v>1007</v>
      </c>
      <c r="F301" s="1">
        <v>44006</v>
      </c>
      <c r="G301" t="s">
        <v>83</v>
      </c>
      <c r="H301" s="4" t="s">
        <v>16</v>
      </c>
      <c r="I301" s="4">
        <v>-53.67</v>
      </c>
      <c r="J301" s="4">
        <v>-53.67</v>
      </c>
    </row>
    <row r="302" spans="1:10" x14ac:dyDescent="0.3">
      <c r="A302" s="3">
        <v>2033670</v>
      </c>
      <c r="B302">
        <v>71400</v>
      </c>
      <c r="C302">
        <v>1</v>
      </c>
      <c r="D302" s="9">
        <v>101</v>
      </c>
      <c r="E302">
        <v>1007</v>
      </c>
      <c r="F302" s="1">
        <v>44006</v>
      </c>
      <c r="G302" t="s">
        <v>148</v>
      </c>
      <c r="H302" s="4">
        <v>56.11</v>
      </c>
      <c r="I302" s="4" t="s">
        <v>16</v>
      </c>
      <c r="J302" s="4">
        <v>56.11</v>
      </c>
    </row>
    <row r="303" spans="1:10" x14ac:dyDescent="0.3">
      <c r="A303" s="3">
        <v>2033670</v>
      </c>
      <c r="B303">
        <v>11845</v>
      </c>
      <c r="C303">
        <v>1</v>
      </c>
      <c r="D303" s="9">
        <v>101</v>
      </c>
      <c r="E303">
        <v>1007</v>
      </c>
      <c r="F303" s="1">
        <v>44006</v>
      </c>
      <c r="G303" t="s">
        <v>148</v>
      </c>
      <c r="H303" s="4" t="s">
        <v>16</v>
      </c>
      <c r="I303" s="4">
        <v>-56.11</v>
      </c>
      <c r="J303" s="4">
        <v>-56.11</v>
      </c>
    </row>
    <row r="304" spans="1:10" x14ac:dyDescent="0.3">
      <c r="A304" s="3">
        <v>2033671</v>
      </c>
      <c r="B304">
        <v>71400</v>
      </c>
      <c r="C304">
        <v>1</v>
      </c>
      <c r="D304" s="9">
        <v>101</v>
      </c>
      <c r="E304">
        <v>1007</v>
      </c>
      <c r="F304" s="1">
        <v>44006</v>
      </c>
      <c r="G304" t="s">
        <v>83</v>
      </c>
      <c r="H304" s="4">
        <v>60.04</v>
      </c>
      <c r="I304" s="4" t="s">
        <v>16</v>
      </c>
      <c r="J304" s="4">
        <v>60.04</v>
      </c>
    </row>
    <row r="305" spans="1:10" x14ac:dyDescent="0.3">
      <c r="A305" s="3">
        <v>2033671</v>
      </c>
      <c r="B305">
        <v>11845</v>
      </c>
      <c r="C305">
        <v>1</v>
      </c>
      <c r="D305" s="9">
        <v>101</v>
      </c>
      <c r="E305">
        <v>1007</v>
      </c>
      <c r="F305" s="1">
        <v>44006</v>
      </c>
      <c r="G305" t="s">
        <v>83</v>
      </c>
      <c r="H305" s="4" t="s">
        <v>16</v>
      </c>
      <c r="I305" s="4">
        <v>-60.04</v>
      </c>
      <c r="J305" s="4">
        <v>-60.04</v>
      </c>
    </row>
    <row r="306" spans="1:10" x14ac:dyDescent="0.3">
      <c r="A306" s="3">
        <v>2033672</v>
      </c>
      <c r="B306">
        <v>11845</v>
      </c>
      <c r="C306">
        <v>3</v>
      </c>
      <c r="D306" s="9">
        <v>102</v>
      </c>
      <c r="E306">
        <v>1001</v>
      </c>
      <c r="F306" s="1">
        <v>44006</v>
      </c>
      <c r="G306" t="s">
        <v>41</v>
      </c>
      <c r="H306" s="4">
        <v>63.17</v>
      </c>
      <c r="I306" s="4" t="s">
        <v>16</v>
      </c>
      <c r="J306" s="4">
        <v>63.17</v>
      </c>
    </row>
    <row r="307" spans="1:10" x14ac:dyDescent="0.3">
      <c r="A307" s="3">
        <v>2033672</v>
      </c>
      <c r="B307">
        <v>43440</v>
      </c>
      <c r="C307">
        <v>3</v>
      </c>
      <c r="D307" s="9">
        <v>102</v>
      </c>
      <c r="E307">
        <v>1001</v>
      </c>
      <c r="F307" s="1">
        <v>44006</v>
      </c>
      <c r="G307" t="s">
        <v>41</v>
      </c>
      <c r="H307" s="4" t="s">
        <v>16</v>
      </c>
      <c r="I307" s="4">
        <v>-63.17</v>
      </c>
      <c r="J307" s="4">
        <v>-63.17</v>
      </c>
    </row>
    <row r="308" spans="1:10" x14ac:dyDescent="0.3">
      <c r="A308" s="3">
        <v>2033673</v>
      </c>
      <c r="B308">
        <v>71410</v>
      </c>
      <c r="C308">
        <v>3</v>
      </c>
      <c r="D308" s="9">
        <v>101</v>
      </c>
      <c r="E308">
        <v>1007</v>
      </c>
      <c r="F308" s="1">
        <v>44006</v>
      </c>
      <c r="G308" t="s">
        <v>115</v>
      </c>
      <c r="H308" s="4">
        <v>68.22</v>
      </c>
      <c r="I308" s="4" t="s">
        <v>16</v>
      </c>
      <c r="J308" s="4">
        <v>68.22</v>
      </c>
    </row>
    <row r="309" spans="1:10" x14ac:dyDescent="0.3">
      <c r="A309" s="3">
        <v>2033673</v>
      </c>
      <c r="B309">
        <v>11845</v>
      </c>
      <c r="C309">
        <v>3</v>
      </c>
      <c r="D309" s="9">
        <v>101</v>
      </c>
      <c r="E309">
        <v>1007</v>
      </c>
      <c r="F309" s="1">
        <v>44006</v>
      </c>
      <c r="G309" t="s">
        <v>115</v>
      </c>
      <c r="H309" s="4" t="s">
        <v>16</v>
      </c>
      <c r="I309" s="4">
        <v>-68.22</v>
      </c>
      <c r="J309" s="4">
        <v>-68.22</v>
      </c>
    </row>
    <row r="310" spans="1:10" x14ac:dyDescent="0.3">
      <c r="A310" s="3">
        <v>2033674</v>
      </c>
      <c r="B310">
        <v>71400</v>
      </c>
      <c r="C310">
        <v>2</v>
      </c>
      <c r="D310" s="9">
        <v>101</v>
      </c>
      <c r="E310">
        <v>1002</v>
      </c>
      <c r="F310" s="1">
        <v>44006</v>
      </c>
      <c r="G310" t="s">
        <v>233</v>
      </c>
      <c r="H310" s="4">
        <v>73.3</v>
      </c>
      <c r="I310" s="4" t="s">
        <v>16</v>
      </c>
      <c r="J310" s="4">
        <v>73.3</v>
      </c>
    </row>
    <row r="311" spans="1:10" x14ac:dyDescent="0.3">
      <c r="A311" s="3">
        <v>2033674</v>
      </c>
      <c r="B311">
        <v>11845</v>
      </c>
      <c r="C311">
        <v>2</v>
      </c>
      <c r="D311" s="9">
        <v>101</v>
      </c>
      <c r="E311">
        <v>1002</v>
      </c>
      <c r="F311" s="1">
        <v>44006</v>
      </c>
      <c r="G311" t="s">
        <v>233</v>
      </c>
      <c r="H311" s="4" t="s">
        <v>16</v>
      </c>
      <c r="I311" s="4">
        <v>-73.3</v>
      </c>
      <c r="J311" s="4">
        <v>-73.3</v>
      </c>
    </row>
    <row r="312" spans="1:10" x14ac:dyDescent="0.3">
      <c r="A312" s="3">
        <v>2033675</v>
      </c>
      <c r="B312">
        <v>11845</v>
      </c>
      <c r="C312">
        <v>1</v>
      </c>
      <c r="D312" s="9">
        <v>102</v>
      </c>
      <c r="E312">
        <v>1001</v>
      </c>
      <c r="F312" s="1">
        <v>44006</v>
      </c>
      <c r="G312" t="s">
        <v>41</v>
      </c>
      <c r="H312" s="4">
        <v>76.77</v>
      </c>
      <c r="I312" s="4" t="s">
        <v>16</v>
      </c>
      <c r="J312" s="4">
        <v>76.77</v>
      </c>
    </row>
    <row r="313" spans="1:10" x14ac:dyDescent="0.3">
      <c r="A313" s="3">
        <v>2033675</v>
      </c>
      <c r="B313">
        <v>43310</v>
      </c>
      <c r="C313">
        <v>1</v>
      </c>
      <c r="D313" s="9">
        <v>102</v>
      </c>
      <c r="E313">
        <v>1001</v>
      </c>
      <c r="F313" s="1">
        <v>44006</v>
      </c>
      <c r="G313" t="s">
        <v>41</v>
      </c>
      <c r="H313" s="4" t="s">
        <v>16</v>
      </c>
      <c r="I313" s="4">
        <v>-76.77</v>
      </c>
      <c r="J313" s="4">
        <v>-76.77</v>
      </c>
    </row>
    <row r="314" spans="1:10" x14ac:dyDescent="0.3">
      <c r="A314" s="3">
        <v>2033676</v>
      </c>
      <c r="B314">
        <v>71400</v>
      </c>
      <c r="C314">
        <v>1</v>
      </c>
      <c r="D314" s="9">
        <v>101</v>
      </c>
      <c r="E314">
        <v>1007</v>
      </c>
      <c r="F314" s="1">
        <v>44006</v>
      </c>
      <c r="G314" t="s">
        <v>83</v>
      </c>
      <c r="H314" s="4">
        <v>76.97</v>
      </c>
      <c r="I314" s="4" t="s">
        <v>16</v>
      </c>
      <c r="J314" s="4">
        <v>76.97</v>
      </c>
    </row>
    <row r="315" spans="1:10" x14ac:dyDescent="0.3">
      <c r="A315" s="3">
        <v>2033676</v>
      </c>
      <c r="B315">
        <v>11845</v>
      </c>
      <c r="C315">
        <v>1</v>
      </c>
      <c r="D315" s="9">
        <v>101</v>
      </c>
      <c r="E315">
        <v>1007</v>
      </c>
      <c r="F315" s="1">
        <v>44006</v>
      </c>
      <c r="G315" t="s">
        <v>83</v>
      </c>
      <c r="H315" s="4" t="s">
        <v>16</v>
      </c>
      <c r="I315" s="4">
        <v>-76.97</v>
      </c>
      <c r="J315" s="4">
        <v>-76.97</v>
      </c>
    </row>
    <row r="316" spans="1:10" x14ac:dyDescent="0.3">
      <c r="A316" s="3">
        <v>2033677</v>
      </c>
      <c r="B316">
        <v>11845</v>
      </c>
      <c r="C316">
        <v>3</v>
      </c>
      <c r="D316" s="9">
        <v>102</v>
      </c>
      <c r="E316">
        <v>1003</v>
      </c>
      <c r="F316" s="1">
        <v>44006</v>
      </c>
      <c r="G316" t="s">
        <v>15</v>
      </c>
      <c r="H316" s="4">
        <v>86.83</v>
      </c>
      <c r="I316" s="4" t="s">
        <v>16</v>
      </c>
      <c r="J316" s="4">
        <v>86.83</v>
      </c>
    </row>
    <row r="317" spans="1:10" x14ac:dyDescent="0.3">
      <c r="A317" s="3">
        <v>2033677</v>
      </c>
      <c r="B317">
        <v>43440</v>
      </c>
      <c r="C317">
        <v>3</v>
      </c>
      <c r="D317" s="9">
        <v>102</v>
      </c>
      <c r="E317">
        <v>1003</v>
      </c>
      <c r="F317" s="1">
        <v>44006</v>
      </c>
      <c r="G317" t="s">
        <v>15</v>
      </c>
      <c r="H317" s="4" t="s">
        <v>16</v>
      </c>
      <c r="I317" s="4">
        <v>-86.83</v>
      </c>
      <c r="J317" s="4">
        <v>-86.83</v>
      </c>
    </row>
    <row r="318" spans="1:10" x14ac:dyDescent="0.3">
      <c r="A318" s="3">
        <v>2033678</v>
      </c>
      <c r="B318">
        <v>74203</v>
      </c>
      <c r="C318">
        <v>1</v>
      </c>
      <c r="D318" s="9">
        <v>101</v>
      </c>
      <c r="E318">
        <v>1007</v>
      </c>
      <c r="F318" s="1">
        <v>44006</v>
      </c>
      <c r="G318" t="s">
        <v>136</v>
      </c>
      <c r="H318" s="4">
        <v>94</v>
      </c>
      <c r="I318" s="4" t="s">
        <v>16</v>
      </c>
      <c r="J318" s="4">
        <v>94</v>
      </c>
    </row>
    <row r="319" spans="1:10" x14ac:dyDescent="0.3">
      <c r="A319" s="3">
        <v>2033678</v>
      </c>
      <c r="B319">
        <v>11845</v>
      </c>
      <c r="C319">
        <v>1</v>
      </c>
      <c r="D319" s="9">
        <v>101</v>
      </c>
      <c r="E319">
        <v>1007</v>
      </c>
      <c r="F319" s="1">
        <v>44006</v>
      </c>
      <c r="G319" t="s">
        <v>136</v>
      </c>
      <c r="H319" s="4" t="s">
        <v>16</v>
      </c>
      <c r="I319" s="4">
        <v>-94</v>
      </c>
      <c r="J319" s="4">
        <v>-94</v>
      </c>
    </row>
    <row r="320" spans="1:10" x14ac:dyDescent="0.3">
      <c r="A320" s="3">
        <v>2033679</v>
      </c>
      <c r="B320">
        <v>71400</v>
      </c>
      <c r="C320">
        <v>1</v>
      </c>
      <c r="D320" s="9">
        <v>101</v>
      </c>
      <c r="E320">
        <v>1007</v>
      </c>
      <c r="F320" s="1">
        <v>44006</v>
      </c>
      <c r="G320" t="s">
        <v>92</v>
      </c>
      <c r="H320" s="4">
        <v>94.68</v>
      </c>
      <c r="I320" s="4" t="s">
        <v>16</v>
      </c>
      <c r="J320" s="4">
        <v>94.68</v>
      </c>
    </row>
    <row r="321" spans="1:10" x14ac:dyDescent="0.3">
      <c r="A321" s="3">
        <v>2033679</v>
      </c>
      <c r="B321">
        <v>11845</v>
      </c>
      <c r="C321">
        <v>1</v>
      </c>
      <c r="D321" s="9">
        <v>101</v>
      </c>
      <c r="E321">
        <v>1007</v>
      </c>
      <c r="F321" s="1">
        <v>44006</v>
      </c>
      <c r="G321" t="s">
        <v>92</v>
      </c>
      <c r="H321" s="4" t="s">
        <v>16</v>
      </c>
      <c r="I321" s="4">
        <v>-94.68</v>
      </c>
      <c r="J321" s="4">
        <v>-94.68</v>
      </c>
    </row>
    <row r="322" spans="1:10" x14ac:dyDescent="0.3">
      <c r="A322" s="3">
        <v>2033680</v>
      </c>
      <c r="B322">
        <v>71400</v>
      </c>
      <c r="C322">
        <v>1</v>
      </c>
      <c r="D322" s="9">
        <v>101</v>
      </c>
      <c r="E322">
        <v>1007</v>
      </c>
      <c r="F322" s="1">
        <v>44006</v>
      </c>
      <c r="G322" t="s">
        <v>83</v>
      </c>
      <c r="H322" s="4">
        <v>95.6</v>
      </c>
      <c r="I322" s="4" t="s">
        <v>16</v>
      </c>
      <c r="J322" s="4">
        <v>95.6</v>
      </c>
    </row>
    <row r="323" spans="1:10" x14ac:dyDescent="0.3">
      <c r="A323" s="3">
        <v>2033680</v>
      </c>
      <c r="B323">
        <v>11845</v>
      </c>
      <c r="C323">
        <v>1</v>
      </c>
      <c r="D323" s="9">
        <v>101</v>
      </c>
      <c r="E323">
        <v>1007</v>
      </c>
      <c r="F323" s="1">
        <v>44006</v>
      </c>
      <c r="G323" t="s">
        <v>83</v>
      </c>
      <c r="H323" s="4" t="s">
        <v>16</v>
      </c>
      <c r="I323" s="4">
        <v>-95.6</v>
      </c>
      <c r="J323" s="4">
        <v>-95.6</v>
      </c>
    </row>
    <row r="324" spans="1:10" x14ac:dyDescent="0.3">
      <c r="A324" s="3">
        <v>2033681</v>
      </c>
      <c r="B324">
        <v>11845</v>
      </c>
      <c r="C324">
        <v>1</v>
      </c>
      <c r="D324" s="9">
        <v>101</v>
      </c>
      <c r="E324">
        <v>1007</v>
      </c>
      <c r="F324" s="1">
        <v>44006</v>
      </c>
      <c r="G324" t="s">
        <v>204</v>
      </c>
      <c r="H324" s="4">
        <v>99</v>
      </c>
      <c r="I324" s="4" t="s">
        <v>16</v>
      </c>
      <c r="J324" s="4">
        <v>99</v>
      </c>
    </row>
    <row r="325" spans="1:10" x14ac:dyDescent="0.3">
      <c r="A325" s="3">
        <v>2033681</v>
      </c>
      <c r="B325">
        <v>72723</v>
      </c>
      <c r="C325">
        <v>1</v>
      </c>
      <c r="D325" s="9">
        <v>101</v>
      </c>
      <c r="E325">
        <v>1007</v>
      </c>
      <c r="F325" s="1">
        <v>44006</v>
      </c>
      <c r="G325" t="s">
        <v>204</v>
      </c>
      <c r="H325" s="4" t="s">
        <v>16</v>
      </c>
      <c r="I325" s="4">
        <v>-99</v>
      </c>
      <c r="J325" s="4">
        <v>-99</v>
      </c>
    </row>
    <row r="326" spans="1:10" x14ac:dyDescent="0.3">
      <c r="A326" s="3">
        <v>2033682</v>
      </c>
      <c r="B326">
        <v>14260</v>
      </c>
      <c r="C326">
        <v>1</v>
      </c>
      <c r="D326" s="9">
        <v>101</v>
      </c>
      <c r="E326">
        <v>1007</v>
      </c>
      <c r="F326" s="1">
        <v>44006</v>
      </c>
      <c r="G326" t="s">
        <v>86</v>
      </c>
      <c r="H326" s="4">
        <v>100.35</v>
      </c>
      <c r="I326" s="4" t="s">
        <v>16</v>
      </c>
      <c r="J326" s="4">
        <v>100.35</v>
      </c>
    </row>
    <row r="327" spans="1:10" x14ac:dyDescent="0.3">
      <c r="A327" s="3">
        <v>2033682</v>
      </c>
      <c r="B327">
        <v>11845</v>
      </c>
      <c r="C327">
        <v>1</v>
      </c>
      <c r="D327" s="9">
        <v>101</v>
      </c>
      <c r="E327">
        <v>1007</v>
      </c>
      <c r="F327" s="1">
        <v>44006</v>
      </c>
      <c r="G327" t="s">
        <v>86</v>
      </c>
      <c r="H327" s="4" t="s">
        <v>16</v>
      </c>
      <c r="I327" s="4">
        <v>-100.35</v>
      </c>
      <c r="J327" s="4">
        <v>-100.35</v>
      </c>
    </row>
    <row r="328" spans="1:10" x14ac:dyDescent="0.3">
      <c r="A328" s="3">
        <v>2033683</v>
      </c>
      <c r="B328">
        <v>71400</v>
      </c>
      <c r="C328">
        <v>1</v>
      </c>
      <c r="D328" s="9">
        <v>101</v>
      </c>
      <c r="E328">
        <v>1007</v>
      </c>
      <c r="F328" s="1">
        <v>44006</v>
      </c>
      <c r="G328" t="s">
        <v>198</v>
      </c>
      <c r="H328" s="4">
        <v>119.4</v>
      </c>
      <c r="I328" s="4" t="s">
        <v>16</v>
      </c>
      <c r="J328" s="4">
        <v>119.4</v>
      </c>
    </row>
    <row r="329" spans="1:10" x14ac:dyDescent="0.3">
      <c r="A329" s="3">
        <v>2033683</v>
      </c>
      <c r="B329">
        <v>11845</v>
      </c>
      <c r="C329">
        <v>1</v>
      </c>
      <c r="D329" s="9">
        <v>101</v>
      </c>
      <c r="E329">
        <v>1007</v>
      </c>
      <c r="F329" s="1">
        <v>44006</v>
      </c>
      <c r="G329" t="s">
        <v>198</v>
      </c>
      <c r="H329" s="4" t="s">
        <v>16</v>
      </c>
      <c r="I329" s="4">
        <v>-119.4</v>
      </c>
      <c r="J329" s="4">
        <v>-119.4</v>
      </c>
    </row>
    <row r="330" spans="1:10" x14ac:dyDescent="0.3">
      <c r="A330" s="3">
        <v>2033684</v>
      </c>
      <c r="B330">
        <v>71400</v>
      </c>
      <c r="C330">
        <v>1</v>
      </c>
      <c r="D330" s="9">
        <v>101</v>
      </c>
      <c r="E330">
        <v>1007</v>
      </c>
      <c r="F330" s="1">
        <v>44006</v>
      </c>
      <c r="G330" t="s">
        <v>90</v>
      </c>
      <c r="H330" s="4">
        <v>130</v>
      </c>
      <c r="I330" s="4" t="s">
        <v>16</v>
      </c>
      <c r="J330" s="4">
        <v>130</v>
      </c>
    </row>
    <row r="331" spans="1:10" x14ac:dyDescent="0.3">
      <c r="A331" s="3">
        <v>2033684</v>
      </c>
      <c r="B331">
        <v>11845</v>
      </c>
      <c r="C331">
        <v>1</v>
      </c>
      <c r="D331" s="9">
        <v>101</v>
      </c>
      <c r="E331">
        <v>1007</v>
      </c>
      <c r="F331" s="1">
        <v>44006</v>
      </c>
      <c r="G331" t="s">
        <v>90</v>
      </c>
      <c r="H331" s="4" t="s">
        <v>16</v>
      </c>
      <c r="I331" s="4">
        <v>-130</v>
      </c>
      <c r="J331" s="4">
        <v>-130</v>
      </c>
    </row>
    <row r="332" spans="1:10" x14ac:dyDescent="0.3">
      <c r="A332" s="3">
        <v>2033685</v>
      </c>
      <c r="B332">
        <v>71410</v>
      </c>
      <c r="C332">
        <v>1</v>
      </c>
      <c r="D332" s="9">
        <v>101</v>
      </c>
      <c r="E332">
        <v>1007</v>
      </c>
      <c r="F332" s="1">
        <v>44006</v>
      </c>
      <c r="G332" t="s">
        <v>71</v>
      </c>
      <c r="H332" s="4">
        <v>182.99</v>
      </c>
      <c r="I332" s="4" t="s">
        <v>16</v>
      </c>
      <c r="J332" s="4">
        <v>182.99</v>
      </c>
    </row>
    <row r="333" spans="1:10" x14ac:dyDescent="0.3">
      <c r="A333" s="3">
        <v>2033685</v>
      </c>
      <c r="B333">
        <v>11845</v>
      </c>
      <c r="C333">
        <v>1</v>
      </c>
      <c r="D333" s="9">
        <v>101</v>
      </c>
      <c r="E333">
        <v>1007</v>
      </c>
      <c r="F333" s="1">
        <v>44006</v>
      </c>
      <c r="G333" t="s">
        <v>71</v>
      </c>
      <c r="H333" s="4" t="s">
        <v>16</v>
      </c>
      <c r="I333" s="4">
        <v>-182.99</v>
      </c>
      <c r="J333" s="4">
        <v>-182.99</v>
      </c>
    </row>
    <row r="334" spans="1:10" x14ac:dyDescent="0.3">
      <c r="A334" s="3">
        <v>2033686</v>
      </c>
      <c r="B334">
        <v>11845</v>
      </c>
      <c r="C334">
        <v>1</v>
      </c>
      <c r="D334" s="9">
        <v>101</v>
      </c>
      <c r="E334">
        <v>1007</v>
      </c>
      <c r="F334" s="1">
        <v>44006</v>
      </c>
      <c r="G334" t="s">
        <v>90</v>
      </c>
      <c r="H334" s="4">
        <v>184</v>
      </c>
      <c r="I334" s="4" t="s">
        <v>16</v>
      </c>
      <c r="J334" s="4">
        <v>184</v>
      </c>
    </row>
    <row r="335" spans="1:10" x14ac:dyDescent="0.3">
      <c r="A335" s="3">
        <v>2033686</v>
      </c>
      <c r="B335">
        <v>71400</v>
      </c>
      <c r="C335">
        <v>1</v>
      </c>
      <c r="D335" s="9">
        <v>101</v>
      </c>
      <c r="E335">
        <v>1007</v>
      </c>
      <c r="F335" s="1">
        <v>44006</v>
      </c>
      <c r="G335" t="s">
        <v>90</v>
      </c>
      <c r="H335" s="4" t="s">
        <v>16</v>
      </c>
      <c r="I335" s="4">
        <v>-184</v>
      </c>
      <c r="J335" s="4">
        <v>-184</v>
      </c>
    </row>
    <row r="336" spans="1:10" x14ac:dyDescent="0.3">
      <c r="A336" s="3">
        <v>2033687</v>
      </c>
      <c r="B336">
        <v>74203</v>
      </c>
      <c r="C336">
        <v>2</v>
      </c>
      <c r="D336" s="9">
        <v>102</v>
      </c>
      <c r="E336">
        <v>1007</v>
      </c>
      <c r="F336" s="1">
        <v>44006</v>
      </c>
      <c r="G336" t="s">
        <v>124</v>
      </c>
      <c r="H336" s="4">
        <v>208</v>
      </c>
      <c r="I336" s="4" t="s">
        <v>16</v>
      </c>
      <c r="J336" s="4">
        <v>208</v>
      </c>
    </row>
    <row r="337" spans="1:10" x14ac:dyDescent="0.3">
      <c r="A337" s="3">
        <v>2033687</v>
      </c>
      <c r="B337">
        <v>11845</v>
      </c>
      <c r="C337">
        <v>2</v>
      </c>
      <c r="D337" s="9">
        <v>102</v>
      </c>
      <c r="E337">
        <v>1007</v>
      </c>
      <c r="F337" s="1">
        <v>44006</v>
      </c>
      <c r="G337" t="s">
        <v>124</v>
      </c>
      <c r="H337" s="4" t="s">
        <v>16</v>
      </c>
      <c r="I337" s="4">
        <v>-208</v>
      </c>
      <c r="J337" s="4">
        <v>-208</v>
      </c>
    </row>
    <row r="338" spans="1:10" x14ac:dyDescent="0.3">
      <c r="A338" s="3">
        <v>2033688</v>
      </c>
      <c r="B338">
        <v>72723</v>
      </c>
      <c r="C338">
        <v>1</v>
      </c>
      <c r="D338" s="9">
        <v>101</v>
      </c>
      <c r="E338">
        <v>1007</v>
      </c>
      <c r="F338" s="1">
        <v>44006</v>
      </c>
      <c r="G338" t="s">
        <v>129</v>
      </c>
      <c r="H338" s="4">
        <v>224</v>
      </c>
      <c r="I338" s="4" t="s">
        <v>16</v>
      </c>
      <c r="J338" s="4">
        <v>224</v>
      </c>
    </row>
    <row r="339" spans="1:10" x14ac:dyDescent="0.3">
      <c r="A339" s="3">
        <v>2033688</v>
      </c>
      <c r="B339">
        <v>11845</v>
      </c>
      <c r="C339">
        <v>1</v>
      </c>
      <c r="D339" s="9">
        <v>101</v>
      </c>
      <c r="E339">
        <v>1007</v>
      </c>
      <c r="F339" s="1">
        <v>44006</v>
      </c>
      <c r="G339" t="s">
        <v>129</v>
      </c>
      <c r="H339" s="4" t="s">
        <v>16</v>
      </c>
      <c r="I339" s="4">
        <v>-224</v>
      </c>
      <c r="J339" s="4">
        <v>-224</v>
      </c>
    </row>
    <row r="340" spans="1:10" x14ac:dyDescent="0.3">
      <c r="A340" s="3">
        <v>2033689</v>
      </c>
      <c r="B340">
        <v>14260</v>
      </c>
      <c r="C340">
        <v>1</v>
      </c>
      <c r="D340" s="9">
        <v>102</v>
      </c>
      <c r="E340">
        <v>1002</v>
      </c>
      <c r="F340" s="1">
        <v>44006</v>
      </c>
      <c r="G340" t="s">
        <v>39</v>
      </c>
      <c r="H340" s="4">
        <v>284.91000000000003</v>
      </c>
      <c r="I340" s="4" t="s">
        <v>16</v>
      </c>
      <c r="J340" s="4">
        <v>284.91000000000003</v>
      </c>
    </row>
    <row r="341" spans="1:10" x14ac:dyDescent="0.3">
      <c r="A341" s="3">
        <v>2033689</v>
      </c>
      <c r="B341">
        <v>11845</v>
      </c>
      <c r="C341">
        <v>1</v>
      </c>
      <c r="D341" s="9">
        <v>102</v>
      </c>
      <c r="E341">
        <v>1002</v>
      </c>
      <c r="F341" s="1">
        <v>44006</v>
      </c>
      <c r="G341" t="s">
        <v>39</v>
      </c>
      <c r="H341" s="4" t="s">
        <v>16</v>
      </c>
      <c r="I341" s="4">
        <v>-284.91000000000003</v>
      </c>
      <c r="J341" s="4">
        <v>-284.91000000000003</v>
      </c>
    </row>
    <row r="342" spans="1:10" x14ac:dyDescent="0.3">
      <c r="A342" s="3">
        <v>2033690</v>
      </c>
      <c r="B342">
        <v>71400</v>
      </c>
      <c r="C342">
        <v>4</v>
      </c>
      <c r="D342" s="9">
        <v>101</v>
      </c>
      <c r="E342">
        <v>1007</v>
      </c>
      <c r="F342" s="1">
        <v>44006</v>
      </c>
      <c r="G342" t="s">
        <v>78</v>
      </c>
      <c r="H342" s="4">
        <v>302.89999999999998</v>
      </c>
      <c r="I342" s="4" t="s">
        <v>16</v>
      </c>
      <c r="J342" s="4">
        <v>302.89999999999998</v>
      </c>
    </row>
    <row r="343" spans="1:10" x14ac:dyDescent="0.3">
      <c r="A343" s="3">
        <v>2033690</v>
      </c>
      <c r="B343">
        <v>11845</v>
      </c>
      <c r="C343">
        <v>4</v>
      </c>
      <c r="D343" s="9">
        <v>101</v>
      </c>
      <c r="E343">
        <v>1007</v>
      </c>
      <c r="F343" s="1">
        <v>44006</v>
      </c>
      <c r="G343" t="s">
        <v>78</v>
      </c>
      <c r="H343" s="4" t="s">
        <v>16</v>
      </c>
      <c r="I343" s="4">
        <v>-302.89999999999998</v>
      </c>
      <c r="J343" s="4">
        <v>-302.89999999999998</v>
      </c>
    </row>
    <row r="344" spans="1:10" x14ac:dyDescent="0.3">
      <c r="A344" s="3">
        <v>2033691</v>
      </c>
      <c r="B344">
        <v>71410</v>
      </c>
      <c r="C344">
        <v>2</v>
      </c>
      <c r="D344" s="9">
        <v>102</v>
      </c>
      <c r="E344">
        <v>1007</v>
      </c>
      <c r="F344" s="1">
        <v>44006</v>
      </c>
      <c r="G344" t="s">
        <v>116</v>
      </c>
      <c r="H344" s="4">
        <v>311.81</v>
      </c>
      <c r="I344" s="4" t="s">
        <v>16</v>
      </c>
      <c r="J344" s="4">
        <v>311.81</v>
      </c>
    </row>
    <row r="345" spans="1:10" x14ac:dyDescent="0.3">
      <c r="A345" s="3">
        <v>2033691</v>
      </c>
      <c r="B345">
        <v>11845</v>
      </c>
      <c r="C345">
        <v>2</v>
      </c>
      <c r="D345" s="9">
        <v>102</v>
      </c>
      <c r="E345">
        <v>1007</v>
      </c>
      <c r="F345" s="1">
        <v>44006</v>
      </c>
      <c r="G345" t="s">
        <v>116</v>
      </c>
      <c r="H345" s="4" t="s">
        <v>16</v>
      </c>
      <c r="I345" s="4">
        <v>-311.81</v>
      </c>
      <c r="J345" s="4">
        <v>-311.81</v>
      </c>
    </row>
    <row r="346" spans="1:10" x14ac:dyDescent="0.3">
      <c r="A346" s="3">
        <v>2033692</v>
      </c>
      <c r="B346">
        <v>14260</v>
      </c>
      <c r="C346">
        <v>1</v>
      </c>
      <c r="D346" s="9">
        <v>102</v>
      </c>
      <c r="E346">
        <v>1002</v>
      </c>
      <c r="F346" s="1">
        <v>44006</v>
      </c>
      <c r="G346" t="s">
        <v>202</v>
      </c>
      <c r="H346" s="4">
        <v>357.88</v>
      </c>
      <c r="I346" s="4" t="s">
        <v>16</v>
      </c>
      <c r="J346" s="4">
        <v>357.88</v>
      </c>
    </row>
    <row r="347" spans="1:10" x14ac:dyDescent="0.3">
      <c r="A347" s="3">
        <v>2033692</v>
      </c>
      <c r="B347">
        <v>11845</v>
      </c>
      <c r="C347">
        <v>1</v>
      </c>
      <c r="D347" s="9">
        <v>102</v>
      </c>
      <c r="E347">
        <v>1002</v>
      </c>
      <c r="F347" s="1">
        <v>44006</v>
      </c>
      <c r="G347" t="s">
        <v>202</v>
      </c>
      <c r="H347" s="4" t="s">
        <v>16</v>
      </c>
      <c r="I347" s="4">
        <v>-357.88</v>
      </c>
      <c r="J347" s="4">
        <v>-357.88</v>
      </c>
    </row>
    <row r="348" spans="1:10" x14ac:dyDescent="0.3">
      <c r="A348" s="3">
        <v>2033693</v>
      </c>
      <c r="B348">
        <v>14260</v>
      </c>
      <c r="C348">
        <v>1</v>
      </c>
      <c r="D348" s="9">
        <v>102</v>
      </c>
      <c r="E348">
        <v>1002</v>
      </c>
      <c r="F348" s="1">
        <v>44006</v>
      </c>
      <c r="G348" t="s">
        <v>39</v>
      </c>
      <c r="H348" s="4">
        <v>379.88</v>
      </c>
      <c r="I348" s="4" t="s">
        <v>16</v>
      </c>
      <c r="J348" s="4">
        <v>379.88</v>
      </c>
    </row>
    <row r="349" spans="1:10" x14ac:dyDescent="0.3">
      <c r="A349" s="3">
        <v>2033693</v>
      </c>
      <c r="B349">
        <v>11845</v>
      </c>
      <c r="C349">
        <v>1</v>
      </c>
      <c r="D349" s="9">
        <v>102</v>
      </c>
      <c r="E349">
        <v>1002</v>
      </c>
      <c r="F349" s="1">
        <v>44006</v>
      </c>
      <c r="G349" t="s">
        <v>39</v>
      </c>
      <c r="H349" s="4" t="s">
        <v>16</v>
      </c>
      <c r="I349" s="4">
        <v>-379.88</v>
      </c>
      <c r="J349" s="4">
        <v>-379.88</v>
      </c>
    </row>
    <row r="350" spans="1:10" x14ac:dyDescent="0.3">
      <c r="A350" s="3">
        <v>2033694</v>
      </c>
      <c r="B350">
        <v>71400</v>
      </c>
      <c r="C350">
        <v>4</v>
      </c>
      <c r="D350" s="9">
        <v>101</v>
      </c>
      <c r="E350">
        <v>1002</v>
      </c>
      <c r="F350" s="1">
        <v>44006</v>
      </c>
      <c r="G350" t="s">
        <v>199</v>
      </c>
      <c r="H350" s="4">
        <v>384</v>
      </c>
      <c r="I350" s="4" t="s">
        <v>16</v>
      </c>
      <c r="J350" s="4">
        <v>384</v>
      </c>
    </row>
    <row r="351" spans="1:10" x14ac:dyDescent="0.3">
      <c r="A351" s="3">
        <v>2033694</v>
      </c>
      <c r="B351">
        <v>11845</v>
      </c>
      <c r="C351">
        <v>4</v>
      </c>
      <c r="D351" s="9">
        <v>101</v>
      </c>
      <c r="E351">
        <v>1002</v>
      </c>
      <c r="F351" s="1">
        <v>44006</v>
      </c>
      <c r="G351" t="s">
        <v>199</v>
      </c>
      <c r="H351" s="4" t="s">
        <v>16</v>
      </c>
      <c r="I351" s="4">
        <v>-384</v>
      </c>
      <c r="J351" s="4">
        <v>-384</v>
      </c>
    </row>
    <row r="352" spans="1:10" x14ac:dyDescent="0.3">
      <c r="A352" s="3">
        <v>2033695</v>
      </c>
      <c r="B352">
        <v>71400</v>
      </c>
      <c r="C352">
        <v>1</v>
      </c>
      <c r="D352" s="9">
        <v>101</v>
      </c>
      <c r="E352">
        <v>1007</v>
      </c>
      <c r="F352" s="1">
        <v>44006</v>
      </c>
      <c r="G352" t="s">
        <v>90</v>
      </c>
      <c r="H352" s="4">
        <v>442.88</v>
      </c>
      <c r="I352" s="4" t="s">
        <v>16</v>
      </c>
      <c r="J352" s="4">
        <v>442.88</v>
      </c>
    </row>
    <row r="353" spans="1:10" x14ac:dyDescent="0.3">
      <c r="A353" s="3">
        <v>2033695</v>
      </c>
      <c r="B353">
        <v>11845</v>
      </c>
      <c r="C353">
        <v>1</v>
      </c>
      <c r="D353" s="9">
        <v>101</v>
      </c>
      <c r="E353">
        <v>1007</v>
      </c>
      <c r="F353" s="1">
        <v>44006</v>
      </c>
      <c r="G353" t="s">
        <v>90</v>
      </c>
      <c r="H353" s="4" t="s">
        <v>16</v>
      </c>
      <c r="I353" s="4">
        <v>-442.88</v>
      </c>
      <c r="J353" s="4">
        <v>-442.88</v>
      </c>
    </row>
    <row r="354" spans="1:10" x14ac:dyDescent="0.3">
      <c r="A354" s="3">
        <v>2033696</v>
      </c>
      <c r="B354">
        <v>11845</v>
      </c>
      <c r="C354">
        <v>1</v>
      </c>
      <c r="D354" s="9">
        <v>102</v>
      </c>
      <c r="E354">
        <v>1003</v>
      </c>
      <c r="F354" s="1">
        <v>44006</v>
      </c>
      <c r="G354" t="s">
        <v>15</v>
      </c>
      <c r="H354" s="4">
        <v>490.03</v>
      </c>
      <c r="I354" s="4" t="s">
        <v>16</v>
      </c>
      <c r="J354" s="4">
        <v>490.03</v>
      </c>
    </row>
    <row r="355" spans="1:10" x14ac:dyDescent="0.3">
      <c r="A355" s="3">
        <v>2033696</v>
      </c>
      <c r="B355">
        <v>43310</v>
      </c>
      <c r="C355">
        <v>1</v>
      </c>
      <c r="D355" s="9">
        <v>102</v>
      </c>
      <c r="E355">
        <v>1003</v>
      </c>
      <c r="F355" s="1">
        <v>44006</v>
      </c>
      <c r="G355" t="s">
        <v>15</v>
      </c>
      <c r="H355" s="4" t="s">
        <v>16</v>
      </c>
      <c r="I355" s="4">
        <v>-490.03</v>
      </c>
      <c r="J355" s="4">
        <v>-490.03</v>
      </c>
    </row>
    <row r="356" spans="1:10" x14ac:dyDescent="0.3">
      <c r="A356" s="3">
        <v>2033697</v>
      </c>
      <c r="B356">
        <v>71400</v>
      </c>
      <c r="C356">
        <v>1</v>
      </c>
      <c r="D356" s="9">
        <v>101</v>
      </c>
      <c r="E356">
        <v>1007</v>
      </c>
      <c r="F356" s="1">
        <v>44006</v>
      </c>
      <c r="G356" t="s">
        <v>90</v>
      </c>
      <c r="H356" s="4">
        <v>521.12</v>
      </c>
      <c r="I356" s="4" t="s">
        <v>16</v>
      </c>
      <c r="J356" s="4">
        <v>521.12</v>
      </c>
    </row>
    <row r="357" spans="1:10" x14ac:dyDescent="0.3">
      <c r="A357" s="3">
        <v>2033697</v>
      </c>
      <c r="B357">
        <v>11845</v>
      </c>
      <c r="C357">
        <v>1</v>
      </c>
      <c r="D357" s="9">
        <v>101</v>
      </c>
      <c r="E357">
        <v>1007</v>
      </c>
      <c r="F357" s="1">
        <v>44006</v>
      </c>
      <c r="G357" t="s">
        <v>90</v>
      </c>
      <c r="H357" s="4" t="s">
        <v>16</v>
      </c>
      <c r="I357" s="4">
        <v>-521.12</v>
      </c>
      <c r="J357" s="4">
        <v>-521.12</v>
      </c>
    </row>
    <row r="358" spans="1:10" x14ac:dyDescent="0.3">
      <c r="A358" s="3">
        <v>2033698</v>
      </c>
      <c r="B358">
        <v>71400</v>
      </c>
      <c r="C358">
        <v>1</v>
      </c>
      <c r="D358" s="9">
        <v>101</v>
      </c>
      <c r="E358">
        <v>1007</v>
      </c>
      <c r="F358" s="1">
        <v>44006</v>
      </c>
      <c r="G358" t="s">
        <v>90</v>
      </c>
      <c r="H358" s="4">
        <v>685.36</v>
      </c>
      <c r="I358" s="4" t="s">
        <v>16</v>
      </c>
      <c r="J358" s="4">
        <v>685.36</v>
      </c>
    </row>
    <row r="359" spans="1:10" x14ac:dyDescent="0.3">
      <c r="A359" s="3">
        <v>2033698</v>
      </c>
      <c r="B359">
        <v>11845</v>
      </c>
      <c r="C359">
        <v>1</v>
      </c>
      <c r="D359" s="9">
        <v>101</v>
      </c>
      <c r="E359">
        <v>1007</v>
      </c>
      <c r="F359" s="1">
        <v>44006</v>
      </c>
      <c r="G359" t="s">
        <v>90</v>
      </c>
      <c r="H359" s="4" t="s">
        <v>16</v>
      </c>
      <c r="I359" s="4">
        <v>-685.36</v>
      </c>
      <c r="J359" s="4">
        <v>-685.36</v>
      </c>
    </row>
    <row r="360" spans="1:10" x14ac:dyDescent="0.3">
      <c r="A360" s="3">
        <v>2033699</v>
      </c>
      <c r="B360">
        <v>14250</v>
      </c>
      <c r="C360">
        <v>3</v>
      </c>
      <c r="D360" s="9">
        <v>101</v>
      </c>
      <c r="E360">
        <v>1007</v>
      </c>
      <c r="F360" s="1">
        <v>44006</v>
      </c>
      <c r="G360" t="s">
        <v>120</v>
      </c>
      <c r="H360" s="4">
        <v>759.61</v>
      </c>
      <c r="I360" s="4" t="s">
        <v>16</v>
      </c>
      <c r="J360" s="4">
        <v>759.61</v>
      </c>
    </row>
    <row r="361" spans="1:10" x14ac:dyDescent="0.3">
      <c r="A361" s="3">
        <v>2033699</v>
      </c>
      <c r="B361">
        <v>11845</v>
      </c>
      <c r="C361">
        <v>3</v>
      </c>
      <c r="D361" s="9">
        <v>101</v>
      </c>
      <c r="E361">
        <v>1007</v>
      </c>
      <c r="F361" s="1">
        <v>44006</v>
      </c>
      <c r="G361" t="s">
        <v>120</v>
      </c>
      <c r="H361" s="4" t="s">
        <v>16</v>
      </c>
      <c r="I361" s="4">
        <v>-759.61</v>
      </c>
      <c r="J361" s="4">
        <v>-759.61</v>
      </c>
    </row>
    <row r="362" spans="1:10" x14ac:dyDescent="0.3">
      <c r="A362" s="3">
        <v>2033700</v>
      </c>
      <c r="B362">
        <v>14260</v>
      </c>
      <c r="C362">
        <v>1</v>
      </c>
      <c r="D362" s="9">
        <v>102</v>
      </c>
      <c r="E362">
        <v>1002</v>
      </c>
      <c r="F362" s="1">
        <v>44006</v>
      </c>
      <c r="G362" t="s">
        <v>43</v>
      </c>
      <c r="H362" s="4">
        <v>794.16</v>
      </c>
      <c r="I362" s="4" t="s">
        <v>16</v>
      </c>
      <c r="J362" s="4">
        <v>794.16</v>
      </c>
    </row>
    <row r="363" spans="1:10" x14ac:dyDescent="0.3">
      <c r="A363" s="3">
        <v>2033700</v>
      </c>
      <c r="B363">
        <v>11845</v>
      </c>
      <c r="C363">
        <v>1</v>
      </c>
      <c r="D363" s="9">
        <v>102</v>
      </c>
      <c r="E363">
        <v>1002</v>
      </c>
      <c r="F363" s="1">
        <v>44006</v>
      </c>
      <c r="G363" t="s">
        <v>43</v>
      </c>
      <c r="H363" s="4" t="s">
        <v>16</v>
      </c>
      <c r="I363" s="4">
        <v>-794.16</v>
      </c>
      <c r="J363" s="4">
        <v>-794.16</v>
      </c>
    </row>
    <row r="364" spans="1:10" x14ac:dyDescent="0.3">
      <c r="A364" s="3">
        <v>2033701</v>
      </c>
      <c r="B364">
        <v>14260</v>
      </c>
      <c r="C364">
        <v>1</v>
      </c>
      <c r="D364" s="9">
        <v>102</v>
      </c>
      <c r="E364">
        <v>1002</v>
      </c>
      <c r="F364" s="1">
        <v>44006</v>
      </c>
      <c r="G364" t="s">
        <v>39</v>
      </c>
      <c r="H364" s="4">
        <v>1119.04</v>
      </c>
      <c r="I364" s="4" t="s">
        <v>16</v>
      </c>
      <c r="J364" s="4">
        <v>1119.04</v>
      </c>
    </row>
    <row r="365" spans="1:10" x14ac:dyDescent="0.3">
      <c r="A365" s="3">
        <v>2033701</v>
      </c>
      <c r="B365">
        <v>11845</v>
      </c>
      <c r="C365">
        <v>1</v>
      </c>
      <c r="D365" s="9">
        <v>102</v>
      </c>
      <c r="E365">
        <v>1002</v>
      </c>
      <c r="F365" s="1">
        <v>44006</v>
      </c>
      <c r="G365" t="s">
        <v>39</v>
      </c>
      <c r="H365" s="4" t="s">
        <v>16</v>
      </c>
      <c r="I365" s="4">
        <v>-1119.04</v>
      </c>
      <c r="J365" s="4">
        <v>-1119.04</v>
      </c>
    </row>
    <row r="366" spans="1:10" x14ac:dyDescent="0.3">
      <c r="A366" s="3">
        <v>2033702</v>
      </c>
      <c r="B366">
        <v>71400</v>
      </c>
      <c r="C366">
        <v>1</v>
      </c>
      <c r="D366" s="9">
        <v>101</v>
      </c>
      <c r="E366">
        <v>1007</v>
      </c>
      <c r="F366" s="1">
        <v>44006</v>
      </c>
      <c r="G366" t="s">
        <v>90</v>
      </c>
      <c r="H366" s="4">
        <v>1319.55</v>
      </c>
      <c r="I366" s="4" t="s">
        <v>16</v>
      </c>
      <c r="J366" s="4">
        <v>1319.55</v>
      </c>
    </row>
    <row r="367" spans="1:10" x14ac:dyDescent="0.3">
      <c r="A367" s="3">
        <v>2033702</v>
      </c>
      <c r="B367">
        <v>11845</v>
      </c>
      <c r="C367">
        <v>1</v>
      </c>
      <c r="D367" s="9">
        <v>101</v>
      </c>
      <c r="E367">
        <v>1007</v>
      </c>
      <c r="F367" s="1">
        <v>44006</v>
      </c>
      <c r="G367" t="s">
        <v>90</v>
      </c>
      <c r="H367" s="4" t="s">
        <v>16</v>
      </c>
      <c r="I367" s="4">
        <v>-1319.55</v>
      </c>
      <c r="J367" s="4">
        <v>-1319.55</v>
      </c>
    </row>
    <row r="368" spans="1:10" x14ac:dyDescent="0.3">
      <c r="A368" s="3">
        <v>2033703</v>
      </c>
      <c r="B368">
        <v>11845</v>
      </c>
      <c r="C368">
        <v>2</v>
      </c>
      <c r="D368" s="9">
        <v>104</v>
      </c>
      <c r="E368">
        <v>1003</v>
      </c>
      <c r="F368" s="1">
        <v>44006</v>
      </c>
      <c r="G368" t="s">
        <v>15</v>
      </c>
      <c r="H368" s="4">
        <v>1700</v>
      </c>
      <c r="I368" s="4" t="s">
        <v>16</v>
      </c>
      <c r="J368" s="4">
        <v>1700</v>
      </c>
    </row>
    <row r="369" spans="1:10" x14ac:dyDescent="0.3">
      <c r="A369" s="3">
        <v>2033703</v>
      </c>
      <c r="B369">
        <v>43180</v>
      </c>
      <c r="C369">
        <v>2</v>
      </c>
      <c r="D369" s="9">
        <v>104</v>
      </c>
      <c r="E369">
        <v>1003</v>
      </c>
      <c r="F369" s="1">
        <v>44006</v>
      </c>
      <c r="G369" t="s">
        <v>15</v>
      </c>
      <c r="H369" s="4" t="s">
        <v>16</v>
      </c>
      <c r="I369" s="4">
        <v>-1700</v>
      </c>
      <c r="J369" s="4">
        <v>-1700</v>
      </c>
    </row>
    <row r="370" spans="1:10" x14ac:dyDescent="0.3">
      <c r="A370" s="3">
        <v>2033704</v>
      </c>
      <c r="B370">
        <v>14260</v>
      </c>
      <c r="C370">
        <v>1</v>
      </c>
      <c r="D370" s="9">
        <v>101</v>
      </c>
      <c r="E370">
        <v>1002</v>
      </c>
      <c r="F370" s="1">
        <v>44006</v>
      </c>
      <c r="G370" t="s">
        <v>38</v>
      </c>
      <c r="H370" s="4">
        <v>1817.47</v>
      </c>
      <c r="I370" s="4" t="s">
        <v>16</v>
      </c>
      <c r="J370" s="4">
        <v>1817.47</v>
      </c>
    </row>
    <row r="371" spans="1:10" x14ac:dyDescent="0.3">
      <c r="A371" s="3">
        <v>2033704</v>
      </c>
      <c r="B371">
        <v>11845</v>
      </c>
      <c r="C371">
        <v>1</v>
      </c>
      <c r="D371" s="9">
        <v>101</v>
      </c>
      <c r="E371">
        <v>1002</v>
      </c>
      <c r="F371" s="1">
        <v>44006</v>
      </c>
      <c r="G371" t="s">
        <v>38</v>
      </c>
      <c r="H371" s="4" t="s">
        <v>16</v>
      </c>
      <c r="I371" s="4">
        <v>-1817.47</v>
      </c>
      <c r="J371" s="4">
        <v>-1817.47</v>
      </c>
    </row>
    <row r="372" spans="1:10" x14ac:dyDescent="0.3">
      <c r="A372" s="3">
        <v>2033705</v>
      </c>
      <c r="B372">
        <v>71400</v>
      </c>
      <c r="C372">
        <v>6</v>
      </c>
      <c r="D372" s="9">
        <v>101</v>
      </c>
      <c r="E372">
        <v>1007</v>
      </c>
      <c r="F372" s="1">
        <v>44006</v>
      </c>
      <c r="G372" t="s">
        <v>175</v>
      </c>
      <c r="H372" s="4">
        <v>1995.4</v>
      </c>
      <c r="I372" s="4" t="s">
        <v>16</v>
      </c>
      <c r="J372" s="4">
        <v>1995.4</v>
      </c>
    </row>
    <row r="373" spans="1:10" x14ac:dyDescent="0.3">
      <c r="A373" s="3">
        <v>2033705</v>
      </c>
      <c r="B373">
        <v>11845</v>
      </c>
      <c r="C373">
        <v>6</v>
      </c>
      <c r="D373" s="9">
        <v>101</v>
      </c>
      <c r="E373">
        <v>1007</v>
      </c>
      <c r="F373" s="1">
        <v>44006</v>
      </c>
      <c r="G373" t="s">
        <v>175</v>
      </c>
      <c r="H373" s="4" t="s">
        <v>16</v>
      </c>
      <c r="I373" s="4">
        <v>-1995.4</v>
      </c>
      <c r="J373" s="4">
        <v>-1995.4</v>
      </c>
    </row>
    <row r="374" spans="1:10" x14ac:dyDescent="0.3">
      <c r="A374" s="3">
        <v>2033706</v>
      </c>
      <c r="B374">
        <v>76030</v>
      </c>
      <c r="C374">
        <v>2</v>
      </c>
      <c r="D374" s="9">
        <v>101</v>
      </c>
      <c r="E374">
        <v>1002</v>
      </c>
      <c r="F374" s="1">
        <v>44006</v>
      </c>
      <c r="G374" t="s">
        <v>196</v>
      </c>
      <c r="H374" s="4">
        <v>2152.38</v>
      </c>
      <c r="I374" s="4" t="s">
        <v>16</v>
      </c>
      <c r="J374" s="4">
        <v>2152.38</v>
      </c>
    </row>
    <row r="375" spans="1:10" x14ac:dyDescent="0.3">
      <c r="A375" s="3">
        <v>2033706</v>
      </c>
      <c r="B375">
        <v>11845</v>
      </c>
      <c r="C375">
        <v>2</v>
      </c>
      <c r="D375" s="9">
        <v>101</v>
      </c>
      <c r="E375">
        <v>1002</v>
      </c>
      <c r="F375" s="1">
        <v>44006</v>
      </c>
      <c r="G375" t="s">
        <v>196</v>
      </c>
      <c r="H375" s="4" t="s">
        <v>16</v>
      </c>
      <c r="I375" s="4">
        <v>-2152.38</v>
      </c>
      <c r="J375" s="4">
        <v>-2152.38</v>
      </c>
    </row>
    <row r="376" spans="1:10" x14ac:dyDescent="0.3">
      <c r="A376" s="3">
        <v>2033707</v>
      </c>
      <c r="B376">
        <v>14260</v>
      </c>
      <c r="C376">
        <v>1</v>
      </c>
      <c r="D376" s="9">
        <v>102</v>
      </c>
      <c r="E376">
        <v>1002</v>
      </c>
      <c r="F376" s="1">
        <v>44006</v>
      </c>
      <c r="G376" t="s">
        <v>214</v>
      </c>
      <c r="H376" s="4">
        <v>2366.64</v>
      </c>
      <c r="I376" s="4" t="s">
        <v>16</v>
      </c>
      <c r="J376" s="4">
        <v>2366.64</v>
      </c>
    </row>
    <row r="377" spans="1:10" x14ac:dyDescent="0.3">
      <c r="A377" s="3">
        <v>2033707</v>
      </c>
      <c r="B377">
        <v>11845</v>
      </c>
      <c r="C377">
        <v>1</v>
      </c>
      <c r="D377" s="9">
        <v>102</v>
      </c>
      <c r="E377">
        <v>1002</v>
      </c>
      <c r="F377" s="1">
        <v>44006</v>
      </c>
      <c r="G377" t="s">
        <v>214</v>
      </c>
      <c r="H377" s="4" t="s">
        <v>16</v>
      </c>
      <c r="I377" s="4">
        <v>-2366.64</v>
      </c>
      <c r="J377" s="4">
        <v>-2366.64</v>
      </c>
    </row>
    <row r="378" spans="1:10" x14ac:dyDescent="0.3">
      <c r="A378" s="3">
        <v>2033708</v>
      </c>
      <c r="B378">
        <v>11845</v>
      </c>
      <c r="C378">
        <v>2</v>
      </c>
      <c r="D378" s="9">
        <v>104</v>
      </c>
      <c r="E378">
        <v>1003</v>
      </c>
      <c r="F378" s="1">
        <v>44006</v>
      </c>
      <c r="G378" t="s">
        <v>41</v>
      </c>
      <c r="H378" s="4">
        <v>3537</v>
      </c>
      <c r="I378" s="4" t="s">
        <v>16</v>
      </c>
      <c r="J378" s="4">
        <v>3537</v>
      </c>
    </row>
    <row r="379" spans="1:10" x14ac:dyDescent="0.3">
      <c r="A379" s="3">
        <v>2033708</v>
      </c>
      <c r="B379">
        <v>43180</v>
      </c>
      <c r="C379">
        <v>2</v>
      </c>
      <c r="D379" s="9">
        <v>104</v>
      </c>
      <c r="E379">
        <v>1003</v>
      </c>
      <c r="F379" s="1">
        <v>44006</v>
      </c>
      <c r="G379" t="s">
        <v>41</v>
      </c>
      <c r="H379" s="4" t="s">
        <v>16</v>
      </c>
      <c r="I379" s="4">
        <v>-3537</v>
      </c>
      <c r="J379" s="4">
        <v>-3537</v>
      </c>
    </row>
    <row r="380" spans="1:10" x14ac:dyDescent="0.3">
      <c r="A380" s="3">
        <v>2033709</v>
      </c>
      <c r="B380">
        <v>14260</v>
      </c>
      <c r="C380">
        <v>1</v>
      </c>
      <c r="D380" s="9">
        <v>101</v>
      </c>
      <c r="E380">
        <v>1002</v>
      </c>
      <c r="F380" s="1">
        <v>44006</v>
      </c>
      <c r="G380" t="s">
        <v>38</v>
      </c>
      <c r="H380" s="4">
        <v>4194.0600000000004</v>
      </c>
      <c r="I380" s="4" t="s">
        <v>16</v>
      </c>
      <c r="J380" s="4">
        <v>4194.0600000000004</v>
      </c>
    </row>
    <row r="381" spans="1:10" x14ac:dyDescent="0.3">
      <c r="A381" s="3">
        <v>2033709</v>
      </c>
      <c r="B381">
        <v>11845</v>
      </c>
      <c r="C381">
        <v>1</v>
      </c>
      <c r="D381" s="9">
        <v>101</v>
      </c>
      <c r="E381">
        <v>1002</v>
      </c>
      <c r="F381" s="1">
        <v>44006</v>
      </c>
      <c r="G381" t="s">
        <v>38</v>
      </c>
      <c r="H381" s="4" t="s">
        <v>16</v>
      </c>
      <c r="I381" s="4">
        <v>-4194.0600000000004</v>
      </c>
      <c r="J381" s="4">
        <v>-4194.0600000000004</v>
      </c>
    </row>
    <row r="382" spans="1:10" x14ac:dyDescent="0.3">
      <c r="A382" s="3">
        <v>2033710</v>
      </c>
      <c r="B382">
        <v>14260</v>
      </c>
      <c r="C382">
        <v>1</v>
      </c>
      <c r="D382" s="9">
        <v>101</v>
      </c>
      <c r="E382">
        <v>1002</v>
      </c>
      <c r="F382" s="1">
        <v>44006</v>
      </c>
      <c r="G382" t="s">
        <v>38</v>
      </c>
      <c r="H382" s="4">
        <v>5772.72</v>
      </c>
      <c r="I382" s="4" t="s">
        <v>16</v>
      </c>
      <c r="J382" s="4">
        <v>5772.72</v>
      </c>
    </row>
    <row r="383" spans="1:10" x14ac:dyDescent="0.3">
      <c r="A383" s="3">
        <v>2033710</v>
      </c>
      <c r="B383">
        <v>11845</v>
      </c>
      <c r="C383">
        <v>1</v>
      </c>
      <c r="D383" s="9">
        <v>101</v>
      </c>
      <c r="E383">
        <v>1002</v>
      </c>
      <c r="F383" s="1">
        <v>44006</v>
      </c>
      <c r="G383" t="s">
        <v>38</v>
      </c>
      <c r="H383" s="4" t="s">
        <v>16</v>
      </c>
      <c r="I383" s="4">
        <v>-5772.72</v>
      </c>
      <c r="J383" s="4">
        <v>-5772.72</v>
      </c>
    </row>
    <row r="384" spans="1:10" x14ac:dyDescent="0.3">
      <c r="A384" s="3">
        <v>2033711</v>
      </c>
      <c r="B384">
        <v>16200</v>
      </c>
      <c r="C384">
        <v>2</v>
      </c>
      <c r="D384" s="9">
        <v>102</v>
      </c>
      <c r="E384">
        <v>1002</v>
      </c>
      <c r="F384" s="1">
        <v>44006</v>
      </c>
      <c r="G384" t="s">
        <v>282</v>
      </c>
      <c r="H384" s="4">
        <v>14536.31</v>
      </c>
      <c r="J384" s="4">
        <v>14536.31</v>
      </c>
    </row>
    <row r="385" spans="1:10" x14ac:dyDescent="0.3">
      <c r="A385" s="3">
        <v>2033711</v>
      </c>
      <c r="B385" s="2">
        <v>11845</v>
      </c>
      <c r="C385">
        <v>2</v>
      </c>
      <c r="D385" s="9">
        <v>102</v>
      </c>
      <c r="E385">
        <v>1002</v>
      </c>
      <c r="F385" s="1">
        <v>44006</v>
      </c>
      <c r="G385" t="s">
        <v>282</v>
      </c>
      <c r="I385" s="4">
        <v>-14536.31</v>
      </c>
      <c r="J385" s="4">
        <v>-14536.31</v>
      </c>
    </row>
    <row r="386" spans="1:10" x14ac:dyDescent="0.3">
      <c r="A386" s="3">
        <v>2033712</v>
      </c>
      <c r="B386">
        <v>74201</v>
      </c>
      <c r="C386">
        <v>2</v>
      </c>
      <c r="D386" s="9">
        <v>103</v>
      </c>
      <c r="E386">
        <v>1008</v>
      </c>
      <c r="F386" s="1">
        <v>44008</v>
      </c>
      <c r="G386" t="s">
        <v>73</v>
      </c>
      <c r="H386" s="4">
        <v>43426.26</v>
      </c>
      <c r="I386" s="4" t="s">
        <v>16</v>
      </c>
      <c r="J386" s="4">
        <v>43426.26</v>
      </c>
    </row>
    <row r="387" spans="1:10" x14ac:dyDescent="0.3">
      <c r="A387" s="3">
        <v>2033712</v>
      </c>
      <c r="B387">
        <v>74201</v>
      </c>
      <c r="C387">
        <v>2</v>
      </c>
      <c r="D387" s="9">
        <v>103</v>
      </c>
      <c r="E387">
        <v>1008</v>
      </c>
      <c r="F387" s="1">
        <v>44008</v>
      </c>
      <c r="G387" t="s">
        <v>73</v>
      </c>
      <c r="H387" s="4" t="s">
        <v>16</v>
      </c>
      <c r="I387" s="4">
        <v>-43426.26</v>
      </c>
      <c r="J387" s="4">
        <v>-43426.26</v>
      </c>
    </row>
    <row r="388" spans="1:10" x14ac:dyDescent="0.3">
      <c r="A388" s="3">
        <v>2033713</v>
      </c>
      <c r="B388">
        <v>71400</v>
      </c>
      <c r="C388">
        <v>1</v>
      </c>
      <c r="D388" s="9">
        <v>101</v>
      </c>
      <c r="E388">
        <v>1002</v>
      </c>
      <c r="F388" s="1">
        <v>44009</v>
      </c>
      <c r="G388" t="s">
        <v>185</v>
      </c>
      <c r="H388" s="4">
        <v>0.05</v>
      </c>
      <c r="I388" s="4" t="s">
        <v>16</v>
      </c>
      <c r="J388" s="4">
        <v>0.05</v>
      </c>
    </row>
    <row r="389" spans="1:10" x14ac:dyDescent="0.3">
      <c r="A389" s="3">
        <v>2033713</v>
      </c>
      <c r="B389">
        <v>11845</v>
      </c>
      <c r="C389">
        <v>1</v>
      </c>
      <c r="D389" s="9">
        <v>101</v>
      </c>
      <c r="E389">
        <v>1002</v>
      </c>
      <c r="F389" s="1">
        <v>44009</v>
      </c>
      <c r="G389" t="s">
        <v>185</v>
      </c>
      <c r="H389" s="4" t="s">
        <v>16</v>
      </c>
      <c r="I389" s="4">
        <v>-0.05</v>
      </c>
      <c r="J389" s="4">
        <v>-0.05</v>
      </c>
    </row>
    <row r="390" spans="1:10" x14ac:dyDescent="0.3">
      <c r="A390" s="3">
        <v>2033714</v>
      </c>
      <c r="B390">
        <v>71400</v>
      </c>
      <c r="C390">
        <v>6</v>
      </c>
      <c r="D390" s="9">
        <v>101</v>
      </c>
      <c r="E390">
        <v>1002</v>
      </c>
      <c r="F390" s="1">
        <v>44009</v>
      </c>
      <c r="G390" t="s">
        <v>185</v>
      </c>
      <c r="H390" s="4">
        <v>4.1500000000000004</v>
      </c>
      <c r="I390" s="4" t="s">
        <v>16</v>
      </c>
      <c r="J390" s="4">
        <v>4.1500000000000004</v>
      </c>
    </row>
    <row r="391" spans="1:10" x14ac:dyDescent="0.3">
      <c r="A391" s="3">
        <v>2033714</v>
      </c>
      <c r="B391">
        <v>11845</v>
      </c>
      <c r="C391">
        <v>6</v>
      </c>
      <c r="D391" s="9">
        <v>101</v>
      </c>
      <c r="E391">
        <v>1002</v>
      </c>
      <c r="F391" s="1">
        <v>44009</v>
      </c>
      <c r="G391" t="s">
        <v>185</v>
      </c>
      <c r="H391" s="4" t="s">
        <v>16</v>
      </c>
      <c r="I391" s="4">
        <v>-4.1500000000000004</v>
      </c>
      <c r="J391" s="4">
        <v>-4.1500000000000004</v>
      </c>
    </row>
    <row r="392" spans="1:10" x14ac:dyDescent="0.3">
      <c r="A392" s="3">
        <v>2033715</v>
      </c>
      <c r="B392">
        <v>14260</v>
      </c>
      <c r="C392">
        <v>1</v>
      </c>
      <c r="D392" s="9">
        <v>102</v>
      </c>
      <c r="E392">
        <v>1002</v>
      </c>
      <c r="F392" s="1">
        <v>44009</v>
      </c>
      <c r="G392" t="s">
        <v>39</v>
      </c>
      <c r="H392" s="4">
        <v>7.75</v>
      </c>
      <c r="I392" s="4" t="s">
        <v>16</v>
      </c>
      <c r="J392" s="4">
        <v>7.75</v>
      </c>
    </row>
    <row r="393" spans="1:10" x14ac:dyDescent="0.3">
      <c r="A393" s="3">
        <v>2033715</v>
      </c>
      <c r="B393">
        <v>11845</v>
      </c>
      <c r="C393">
        <v>1</v>
      </c>
      <c r="D393" s="9">
        <v>102</v>
      </c>
      <c r="E393">
        <v>1002</v>
      </c>
      <c r="F393" s="1">
        <v>44009</v>
      </c>
      <c r="G393" t="s">
        <v>39</v>
      </c>
      <c r="H393" s="4" t="s">
        <v>16</v>
      </c>
      <c r="I393" s="4">
        <v>-7.75</v>
      </c>
      <c r="J393" s="4">
        <v>-7.75</v>
      </c>
    </row>
    <row r="394" spans="1:10" x14ac:dyDescent="0.3">
      <c r="A394" s="3">
        <v>2033716</v>
      </c>
      <c r="B394">
        <v>71400</v>
      </c>
      <c r="C394">
        <v>4</v>
      </c>
      <c r="D394" s="9">
        <v>101</v>
      </c>
      <c r="E394">
        <v>1002</v>
      </c>
      <c r="F394" s="1">
        <v>44009</v>
      </c>
      <c r="G394" t="s">
        <v>172</v>
      </c>
      <c r="H394" s="4">
        <v>8</v>
      </c>
      <c r="I394" s="4" t="s">
        <v>16</v>
      </c>
      <c r="J394" s="4">
        <v>8</v>
      </c>
    </row>
    <row r="395" spans="1:10" x14ac:dyDescent="0.3">
      <c r="A395" s="3">
        <v>2033716</v>
      </c>
      <c r="B395">
        <v>11845</v>
      </c>
      <c r="C395">
        <v>4</v>
      </c>
      <c r="D395" s="9">
        <v>101</v>
      </c>
      <c r="E395">
        <v>1002</v>
      </c>
      <c r="F395" s="1">
        <v>44009</v>
      </c>
      <c r="G395" t="s">
        <v>172</v>
      </c>
      <c r="H395" s="4" t="s">
        <v>16</v>
      </c>
      <c r="I395" s="4">
        <v>-8</v>
      </c>
      <c r="J395" s="4">
        <v>-8</v>
      </c>
    </row>
    <row r="396" spans="1:10" x14ac:dyDescent="0.3">
      <c r="A396" s="3">
        <v>2033717</v>
      </c>
      <c r="B396">
        <v>71400</v>
      </c>
      <c r="C396">
        <v>4</v>
      </c>
      <c r="D396" s="9">
        <v>101</v>
      </c>
      <c r="E396">
        <v>1002</v>
      </c>
      <c r="F396" s="1">
        <v>44009</v>
      </c>
      <c r="G396" t="s">
        <v>185</v>
      </c>
      <c r="H396" s="4">
        <v>10.35</v>
      </c>
      <c r="I396" s="4" t="s">
        <v>16</v>
      </c>
      <c r="J396" s="4">
        <v>10.35</v>
      </c>
    </row>
    <row r="397" spans="1:10" x14ac:dyDescent="0.3">
      <c r="A397" s="3">
        <v>2033717</v>
      </c>
      <c r="B397">
        <v>11845</v>
      </c>
      <c r="C397">
        <v>4</v>
      </c>
      <c r="D397" s="9">
        <v>101</v>
      </c>
      <c r="E397">
        <v>1002</v>
      </c>
      <c r="F397" s="1">
        <v>44009</v>
      </c>
      <c r="G397" t="s">
        <v>185</v>
      </c>
      <c r="H397" s="4" t="s">
        <v>16</v>
      </c>
      <c r="I397" s="4">
        <v>-10.35</v>
      </c>
      <c r="J397" s="4">
        <v>-10.35</v>
      </c>
    </row>
    <row r="398" spans="1:10" x14ac:dyDescent="0.3">
      <c r="A398" s="3">
        <v>2033718</v>
      </c>
      <c r="B398">
        <v>71400</v>
      </c>
      <c r="C398">
        <v>2</v>
      </c>
      <c r="D398" s="9">
        <v>101</v>
      </c>
      <c r="E398">
        <v>1002</v>
      </c>
      <c r="F398" s="1">
        <v>44009</v>
      </c>
      <c r="G398" t="s">
        <v>185</v>
      </c>
      <c r="H398" s="4">
        <v>25.35</v>
      </c>
      <c r="I398" s="4" t="s">
        <v>16</v>
      </c>
      <c r="J398" s="4">
        <v>25.35</v>
      </c>
    </row>
    <row r="399" spans="1:10" x14ac:dyDescent="0.3">
      <c r="A399" s="3">
        <v>2033718</v>
      </c>
      <c r="B399">
        <v>11845</v>
      </c>
      <c r="C399">
        <v>2</v>
      </c>
      <c r="D399" s="9">
        <v>101</v>
      </c>
      <c r="E399">
        <v>1002</v>
      </c>
      <c r="F399" s="1">
        <v>44009</v>
      </c>
      <c r="G399" t="s">
        <v>185</v>
      </c>
      <c r="H399" s="4" t="s">
        <v>16</v>
      </c>
      <c r="I399" s="4">
        <v>-25.35</v>
      </c>
      <c r="J399" s="4">
        <v>-25.35</v>
      </c>
    </row>
    <row r="400" spans="1:10" x14ac:dyDescent="0.3">
      <c r="A400" s="3">
        <v>2033719</v>
      </c>
      <c r="B400">
        <v>11845</v>
      </c>
      <c r="C400">
        <v>3</v>
      </c>
      <c r="D400" s="9">
        <v>102</v>
      </c>
      <c r="E400">
        <v>1003</v>
      </c>
      <c r="F400" s="1">
        <v>44009</v>
      </c>
      <c r="G400" t="s">
        <v>15</v>
      </c>
      <c r="H400" s="4">
        <v>44.43</v>
      </c>
      <c r="I400" s="4" t="s">
        <v>16</v>
      </c>
      <c r="J400" s="4">
        <v>44.43</v>
      </c>
    </row>
    <row r="401" spans="1:10" x14ac:dyDescent="0.3">
      <c r="A401" s="3">
        <v>2033719</v>
      </c>
      <c r="B401">
        <v>43440</v>
      </c>
      <c r="C401">
        <v>3</v>
      </c>
      <c r="D401" s="9">
        <v>102</v>
      </c>
      <c r="E401">
        <v>1003</v>
      </c>
      <c r="F401" s="1">
        <v>44009</v>
      </c>
      <c r="G401" t="s">
        <v>15</v>
      </c>
      <c r="H401" s="4" t="s">
        <v>16</v>
      </c>
      <c r="I401" s="4">
        <v>-44.43</v>
      </c>
      <c r="J401" s="4">
        <v>-44.43</v>
      </c>
    </row>
    <row r="402" spans="1:10" x14ac:dyDescent="0.3">
      <c r="A402" s="3">
        <v>2033720</v>
      </c>
      <c r="B402">
        <v>11845</v>
      </c>
      <c r="C402">
        <v>1</v>
      </c>
      <c r="D402" s="9">
        <v>106</v>
      </c>
      <c r="E402">
        <v>1003</v>
      </c>
      <c r="F402" s="1">
        <v>44009</v>
      </c>
      <c r="G402" t="s">
        <v>80</v>
      </c>
      <c r="H402" s="4">
        <v>50</v>
      </c>
      <c r="I402" s="4" t="s">
        <v>16</v>
      </c>
      <c r="J402" s="4">
        <v>50</v>
      </c>
    </row>
    <row r="403" spans="1:10" x14ac:dyDescent="0.3">
      <c r="A403" s="3">
        <v>2033720</v>
      </c>
      <c r="B403">
        <v>43440</v>
      </c>
      <c r="C403">
        <v>1</v>
      </c>
      <c r="D403" s="9">
        <v>106</v>
      </c>
      <c r="E403">
        <v>1003</v>
      </c>
      <c r="F403" s="1">
        <v>44009</v>
      </c>
      <c r="G403" t="s">
        <v>80</v>
      </c>
      <c r="H403" s="4" t="s">
        <v>16</v>
      </c>
      <c r="I403" s="4">
        <v>-50</v>
      </c>
      <c r="J403" s="4">
        <v>-50</v>
      </c>
    </row>
    <row r="404" spans="1:10" x14ac:dyDescent="0.3">
      <c r="A404" s="3">
        <v>2033721</v>
      </c>
      <c r="B404">
        <v>71420</v>
      </c>
      <c r="C404">
        <v>2</v>
      </c>
      <c r="D404" s="9">
        <v>101</v>
      </c>
      <c r="E404">
        <v>1002</v>
      </c>
      <c r="F404" s="1">
        <v>44009</v>
      </c>
      <c r="G404" t="s">
        <v>171</v>
      </c>
      <c r="H404" s="4">
        <v>54.61</v>
      </c>
      <c r="I404" s="4" t="s">
        <v>16</v>
      </c>
      <c r="J404" s="4">
        <v>54.61</v>
      </c>
    </row>
    <row r="405" spans="1:10" x14ac:dyDescent="0.3">
      <c r="A405" s="3">
        <v>2033721</v>
      </c>
      <c r="B405">
        <v>11845</v>
      </c>
      <c r="C405">
        <v>2</v>
      </c>
      <c r="D405" s="9">
        <v>101</v>
      </c>
      <c r="E405">
        <v>1002</v>
      </c>
      <c r="F405" s="1">
        <v>44009</v>
      </c>
      <c r="G405" t="s">
        <v>171</v>
      </c>
      <c r="H405" s="4" t="s">
        <v>16</v>
      </c>
      <c r="I405" s="4">
        <v>-54.61</v>
      </c>
      <c r="J405" s="4">
        <v>-54.61</v>
      </c>
    </row>
    <row r="406" spans="1:10" x14ac:dyDescent="0.3">
      <c r="A406" s="3">
        <v>2033722</v>
      </c>
      <c r="B406">
        <v>74220</v>
      </c>
      <c r="C406">
        <v>1</v>
      </c>
      <c r="D406" s="9">
        <v>101</v>
      </c>
      <c r="E406">
        <v>1002</v>
      </c>
      <c r="F406" s="1">
        <v>44009</v>
      </c>
      <c r="G406" t="s">
        <v>172</v>
      </c>
      <c r="H406" s="4">
        <v>55</v>
      </c>
      <c r="I406" s="4" t="s">
        <v>16</v>
      </c>
      <c r="J406" s="4">
        <v>55</v>
      </c>
    </row>
    <row r="407" spans="1:10" x14ac:dyDescent="0.3">
      <c r="A407" s="3">
        <v>2033722</v>
      </c>
      <c r="B407">
        <v>11845</v>
      </c>
      <c r="C407">
        <v>1</v>
      </c>
      <c r="D407" s="9">
        <v>101</v>
      </c>
      <c r="E407">
        <v>1002</v>
      </c>
      <c r="F407" s="1">
        <v>44009</v>
      </c>
      <c r="G407" t="s">
        <v>172</v>
      </c>
      <c r="H407" s="4" t="s">
        <v>16</v>
      </c>
      <c r="I407" s="4">
        <v>-55</v>
      </c>
      <c r="J407" s="4">
        <v>-55</v>
      </c>
    </row>
    <row r="408" spans="1:10" x14ac:dyDescent="0.3">
      <c r="A408" s="3">
        <v>2033723</v>
      </c>
      <c r="B408">
        <v>11845</v>
      </c>
      <c r="C408">
        <v>1</v>
      </c>
      <c r="D408" s="9">
        <v>106</v>
      </c>
      <c r="E408">
        <v>1003</v>
      </c>
      <c r="F408" s="1">
        <v>44009</v>
      </c>
      <c r="G408" t="s">
        <v>80</v>
      </c>
      <c r="H408" s="4">
        <v>75</v>
      </c>
      <c r="I408" s="4" t="s">
        <v>16</v>
      </c>
      <c r="J408" s="4">
        <v>75</v>
      </c>
    </row>
    <row r="409" spans="1:10" x14ac:dyDescent="0.3">
      <c r="A409" s="3">
        <v>2033723</v>
      </c>
      <c r="B409">
        <v>43440</v>
      </c>
      <c r="C409">
        <v>1</v>
      </c>
      <c r="D409" s="9">
        <v>106</v>
      </c>
      <c r="E409">
        <v>1003</v>
      </c>
      <c r="F409" s="1">
        <v>44009</v>
      </c>
      <c r="G409" t="s">
        <v>80</v>
      </c>
      <c r="H409" s="4" t="s">
        <v>16</v>
      </c>
      <c r="I409" s="4">
        <v>-75</v>
      </c>
      <c r="J409" s="4">
        <v>-75</v>
      </c>
    </row>
    <row r="410" spans="1:10" x14ac:dyDescent="0.3">
      <c r="A410" s="3">
        <v>2033724</v>
      </c>
      <c r="B410">
        <v>11845</v>
      </c>
      <c r="C410">
        <v>3</v>
      </c>
      <c r="D410" s="9">
        <v>102</v>
      </c>
      <c r="E410">
        <v>1001</v>
      </c>
      <c r="F410" s="1">
        <v>44009</v>
      </c>
      <c r="G410" t="s">
        <v>41</v>
      </c>
      <c r="H410" s="4">
        <v>98.84</v>
      </c>
      <c r="I410" s="4" t="s">
        <v>16</v>
      </c>
      <c r="J410" s="4">
        <v>98.84</v>
      </c>
    </row>
    <row r="411" spans="1:10" x14ac:dyDescent="0.3">
      <c r="A411" s="3">
        <v>2033724</v>
      </c>
      <c r="B411">
        <v>43440</v>
      </c>
      <c r="C411">
        <v>3</v>
      </c>
      <c r="D411" s="9">
        <v>102</v>
      </c>
      <c r="E411">
        <v>1001</v>
      </c>
      <c r="F411" s="1">
        <v>44009</v>
      </c>
      <c r="G411" t="s">
        <v>41</v>
      </c>
      <c r="H411" s="4" t="s">
        <v>16</v>
      </c>
      <c r="I411" s="4">
        <v>-98.84</v>
      </c>
      <c r="J411" s="4">
        <v>-98.84</v>
      </c>
    </row>
    <row r="412" spans="1:10" x14ac:dyDescent="0.3">
      <c r="A412" s="3">
        <v>2033725</v>
      </c>
      <c r="B412">
        <v>11845</v>
      </c>
      <c r="C412">
        <v>2</v>
      </c>
      <c r="D412" s="9">
        <v>106</v>
      </c>
      <c r="E412">
        <v>1003</v>
      </c>
      <c r="F412" s="1">
        <v>44009</v>
      </c>
      <c r="G412" t="s">
        <v>81</v>
      </c>
      <c r="H412" s="4">
        <v>99</v>
      </c>
      <c r="I412" s="4" t="s">
        <v>16</v>
      </c>
      <c r="J412" s="4">
        <v>99</v>
      </c>
    </row>
    <row r="413" spans="1:10" x14ac:dyDescent="0.3">
      <c r="A413" s="3">
        <v>2033725</v>
      </c>
      <c r="B413">
        <v>43180</v>
      </c>
      <c r="C413">
        <v>2</v>
      </c>
      <c r="D413" s="9">
        <v>106</v>
      </c>
      <c r="E413">
        <v>1003</v>
      </c>
      <c r="F413" s="1">
        <v>44009</v>
      </c>
      <c r="G413" t="s">
        <v>81</v>
      </c>
      <c r="H413" s="4" t="s">
        <v>16</v>
      </c>
      <c r="I413" s="4">
        <v>-99</v>
      </c>
      <c r="J413" s="4">
        <v>-99</v>
      </c>
    </row>
    <row r="414" spans="1:10" x14ac:dyDescent="0.3">
      <c r="A414" s="3">
        <v>2033726</v>
      </c>
      <c r="B414">
        <v>11845</v>
      </c>
      <c r="C414">
        <v>2</v>
      </c>
      <c r="D414" s="9">
        <v>104</v>
      </c>
      <c r="E414">
        <v>1003</v>
      </c>
      <c r="F414" s="1">
        <v>44009</v>
      </c>
      <c r="G414" t="s">
        <v>234</v>
      </c>
      <c r="H414" s="4">
        <v>99</v>
      </c>
      <c r="I414" s="4" t="s">
        <v>16</v>
      </c>
      <c r="J414" s="4">
        <v>99</v>
      </c>
    </row>
    <row r="415" spans="1:10" x14ac:dyDescent="0.3">
      <c r="A415" s="3">
        <v>2033726</v>
      </c>
      <c r="B415">
        <v>43180</v>
      </c>
      <c r="C415">
        <v>2</v>
      </c>
      <c r="D415" s="9">
        <v>104</v>
      </c>
      <c r="E415">
        <v>1003</v>
      </c>
      <c r="F415" s="1">
        <v>44009</v>
      </c>
      <c r="G415" t="s">
        <v>234</v>
      </c>
      <c r="H415" s="4" t="s">
        <v>16</v>
      </c>
      <c r="I415" s="4">
        <v>-99</v>
      </c>
      <c r="J415" s="4">
        <v>-99</v>
      </c>
    </row>
    <row r="416" spans="1:10" x14ac:dyDescent="0.3">
      <c r="A416" s="3">
        <v>2033727</v>
      </c>
      <c r="B416">
        <v>11845</v>
      </c>
      <c r="C416">
        <v>2</v>
      </c>
      <c r="D416" s="9">
        <v>104</v>
      </c>
      <c r="E416">
        <v>1003</v>
      </c>
      <c r="F416" s="1">
        <v>44009</v>
      </c>
      <c r="G416" t="s">
        <v>235</v>
      </c>
      <c r="H416" s="4">
        <v>99</v>
      </c>
      <c r="I416" s="4" t="s">
        <v>16</v>
      </c>
      <c r="J416" s="4">
        <v>99</v>
      </c>
    </row>
    <row r="417" spans="1:10" x14ac:dyDescent="0.3">
      <c r="A417" s="3">
        <v>2033727</v>
      </c>
      <c r="B417">
        <v>43180</v>
      </c>
      <c r="C417">
        <v>2</v>
      </c>
      <c r="D417" s="9">
        <v>104</v>
      </c>
      <c r="E417">
        <v>1003</v>
      </c>
      <c r="F417" s="1">
        <v>44009</v>
      </c>
      <c r="G417" t="s">
        <v>235</v>
      </c>
      <c r="H417" s="4" t="s">
        <v>16</v>
      </c>
      <c r="I417" s="4">
        <v>-99</v>
      </c>
      <c r="J417" s="4">
        <v>-99</v>
      </c>
    </row>
    <row r="418" spans="1:10" x14ac:dyDescent="0.3">
      <c r="A418" s="3">
        <v>2033728</v>
      </c>
      <c r="B418">
        <v>11845</v>
      </c>
      <c r="C418">
        <v>3</v>
      </c>
      <c r="D418" s="9">
        <v>102</v>
      </c>
      <c r="E418">
        <v>1001</v>
      </c>
      <c r="F418" s="1">
        <v>44009</v>
      </c>
      <c r="G418" t="s">
        <v>41</v>
      </c>
      <c r="H418" s="4">
        <v>112.7</v>
      </c>
      <c r="I418" s="4" t="s">
        <v>16</v>
      </c>
      <c r="J418" s="4">
        <v>112.7</v>
      </c>
    </row>
    <row r="419" spans="1:10" x14ac:dyDescent="0.3">
      <c r="A419" s="3">
        <v>2033728</v>
      </c>
      <c r="B419">
        <v>43440</v>
      </c>
      <c r="C419">
        <v>3</v>
      </c>
      <c r="D419" s="9">
        <v>102</v>
      </c>
      <c r="E419">
        <v>1001</v>
      </c>
      <c r="F419" s="1">
        <v>44009</v>
      </c>
      <c r="G419" t="s">
        <v>41</v>
      </c>
      <c r="H419" s="4" t="s">
        <v>16</v>
      </c>
      <c r="I419" s="4">
        <v>-112.7</v>
      </c>
      <c r="J419" s="4">
        <v>-112.7</v>
      </c>
    </row>
    <row r="420" spans="1:10" x14ac:dyDescent="0.3">
      <c r="A420" s="3">
        <v>2033729</v>
      </c>
      <c r="B420">
        <v>43180</v>
      </c>
      <c r="C420">
        <v>2</v>
      </c>
      <c r="D420" s="9">
        <v>102</v>
      </c>
      <c r="E420">
        <v>1002</v>
      </c>
      <c r="F420" s="1">
        <v>44009</v>
      </c>
      <c r="G420" t="s">
        <v>236</v>
      </c>
      <c r="H420" s="4">
        <v>170</v>
      </c>
      <c r="I420" s="4" t="s">
        <v>16</v>
      </c>
      <c r="J420" s="4">
        <v>170</v>
      </c>
    </row>
    <row r="421" spans="1:10" x14ac:dyDescent="0.3">
      <c r="A421" s="3">
        <v>2033729</v>
      </c>
      <c r="B421">
        <v>11845</v>
      </c>
      <c r="C421">
        <v>2</v>
      </c>
      <c r="D421" s="9">
        <v>102</v>
      </c>
      <c r="E421">
        <v>1002</v>
      </c>
      <c r="F421" s="1">
        <v>44009</v>
      </c>
      <c r="G421" t="s">
        <v>236</v>
      </c>
      <c r="H421" s="4" t="s">
        <v>16</v>
      </c>
      <c r="I421" s="4">
        <v>-170</v>
      </c>
      <c r="J421" s="4">
        <v>-170</v>
      </c>
    </row>
    <row r="422" spans="1:10" x14ac:dyDescent="0.3">
      <c r="A422" s="3">
        <v>2033730</v>
      </c>
      <c r="B422">
        <v>11845</v>
      </c>
      <c r="C422">
        <v>1</v>
      </c>
      <c r="D422" s="9">
        <v>102</v>
      </c>
      <c r="E422">
        <v>1001</v>
      </c>
      <c r="F422" s="1">
        <v>44009</v>
      </c>
      <c r="G422" t="s">
        <v>41</v>
      </c>
      <c r="H422" s="4">
        <v>175.56</v>
      </c>
      <c r="I422" s="4" t="s">
        <v>16</v>
      </c>
      <c r="J422" s="4">
        <v>175.56</v>
      </c>
    </row>
    <row r="423" spans="1:10" x14ac:dyDescent="0.3">
      <c r="A423" s="3">
        <v>2033730</v>
      </c>
      <c r="B423">
        <v>43310</v>
      </c>
      <c r="C423">
        <v>1</v>
      </c>
      <c r="D423" s="9">
        <v>102</v>
      </c>
      <c r="E423">
        <v>1001</v>
      </c>
      <c r="F423" s="1">
        <v>44009</v>
      </c>
      <c r="G423" t="s">
        <v>41</v>
      </c>
      <c r="H423" s="4" t="s">
        <v>16</v>
      </c>
      <c r="I423" s="4">
        <v>-175.56</v>
      </c>
      <c r="J423" s="4">
        <v>-175.56</v>
      </c>
    </row>
    <row r="424" spans="1:10" x14ac:dyDescent="0.3">
      <c r="A424" s="3">
        <v>2033731</v>
      </c>
      <c r="B424">
        <v>14260</v>
      </c>
      <c r="C424">
        <v>1</v>
      </c>
      <c r="D424" s="9">
        <v>102</v>
      </c>
      <c r="E424">
        <v>1002</v>
      </c>
      <c r="F424" s="1">
        <v>44009</v>
      </c>
      <c r="G424" t="s">
        <v>47</v>
      </c>
      <c r="H424" s="4">
        <v>188.71</v>
      </c>
      <c r="I424" s="4" t="s">
        <v>16</v>
      </c>
      <c r="J424" s="4">
        <v>188.71</v>
      </c>
    </row>
    <row r="425" spans="1:10" x14ac:dyDescent="0.3">
      <c r="A425" s="3">
        <v>2033731</v>
      </c>
      <c r="B425">
        <v>11845</v>
      </c>
      <c r="C425">
        <v>1</v>
      </c>
      <c r="D425" s="9">
        <v>102</v>
      </c>
      <c r="E425">
        <v>1002</v>
      </c>
      <c r="F425" s="1">
        <v>44009</v>
      </c>
      <c r="G425" t="s">
        <v>47</v>
      </c>
      <c r="H425" s="4" t="s">
        <v>16</v>
      </c>
      <c r="I425" s="4">
        <v>-188.71</v>
      </c>
      <c r="J425" s="4">
        <v>-188.71</v>
      </c>
    </row>
    <row r="426" spans="1:10" x14ac:dyDescent="0.3">
      <c r="A426" s="3">
        <v>2033732</v>
      </c>
      <c r="B426">
        <v>71400</v>
      </c>
      <c r="C426">
        <v>1</v>
      </c>
      <c r="D426" s="9">
        <v>101</v>
      </c>
      <c r="E426">
        <v>1002</v>
      </c>
      <c r="F426" s="1">
        <v>44009</v>
      </c>
      <c r="G426" t="s">
        <v>172</v>
      </c>
      <c r="H426" s="4">
        <v>190</v>
      </c>
      <c r="I426" s="4" t="s">
        <v>16</v>
      </c>
      <c r="J426" s="4">
        <v>190</v>
      </c>
    </row>
    <row r="427" spans="1:10" x14ac:dyDescent="0.3">
      <c r="A427" s="3">
        <v>2033732</v>
      </c>
      <c r="B427">
        <v>11845</v>
      </c>
      <c r="C427">
        <v>1</v>
      </c>
      <c r="D427" s="9">
        <v>101</v>
      </c>
      <c r="E427">
        <v>1002</v>
      </c>
      <c r="F427" s="1">
        <v>44009</v>
      </c>
      <c r="G427" t="s">
        <v>172</v>
      </c>
      <c r="H427" s="4" t="s">
        <v>16</v>
      </c>
      <c r="I427" s="4">
        <v>-190</v>
      </c>
      <c r="J427" s="4">
        <v>-190</v>
      </c>
    </row>
    <row r="428" spans="1:10" x14ac:dyDescent="0.3">
      <c r="A428" s="3">
        <v>2033733</v>
      </c>
      <c r="B428">
        <v>11845</v>
      </c>
      <c r="C428">
        <v>2</v>
      </c>
      <c r="D428" s="9">
        <v>104</v>
      </c>
      <c r="E428">
        <v>1003</v>
      </c>
      <c r="F428" s="1">
        <v>44009</v>
      </c>
      <c r="G428" t="s">
        <v>237</v>
      </c>
      <c r="H428" s="4">
        <v>198</v>
      </c>
      <c r="I428" s="4" t="s">
        <v>16</v>
      </c>
      <c r="J428" s="4">
        <v>198</v>
      </c>
    </row>
    <row r="429" spans="1:10" x14ac:dyDescent="0.3">
      <c r="A429" s="3">
        <v>2033733</v>
      </c>
      <c r="B429">
        <v>43180</v>
      </c>
      <c r="C429">
        <v>2</v>
      </c>
      <c r="D429" s="9">
        <v>104</v>
      </c>
      <c r="E429">
        <v>1003</v>
      </c>
      <c r="F429" s="1">
        <v>44009</v>
      </c>
      <c r="G429" t="s">
        <v>237</v>
      </c>
      <c r="H429" s="4" t="s">
        <v>16</v>
      </c>
      <c r="I429" s="4">
        <v>-198</v>
      </c>
      <c r="J429" s="4">
        <v>-198</v>
      </c>
    </row>
    <row r="430" spans="1:10" x14ac:dyDescent="0.3">
      <c r="A430" s="3">
        <v>2033734</v>
      </c>
      <c r="B430">
        <v>74200</v>
      </c>
      <c r="C430">
        <v>2</v>
      </c>
      <c r="D430" s="9">
        <v>101</v>
      </c>
      <c r="E430">
        <v>1002</v>
      </c>
      <c r="F430" s="1">
        <v>44009</v>
      </c>
      <c r="G430" t="s">
        <v>172</v>
      </c>
      <c r="H430" s="4">
        <v>216</v>
      </c>
      <c r="I430" s="4" t="s">
        <v>16</v>
      </c>
      <c r="J430" s="4">
        <v>216</v>
      </c>
    </row>
    <row r="431" spans="1:10" x14ac:dyDescent="0.3">
      <c r="A431" s="3">
        <v>2033734</v>
      </c>
      <c r="B431">
        <v>11845</v>
      </c>
      <c r="C431">
        <v>2</v>
      </c>
      <c r="D431" s="9">
        <v>101</v>
      </c>
      <c r="E431">
        <v>1002</v>
      </c>
      <c r="F431" s="1">
        <v>44009</v>
      </c>
      <c r="G431" t="s">
        <v>172</v>
      </c>
      <c r="H431" s="4" t="s">
        <v>16</v>
      </c>
      <c r="I431" s="4">
        <v>-216</v>
      </c>
      <c r="J431" s="4">
        <v>-216</v>
      </c>
    </row>
    <row r="432" spans="1:10" x14ac:dyDescent="0.3">
      <c r="A432" s="3">
        <v>2033735</v>
      </c>
      <c r="B432">
        <v>14250</v>
      </c>
      <c r="C432">
        <v>3</v>
      </c>
      <c r="D432" s="9">
        <v>102</v>
      </c>
      <c r="E432">
        <v>1002</v>
      </c>
      <c r="F432" s="1">
        <v>44009</v>
      </c>
      <c r="G432" t="s">
        <v>47</v>
      </c>
      <c r="H432" s="4">
        <v>226.49</v>
      </c>
      <c r="I432" s="4" t="s">
        <v>16</v>
      </c>
      <c r="J432" s="4">
        <v>226.49</v>
      </c>
    </row>
    <row r="433" spans="1:10" x14ac:dyDescent="0.3">
      <c r="A433" s="3">
        <v>2033735</v>
      </c>
      <c r="B433">
        <v>11845</v>
      </c>
      <c r="C433">
        <v>3</v>
      </c>
      <c r="D433" s="9">
        <v>102</v>
      </c>
      <c r="E433">
        <v>1002</v>
      </c>
      <c r="F433" s="1">
        <v>44009</v>
      </c>
      <c r="G433" t="s">
        <v>47</v>
      </c>
      <c r="H433" s="4" t="s">
        <v>16</v>
      </c>
      <c r="I433" s="4">
        <v>-226.49</v>
      </c>
      <c r="J433" s="4">
        <v>-226.49</v>
      </c>
    </row>
    <row r="434" spans="1:10" x14ac:dyDescent="0.3">
      <c r="A434" s="3">
        <v>2033736</v>
      </c>
      <c r="B434">
        <v>11845</v>
      </c>
      <c r="C434">
        <v>2</v>
      </c>
      <c r="D434" s="9">
        <v>104</v>
      </c>
      <c r="E434">
        <v>1003</v>
      </c>
      <c r="F434" s="1">
        <v>44009</v>
      </c>
      <c r="G434" t="s">
        <v>41</v>
      </c>
      <c r="H434" s="4">
        <v>263</v>
      </c>
      <c r="I434" s="4" t="s">
        <v>16</v>
      </c>
      <c r="J434" s="4">
        <v>263</v>
      </c>
    </row>
    <row r="435" spans="1:10" x14ac:dyDescent="0.3">
      <c r="A435" s="3">
        <v>2033736</v>
      </c>
      <c r="B435">
        <v>43180</v>
      </c>
      <c r="C435">
        <v>2</v>
      </c>
      <c r="D435" s="9">
        <v>104</v>
      </c>
      <c r="E435">
        <v>1003</v>
      </c>
      <c r="F435" s="1">
        <v>44009</v>
      </c>
      <c r="G435" t="s">
        <v>41</v>
      </c>
      <c r="H435" s="4" t="s">
        <v>16</v>
      </c>
      <c r="I435" s="4">
        <v>-263</v>
      </c>
      <c r="J435" s="4">
        <v>-263</v>
      </c>
    </row>
    <row r="436" spans="1:10" x14ac:dyDescent="0.3">
      <c r="A436" s="3">
        <v>2033737</v>
      </c>
      <c r="B436">
        <v>14260</v>
      </c>
      <c r="C436">
        <v>1</v>
      </c>
      <c r="D436" s="9">
        <v>102</v>
      </c>
      <c r="E436">
        <v>1002</v>
      </c>
      <c r="F436" s="1">
        <v>44009</v>
      </c>
      <c r="G436" t="s">
        <v>210</v>
      </c>
      <c r="H436" s="4">
        <v>266.98</v>
      </c>
      <c r="I436" s="4" t="s">
        <v>16</v>
      </c>
      <c r="J436" s="4">
        <v>266.98</v>
      </c>
    </row>
    <row r="437" spans="1:10" x14ac:dyDescent="0.3">
      <c r="A437" s="3">
        <v>2033737</v>
      </c>
      <c r="B437">
        <v>11845</v>
      </c>
      <c r="C437">
        <v>1</v>
      </c>
      <c r="D437" s="9">
        <v>102</v>
      </c>
      <c r="E437">
        <v>1002</v>
      </c>
      <c r="F437" s="1">
        <v>44009</v>
      </c>
      <c r="G437" t="s">
        <v>210</v>
      </c>
      <c r="H437" s="4" t="s">
        <v>16</v>
      </c>
      <c r="I437" s="4">
        <v>-266.98</v>
      </c>
      <c r="J437" s="4">
        <v>-266.98</v>
      </c>
    </row>
    <row r="438" spans="1:10" x14ac:dyDescent="0.3">
      <c r="A438" s="3">
        <v>2033738</v>
      </c>
      <c r="B438">
        <v>14260</v>
      </c>
      <c r="C438">
        <v>1</v>
      </c>
      <c r="D438" s="9">
        <v>102</v>
      </c>
      <c r="E438">
        <v>1002</v>
      </c>
      <c r="F438" s="1">
        <v>44009</v>
      </c>
      <c r="G438" t="s">
        <v>214</v>
      </c>
      <c r="H438" s="4">
        <v>267.12</v>
      </c>
      <c r="I438" s="4" t="s">
        <v>16</v>
      </c>
      <c r="J438" s="4">
        <v>267.12</v>
      </c>
    </row>
    <row r="439" spans="1:10" x14ac:dyDescent="0.3">
      <c r="A439" s="3">
        <v>2033738</v>
      </c>
      <c r="B439">
        <v>11845</v>
      </c>
      <c r="C439">
        <v>1</v>
      </c>
      <c r="D439" s="9">
        <v>102</v>
      </c>
      <c r="E439">
        <v>1002</v>
      </c>
      <c r="F439" s="1">
        <v>44009</v>
      </c>
      <c r="G439" t="s">
        <v>214</v>
      </c>
      <c r="H439" s="4" t="s">
        <v>16</v>
      </c>
      <c r="I439" s="4">
        <v>-267.12</v>
      </c>
      <c r="J439" s="4">
        <v>-267.12</v>
      </c>
    </row>
    <row r="440" spans="1:10" x14ac:dyDescent="0.3">
      <c r="A440" s="3">
        <v>2033739</v>
      </c>
      <c r="B440">
        <v>43180</v>
      </c>
      <c r="C440">
        <v>2</v>
      </c>
      <c r="D440" s="9">
        <v>102</v>
      </c>
      <c r="E440">
        <v>1002</v>
      </c>
      <c r="F440" s="1">
        <v>44009</v>
      </c>
      <c r="G440" t="s">
        <v>211</v>
      </c>
      <c r="H440" s="4">
        <v>357</v>
      </c>
      <c r="I440" s="4" t="s">
        <v>16</v>
      </c>
      <c r="J440" s="4">
        <v>357</v>
      </c>
    </row>
    <row r="441" spans="1:10" x14ac:dyDescent="0.3">
      <c r="A441" s="3">
        <v>2033739</v>
      </c>
      <c r="B441">
        <v>11845</v>
      </c>
      <c r="C441">
        <v>2</v>
      </c>
      <c r="D441" s="9">
        <v>102</v>
      </c>
      <c r="E441">
        <v>1002</v>
      </c>
      <c r="F441" s="1">
        <v>44009</v>
      </c>
      <c r="G441" t="s">
        <v>211</v>
      </c>
      <c r="H441" s="4" t="s">
        <v>16</v>
      </c>
      <c r="I441" s="4">
        <v>-357</v>
      </c>
      <c r="J441" s="4">
        <v>-357</v>
      </c>
    </row>
    <row r="442" spans="1:10" x14ac:dyDescent="0.3">
      <c r="A442" s="3">
        <v>2033740</v>
      </c>
      <c r="B442">
        <v>11845</v>
      </c>
      <c r="C442">
        <v>1</v>
      </c>
      <c r="D442" s="9">
        <v>106</v>
      </c>
      <c r="E442">
        <v>1003</v>
      </c>
      <c r="F442" s="1">
        <v>44009</v>
      </c>
      <c r="G442" t="s">
        <v>80</v>
      </c>
      <c r="H442" s="4">
        <v>362.96</v>
      </c>
      <c r="I442" s="4" t="s">
        <v>16</v>
      </c>
      <c r="J442" s="4">
        <v>362.96</v>
      </c>
    </row>
    <row r="443" spans="1:10" x14ac:dyDescent="0.3">
      <c r="A443" s="3">
        <v>2033740</v>
      </c>
      <c r="B443">
        <v>43310</v>
      </c>
      <c r="C443">
        <v>1</v>
      </c>
      <c r="D443" s="9">
        <v>106</v>
      </c>
      <c r="E443">
        <v>1003</v>
      </c>
      <c r="F443" s="1">
        <v>44009</v>
      </c>
      <c r="G443" t="s">
        <v>80</v>
      </c>
      <c r="H443" s="4" t="s">
        <v>16</v>
      </c>
      <c r="I443" s="4">
        <v>-362.96</v>
      </c>
      <c r="J443" s="4">
        <v>-362.96</v>
      </c>
    </row>
    <row r="444" spans="1:10" x14ac:dyDescent="0.3">
      <c r="A444" s="3">
        <v>2033741</v>
      </c>
      <c r="B444">
        <v>14260</v>
      </c>
      <c r="C444">
        <v>1</v>
      </c>
      <c r="D444" s="9">
        <v>102</v>
      </c>
      <c r="E444">
        <v>1002</v>
      </c>
      <c r="F444" s="1">
        <v>44009</v>
      </c>
      <c r="G444" t="s">
        <v>214</v>
      </c>
      <c r="H444" s="4">
        <v>374.4</v>
      </c>
      <c r="I444" s="4" t="s">
        <v>16</v>
      </c>
      <c r="J444" s="4">
        <v>374.4</v>
      </c>
    </row>
    <row r="445" spans="1:10" x14ac:dyDescent="0.3">
      <c r="A445" s="3">
        <v>2033741</v>
      </c>
      <c r="B445">
        <v>11845</v>
      </c>
      <c r="C445">
        <v>1</v>
      </c>
      <c r="D445" s="9">
        <v>102</v>
      </c>
      <c r="E445">
        <v>1002</v>
      </c>
      <c r="F445" s="1">
        <v>44009</v>
      </c>
      <c r="G445" t="s">
        <v>214</v>
      </c>
      <c r="H445" s="4" t="s">
        <v>16</v>
      </c>
      <c r="I445" s="4">
        <v>-374.4</v>
      </c>
      <c r="J445" s="4">
        <v>-374.4</v>
      </c>
    </row>
    <row r="446" spans="1:10" x14ac:dyDescent="0.3">
      <c r="A446" s="3">
        <v>2033742</v>
      </c>
      <c r="B446">
        <v>11845</v>
      </c>
      <c r="C446">
        <v>2</v>
      </c>
      <c r="D446" s="9">
        <v>104</v>
      </c>
      <c r="E446">
        <v>1003</v>
      </c>
      <c r="F446" s="1">
        <v>44009</v>
      </c>
      <c r="G446" t="s">
        <v>41</v>
      </c>
      <c r="H446" s="4">
        <v>396</v>
      </c>
      <c r="I446" s="4" t="s">
        <v>16</v>
      </c>
      <c r="J446" s="4">
        <v>396</v>
      </c>
    </row>
    <row r="447" spans="1:10" x14ac:dyDescent="0.3">
      <c r="A447" s="3">
        <v>2033742</v>
      </c>
      <c r="B447">
        <v>43180</v>
      </c>
      <c r="C447">
        <v>2</v>
      </c>
      <c r="D447" s="9">
        <v>104</v>
      </c>
      <c r="E447">
        <v>1003</v>
      </c>
      <c r="F447" s="1">
        <v>44009</v>
      </c>
      <c r="G447" t="s">
        <v>41</v>
      </c>
      <c r="H447" s="4" t="s">
        <v>16</v>
      </c>
      <c r="I447" s="4">
        <v>-396</v>
      </c>
      <c r="J447" s="4">
        <v>-396</v>
      </c>
    </row>
    <row r="448" spans="1:10" x14ac:dyDescent="0.3">
      <c r="A448" s="3">
        <v>2033743</v>
      </c>
      <c r="B448">
        <v>14260</v>
      </c>
      <c r="C448">
        <v>1</v>
      </c>
      <c r="D448" s="9">
        <v>102</v>
      </c>
      <c r="E448">
        <v>1002</v>
      </c>
      <c r="F448" s="1">
        <v>44009</v>
      </c>
      <c r="G448" t="s">
        <v>47</v>
      </c>
      <c r="H448" s="4">
        <v>396.12</v>
      </c>
      <c r="I448" s="4" t="s">
        <v>16</v>
      </c>
      <c r="J448" s="4">
        <v>396.12</v>
      </c>
    </row>
    <row r="449" spans="1:10" x14ac:dyDescent="0.3">
      <c r="A449" s="3">
        <v>2033743</v>
      </c>
      <c r="B449">
        <v>11845</v>
      </c>
      <c r="C449">
        <v>1</v>
      </c>
      <c r="D449" s="9">
        <v>102</v>
      </c>
      <c r="E449">
        <v>1002</v>
      </c>
      <c r="F449" s="1">
        <v>44009</v>
      </c>
      <c r="G449" t="s">
        <v>47</v>
      </c>
      <c r="H449" s="4" t="s">
        <v>16</v>
      </c>
      <c r="I449" s="4">
        <v>-396.12</v>
      </c>
      <c r="J449" s="4">
        <v>-396.12</v>
      </c>
    </row>
    <row r="450" spans="1:10" x14ac:dyDescent="0.3">
      <c r="A450" s="3">
        <v>2033744</v>
      </c>
      <c r="B450">
        <v>14260</v>
      </c>
      <c r="C450">
        <v>1</v>
      </c>
      <c r="D450" s="9">
        <v>102</v>
      </c>
      <c r="E450">
        <v>1002</v>
      </c>
      <c r="F450" s="1">
        <v>44009</v>
      </c>
      <c r="G450" t="s">
        <v>43</v>
      </c>
      <c r="H450" s="4">
        <v>497.59</v>
      </c>
      <c r="I450" s="4" t="s">
        <v>16</v>
      </c>
      <c r="J450" s="4">
        <v>497.59</v>
      </c>
    </row>
    <row r="451" spans="1:10" x14ac:dyDescent="0.3">
      <c r="A451" s="3">
        <v>2033744</v>
      </c>
      <c r="B451">
        <v>11845</v>
      </c>
      <c r="C451">
        <v>1</v>
      </c>
      <c r="D451" s="9">
        <v>102</v>
      </c>
      <c r="E451">
        <v>1002</v>
      </c>
      <c r="F451" s="1">
        <v>44009</v>
      </c>
      <c r="G451" t="s">
        <v>43</v>
      </c>
      <c r="H451" s="4" t="s">
        <v>16</v>
      </c>
      <c r="I451" s="4">
        <v>-497.59</v>
      </c>
      <c r="J451" s="4">
        <v>-497.59</v>
      </c>
    </row>
    <row r="452" spans="1:10" x14ac:dyDescent="0.3">
      <c r="A452" s="3">
        <v>2033745</v>
      </c>
      <c r="B452">
        <v>14260</v>
      </c>
      <c r="C452">
        <v>1</v>
      </c>
      <c r="D452" s="9">
        <v>102</v>
      </c>
      <c r="E452">
        <v>1002</v>
      </c>
      <c r="F452" s="1">
        <v>44009</v>
      </c>
      <c r="G452" t="s">
        <v>39</v>
      </c>
      <c r="H452" s="4">
        <v>539.96</v>
      </c>
      <c r="I452" s="4" t="s">
        <v>16</v>
      </c>
      <c r="J452" s="4">
        <v>539.96</v>
      </c>
    </row>
    <row r="453" spans="1:10" x14ac:dyDescent="0.3">
      <c r="A453" s="3">
        <v>2033745</v>
      </c>
      <c r="B453">
        <v>11845</v>
      </c>
      <c r="C453">
        <v>1</v>
      </c>
      <c r="D453" s="9">
        <v>102</v>
      </c>
      <c r="E453">
        <v>1002</v>
      </c>
      <c r="F453" s="1">
        <v>44009</v>
      </c>
      <c r="G453" t="s">
        <v>39</v>
      </c>
      <c r="H453" s="4" t="s">
        <v>16</v>
      </c>
      <c r="I453" s="4">
        <v>-539.96</v>
      </c>
      <c r="J453" s="4">
        <v>-539.96</v>
      </c>
    </row>
    <row r="454" spans="1:10" x14ac:dyDescent="0.3">
      <c r="A454" s="3">
        <v>2033746</v>
      </c>
      <c r="B454">
        <v>72712</v>
      </c>
      <c r="C454">
        <v>2</v>
      </c>
      <c r="D454" s="9">
        <v>101</v>
      </c>
      <c r="E454">
        <v>1002</v>
      </c>
      <c r="F454" s="1">
        <v>44009</v>
      </c>
      <c r="G454" t="s">
        <v>238</v>
      </c>
      <c r="H454" s="4">
        <v>553.27</v>
      </c>
      <c r="I454" s="4" t="s">
        <v>16</v>
      </c>
      <c r="J454" s="4">
        <v>553.27</v>
      </c>
    </row>
    <row r="455" spans="1:10" x14ac:dyDescent="0.3">
      <c r="A455" s="3">
        <v>2033746</v>
      </c>
      <c r="B455">
        <v>11845</v>
      </c>
      <c r="C455">
        <v>2</v>
      </c>
      <c r="D455" s="9">
        <v>101</v>
      </c>
      <c r="E455">
        <v>1002</v>
      </c>
      <c r="F455" s="1">
        <v>44009</v>
      </c>
      <c r="G455" t="s">
        <v>238</v>
      </c>
      <c r="H455" s="4" t="s">
        <v>16</v>
      </c>
      <c r="I455" s="4">
        <v>-553.27</v>
      </c>
      <c r="J455" s="4">
        <v>-553.27</v>
      </c>
    </row>
    <row r="456" spans="1:10" x14ac:dyDescent="0.3">
      <c r="A456" s="3">
        <v>2033747</v>
      </c>
      <c r="B456">
        <v>71400</v>
      </c>
      <c r="C456">
        <v>2</v>
      </c>
      <c r="D456" s="9">
        <v>101</v>
      </c>
      <c r="E456">
        <v>1002</v>
      </c>
      <c r="F456" s="1">
        <v>44009</v>
      </c>
      <c r="G456" t="s">
        <v>172</v>
      </c>
      <c r="H456" s="4">
        <v>566.99</v>
      </c>
      <c r="I456" s="4" t="s">
        <v>16</v>
      </c>
      <c r="J456" s="4">
        <v>566.99</v>
      </c>
    </row>
    <row r="457" spans="1:10" x14ac:dyDescent="0.3">
      <c r="A457" s="3">
        <v>2033747</v>
      </c>
      <c r="B457">
        <v>11845</v>
      </c>
      <c r="C457">
        <v>2</v>
      </c>
      <c r="D457" s="9">
        <v>101</v>
      </c>
      <c r="E457">
        <v>1002</v>
      </c>
      <c r="F457" s="1">
        <v>44009</v>
      </c>
      <c r="G457" t="s">
        <v>172</v>
      </c>
      <c r="H457" s="4" t="s">
        <v>16</v>
      </c>
      <c r="I457" s="4">
        <v>-566.99</v>
      </c>
      <c r="J457" s="4">
        <v>-566.99</v>
      </c>
    </row>
    <row r="458" spans="1:10" x14ac:dyDescent="0.3">
      <c r="A458" s="3">
        <v>2033748</v>
      </c>
      <c r="B458">
        <v>14260</v>
      </c>
      <c r="C458">
        <v>1</v>
      </c>
      <c r="D458" s="9">
        <v>102</v>
      </c>
      <c r="E458">
        <v>1002</v>
      </c>
      <c r="F458" s="1">
        <v>44009</v>
      </c>
      <c r="G458" t="s">
        <v>39</v>
      </c>
      <c r="H458" s="4">
        <v>584.45000000000005</v>
      </c>
      <c r="I458" s="4" t="s">
        <v>16</v>
      </c>
      <c r="J458" s="4">
        <v>584.45000000000005</v>
      </c>
    </row>
    <row r="459" spans="1:10" x14ac:dyDescent="0.3">
      <c r="A459" s="3">
        <v>2033748</v>
      </c>
      <c r="B459">
        <v>11845</v>
      </c>
      <c r="C459">
        <v>1</v>
      </c>
      <c r="D459" s="9">
        <v>102</v>
      </c>
      <c r="E459">
        <v>1002</v>
      </c>
      <c r="F459" s="1">
        <v>44009</v>
      </c>
      <c r="G459" t="s">
        <v>39</v>
      </c>
      <c r="H459" s="4" t="s">
        <v>16</v>
      </c>
      <c r="I459" s="4">
        <v>-584.45000000000005</v>
      </c>
      <c r="J459" s="4">
        <v>-584.45000000000005</v>
      </c>
    </row>
    <row r="460" spans="1:10" x14ac:dyDescent="0.3">
      <c r="A460" s="3">
        <v>2033749</v>
      </c>
      <c r="B460">
        <v>14260</v>
      </c>
      <c r="C460">
        <v>1</v>
      </c>
      <c r="D460" s="9">
        <v>102</v>
      </c>
      <c r="E460">
        <v>1002</v>
      </c>
      <c r="F460" s="1">
        <v>44009</v>
      </c>
      <c r="G460" t="s">
        <v>126</v>
      </c>
      <c r="H460" s="4">
        <v>699.11</v>
      </c>
      <c r="I460" s="4" t="s">
        <v>16</v>
      </c>
      <c r="J460" s="4">
        <v>699.11</v>
      </c>
    </row>
    <row r="461" spans="1:10" x14ac:dyDescent="0.3">
      <c r="A461" s="3">
        <v>2033749</v>
      </c>
      <c r="B461">
        <v>11845</v>
      </c>
      <c r="C461">
        <v>1</v>
      </c>
      <c r="D461" s="9">
        <v>102</v>
      </c>
      <c r="E461">
        <v>1002</v>
      </c>
      <c r="F461" s="1">
        <v>44009</v>
      </c>
      <c r="G461" t="s">
        <v>126</v>
      </c>
      <c r="H461" s="4" t="s">
        <v>16</v>
      </c>
      <c r="I461" s="4">
        <v>-699.11</v>
      </c>
      <c r="J461" s="4">
        <v>-699.11</v>
      </c>
    </row>
    <row r="462" spans="1:10" x14ac:dyDescent="0.3">
      <c r="A462" s="3">
        <v>2033750</v>
      </c>
      <c r="B462">
        <v>11845</v>
      </c>
      <c r="C462">
        <v>1</v>
      </c>
      <c r="D462" s="9">
        <v>102</v>
      </c>
      <c r="E462">
        <v>1001</v>
      </c>
      <c r="F462" s="1">
        <v>44009</v>
      </c>
      <c r="G462" t="s">
        <v>41</v>
      </c>
      <c r="H462" s="4">
        <v>785.17</v>
      </c>
      <c r="I462" s="4" t="s">
        <v>16</v>
      </c>
      <c r="J462" s="4">
        <v>785.17</v>
      </c>
    </row>
    <row r="463" spans="1:10" x14ac:dyDescent="0.3">
      <c r="A463" s="3">
        <v>2033750</v>
      </c>
      <c r="B463">
        <v>43310</v>
      </c>
      <c r="C463">
        <v>1</v>
      </c>
      <c r="D463" s="9">
        <v>102</v>
      </c>
      <c r="E463">
        <v>1001</v>
      </c>
      <c r="F463" s="1">
        <v>44009</v>
      </c>
      <c r="G463" t="s">
        <v>41</v>
      </c>
      <c r="H463" s="4" t="s">
        <v>16</v>
      </c>
      <c r="I463" s="4">
        <v>-785.17</v>
      </c>
      <c r="J463" s="4">
        <v>-785.17</v>
      </c>
    </row>
    <row r="464" spans="1:10" x14ac:dyDescent="0.3">
      <c r="A464" s="3">
        <v>2033751</v>
      </c>
      <c r="B464">
        <v>11845</v>
      </c>
      <c r="C464">
        <v>1</v>
      </c>
      <c r="D464" s="9">
        <v>106</v>
      </c>
      <c r="E464">
        <v>1003</v>
      </c>
      <c r="F464" s="1">
        <v>44009</v>
      </c>
      <c r="G464" t="s">
        <v>80</v>
      </c>
      <c r="H464" s="4">
        <v>829.14</v>
      </c>
      <c r="I464" s="4" t="s">
        <v>16</v>
      </c>
      <c r="J464" s="4">
        <v>829.14</v>
      </c>
    </row>
    <row r="465" spans="1:10" x14ac:dyDescent="0.3">
      <c r="A465" s="3">
        <v>2033751</v>
      </c>
      <c r="B465">
        <v>43310</v>
      </c>
      <c r="C465">
        <v>1</v>
      </c>
      <c r="D465" s="9">
        <v>106</v>
      </c>
      <c r="E465">
        <v>1003</v>
      </c>
      <c r="F465" s="1">
        <v>44009</v>
      </c>
      <c r="G465" t="s">
        <v>80</v>
      </c>
      <c r="H465" s="4" t="s">
        <v>16</v>
      </c>
      <c r="I465" s="4">
        <v>-829.14</v>
      </c>
      <c r="J465" s="4">
        <v>-829.14</v>
      </c>
    </row>
    <row r="466" spans="1:10" x14ac:dyDescent="0.3">
      <c r="A466" s="3">
        <v>2033752</v>
      </c>
      <c r="B466">
        <v>14250</v>
      </c>
      <c r="C466">
        <v>3</v>
      </c>
      <c r="D466" s="9">
        <v>101</v>
      </c>
      <c r="E466">
        <v>1001</v>
      </c>
      <c r="F466" s="1">
        <v>44009</v>
      </c>
      <c r="G466" t="s">
        <v>172</v>
      </c>
      <c r="H466" s="4">
        <v>894.27</v>
      </c>
      <c r="I466" s="4" t="s">
        <v>16</v>
      </c>
      <c r="J466" s="4">
        <v>894.27</v>
      </c>
    </row>
    <row r="467" spans="1:10" x14ac:dyDescent="0.3">
      <c r="A467" s="3">
        <v>2033752</v>
      </c>
      <c r="B467">
        <v>11845</v>
      </c>
      <c r="C467">
        <v>3</v>
      </c>
      <c r="D467" s="9">
        <v>101</v>
      </c>
      <c r="E467">
        <v>1001</v>
      </c>
      <c r="F467" s="1">
        <v>44009</v>
      </c>
      <c r="G467" t="s">
        <v>172</v>
      </c>
      <c r="H467" s="4" t="s">
        <v>16</v>
      </c>
      <c r="I467" s="4">
        <v>-894.27</v>
      </c>
      <c r="J467" s="4">
        <v>-894.27</v>
      </c>
    </row>
    <row r="468" spans="1:10" x14ac:dyDescent="0.3">
      <c r="A468" s="3">
        <v>2033753</v>
      </c>
      <c r="B468">
        <v>11845</v>
      </c>
      <c r="C468">
        <v>1</v>
      </c>
      <c r="D468" s="9">
        <v>102</v>
      </c>
      <c r="E468">
        <v>1001</v>
      </c>
      <c r="F468" s="1">
        <v>44009</v>
      </c>
      <c r="G468" t="s">
        <v>41</v>
      </c>
      <c r="H468" s="4">
        <v>1162.6199999999999</v>
      </c>
      <c r="I468" s="4" t="s">
        <v>16</v>
      </c>
      <c r="J468" s="4">
        <v>1162.6199999999999</v>
      </c>
    </row>
    <row r="469" spans="1:10" x14ac:dyDescent="0.3">
      <c r="A469" s="3">
        <v>2033753</v>
      </c>
      <c r="B469">
        <v>43310</v>
      </c>
      <c r="C469">
        <v>1</v>
      </c>
      <c r="D469" s="9">
        <v>102</v>
      </c>
      <c r="E469">
        <v>1001</v>
      </c>
      <c r="F469" s="1">
        <v>44009</v>
      </c>
      <c r="G469" t="s">
        <v>41</v>
      </c>
      <c r="H469" s="4" t="s">
        <v>16</v>
      </c>
      <c r="I469" s="4">
        <v>-1162.6199999999999</v>
      </c>
      <c r="J469" s="4">
        <v>-1162.6199999999999</v>
      </c>
    </row>
    <row r="470" spans="1:10" x14ac:dyDescent="0.3">
      <c r="A470" s="3">
        <v>2033754</v>
      </c>
      <c r="B470">
        <v>43180</v>
      </c>
      <c r="C470">
        <v>2</v>
      </c>
      <c r="D470" s="9">
        <v>101</v>
      </c>
      <c r="E470">
        <v>1002</v>
      </c>
      <c r="F470" s="1">
        <v>44009</v>
      </c>
      <c r="G470" t="s">
        <v>239</v>
      </c>
      <c r="H470" s="4">
        <v>1220</v>
      </c>
      <c r="I470" s="4" t="s">
        <v>16</v>
      </c>
      <c r="J470" s="4">
        <v>1220</v>
      </c>
    </row>
    <row r="471" spans="1:10" x14ac:dyDescent="0.3">
      <c r="A471" s="3">
        <v>2033754</v>
      </c>
      <c r="B471">
        <v>11845</v>
      </c>
      <c r="C471">
        <v>2</v>
      </c>
      <c r="D471" s="9">
        <v>101</v>
      </c>
      <c r="E471">
        <v>1002</v>
      </c>
      <c r="F471" s="1">
        <v>44009</v>
      </c>
      <c r="G471" t="s">
        <v>239</v>
      </c>
      <c r="H471" s="4" t="s">
        <v>16</v>
      </c>
      <c r="I471" s="4">
        <v>-1220</v>
      </c>
      <c r="J471" s="4">
        <v>-1220</v>
      </c>
    </row>
    <row r="472" spans="1:10" x14ac:dyDescent="0.3">
      <c r="A472" s="3">
        <v>2033755</v>
      </c>
      <c r="B472">
        <v>43180</v>
      </c>
      <c r="C472">
        <v>2</v>
      </c>
      <c r="D472" s="9">
        <v>101</v>
      </c>
      <c r="E472">
        <v>1002</v>
      </c>
      <c r="F472" s="1">
        <v>44009</v>
      </c>
      <c r="G472" t="s">
        <v>239</v>
      </c>
      <c r="H472" s="4">
        <v>1490.8</v>
      </c>
      <c r="I472" s="4" t="s">
        <v>16</v>
      </c>
      <c r="J472" s="4">
        <v>1490.8</v>
      </c>
    </row>
    <row r="473" spans="1:10" x14ac:dyDescent="0.3">
      <c r="A473" s="3">
        <v>2033755</v>
      </c>
      <c r="B473">
        <v>11845</v>
      </c>
      <c r="C473">
        <v>2</v>
      </c>
      <c r="D473" s="9">
        <v>101</v>
      </c>
      <c r="E473">
        <v>1002</v>
      </c>
      <c r="F473" s="1">
        <v>44009</v>
      </c>
      <c r="G473" t="s">
        <v>239</v>
      </c>
      <c r="H473" s="4" t="s">
        <v>16</v>
      </c>
      <c r="I473" s="4">
        <v>-1490.8</v>
      </c>
      <c r="J473" s="4">
        <v>-1490.8</v>
      </c>
    </row>
    <row r="474" spans="1:10" x14ac:dyDescent="0.3">
      <c r="A474" s="3">
        <v>2033756</v>
      </c>
      <c r="B474">
        <v>11845</v>
      </c>
      <c r="C474">
        <v>1</v>
      </c>
      <c r="D474" s="9">
        <v>102</v>
      </c>
      <c r="E474">
        <v>1003</v>
      </c>
      <c r="F474" s="1">
        <v>44009</v>
      </c>
      <c r="G474" t="s">
        <v>15</v>
      </c>
      <c r="H474" s="4">
        <v>2195.11</v>
      </c>
      <c r="I474" s="4" t="s">
        <v>16</v>
      </c>
      <c r="J474" s="4">
        <v>2195.11</v>
      </c>
    </row>
    <row r="475" spans="1:10" x14ac:dyDescent="0.3">
      <c r="A475" s="3">
        <v>2033756</v>
      </c>
      <c r="B475">
        <v>43310</v>
      </c>
      <c r="C475">
        <v>1</v>
      </c>
      <c r="D475" s="9">
        <v>102</v>
      </c>
      <c r="E475">
        <v>1003</v>
      </c>
      <c r="F475" s="1">
        <v>44009</v>
      </c>
      <c r="G475" t="s">
        <v>15</v>
      </c>
      <c r="H475" s="4" t="s">
        <v>16</v>
      </c>
      <c r="I475" s="4">
        <v>-2195.11</v>
      </c>
      <c r="J475" s="4">
        <v>-2195.11</v>
      </c>
    </row>
    <row r="476" spans="1:10" x14ac:dyDescent="0.3">
      <c r="A476" s="3">
        <v>2033757</v>
      </c>
      <c r="B476">
        <v>74201</v>
      </c>
      <c r="C476">
        <v>2</v>
      </c>
      <c r="D476" s="9">
        <v>101</v>
      </c>
      <c r="E476">
        <v>1002</v>
      </c>
      <c r="F476" s="1">
        <v>44009</v>
      </c>
      <c r="G476" t="s">
        <v>182</v>
      </c>
      <c r="H476" s="4">
        <v>2800</v>
      </c>
      <c r="I476" s="4" t="s">
        <v>16</v>
      </c>
      <c r="J476" s="4">
        <v>2800</v>
      </c>
    </row>
    <row r="477" spans="1:10" x14ac:dyDescent="0.3">
      <c r="A477" s="3">
        <v>2033757</v>
      </c>
      <c r="B477">
        <v>11845</v>
      </c>
      <c r="C477">
        <v>2</v>
      </c>
      <c r="D477" s="9">
        <v>101</v>
      </c>
      <c r="E477">
        <v>1002</v>
      </c>
      <c r="F477" s="1">
        <v>44009</v>
      </c>
      <c r="G477" t="s">
        <v>182</v>
      </c>
      <c r="H477" s="4" t="s">
        <v>16</v>
      </c>
      <c r="I477" s="4">
        <v>-2800</v>
      </c>
      <c r="J477" s="4">
        <v>-2800</v>
      </c>
    </row>
    <row r="478" spans="1:10" x14ac:dyDescent="0.3">
      <c r="A478" s="3">
        <v>2033758</v>
      </c>
      <c r="B478">
        <v>14260</v>
      </c>
      <c r="C478">
        <v>1</v>
      </c>
      <c r="D478" s="9">
        <v>101</v>
      </c>
      <c r="E478">
        <v>1002</v>
      </c>
      <c r="F478" s="1">
        <v>44009</v>
      </c>
      <c r="G478" t="s">
        <v>38</v>
      </c>
      <c r="H478" s="4">
        <v>4003.54</v>
      </c>
      <c r="I478" s="4" t="s">
        <v>16</v>
      </c>
      <c r="J478" s="4">
        <v>4003.54</v>
      </c>
    </row>
    <row r="479" spans="1:10" x14ac:dyDescent="0.3">
      <c r="A479" s="3">
        <v>2033758</v>
      </c>
      <c r="B479">
        <v>11845</v>
      </c>
      <c r="C479">
        <v>1</v>
      </c>
      <c r="D479" s="9">
        <v>101</v>
      </c>
      <c r="E479">
        <v>1002</v>
      </c>
      <c r="F479" s="1">
        <v>44009</v>
      </c>
      <c r="G479" t="s">
        <v>38</v>
      </c>
      <c r="H479" s="4" t="s">
        <v>16</v>
      </c>
      <c r="I479" s="4">
        <v>-4003.54</v>
      </c>
      <c r="J479" s="4">
        <v>-4003.54</v>
      </c>
    </row>
    <row r="480" spans="1:10" x14ac:dyDescent="0.3">
      <c r="A480" s="3">
        <v>2033759</v>
      </c>
      <c r="B480">
        <v>11845</v>
      </c>
      <c r="C480">
        <v>1</v>
      </c>
      <c r="D480" s="9">
        <v>106</v>
      </c>
      <c r="E480">
        <v>1003</v>
      </c>
      <c r="F480" s="1">
        <v>44009</v>
      </c>
      <c r="G480" t="s">
        <v>80</v>
      </c>
      <c r="H480" s="4">
        <v>4349.0200000000004</v>
      </c>
      <c r="I480" s="4" t="s">
        <v>16</v>
      </c>
      <c r="J480" s="4">
        <v>4349.0200000000004</v>
      </c>
    </row>
    <row r="481" spans="1:10" x14ac:dyDescent="0.3">
      <c r="A481" s="3">
        <v>2033759</v>
      </c>
      <c r="B481">
        <v>43310</v>
      </c>
      <c r="C481">
        <v>1</v>
      </c>
      <c r="D481" s="9">
        <v>106</v>
      </c>
      <c r="E481">
        <v>1003</v>
      </c>
      <c r="F481" s="1">
        <v>44009</v>
      </c>
      <c r="G481" t="s">
        <v>80</v>
      </c>
      <c r="H481" s="4" t="s">
        <v>16</v>
      </c>
      <c r="I481" s="4">
        <v>-4349.0200000000004</v>
      </c>
      <c r="J481" s="4">
        <v>-4349.0200000000004</v>
      </c>
    </row>
    <row r="482" spans="1:10" x14ac:dyDescent="0.3">
      <c r="A482" s="3">
        <v>2033760</v>
      </c>
      <c r="B482">
        <v>11845</v>
      </c>
      <c r="C482">
        <v>1</v>
      </c>
      <c r="D482" s="9">
        <v>106</v>
      </c>
      <c r="E482">
        <v>1003</v>
      </c>
      <c r="F482" s="1">
        <v>44009</v>
      </c>
      <c r="G482" t="s">
        <v>80</v>
      </c>
      <c r="H482" s="4">
        <v>5062</v>
      </c>
      <c r="I482" s="4" t="s">
        <v>16</v>
      </c>
      <c r="J482" s="4">
        <v>5062</v>
      </c>
    </row>
    <row r="483" spans="1:10" x14ac:dyDescent="0.3">
      <c r="A483" s="3">
        <v>2033760</v>
      </c>
      <c r="B483">
        <v>43310</v>
      </c>
      <c r="C483">
        <v>1</v>
      </c>
      <c r="D483" s="9">
        <v>106</v>
      </c>
      <c r="E483">
        <v>1003</v>
      </c>
      <c r="F483" s="1">
        <v>44009</v>
      </c>
      <c r="G483" t="s">
        <v>80</v>
      </c>
      <c r="H483" s="4" t="s">
        <v>16</v>
      </c>
      <c r="I483" s="4">
        <v>-5062</v>
      </c>
      <c r="J483" s="4">
        <v>-5062</v>
      </c>
    </row>
    <row r="484" spans="1:10" x14ac:dyDescent="0.3">
      <c r="A484" s="3">
        <v>2033761</v>
      </c>
      <c r="B484">
        <v>11845</v>
      </c>
      <c r="C484">
        <v>2</v>
      </c>
      <c r="D484" s="9">
        <v>106</v>
      </c>
      <c r="E484">
        <v>1003</v>
      </c>
      <c r="F484" s="1">
        <v>44009</v>
      </c>
      <c r="G484" t="s">
        <v>81</v>
      </c>
      <c r="H484" s="4">
        <v>5346</v>
      </c>
      <c r="I484" s="4" t="s">
        <v>16</v>
      </c>
      <c r="J484" s="4">
        <v>5346</v>
      </c>
    </row>
    <row r="485" spans="1:10" x14ac:dyDescent="0.3">
      <c r="A485" s="3">
        <v>2033761</v>
      </c>
      <c r="B485">
        <v>43180</v>
      </c>
      <c r="C485">
        <v>2</v>
      </c>
      <c r="D485" s="9">
        <v>106</v>
      </c>
      <c r="E485">
        <v>1003</v>
      </c>
      <c r="F485" s="1">
        <v>44009</v>
      </c>
      <c r="G485" t="s">
        <v>81</v>
      </c>
      <c r="H485" s="4" t="s">
        <v>16</v>
      </c>
      <c r="I485" s="4">
        <v>-5346</v>
      </c>
      <c r="J485" s="4">
        <v>-5346</v>
      </c>
    </row>
    <row r="486" spans="1:10" x14ac:dyDescent="0.3">
      <c r="A486" s="3">
        <v>2033762</v>
      </c>
      <c r="B486">
        <v>11845</v>
      </c>
      <c r="C486">
        <v>2</v>
      </c>
      <c r="D486" s="9">
        <v>104</v>
      </c>
      <c r="E486">
        <v>1003</v>
      </c>
      <c r="F486" s="1">
        <v>44009</v>
      </c>
      <c r="G486" t="s">
        <v>15</v>
      </c>
      <c r="H486" s="4">
        <v>12300</v>
      </c>
      <c r="I486" s="4" t="s">
        <v>16</v>
      </c>
      <c r="J486" s="4">
        <v>12300</v>
      </c>
    </row>
    <row r="487" spans="1:10" x14ac:dyDescent="0.3">
      <c r="A487" s="3">
        <v>2033762</v>
      </c>
      <c r="B487">
        <v>43180</v>
      </c>
      <c r="C487">
        <v>2</v>
      </c>
      <c r="D487" s="9">
        <v>104</v>
      </c>
      <c r="E487">
        <v>1003</v>
      </c>
      <c r="F487" s="1">
        <v>44009</v>
      </c>
      <c r="G487" t="s">
        <v>15</v>
      </c>
      <c r="H487" s="4" t="s">
        <v>16</v>
      </c>
      <c r="I487" s="4">
        <v>-12300</v>
      </c>
      <c r="J487" s="4">
        <v>-12300</v>
      </c>
    </row>
    <row r="488" spans="1:10" x14ac:dyDescent="0.3">
      <c r="A488" s="3">
        <v>2033763</v>
      </c>
      <c r="B488">
        <v>11845</v>
      </c>
      <c r="C488">
        <v>1</v>
      </c>
      <c r="D488" s="9">
        <v>106</v>
      </c>
      <c r="E488">
        <v>1003</v>
      </c>
      <c r="F488" s="1">
        <v>44009</v>
      </c>
      <c r="G488" t="s">
        <v>80</v>
      </c>
      <c r="H488" s="4">
        <v>27320.65</v>
      </c>
      <c r="I488" s="4" t="s">
        <v>16</v>
      </c>
      <c r="J488" s="4">
        <v>27320.65</v>
      </c>
    </row>
    <row r="489" spans="1:10" x14ac:dyDescent="0.3">
      <c r="A489" s="3">
        <v>2033763</v>
      </c>
      <c r="B489">
        <v>43310</v>
      </c>
      <c r="C489">
        <v>1</v>
      </c>
      <c r="D489" s="9">
        <v>106</v>
      </c>
      <c r="E489">
        <v>1003</v>
      </c>
      <c r="F489" s="1">
        <v>44009</v>
      </c>
      <c r="G489" t="s">
        <v>80</v>
      </c>
      <c r="H489" s="4" t="s">
        <v>16</v>
      </c>
      <c r="I489" s="4">
        <v>-27320.65</v>
      </c>
      <c r="J489" s="4">
        <v>-27320.65</v>
      </c>
    </row>
    <row r="490" spans="1:10" x14ac:dyDescent="0.3">
      <c r="A490" s="3">
        <v>2033764</v>
      </c>
      <c r="B490">
        <v>51620</v>
      </c>
      <c r="C490">
        <v>6</v>
      </c>
      <c r="D490" s="9">
        <v>105</v>
      </c>
      <c r="E490">
        <v>1006</v>
      </c>
      <c r="F490" s="1">
        <v>44010</v>
      </c>
      <c r="G490" t="s">
        <v>91</v>
      </c>
      <c r="H490" s="4">
        <v>11.48</v>
      </c>
      <c r="I490" s="4" t="s">
        <v>16</v>
      </c>
      <c r="J490" s="4">
        <v>11.48</v>
      </c>
    </row>
    <row r="491" spans="1:10" x14ac:dyDescent="0.3">
      <c r="A491" s="3">
        <v>2033764</v>
      </c>
      <c r="B491">
        <v>22110</v>
      </c>
      <c r="C491">
        <v>6</v>
      </c>
      <c r="D491" s="9">
        <v>105</v>
      </c>
      <c r="E491">
        <v>1006</v>
      </c>
      <c r="F491" s="1">
        <v>44010</v>
      </c>
      <c r="G491" t="s">
        <v>91</v>
      </c>
      <c r="H491" s="4" t="s">
        <v>16</v>
      </c>
      <c r="I491" s="4">
        <v>-11.48</v>
      </c>
      <c r="J491" s="4">
        <v>-11.48</v>
      </c>
    </row>
    <row r="492" spans="1:10" x14ac:dyDescent="0.3">
      <c r="A492" s="3">
        <v>2033765</v>
      </c>
      <c r="B492">
        <v>51620</v>
      </c>
      <c r="C492">
        <v>4</v>
      </c>
      <c r="D492" s="9">
        <v>105</v>
      </c>
      <c r="E492">
        <v>1006</v>
      </c>
      <c r="F492" s="1">
        <v>44010</v>
      </c>
      <c r="G492" t="s">
        <v>91</v>
      </c>
      <c r="H492" s="4">
        <v>22.96</v>
      </c>
      <c r="I492" s="4" t="s">
        <v>16</v>
      </c>
      <c r="J492" s="4">
        <v>22.96</v>
      </c>
    </row>
    <row r="493" spans="1:10" x14ac:dyDescent="0.3">
      <c r="A493" s="3">
        <v>2033765</v>
      </c>
      <c r="B493">
        <v>22110</v>
      </c>
      <c r="C493">
        <v>4</v>
      </c>
      <c r="D493" s="9">
        <v>105</v>
      </c>
      <c r="E493">
        <v>1006</v>
      </c>
      <c r="F493" s="1">
        <v>44010</v>
      </c>
      <c r="G493" t="s">
        <v>91</v>
      </c>
      <c r="H493" s="4" t="s">
        <v>16</v>
      </c>
      <c r="I493" s="4">
        <v>-22.96</v>
      </c>
      <c r="J493" s="4">
        <v>-22.96</v>
      </c>
    </row>
    <row r="494" spans="1:10" x14ac:dyDescent="0.3">
      <c r="A494" s="3">
        <v>2033766</v>
      </c>
      <c r="B494">
        <v>14260</v>
      </c>
      <c r="C494">
        <v>1</v>
      </c>
      <c r="D494" s="9">
        <v>102</v>
      </c>
      <c r="E494">
        <v>1002</v>
      </c>
      <c r="F494" s="1">
        <v>44010</v>
      </c>
      <c r="G494" t="s">
        <v>39</v>
      </c>
      <c r="H494" s="4">
        <v>32.049999999999997</v>
      </c>
      <c r="I494" s="4" t="s">
        <v>16</v>
      </c>
      <c r="J494" s="4">
        <v>32.049999999999997</v>
      </c>
    </row>
    <row r="495" spans="1:10" x14ac:dyDescent="0.3">
      <c r="A495" s="3">
        <v>2033766</v>
      </c>
      <c r="B495">
        <v>11845</v>
      </c>
      <c r="C495">
        <v>1</v>
      </c>
      <c r="D495" s="9">
        <v>102</v>
      </c>
      <c r="E495">
        <v>1002</v>
      </c>
      <c r="F495" s="1">
        <v>44010</v>
      </c>
      <c r="G495" t="s">
        <v>39</v>
      </c>
      <c r="H495" s="4" t="s">
        <v>16</v>
      </c>
      <c r="I495" s="4">
        <v>-32.049999999999997</v>
      </c>
      <c r="J495" s="4">
        <v>-32.049999999999997</v>
      </c>
    </row>
    <row r="496" spans="1:10" x14ac:dyDescent="0.3">
      <c r="A496" s="3">
        <v>2033767</v>
      </c>
      <c r="B496">
        <v>51620</v>
      </c>
      <c r="C496">
        <v>2</v>
      </c>
      <c r="D496" s="9">
        <v>105</v>
      </c>
      <c r="E496">
        <v>1006</v>
      </c>
      <c r="F496" s="1">
        <v>44010</v>
      </c>
      <c r="G496" t="s">
        <v>91</v>
      </c>
      <c r="H496" s="4">
        <v>34.44</v>
      </c>
      <c r="I496" s="4" t="s">
        <v>16</v>
      </c>
      <c r="J496" s="4">
        <v>34.44</v>
      </c>
    </row>
    <row r="497" spans="1:10" x14ac:dyDescent="0.3">
      <c r="A497" s="3">
        <v>2033767</v>
      </c>
      <c r="B497">
        <v>22110</v>
      </c>
      <c r="C497">
        <v>2</v>
      </c>
      <c r="D497" s="9">
        <v>105</v>
      </c>
      <c r="E497">
        <v>1006</v>
      </c>
      <c r="F497" s="1">
        <v>44010</v>
      </c>
      <c r="G497" t="s">
        <v>91</v>
      </c>
      <c r="H497" s="4" t="s">
        <v>16</v>
      </c>
      <c r="I497" s="4">
        <v>-34.44</v>
      </c>
      <c r="J497" s="4">
        <v>-34.44</v>
      </c>
    </row>
    <row r="498" spans="1:10" x14ac:dyDescent="0.3">
      <c r="A498" s="3">
        <v>2033768</v>
      </c>
      <c r="B498">
        <v>14260</v>
      </c>
      <c r="C498">
        <v>1</v>
      </c>
      <c r="D498" s="9">
        <v>102</v>
      </c>
      <c r="E498">
        <v>1002</v>
      </c>
      <c r="F498" s="1">
        <v>44010</v>
      </c>
      <c r="G498" t="s">
        <v>26</v>
      </c>
      <c r="H498" s="4">
        <v>39.4</v>
      </c>
      <c r="I498" s="4" t="s">
        <v>16</v>
      </c>
      <c r="J498" s="4">
        <v>39.4</v>
      </c>
    </row>
    <row r="499" spans="1:10" x14ac:dyDescent="0.3">
      <c r="A499" s="3">
        <v>2033768</v>
      </c>
      <c r="B499">
        <v>11845</v>
      </c>
      <c r="C499">
        <v>1</v>
      </c>
      <c r="D499" s="9">
        <v>102</v>
      </c>
      <c r="E499">
        <v>1002</v>
      </c>
      <c r="F499" s="1">
        <v>44010</v>
      </c>
      <c r="G499" t="s">
        <v>26</v>
      </c>
      <c r="H499" s="4" t="s">
        <v>16</v>
      </c>
      <c r="I499" s="4">
        <v>-39.4</v>
      </c>
      <c r="J499" s="4">
        <v>-39.4</v>
      </c>
    </row>
    <row r="500" spans="1:10" x14ac:dyDescent="0.3">
      <c r="A500" s="3">
        <v>2033769</v>
      </c>
      <c r="B500">
        <v>43180</v>
      </c>
      <c r="C500">
        <v>2</v>
      </c>
      <c r="D500" s="9">
        <v>104</v>
      </c>
      <c r="E500">
        <v>1003</v>
      </c>
      <c r="F500" s="1">
        <v>44010</v>
      </c>
      <c r="G500" t="s">
        <v>240</v>
      </c>
      <c r="H500" s="4">
        <v>40</v>
      </c>
      <c r="I500" s="4" t="s">
        <v>16</v>
      </c>
      <c r="J500" s="4">
        <v>40</v>
      </c>
    </row>
    <row r="501" spans="1:10" x14ac:dyDescent="0.3">
      <c r="A501" s="3">
        <v>2033769</v>
      </c>
      <c r="B501">
        <v>11845</v>
      </c>
      <c r="C501">
        <v>2</v>
      </c>
      <c r="D501" s="9">
        <v>104</v>
      </c>
      <c r="E501">
        <v>1003</v>
      </c>
      <c r="F501" s="1">
        <v>44010</v>
      </c>
      <c r="G501" t="s">
        <v>240</v>
      </c>
      <c r="H501" s="4" t="s">
        <v>16</v>
      </c>
      <c r="I501" s="4">
        <v>-40</v>
      </c>
      <c r="J501" s="4">
        <v>-40</v>
      </c>
    </row>
    <row r="502" spans="1:10" x14ac:dyDescent="0.3">
      <c r="A502" s="3">
        <v>2033770</v>
      </c>
      <c r="B502">
        <v>14260</v>
      </c>
      <c r="C502">
        <v>1</v>
      </c>
      <c r="D502" s="9">
        <v>102</v>
      </c>
      <c r="E502">
        <v>1002</v>
      </c>
      <c r="F502" s="1">
        <v>44010</v>
      </c>
      <c r="G502" t="s">
        <v>26</v>
      </c>
      <c r="H502" s="4">
        <v>43.9</v>
      </c>
      <c r="I502" s="4" t="s">
        <v>16</v>
      </c>
      <c r="J502" s="4">
        <v>43.9</v>
      </c>
    </row>
    <row r="503" spans="1:10" x14ac:dyDescent="0.3">
      <c r="A503" s="3">
        <v>2033770</v>
      </c>
      <c r="B503">
        <v>11845</v>
      </c>
      <c r="C503">
        <v>1</v>
      </c>
      <c r="D503" s="9">
        <v>102</v>
      </c>
      <c r="E503">
        <v>1002</v>
      </c>
      <c r="F503" s="1">
        <v>44010</v>
      </c>
      <c r="G503" t="s">
        <v>26</v>
      </c>
      <c r="H503" s="4" t="s">
        <v>16</v>
      </c>
      <c r="I503" s="4">
        <v>-43.9</v>
      </c>
      <c r="J503" s="4">
        <v>-43.9</v>
      </c>
    </row>
    <row r="504" spans="1:10" x14ac:dyDescent="0.3">
      <c r="A504" s="3">
        <v>2033771</v>
      </c>
      <c r="B504">
        <v>51402</v>
      </c>
      <c r="C504">
        <v>6</v>
      </c>
      <c r="D504" s="9">
        <v>105</v>
      </c>
      <c r="E504">
        <v>1006</v>
      </c>
      <c r="F504" s="1">
        <v>44010</v>
      </c>
      <c r="G504" t="s">
        <v>93</v>
      </c>
      <c r="H504" s="4">
        <v>47.82</v>
      </c>
      <c r="I504" s="4" t="s">
        <v>16</v>
      </c>
      <c r="J504" s="4">
        <v>47.82</v>
      </c>
    </row>
    <row r="505" spans="1:10" x14ac:dyDescent="0.3">
      <c r="A505" s="3">
        <v>2033771</v>
      </c>
      <c r="B505">
        <v>22110</v>
      </c>
      <c r="C505">
        <v>6</v>
      </c>
      <c r="D505" s="9">
        <v>105</v>
      </c>
      <c r="E505">
        <v>1006</v>
      </c>
      <c r="F505" s="1">
        <v>44010</v>
      </c>
      <c r="G505" t="s">
        <v>93</v>
      </c>
      <c r="H505" s="4" t="s">
        <v>16</v>
      </c>
      <c r="I505" s="4">
        <v>-47.82</v>
      </c>
      <c r="J505" s="4">
        <v>-47.82</v>
      </c>
    </row>
    <row r="506" spans="1:10" x14ac:dyDescent="0.3">
      <c r="A506" s="3">
        <v>2033772</v>
      </c>
      <c r="B506">
        <v>11845</v>
      </c>
      <c r="C506">
        <v>3</v>
      </c>
      <c r="D506" s="9">
        <v>102</v>
      </c>
      <c r="E506">
        <v>1003</v>
      </c>
      <c r="F506" s="1">
        <v>44010</v>
      </c>
      <c r="G506" t="s">
        <v>15</v>
      </c>
      <c r="H506" s="4">
        <v>48.78</v>
      </c>
      <c r="I506" s="4" t="s">
        <v>16</v>
      </c>
      <c r="J506" s="4">
        <v>48.78</v>
      </c>
    </row>
    <row r="507" spans="1:10" x14ac:dyDescent="0.3">
      <c r="A507" s="3">
        <v>2033772</v>
      </c>
      <c r="B507">
        <v>43440</v>
      </c>
      <c r="C507">
        <v>3</v>
      </c>
      <c r="D507" s="9">
        <v>102</v>
      </c>
      <c r="E507">
        <v>1003</v>
      </c>
      <c r="F507" s="1">
        <v>44010</v>
      </c>
      <c r="G507" t="s">
        <v>15</v>
      </c>
      <c r="H507" s="4" t="s">
        <v>16</v>
      </c>
      <c r="I507" s="4">
        <v>-48.78</v>
      </c>
      <c r="J507" s="4">
        <v>-48.78</v>
      </c>
    </row>
    <row r="508" spans="1:10" x14ac:dyDescent="0.3">
      <c r="A508" s="3">
        <v>2033773</v>
      </c>
      <c r="B508">
        <v>14260</v>
      </c>
      <c r="C508">
        <v>1</v>
      </c>
      <c r="D508" s="9">
        <v>102</v>
      </c>
      <c r="E508">
        <v>1002</v>
      </c>
      <c r="F508" s="1">
        <v>44010</v>
      </c>
      <c r="G508" t="s">
        <v>39</v>
      </c>
      <c r="H508" s="4">
        <v>48.9</v>
      </c>
      <c r="I508" s="4" t="s">
        <v>16</v>
      </c>
      <c r="J508" s="4">
        <v>48.9</v>
      </c>
    </row>
    <row r="509" spans="1:10" x14ac:dyDescent="0.3">
      <c r="A509" s="3">
        <v>2033773</v>
      </c>
      <c r="B509">
        <v>11845</v>
      </c>
      <c r="C509">
        <v>1</v>
      </c>
      <c r="D509" s="9">
        <v>102</v>
      </c>
      <c r="E509">
        <v>1002</v>
      </c>
      <c r="F509" s="1">
        <v>44010</v>
      </c>
      <c r="G509" t="s">
        <v>39</v>
      </c>
      <c r="H509" s="4" t="s">
        <v>16</v>
      </c>
      <c r="I509" s="4">
        <v>-48.9</v>
      </c>
      <c r="J509" s="4">
        <v>-48.9</v>
      </c>
    </row>
    <row r="510" spans="1:10" x14ac:dyDescent="0.3">
      <c r="A510" s="3">
        <v>2033774</v>
      </c>
      <c r="B510">
        <v>14260</v>
      </c>
      <c r="C510">
        <v>1</v>
      </c>
      <c r="D510" s="9">
        <v>102</v>
      </c>
      <c r="E510">
        <v>1002</v>
      </c>
      <c r="F510" s="1">
        <v>44010</v>
      </c>
      <c r="G510" t="s">
        <v>26</v>
      </c>
      <c r="H510" s="4">
        <v>63.55</v>
      </c>
      <c r="I510" s="4" t="s">
        <v>16</v>
      </c>
      <c r="J510" s="4">
        <v>63.55</v>
      </c>
    </row>
    <row r="511" spans="1:10" x14ac:dyDescent="0.3">
      <c r="A511" s="3">
        <v>2033774</v>
      </c>
      <c r="B511">
        <v>11845</v>
      </c>
      <c r="C511">
        <v>1</v>
      </c>
      <c r="D511" s="9">
        <v>102</v>
      </c>
      <c r="E511">
        <v>1002</v>
      </c>
      <c r="F511" s="1">
        <v>44010</v>
      </c>
      <c r="G511" t="s">
        <v>26</v>
      </c>
      <c r="H511" s="4" t="s">
        <v>16</v>
      </c>
      <c r="I511" s="4">
        <v>-63.55</v>
      </c>
      <c r="J511" s="4">
        <v>-63.55</v>
      </c>
    </row>
    <row r="512" spans="1:10" x14ac:dyDescent="0.3">
      <c r="A512" s="3">
        <v>2033775</v>
      </c>
      <c r="B512">
        <v>11845</v>
      </c>
      <c r="C512">
        <v>1</v>
      </c>
      <c r="D512" s="9">
        <v>102</v>
      </c>
      <c r="E512">
        <v>1003</v>
      </c>
      <c r="F512" s="1">
        <v>44010</v>
      </c>
      <c r="G512" t="s">
        <v>87</v>
      </c>
      <c r="H512" s="4">
        <v>75.52</v>
      </c>
      <c r="I512" s="4" t="s">
        <v>16</v>
      </c>
      <c r="J512" s="4">
        <v>75.52</v>
      </c>
    </row>
    <row r="513" spans="1:10" x14ac:dyDescent="0.3">
      <c r="A513" s="3">
        <v>2033775</v>
      </c>
      <c r="B513">
        <v>43310</v>
      </c>
      <c r="C513">
        <v>1</v>
      </c>
      <c r="D513" s="9">
        <v>102</v>
      </c>
      <c r="E513">
        <v>1003</v>
      </c>
      <c r="F513" s="1">
        <v>44010</v>
      </c>
      <c r="G513" t="s">
        <v>87</v>
      </c>
      <c r="H513" s="4" t="s">
        <v>16</v>
      </c>
      <c r="I513" s="4">
        <v>-75.52</v>
      </c>
      <c r="J513" s="4">
        <v>-75.52</v>
      </c>
    </row>
    <row r="514" spans="1:10" x14ac:dyDescent="0.3">
      <c r="A514" s="3">
        <v>2033776</v>
      </c>
      <c r="B514">
        <v>51402</v>
      </c>
      <c r="C514">
        <v>4</v>
      </c>
      <c r="D514" s="9">
        <v>105</v>
      </c>
      <c r="E514">
        <v>1006</v>
      </c>
      <c r="F514" s="1">
        <v>44010</v>
      </c>
      <c r="G514" t="s">
        <v>93</v>
      </c>
      <c r="H514" s="4">
        <v>87.37</v>
      </c>
      <c r="I514" s="4" t="s">
        <v>16</v>
      </c>
      <c r="J514" s="4">
        <v>87.37</v>
      </c>
    </row>
    <row r="515" spans="1:10" x14ac:dyDescent="0.3">
      <c r="A515" s="3">
        <v>2033776</v>
      </c>
      <c r="B515">
        <v>22110</v>
      </c>
      <c r="C515">
        <v>4</v>
      </c>
      <c r="D515" s="9">
        <v>105</v>
      </c>
      <c r="E515">
        <v>1006</v>
      </c>
      <c r="F515" s="1">
        <v>44010</v>
      </c>
      <c r="G515" t="s">
        <v>93</v>
      </c>
      <c r="H515" s="4" t="s">
        <v>16</v>
      </c>
      <c r="I515" s="4">
        <v>-87.37</v>
      </c>
      <c r="J515" s="4">
        <v>-87.37</v>
      </c>
    </row>
    <row r="516" spans="1:10" x14ac:dyDescent="0.3">
      <c r="A516" s="3">
        <v>2033777</v>
      </c>
      <c r="B516">
        <v>11845</v>
      </c>
      <c r="C516">
        <v>3</v>
      </c>
      <c r="D516" s="9">
        <v>102</v>
      </c>
      <c r="E516">
        <v>1001</v>
      </c>
      <c r="F516" s="1">
        <v>44010</v>
      </c>
      <c r="G516" t="s">
        <v>41</v>
      </c>
      <c r="H516" s="4">
        <v>90.33</v>
      </c>
      <c r="I516" s="4" t="s">
        <v>16</v>
      </c>
      <c r="J516" s="4">
        <v>90.33</v>
      </c>
    </row>
    <row r="517" spans="1:10" x14ac:dyDescent="0.3">
      <c r="A517" s="3">
        <v>2033777</v>
      </c>
      <c r="B517">
        <v>43440</v>
      </c>
      <c r="C517">
        <v>3</v>
      </c>
      <c r="D517" s="9">
        <v>102</v>
      </c>
      <c r="E517">
        <v>1001</v>
      </c>
      <c r="F517" s="1">
        <v>44010</v>
      </c>
      <c r="G517" t="s">
        <v>41</v>
      </c>
      <c r="H517" s="4" t="s">
        <v>16</v>
      </c>
      <c r="I517" s="4">
        <v>-90.33</v>
      </c>
      <c r="J517" s="4">
        <v>-90.33</v>
      </c>
    </row>
    <row r="518" spans="1:10" x14ac:dyDescent="0.3">
      <c r="A518" s="3">
        <v>2033778</v>
      </c>
      <c r="B518">
        <v>14260</v>
      </c>
      <c r="C518">
        <v>1</v>
      </c>
      <c r="D518" s="9">
        <v>102</v>
      </c>
      <c r="E518">
        <v>1002</v>
      </c>
      <c r="F518" s="1">
        <v>44010</v>
      </c>
      <c r="G518" t="s">
        <v>39</v>
      </c>
      <c r="H518" s="4">
        <v>106</v>
      </c>
      <c r="I518" s="4" t="s">
        <v>16</v>
      </c>
      <c r="J518" s="4">
        <v>106</v>
      </c>
    </row>
    <row r="519" spans="1:10" x14ac:dyDescent="0.3">
      <c r="A519" s="3">
        <v>2033778</v>
      </c>
      <c r="B519">
        <v>11845</v>
      </c>
      <c r="C519">
        <v>1</v>
      </c>
      <c r="D519" s="9">
        <v>102</v>
      </c>
      <c r="E519">
        <v>1002</v>
      </c>
      <c r="F519" s="1">
        <v>44010</v>
      </c>
      <c r="G519" t="s">
        <v>39</v>
      </c>
      <c r="H519" s="4" t="s">
        <v>16</v>
      </c>
      <c r="I519" s="4">
        <v>-106</v>
      </c>
      <c r="J519" s="4">
        <v>-106</v>
      </c>
    </row>
    <row r="520" spans="1:10" x14ac:dyDescent="0.3">
      <c r="A520" s="3">
        <v>2033779</v>
      </c>
      <c r="B520">
        <v>14260</v>
      </c>
      <c r="C520">
        <v>1</v>
      </c>
      <c r="D520" s="9">
        <v>102</v>
      </c>
      <c r="E520">
        <v>1002</v>
      </c>
      <c r="F520" s="1">
        <v>44010</v>
      </c>
      <c r="G520" t="s">
        <v>39</v>
      </c>
      <c r="H520" s="4">
        <v>108.25</v>
      </c>
      <c r="I520" s="4" t="s">
        <v>16</v>
      </c>
      <c r="J520" s="4">
        <v>108.25</v>
      </c>
    </row>
    <row r="521" spans="1:10" x14ac:dyDescent="0.3">
      <c r="A521" s="3">
        <v>2033779</v>
      </c>
      <c r="B521">
        <v>11845</v>
      </c>
      <c r="C521">
        <v>1</v>
      </c>
      <c r="D521" s="9">
        <v>102</v>
      </c>
      <c r="E521">
        <v>1002</v>
      </c>
      <c r="F521" s="1">
        <v>44010</v>
      </c>
      <c r="G521" t="s">
        <v>39</v>
      </c>
      <c r="H521" s="4" t="s">
        <v>16</v>
      </c>
      <c r="I521" s="4">
        <v>-108.25</v>
      </c>
      <c r="J521" s="4">
        <v>-108.25</v>
      </c>
    </row>
    <row r="522" spans="1:10" x14ac:dyDescent="0.3">
      <c r="A522" s="3">
        <v>2033780</v>
      </c>
      <c r="B522">
        <v>14260</v>
      </c>
      <c r="C522">
        <v>1</v>
      </c>
      <c r="D522" s="9">
        <v>102</v>
      </c>
      <c r="E522">
        <v>1002</v>
      </c>
      <c r="F522" s="1">
        <v>44010</v>
      </c>
      <c r="G522" t="s">
        <v>39</v>
      </c>
      <c r="H522" s="4">
        <v>115.11</v>
      </c>
      <c r="I522" s="4" t="s">
        <v>16</v>
      </c>
      <c r="J522" s="4">
        <v>115.11</v>
      </c>
    </row>
    <row r="523" spans="1:10" x14ac:dyDescent="0.3">
      <c r="A523" s="3">
        <v>2033780</v>
      </c>
      <c r="B523">
        <v>11845</v>
      </c>
      <c r="C523">
        <v>1</v>
      </c>
      <c r="D523" s="9">
        <v>102</v>
      </c>
      <c r="E523">
        <v>1002</v>
      </c>
      <c r="F523" s="1">
        <v>44010</v>
      </c>
      <c r="G523" t="s">
        <v>39</v>
      </c>
      <c r="H523" s="4" t="s">
        <v>16</v>
      </c>
      <c r="I523" s="4">
        <v>-115.11</v>
      </c>
      <c r="J523" s="4">
        <v>-115.11</v>
      </c>
    </row>
    <row r="524" spans="1:10" x14ac:dyDescent="0.3">
      <c r="A524" s="3">
        <v>2033781</v>
      </c>
      <c r="B524">
        <v>11845</v>
      </c>
      <c r="C524">
        <v>2</v>
      </c>
      <c r="D524" s="9">
        <v>104</v>
      </c>
      <c r="E524">
        <v>1003</v>
      </c>
      <c r="F524" s="1">
        <v>44010</v>
      </c>
      <c r="G524" t="s">
        <v>241</v>
      </c>
      <c r="H524" s="4">
        <v>129</v>
      </c>
      <c r="I524" s="4" t="s">
        <v>16</v>
      </c>
      <c r="J524" s="4">
        <v>129</v>
      </c>
    </row>
    <row r="525" spans="1:10" x14ac:dyDescent="0.3">
      <c r="A525" s="3">
        <v>2033781</v>
      </c>
      <c r="B525">
        <v>43180</v>
      </c>
      <c r="C525">
        <v>2</v>
      </c>
      <c r="D525" s="9">
        <v>104</v>
      </c>
      <c r="E525">
        <v>1003</v>
      </c>
      <c r="F525" s="1">
        <v>44010</v>
      </c>
      <c r="G525" t="s">
        <v>241</v>
      </c>
      <c r="H525" s="4" t="s">
        <v>16</v>
      </c>
      <c r="I525" s="4">
        <v>-129</v>
      </c>
      <c r="J525" s="4">
        <v>-129</v>
      </c>
    </row>
    <row r="526" spans="1:10" x14ac:dyDescent="0.3">
      <c r="A526" s="3">
        <v>2033782</v>
      </c>
      <c r="B526">
        <v>51402</v>
      </c>
      <c r="C526">
        <v>2</v>
      </c>
      <c r="D526" s="9">
        <v>105</v>
      </c>
      <c r="E526">
        <v>1006</v>
      </c>
      <c r="F526" s="1">
        <v>44010</v>
      </c>
      <c r="G526" t="s">
        <v>93</v>
      </c>
      <c r="H526" s="4">
        <v>167.08</v>
      </c>
      <c r="I526" s="4" t="s">
        <v>16</v>
      </c>
      <c r="J526" s="4">
        <v>167.08</v>
      </c>
    </row>
    <row r="527" spans="1:10" x14ac:dyDescent="0.3">
      <c r="A527" s="3">
        <v>2033782</v>
      </c>
      <c r="B527">
        <v>22110</v>
      </c>
      <c r="C527">
        <v>2</v>
      </c>
      <c r="D527" s="9">
        <v>105</v>
      </c>
      <c r="E527">
        <v>1006</v>
      </c>
      <c r="F527" s="1">
        <v>44010</v>
      </c>
      <c r="G527" t="s">
        <v>93</v>
      </c>
      <c r="H527" s="4" t="s">
        <v>16</v>
      </c>
      <c r="I527" s="4">
        <v>-167.08</v>
      </c>
      <c r="J527" s="4">
        <v>-167.08</v>
      </c>
    </row>
    <row r="528" spans="1:10" x14ac:dyDescent="0.3">
      <c r="A528" s="3">
        <v>2033783</v>
      </c>
      <c r="B528">
        <v>11845</v>
      </c>
      <c r="C528">
        <v>1</v>
      </c>
      <c r="D528" s="9">
        <v>106</v>
      </c>
      <c r="E528">
        <v>1003</v>
      </c>
      <c r="F528" s="1">
        <v>44010</v>
      </c>
      <c r="G528" t="s">
        <v>80</v>
      </c>
      <c r="H528" s="4">
        <v>172.08</v>
      </c>
      <c r="I528" s="4" t="s">
        <v>16</v>
      </c>
      <c r="J528" s="4">
        <v>172.08</v>
      </c>
    </row>
    <row r="529" spans="1:10" x14ac:dyDescent="0.3">
      <c r="A529" s="3">
        <v>2033783</v>
      </c>
      <c r="B529">
        <v>43310</v>
      </c>
      <c r="C529">
        <v>1</v>
      </c>
      <c r="D529" s="9">
        <v>106</v>
      </c>
      <c r="E529">
        <v>1003</v>
      </c>
      <c r="F529" s="1">
        <v>44010</v>
      </c>
      <c r="G529" t="s">
        <v>80</v>
      </c>
      <c r="H529" s="4" t="s">
        <v>16</v>
      </c>
      <c r="I529" s="4">
        <v>-172.08</v>
      </c>
      <c r="J529" s="4">
        <v>-172.08</v>
      </c>
    </row>
    <row r="530" spans="1:10" x14ac:dyDescent="0.3">
      <c r="A530" s="3">
        <v>2033784</v>
      </c>
      <c r="B530">
        <v>14260</v>
      </c>
      <c r="C530">
        <v>1</v>
      </c>
      <c r="D530" s="9">
        <v>102</v>
      </c>
      <c r="E530">
        <v>1002</v>
      </c>
      <c r="F530" s="1">
        <v>44010</v>
      </c>
      <c r="G530" t="s">
        <v>47</v>
      </c>
      <c r="H530" s="4">
        <v>185.97</v>
      </c>
      <c r="I530" s="4" t="s">
        <v>16</v>
      </c>
      <c r="J530" s="4">
        <v>185.97</v>
      </c>
    </row>
    <row r="531" spans="1:10" x14ac:dyDescent="0.3">
      <c r="A531" s="3">
        <v>2033784</v>
      </c>
      <c r="B531">
        <v>11845</v>
      </c>
      <c r="C531">
        <v>1</v>
      </c>
      <c r="D531" s="9">
        <v>102</v>
      </c>
      <c r="E531">
        <v>1002</v>
      </c>
      <c r="F531" s="1">
        <v>44010</v>
      </c>
      <c r="G531" t="s">
        <v>47</v>
      </c>
      <c r="H531" s="4" t="s">
        <v>16</v>
      </c>
      <c r="I531" s="4">
        <v>-185.97</v>
      </c>
      <c r="J531" s="4">
        <v>-185.97</v>
      </c>
    </row>
    <row r="532" spans="1:10" x14ac:dyDescent="0.3">
      <c r="A532" s="3">
        <v>2033785</v>
      </c>
      <c r="B532">
        <v>51620</v>
      </c>
      <c r="C532">
        <v>1</v>
      </c>
      <c r="D532" s="9">
        <v>105</v>
      </c>
      <c r="E532">
        <v>1006</v>
      </c>
      <c r="F532" s="1">
        <v>44010</v>
      </c>
      <c r="G532" t="s">
        <v>91</v>
      </c>
      <c r="H532" s="4">
        <v>195.16</v>
      </c>
      <c r="I532" s="4" t="s">
        <v>16</v>
      </c>
      <c r="J532" s="4">
        <v>195.16</v>
      </c>
    </row>
    <row r="533" spans="1:10" x14ac:dyDescent="0.3">
      <c r="A533" s="3">
        <v>2033785</v>
      </c>
      <c r="B533">
        <v>22110</v>
      </c>
      <c r="C533">
        <v>1</v>
      </c>
      <c r="D533" s="9">
        <v>105</v>
      </c>
      <c r="E533">
        <v>1006</v>
      </c>
      <c r="F533" s="1">
        <v>44010</v>
      </c>
      <c r="G533" t="s">
        <v>91</v>
      </c>
      <c r="H533" s="4" t="s">
        <v>16</v>
      </c>
      <c r="I533" s="4">
        <v>-195.16</v>
      </c>
      <c r="J533" s="4">
        <v>-195.16</v>
      </c>
    </row>
    <row r="534" spans="1:10" x14ac:dyDescent="0.3">
      <c r="A534" s="3">
        <v>2033786</v>
      </c>
      <c r="B534">
        <v>11845</v>
      </c>
      <c r="C534">
        <v>2</v>
      </c>
      <c r="D534" s="9">
        <v>104</v>
      </c>
      <c r="E534">
        <v>1003</v>
      </c>
      <c r="F534" s="1">
        <v>44010</v>
      </c>
      <c r="G534" t="s">
        <v>242</v>
      </c>
      <c r="H534" s="4">
        <v>198</v>
      </c>
      <c r="I534" s="4" t="s">
        <v>16</v>
      </c>
      <c r="J534" s="4">
        <v>198</v>
      </c>
    </row>
    <row r="535" spans="1:10" x14ac:dyDescent="0.3">
      <c r="A535" s="3">
        <v>2033786</v>
      </c>
      <c r="B535">
        <v>43180</v>
      </c>
      <c r="C535">
        <v>2</v>
      </c>
      <c r="D535" s="9">
        <v>104</v>
      </c>
      <c r="E535">
        <v>1003</v>
      </c>
      <c r="F535" s="1">
        <v>44010</v>
      </c>
      <c r="G535" t="s">
        <v>242</v>
      </c>
      <c r="H535" s="4" t="s">
        <v>16</v>
      </c>
      <c r="I535" s="4">
        <v>-198</v>
      </c>
      <c r="J535" s="4">
        <v>-198</v>
      </c>
    </row>
    <row r="536" spans="1:10" x14ac:dyDescent="0.3">
      <c r="A536" s="3">
        <v>2033787</v>
      </c>
      <c r="B536">
        <v>14260</v>
      </c>
      <c r="C536">
        <v>1</v>
      </c>
      <c r="D536" s="9">
        <v>102</v>
      </c>
      <c r="E536">
        <v>1002</v>
      </c>
      <c r="F536" s="1">
        <v>44010</v>
      </c>
      <c r="G536" t="s">
        <v>47</v>
      </c>
      <c r="H536" s="4">
        <v>198</v>
      </c>
      <c r="I536" s="4" t="s">
        <v>16</v>
      </c>
      <c r="J536" s="4">
        <v>198</v>
      </c>
    </row>
    <row r="537" spans="1:10" x14ac:dyDescent="0.3">
      <c r="A537" s="3">
        <v>2033787</v>
      </c>
      <c r="B537">
        <v>11845</v>
      </c>
      <c r="C537">
        <v>1</v>
      </c>
      <c r="D537" s="9">
        <v>102</v>
      </c>
      <c r="E537">
        <v>1002</v>
      </c>
      <c r="F537" s="1">
        <v>44010</v>
      </c>
      <c r="G537" t="s">
        <v>47</v>
      </c>
      <c r="H537" s="4" t="s">
        <v>16</v>
      </c>
      <c r="I537" s="4">
        <v>-198</v>
      </c>
      <c r="J537" s="4">
        <v>-198</v>
      </c>
    </row>
    <row r="538" spans="1:10" x14ac:dyDescent="0.3">
      <c r="A538" s="3">
        <v>2033788</v>
      </c>
      <c r="B538">
        <v>51400</v>
      </c>
      <c r="C538">
        <v>6</v>
      </c>
      <c r="D538" s="9">
        <v>105</v>
      </c>
      <c r="E538">
        <v>1006</v>
      </c>
      <c r="F538" s="1">
        <v>44010</v>
      </c>
      <c r="G538" t="s">
        <v>93</v>
      </c>
      <c r="H538" s="4">
        <v>204.48</v>
      </c>
      <c r="I538" s="4" t="s">
        <v>16</v>
      </c>
      <c r="J538" s="4">
        <v>204.48</v>
      </c>
    </row>
    <row r="539" spans="1:10" x14ac:dyDescent="0.3">
      <c r="A539" s="3">
        <v>2033788</v>
      </c>
      <c r="B539">
        <v>22110</v>
      </c>
      <c r="C539">
        <v>6</v>
      </c>
      <c r="D539" s="9">
        <v>105</v>
      </c>
      <c r="E539">
        <v>1006</v>
      </c>
      <c r="F539" s="1">
        <v>44010</v>
      </c>
      <c r="G539" t="s">
        <v>93</v>
      </c>
      <c r="H539" s="4" t="s">
        <v>16</v>
      </c>
      <c r="I539" s="4">
        <v>-204.48</v>
      </c>
      <c r="J539" s="4">
        <v>-204.48</v>
      </c>
    </row>
    <row r="540" spans="1:10" x14ac:dyDescent="0.3">
      <c r="A540" s="3">
        <v>2033789</v>
      </c>
      <c r="B540">
        <v>14260</v>
      </c>
      <c r="C540">
        <v>1</v>
      </c>
      <c r="D540" s="9">
        <v>102</v>
      </c>
      <c r="E540">
        <v>1002</v>
      </c>
      <c r="F540" s="1">
        <v>44010</v>
      </c>
      <c r="G540" t="s">
        <v>47</v>
      </c>
      <c r="H540" s="4">
        <v>215.09</v>
      </c>
      <c r="I540" s="4" t="s">
        <v>16</v>
      </c>
      <c r="J540" s="4">
        <v>215.09</v>
      </c>
    </row>
    <row r="541" spans="1:10" x14ac:dyDescent="0.3">
      <c r="A541" s="3">
        <v>2033789</v>
      </c>
      <c r="B541">
        <v>11845</v>
      </c>
      <c r="C541">
        <v>1</v>
      </c>
      <c r="D541" s="9">
        <v>102</v>
      </c>
      <c r="E541">
        <v>1002</v>
      </c>
      <c r="F541" s="1">
        <v>44010</v>
      </c>
      <c r="G541" t="s">
        <v>47</v>
      </c>
      <c r="H541" s="4" t="s">
        <v>16</v>
      </c>
      <c r="I541" s="4">
        <v>-215.09</v>
      </c>
      <c r="J541" s="4">
        <v>-215.09</v>
      </c>
    </row>
    <row r="542" spans="1:10" x14ac:dyDescent="0.3">
      <c r="A542" s="3">
        <v>2033790</v>
      </c>
      <c r="B542">
        <v>71900</v>
      </c>
      <c r="C542">
        <v>1</v>
      </c>
      <c r="D542" s="9">
        <v>102</v>
      </c>
      <c r="E542">
        <v>1002</v>
      </c>
      <c r="F542" s="1">
        <v>44010</v>
      </c>
      <c r="G542" t="s">
        <v>36</v>
      </c>
      <c r="H542" s="4">
        <v>229.45</v>
      </c>
      <c r="I542" s="4" t="s">
        <v>16</v>
      </c>
      <c r="J542" s="4">
        <v>229.45</v>
      </c>
    </row>
    <row r="543" spans="1:10" x14ac:dyDescent="0.3">
      <c r="A543" s="3">
        <v>2033790</v>
      </c>
      <c r="B543">
        <v>11845</v>
      </c>
      <c r="C543">
        <v>1</v>
      </c>
      <c r="D543" s="9">
        <v>102</v>
      </c>
      <c r="E543">
        <v>1002</v>
      </c>
      <c r="F543" s="1">
        <v>44010</v>
      </c>
      <c r="G543" t="s">
        <v>36</v>
      </c>
      <c r="H543" s="4" t="s">
        <v>16</v>
      </c>
      <c r="I543" s="4">
        <v>-229.45</v>
      </c>
      <c r="J543" s="4">
        <v>-229.45</v>
      </c>
    </row>
    <row r="544" spans="1:10" x14ac:dyDescent="0.3">
      <c r="A544" s="3">
        <v>2033791</v>
      </c>
      <c r="B544">
        <v>72760</v>
      </c>
      <c r="C544">
        <v>6</v>
      </c>
      <c r="D544" s="9">
        <v>101</v>
      </c>
      <c r="E544">
        <v>1002</v>
      </c>
      <c r="F544" s="1">
        <v>44010</v>
      </c>
      <c r="G544" t="s">
        <v>135</v>
      </c>
      <c r="H544" s="4">
        <v>236.32</v>
      </c>
      <c r="I544" s="4" t="s">
        <v>16</v>
      </c>
      <c r="J544" s="4">
        <v>236.32</v>
      </c>
    </row>
    <row r="545" spans="1:10" x14ac:dyDescent="0.3">
      <c r="A545" s="3">
        <v>2033791</v>
      </c>
      <c r="B545">
        <v>11845</v>
      </c>
      <c r="C545">
        <v>6</v>
      </c>
      <c r="D545" s="9">
        <v>101</v>
      </c>
      <c r="E545">
        <v>1002</v>
      </c>
      <c r="F545" s="1">
        <v>44010</v>
      </c>
      <c r="G545" t="s">
        <v>135</v>
      </c>
      <c r="H545" s="4" t="s">
        <v>16</v>
      </c>
      <c r="I545" s="4">
        <v>-236.32</v>
      </c>
      <c r="J545" s="4">
        <v>-236.32</v>
      </c>
    </row>
    <row r="546" spans="1:10" x14ac:dyDescent="0.3">
      <c r="A546" s="3">
        <v>2033792</v>
      </c>
      <c r="B546">
        <v>11845</v>
      </c>
      <c r="C546">
        <v>2</v>
      </c>
      <c r="D546" s="9">
        <v>106</v>
      </c>
      <c r="E546">
        <v>1003</v>
      </c>
      <c r="F546" s="1">
        <v>44010</v>
      </c>
      <c r="G546" t="s">
        <v>81</v>
      </c>
      <c r="H546" s="4">
        <v>258</v>
      </c>
      <c r="I546" s="4" t="s">
        <v>16</v>
      </c>
      <c r="J546" s="4">
        <v>258</v>
      </c>
    </row>
    <row r="547" spans="1:10" x14ac:dyDescent="0.3">
      <c r="A547" s="3">
        <v>2033792</v>
      </c>
      <c r="B547">
        <v>43180</v>
      </c>
      <c r="C547">
        <v>2</v>
      </c>
      <c r="D547" s="9">
        <v>106</v>
      </c>
      <c r="E547">
        <v>1003</v>
      </c>
      <c r="F547" s="1">
        <v>44010</v>
      </c>
      <c r="G547" t="s">
        <v>81</v>
      </c>
      <c r="H547" s="4" t="s">
        <v>16</v>
      </c>
      <c r="I547" s="4">
        <v>-258</v>
      </c>
      <c r="J547" s="4">
        <v>-258</v>
      </c>
    </row>
    <row r="548" spans="1:10" x14ac:dyDescent="0.3">
      <c r="A548" s="3">
        <v>2033793</v>
      </c>
      <c r="B548">
        <v>14260</v>
      </c>
      <c r="C548">
        <v>1</v>
      </c>
      <c r="D548" s="9">
        <v>102</v>
      </c>
      <c r="E548">
        <v>1002</v>
      </c>
      <c r="F548" s="1">
        <v>44010</v>
      </c>
      <c r="G548" t="s">
        <v>47</v>
      </c>
      <c r="H548" s="4">
        <v>288.74</v>
      </c>
      <c r="I548" s="4" t="s">
        <v>16</v>
      </c>
      <c r="J548" s="4">
        <v>288.74</v>
      </c>
    </row>
    <row r="549" spans="1:10" x14ac:dyDescent="0.3">
      <c r="A549" s="3">
        <v>2033793</v>
      </c>
      <c r="B549">
        <v>11845</v>
      </c>
      <c r="C549">
        <v>1</v>
      </c>
      <c r="D549" s="9">
        <v>102</v>
      </c>
      <c r="E549">
        <v>1002</v>
      </c>
      <c r="F549" s="1">
        <v>44010</v>
      </c>
      <c r="G549" t="s">
        <v>47</v>
      </c>
      <c r="H549" s="4" t="s">
        <v>16</v>
      </c>
      <c r="I549" s="4">
        <v>-288.74</v>
      </c>
      <c r="J549" s="4">
        <v>-288.74</v>
      </c>
    </row>
    <row r="550" spans="1:10" x14ac:dyDescent="0.3">
      <c r="A550" s="3">
        <v>2033794</v>
      </c>
      <c r="B550">
        <v>51400</v>
      </c>
      <c r="C550">
        <v>4</v>
      </c>
      <c r="D550" s="9">
        <v>105</v>
      </c>
      <c r="E550">
        <v>1006</v>
      </c>
      <c r="F550" s="1">
        <v>44010</v>
      </c>
      <c r="G550" t="s">
        <v>93</v>
      </c>
      <c r="H550" s="4">
        <v>373.6</v>
      </c>
      <c r="I550" s="4" t="s">
        <v>16</v>
      </c>
      <c r="J550" s="4">
        <v>373.6</v>
      </c>
    </row>
    <row r="551" spans="1:10" x14ac:dyDescent="0.3">
      <c r="A551" s="3">
        <v>2033794</v>
      </c>
      <c r="B551">
        <v>22110</v>
      </c>
      <c r="C551">
        <v>4</v>
      </c>
      <c r="D551" s="9">
        <v>105</v>
      </c>
      <c r="E551">
        <v>1006</v>
      </c>
      <c r="F551" s="1">
        <v>44010</v>
      </c>
      <c r="G551" t="s">
        <v>93</v>
      </c>
      <c r="H551" s="4" t="s">
        <v>16</v>
      </c>
      <c r="I551" s="4">
        <v>-373.6</v>
      </c>
      <c r="J551" s="4">
        <v>-373.6</v>
      </c>
    </row>
    <row r="552" spans="1:10" x14ac:dyDescent="0.3">
      <c r="A552" s="3">
        <v>2033795</v>
      </c>
      <c r="B552">
        <v>51610</v>
      </c>
      <c r="C552">
        <v>6</v>
      </c>
      <c r="D552" s="9">
        <v>105</v>
      </c>
      <c r="E552">
        <v>1006</v>
      </c>
      <c r="F552" s="1">
        <v>44010</v>
      </c>
      <c r="G552" t="s">
        <v>131</v>
      </c>
      <c r="H552" s="4">
        <v>391</v>
      </c>
      <c r="I552" s="4" t="s">
        <v>16</v>
      </c>
      <c r="J552" s="4">
        <v>391</v>
      </c>
    </row>
    <row r="553" spans="1:10" x14ac:dyDescent="0.3">
      <c r="A553" s="3">
        <v>2033795</v>
      </c>
      <c r="B553">
        <v>22110</v>
      </c>
      <c r="C553">
        <v>6</v>
      </c>
      <c r="D553" s="9">
        <v>105</v>
      </c>
      <c r="E553">
        <v>1006</v>
      </c>
      <c r="F553" s="1">
        <v>44010</v>
      </c>
      <c r="G553" t="s">
        <v>131</v>
      </c>
      <c r="H553" s="4" t="s">
        <v>16</v>
      </c>
      <c r="I553" s="4">
        <v>-391</v>
      </c>
      <c r="J553" s="4">
        <v>-391</v>
      </c>
    </row>
    <row r="554" spans="1:10" x14ac:dyDescent="0.3">
      <c r="A554" s="3">
        <v>2033796</v>
      </c>
      <c r="B554">
        <v>51610</v>
      </c>
      <c r="C554">
        <v>1</v>
      </c>
      <c r="D554" s="9">
        <v>105</v>
      </c>
      <c r="E554">
        <v>1006</v>
      </c>
      <c r="F554" s="1">
        <v>44010</v>
      </c>
      <c r="G554" t="s">
        <v>94</v>
      </c>
      <c r="H554" s="4">
        <v>447.87</v>
      </c>
      <c r="I554" s="4" t="s">
        <v>16</v>
      </c>
      <c r="J554" s="4">
        <v>447.87</v>
      </c>
    </row>
    <row r="555" spans="1:10" x14ac:dyDescent="0.3">
      <c r="A555" s="3">
        <v>2033796</v>
      </c>
      <c r="B555">
        <v>22110</v>
      </c>
      <c r="C555">
        <v>1</v>
      </c>
      <c r="D555" s="9">
        <v>105</v>
      </c>
      <c r="E555">
        <v>1006</v>
      </c>
      <c r="F555" s="1">
        <v>44010</v>
      </c>
      <c r="G555" t="s">
        <v>94</v>
      </c>
      <c r="H555" s="4" t="s">
        <v>16</v>
      </c>
      <c r="I555" s="4">
        <v>-447.87</v>
      </c>
      <c r="J555" s="4">
        <v>-447.87</v>
      </c>
    </row>
    <row r="556" spans="1:10" x14ac:dyDescent="0.3">
      <c r="A556" s="3">
        <v>2033797</v>
      </c>
      <c r="B556">
        <v>14260</v>
      </c>
      <c r="C556">
        <v>1</v>
      </c>
      <c r="D556" s="9">
        <v>102</v>
      </c>
      <c r="E556">
        <v>1002</v>
      </c>
      <c r="F556" s="1">
        <v>44010</v>
      </c>
      <c r="G556" t="s">
        <v>47</v>
      </c>
      <c r="H556" s="4">
        <v>451.29</v>
      </c>
      <c r="I556" s="4" t="s">
        <v>16</v>
      </c>
      <c r="J556" s="4">
        <v>451.29</v>
      </c>
    </row>
    <row r="557" spans="1:10" x14ac:dyDescent="0.3">
      <c r="A557" s="3">
        <v>2033797</v>
      </c>
      <c r="B557">
        <v>11845</v>
      </c>
      <c r="C557">
        <v>1</v>
      </c>
      <c r="D557" s="9">
        <v>102</v>
      </c>
      <c r="E557">
        <v>1002</v>
      </c>
      <c r="F557" s="1">
        <v>44010</v>
      </c>
      <c r="G557" t="s">
        <v>47</v>
      </c>
      <c r="H557" s="4" t="s">
        <v>16</v>
      </c>
      <c r="I557" s="4">
        <v>-451.29</v>
      </c>
      <c r="J557" s="4">
        <v>-451.29</v>
      </c>
    </row>
    <row r="558" spans="1:10" x14ac:dyDescent="0.3">
      <c r="A558" s="3">
        <v>2033798</v>
      </c>
      <c r="B558">
        <v>51510</v>
      </c>
      <c r="C558">
        <v>6</v>
      </c>
      <c r="D558" s="9">
        <v>105</v>
      </c>
      <c r="E558">
        <v>1006</v>
      </c>
      <c r="F558" s="1">
        <v>44010</v>
      </c>
      <c r="G558" t="s">
        <v>96</v>
      </c>
      <c r="H558" s="4">
        <v>499.6</v>
      </c>
      <c r="I558" s="4" t="s">
        <v>16</v>
      </c>
      <c r="J558" s="4">
        <v>499.6</v>
      </c>
    </row>
    <row r="559" spans="1:10" x14ac:dyDescent="0.3">
      <c r="A559" s="3">
        <v>2033798</v>
      </c>
      <c r="B559">
        <v>22110</v>
      </c>
      <c r="C559">
        <v>6</v>
      </c>
      <c r="D559" s="9">
        <v>105</v>
      </c>
      <c r="E559">
        <v>1006</v>
      </c>
      <c r="F559" s="1">
        <v>44010</v>
      </c>
      <c r="G559" t="s">
        <v>96</v>
      </c>
      <c r="H559" s="4" t="s">
        <v>16</v>
      </c>
      <c r="I559" s="4">
        <v>-499.6</v>
      </c>
      <c r="J559" s="4">
        <v>-499.6</v>
      </c>
    </row>
    <row r="560" spans="1:10" x14ac:dyDescent="0.3">
      <c r="A560" s="3">
        <v>2033799</v>
      </c>
      <c r="B560">
        <v>14260</v>
      </c>
      <c r="C560">
        <v>1</v>
      </c>
      <c r="D560" s="9">
        <v>102</v>
      </c>
      <c r="E560">
        <v>1002</v>
      </c>
      <c r="F560" s="1">
        <v>44010</v>
      </c>
      <c r="G560" t="s">
        <v>47</v>
      </c>
      <c r="H560" s="4">
        <v>507.93</v>
      </c>
      <c r="I560" s="4" t="s">
        <v>16</v>
      </c>
      <c r="J560" s="4">
        <v>507.93</v>
      </c>
    </row>
    <row r="561" spans="1:10" x14ac:dyDescent="0.3">
      <c r="A561" s="3">
        <v>2033799</v>
      </c>
      <c r="B561">
        <v>11845</v>
      </c>
      <c r="C561">
        <v>1</v>
      </c>
      <c r="D561" s="9">
        <v>102</v>
      </c>
      <c r="E561">
        <v>1002</v>
      </c>
      <c r="F561" s="1">
        <v>44010</v>
      </c>
      <c r="G561" t="s">
        <v>47</v>
      </c>
      <c r="H561" s="4" t="s">
        <v>16</v>
      </c>
      <c r="I561" s="4">
        <v>-507.93</v>
      </c>
      <c r="J561" s="4">
        <v>-507.93</v>
      </c>
    </row>
    <row r="562" spans="1:10" x14ac:dyDescent="0.3">
      <c r="A562" s="3">
        <v>2033800</v>
      </c>
      <c r="B562">
        <v>14260</v>
      </c>
      <c r="C562">
        <v>1</v>
      </c>
      <c r="D562" s="9">
        <v>102</v>
      </c>
      <c r="E562">
        <v>1002</v>
      </c>
      <c r="F562" s="1">
        <v>44010</v>
      </c>
      <c r="G562" t="s">
        <v>39</v>
      </c>
      <c r="H562" s="4">
        <v>510.91</v>
      </c>
      <c r="I562" s="4" t="s">
        <v>16</v>
      </c>
      <c r="J562" s="4">
        <v>510.91</v>
      </c>
    </row>
    <row r="563" spans="1:10" x14ac:dyDescent="0.3">
      <c r="A563" s="3">
        <v>2033800</v>
      </c>
      <c r="B563">
        <v>11845</v>
      </c>
      <c r="C563">
        <v>1</v>
      </c>
      <c r="D563" s="9">
        <v>102</v>
      </c>
      <c r="E563">
        <v>1002</v>
      </c>
      <c r="F563" s="1">
        <v>44010</v>
      </c>
      <c r="G563" t="s">
        <v>39</v>
      </c>
      <c r="H563" s="4" t="s">
        <v>16</v>
      </c>
      <c r="I563" s="4">
        <v>-510.91</v>
      </c>
      <c r="J563" s="4">
        <v>-510.91</v>
      </c>
    </row>
    <row r="564" spans="1:10" x14ac:dyDescent="0.3">
      <c r="A564" s="3">
        <v>2033801</v>
      </c>
      <c r="B564">
        <v>14260</v>
      </c>
      <c r="C564">
        <v>1</v>
      </c>
      <c r="D564" s="9">
        <v>102</v>
      </c>
      <c r="E564">
        <v>1002</v>
      </c>
      <c r="F564" s="1">
        <v>44010</v>
      </c>
      <c r="G564" t="s">
        <v>39</v>
      </c>
      <c r="H564" s="4">
        <v>552.67999999999995</v>
      </c>
      <c r="I564" s="4" t="s">
        <v>16</v>
      </c>
      <c r="J564" s="4">
        <v>552.67999999999995</v>
      </c>
    </row>
    <row r="565" spans="1:10" x14ac:dyDescent="0.3">
      <c r="A565" s="3">
        <v>2033801</v>
      </c>
      <c r="B565">
        <v>11845</v>
      </c>
      <c r="C565">
        <v>1</v>
      </c>
      <c r="D565" s="9">
        <v>102</v>
      </c>
      <c r="E565">
        <v>1002</v>
      </c>
      <c r="F565" s="1">
        <v>44010</v>
      </c>
      <c r="G565" t="s">
        <v>39</v>
      </c>
      <c r="H565" s="4" t="s">
        <v>16</v>
      </c>
      <c r="I565" s="4">
        <v>-552.67999999999995</v>
      </c>
      <c r="J565" s="4">
        <v>-552.67999999999995</v>
      </c>
    </row>
    <row r="566" spans="1:10" x14ac:dyDescent="0.3">
      <c r="A566" s="3">
        <v>2033802</v>
      </c>
      <c r="B566">
        <v>14260</v>
      </c>
      <c r="C566">
        <v>1</v>
      </c>
      <c r="D566" s="9">
        <v>102</v>
      </c>
      <c r="E566">
        <v>1002</v>
      </c>
      <c r="F566" s="1">
        <v>44010</v>
      </c>
      <c r="G566" t="s">
        <v>39</v>
      </c>
      <c r="H566" s="4">
        <v>670.46</v>
      </c>
      <c r="I566" s="4" t="s">
        <v>16</v>
      </c>
      <c r="J566" s="4">
        <v>670.46</v>
      </c>
    </row>
    <row r="567" spans="1:10" x14ac:dyDescent="0.3">
      <c r="A567" s="3">
        <v>2033802</v>
      </c>
      <c r="B567">
        <v>11845</v>
      </c>
      <c r="C567">
        <v>1</v>
      </c>
      <c r="D567" s="9">
        <v>102</v>
      </c>
      <c r="E567">
        <v>1002</v>
      </c>
      <c r="F567" s="1">
        <v>44010</v>
      </c>
      <c r="G567" t="s">
        <v>39</v>
      </c>
      <c r="H567" s="4" t="s">
        <v>16</v>
      </c>
      <c r="I567" s="4">
        <v>-670.46</v>
      </c>
      <c r="J567" s="4">
        <v>-670.46</v>
      </c>
    </row>
    <row r="568" spans="1:10" x14ac:dyDescent="0.3">
      <c r="A568" s="3">
        <v>2033803</v>
      </c>
      <c r="B568">
        <v>51610</v>
      </c>
      <c r="C568">
        <v>2</v>
      </c>
      <c r="D568" s="9">
        <v>105</v>
      </c>
      <c r="E568">
        <v>1006</v>
      </c>
      <c r="F568" s="1">
        <v>44010</v>
      </c>
      <c r="G568" t="s">
        <v>118</v>
      </c>
      <c r="H568" s="4">
        <v>685.1</v>
      </c>
      <c r="I568" s="4" t="s">
        <v>16</v>
      </c>
      <c r="J568" s="4">
        <v>685.1</v>
      </c>
    </row>
    <row r="569" spans="1:10" x14ac:dyDescent="0.3">
      <c r="A569" s="3">
        <v>2033803</v>
      </c>
      <c r="B569">
        <v>22110</v>
      </c>
      <c r="C569">
        <v>2</v>
      </c>
      <c r="D569" s="9">
        <v>105</v>
      </c>
      <c r="E569">
        <v>1006</v>
      </c>
      <c r="F569" s="1">
        <v>44010</v>
      </c>
      <c r="G569" t="s">
        <v>118</v>
      </c>
      <c r="H569" s="4" t="s">
        <v>16</v>
      </c>
      <c r="I569" s="4">
        <v>-685.1</v>
      </c>
      <c r="J569" s="4">
        <v>-685.1</v>
      </c>
    </row>
    <row r="570" spans="1:10" x14ac:dyDescent="0.3">
      <c r="A570" s="3">
        <v>2033804</v>
      </c>
      <c r="B570">
        <v>51400</v>
      </c>
      <c r="C570">
        <v>2</v>
      </c>
      <c r="D570" s="9">
        <v>105</v>
      </c>
      <c r="E570">
        <v>1006</v>
      </c>
      <c r="F570" s="1">
        <v>44010</v>
      </c>
      <c r="G570" t="s">
        <v>93</v>
      </c>
      <c r="H570" s="4">
        <v>714.39</v>
      </c>
      <c r="I570" s="4" t="s">
        <v>16</v>
      </c>
      <c r="J570" s="4">
        <v>714.39</v>
      </c>
    </row>
    <row r="571" spans="1:10" x14ac:dyDescent="0.3">
      <c r="A571" s="3">
        <v>2033804</v>
      </c>
      <c r="B571">
        <v>22110</v>
      </c>
      <c r="C571">
        <v>2</v>
      </c>
      <c r="D571" s="9">
        <v>105</v>
      </c>
      <c r="E571">
        <v>1006</v>
      </c>
      <c r="F571" s="1">
        <v>44010</v>
      </c>
      <c r="G571" t="s">
        <v>93</v>
      </c>
      <c r="H571" s="4" t="s">
        <v>16</v>
      </c>
      <c r="I571" s="4">
        <v>-714.39</v>
      </c>
      <c r="J571" s="4">
        <v>-714.39</v>
      </c>
    </row>
    <row r="572" spans="1:10" x14ac:dyDescent="0.3">
      <c r="A572" s="3">
        <v>2033805</v>
      </c>
      <c r="B572">
        <v>51610</v>
      </c>
      <c r="C572">
        <v>2</v>
      </c>
      <c r="D572" s="9">
        <v>105</v>
      </c>
      <c r="E572">
        <v>1006</v>
      </c>
      <c r="F572" s="1">
        <v>44010</v>
      </c>
      <c r="G572" t="s">
        <v>99</v>
      </c>
      <c r="H572" s="4">
        <v>792</v>
      </c>
      <c r="I572" s="4" t="s">
        <v>16</v>
      </c>
      <c r="J572" s="4">
        <v>792</v>
      </c>
    </row>
    <row r="573" spans="1:10" x14ac:dyDescent="0.3">
      <c r="A573" s="3">
        <v>2033805</v>
      </c>
      <c r="B573">
        <v>22110</v>
      </c>
      <c r="C573">
        <v>2</v>
      </c>
      <c r="D573" s="9">
        <v>105</v>
      </c>
      <c r="E573">
        <v>1006</v>
      </c>
      <c r="F573" s="1">
        <v>44010</v>
      </c>
      <c r="G573" t="s">
        <v>99</v>
      </c>
      <c r="H573" s="4" t="s">
        <v>16</v>
      </c>
      <c r="I573" s="4">
        <v>-792</v>
      </c>
      <c r="J573" s="4">
        <v>-792</v>
      </c>
    </row>
    <row r="574" spans="1:10" x14ac:dyDescent="0.3">
      <c r="A574" s="3">
        <v>2033806</v>
      </c>
      <c r="B574">
        <v>11845</v>
      </c>
      <c r="C574">
        <v>1</v>
      </c>
      <c r="D574" s="9">
        <v>102</v>
      </c>
      <c r="E574">
        <v>1001</v>
      </c>
      <c r="F574" s="1">
        <v>44010</v>
      </c>
      <c r="G574" t="s">
        <v>41</v>
      </c>
      <c r="H574" s="4">
        <v>806.19</v>
      </c>
      <c r="I574" s="4" t="s">
        <v>16</v>
      </c>
      <c r="J574" s="4">
        <v>806.19</v>
      </c>
    </row>
    <row r="575" spans="1:10" x14ac:dyDescent="0.3">
      <c r="A575" s="3">
        <v>2033806</v>
      </c>
      <c r="B575">
        <v>43310</v>
      </c>
      <c r="C575">
        <v>1</v>
      </c>
      <c r="D575" s="9">
        <v>102</v>
      </c>
      <c r="E575">
        <v>1001</v>
      </c>
      <c r="F575" s="1">
        <v>44010</v>
      </c>
      <c r="G575" t="s">
        <v>41</v>
      </c>
      <c r="H575" s="4" t="s">
        <v>16</v>
      </c>
      <c r="I575" s="4">
        <v>-806.19</v>
      </c>
      <c r="J575" s="4">
        <v>-806.19</v>
      </c>
    </row>
    <row r="576" spans="1:10" x14ac:dyDescent="0.3">
      <c r="A576" s="3">
        <v>2033807</v>
      </c>
      <c r="B576">
        <v>72760</v>
      </c>
      <c r="C576">
        <v>1</v>
      </c>
      <c r="D576" s="9">
        <v>101</v>
      </c>
      <c r="E576">
        <v>1002</v>
      </c>
      <c r="F576" s="1">
        <v>44010</v>
      </c>
      <c r="G576" t="s">
        <v>164</v>
      </c>
      <c r="H576" s="4">
        <v>843.75</v>
      </c>
      <c r="I576" s="4" t="s">
        <v>16</v>
      </c>
      <c r="J576" s="4">
        <v>843.75</v>
      </c>
    </row>
    <row r="577" spans="1:10" x14ac:dyDescent="0.3">
      <c r="A577" s="3">
        <v>2033807</v>
      </c>
      <c r="B577">
        <v>11845</v>
      </c>
      <c r="C577">
        <v>1</v>
      </c>
      <c r="D577" s="9">
        <v>101</v>
      </c>
      <c r="E577">
        <v>1002</v>
      </c>
      <c r="F577" s="1">
        <v>44010</v>
      </c>
      <c r="G577" t="s">
        <v>164</v>
      </c>
      <c r="H577" s="4" t="s">
        <v>16</v>
      </c>
      <c r="I577" s="4">
        <v>-843.75</v>
      </c>
      <c r="J577" s="4">
        <v>-843.75</v>
      </c>
    </row>
    <row r="578" spans="1:10" x14ac:dyDescent="0.3">
      <c r="A578" s="3">
        <v>2033808</v>
      </c>
      <c r="B578">
        <v>51402</v>
      </c>
      <c r="C578">
        <v>1</v>
      </c>
      <c r="D578" s="9">
        <v>105</v>
      </c>
      <c r="E578">
        <v>1006</v>
      </c>
      <c r="F578" s="1">
        <v>44010</v>
      </c>
      <c r="G578" t="s">
        <v>93</v>
      </c>
      <c r="H578" s="4">
        <v>849.76</v>
      </c>
      <c r="I578" s="4" t="s">
        <v>16</v>
      </c>
      <c r="J578" s="4">
        <v>849.76</v>
      </c>
    </row>
    <row r="579" spans="1:10" x14ac:dyDescent="0.3">
      <c r="A579" s="3">
        <v>2033808</v>
      </c>
      <c r="B579">
        <v>22110</v>
      </c>
      <c r="C579">
        <v>1</v>
      </c>
      <c r="D579" s="9">
        <v>105</v>
      </c>
      <c r="E579">
        <v>1006</v>
      </c>
      <c r="F579" s="1">
        <v>44010</v>
      </c>
      <c r="G579" t="s">
        <v>93</v>
      </c>
      <c r="H579" s="4" t="s">
        <v>16</v>
      </c>
      <c r="I579" s="4">
        <v>-849.76</v>
      </c>
      <c r="J579" s="4">
        <v>-849.76</v>
      </c>
    </row>
    <row r="580" spans="1:10" x14ac:dyDescent="0.3">
      <c r="A580" s="3">
        <v>2033809</v>
      </c>
      <c r="B580">
        <v>43180</v>
      </c>
      <c r="C580">
        <v>2</v>
      </c>
      <c r="D580" s="9">
        <v>104</v>
      </c>
      <c r="E580">
        <v>1003</v>
      </c>
      <c r="F580" s="1">
        <v>44010</v>
      </c>
      <c r="G580" t="s">
        <v>240</v>
      </c>
      <c r="H580" s="4">
        <v>945</v>
      </c>
      <c r="I580" s="4" t="s">
        <v>16</v>
      </c>
      <c r="J580" s="4">
        <v>945</v>
      </c>
    </row>
    <row r="581" spans="1:10" x14ac:dyDescent="0.3">
      <c r="A581" s="3">
        <v>2033809</v>
      </c>
      <c r="B581">
        <v>11845</v>
      </c>
      <c r="C581">
        <v>2</v>
      </c>
      <c r="D581" s="9">
        <v>104</v>
      </c>
      <c r="E581">
        <v>1003</v>
      </c>
      <c r="F581" s="1">
        <v>44010</v>
      </c>
      <c r="G581" t="s">
        <v>240</v>
      </c>
      <c r="H581" s="4" t="s">
        <v>16</v>
      </c>
      <c r="I581" s="4">
        <v>-945</v>
      </c>
      <c r="J581" s="4">
        <v>-945</v>
      </c>
    </row>
    <row r="582" spans="1:10" x14ac:dyDescent="0.3">
      <c r="A582" s="3">
        <v>2033810</v>
      </c>
      <c r="B582">
        <v>51510</v>
      </c>
      <c r="C582">
        <v>4</v>
      </c>
      <c r="D582" s="9">
        <v>105</v>
      </c>
      <c r="E582">
        <v>1006</v>
      </c>
      <c r="F582" s="1">
        <v>44010</v>
      </c>
      <c r="G582" t="s">
        <v>96</v>
      </c>
      <c r="H582" s="4">
        <v>1024.42</v>
      </c>
      <c r="I582" s="4" t="s">
        <v>16</v>
      </c>
      <c r="J582" s="4">
        <v>1024.42</v>
      </c>
    </row>
    <row r="583" spans="1:10" x14ac:dyDescent="0.3">
      <c r="A583" s="3">
        <v>2033810</v>
      </c>
      <c r="B583">
        <v>22110</v>
      </c>
      <c r="C583">
        <v>4</v>
      </c>
      <c r="D583" s="9">
        <v>105</v>
      </c>
      <c r="E583">
        <v>1006</v>
      </c>
      <c r="F583" s="1">
        <v>44010</v>
      </c>
      <c r="G583" t="s">
        <v>96</v>
      </c>
      <c r="H583" s="4" t="s">
        <v>16</v>
      </c>
      <c r="I583" s="4">
        <v>-1024.42</v>
      </c>
      <c r="J583" s="4">
        <v>-1024.42</v>
      </c>
    </row>
    <row r="584" spans="1:10" x14ac:dyDescent="0.3">
      <c r="A584" s="3">
        <v>2033811</v>
      </c>
      <c r="B584">
        <v>14260</v>
      </c>
      <c r="C584">
        <v>1</v>
      </c>
      <c r="D584" s="9">
        <v>101</v>
      </c>
      <c r="E584">
        <v>1002</v>
      </c>
      <c r="F584" s="1">
        <v>44010</v>
      </c>
      <c r="G584" t="s">
        <v>85</v>
      </c>
      <c r="H584" s="4">
        <v>1093.45</v>
      </c>
      <c r="I584" s="4" t="s">
        <v>16</v>
      </c>
      <c r="J584" s="4">
        <v>1093.45</v>
      </c>
    </row>
    <row r="585" spans="1:10" x14ac:dyDescent="0.3">
      <c r="A585" s="3">
        <v>2033811</v>
      </c>
      <c r="B585">
        <v>11845</v>
      </c>
      <c r="C585">
        <v>1</v>
      </c>
      <c r="D585" s="9">
        <v>101</v>
      </c>
      <c r="E585">
        <v>1002</v>
      </c>
      <c r="F585" s="1">
        <v>44010</v>
      </c>
      <c r="G585" t="s">
        <v>85</v>
      </c>
      <c r="H585" s="4" t="s">
        <v>16</v>
      </c>
      <c r="I585" s="4">
        <v>-1093.45</v>
      </c>
      <c r="J585" s="4">
        <v>-1093.45</v>
      </c>
    </row>
    <row r="586" spans="1:10" x14ac:dyDescent="0.3">
      <c r="A586" s="3">
        <v>2033812</v>
      </c>
      <c r="B586">
        <v>14260</v>
      </c>
      <c r="C586">
        <v>1</v>
      </c>
      <c r="D586" s="9">
        <v>102</v>
      </c>
      <c r="E586">
        <v>1002</v>
      </c>
      <c r="F586" s="1">
        <v>44010</v>
      </c>
      <c r="G586" t="s">
        <v>126</v>
      </c>
      <c r="H586" s="4">
        <v>1426.85</v>
      </c>
      <c r="I586" s="4" t="s">
        <v>16</v>
      </c>
      <c r="J586" s="4">
        <v>1426.85</v>
      </c>
    </row>
    <row r="587" spans="1:10" x14ac:dyDescent="0.3">
      <c r="A587" s="3">
        <v>2033812</v>
      </c>
      <c r="B587">
        <v>11845</v>
      </c>
      <c r="C587">
        <v>1</v>
      </c>
      <c r="D587" s="9">
        <v>102</v>
      </c>
      <c r="E587">
        <v>1002</v>
      </c>
      <c r="F587" s="1">
        <v>44010</v>
      </c>
      <c r="G587" t="s">
        <v>126</v>
      </c>
      <c r="H587" s="4" t="s">
        <v>16</v>
      </c>
      <c r="I587" s="4">
        <v>-1426.85</v>
      </c>
      <c r="J587" s="4">
        <v>-1426.85</v>
      </c>
    </row>
    <row r="588" spans="1:10" x14ac:dyDescent="0.3">
      <c r="A588" s="3">
        <v>2033813</v>
      </c>
      <c r="B588">
        <v>11845</v>
      </c>
      <c r="C588">
        <v>1</v>
      </c>
      <c r="D588" s="9">
        <v>102</v>
      </c>
      <c r="E588">
        <v>1003</v>
      </c>
      <c r="F588" s="1">
        <v>44010</v>
      </c>
      <c r="G588" t="s">
        <v>15</v>
      </c>
      <c r="H588" s="4">
        <v>1806.46</v>
      </c>
      <c r="I588" s="4" t="s">
        <v>16</v>
      </c>
      <c r="J588" s="4">
        <v>1806.46</v>
      </c>
    </row>
    <row r="589" spans="1:10" x14ac:dyDescent="0.3">
      <c r="A589" s="3">
        <v>2033813</v>
      </c>
      <c r="B589">
        <v>43310</v>
      </c>
      <c r="C589">
        <v>1</v>
      </c>
      <c r="D589" s="9">
        <v>102</v>
      </c>
      <c r="E589">
        <v>1003</v>
      </c>
      <c r="F589" s="1">
        <v>44010</v>
      </c>
      <c r="G589" t="s">
        <v>15</v>
      </c>
      <c r="H589" s="4" t="s">
        <v>16</v>
      </c>
      <c r="I589" s="4">
        <v>-1806.46</v>
      </c>
      <c r="J589" s="4">
        <v>-1806.46</v>
      </c>
    </row>
    <row r="590" spans="1:10" x14ac:dyDescent="0.3">
      <c r="A590" s="3">
        <v>2033814</v>
      </c>
      <c r="B590">
        <v>51510</v>
      </c>
      <c r="C590">
        <v>2</v>
      </c>
      <c r="D590" s="9">
        <v>105</v>
      </c>
      <c r="E590">
        <v>1006</v>
      </c>
      <c r="F590" s="1">
        <v>44010</v>
      </c>
      <c r="G590" t="s">
        <v>96</v>
      </c>
      <c r="H590" s="4">
        <v>1808.54</v>
      </c>
      <c r="I590" s="4" t="s">
        <v>16</v>
      </c>
      <c r="J590" s="4">
        <v>1808.54</v>
      </c>
    </row>
    <row r="591" spans="1:10" x14ac:dyDescent="0.3">
      <c r="A591" s="3">
        <v>2033814</v>
      </c>
      <c r="B591">
        <v>22110</v>
      </c>
      <c r="C591">
        <v>2</v>
      </c>
      <c r="D591" s="9">
        <v>105</v>
      </c>
      <c r="E591">
        <v>1006</v>
      </c>
      <c r="F591" s="1">
        <v>44010</v>
      </c>
      <c r="G591" t="s">
        <v>96</v>
      </c>
      <c r="H591" s="4" t="s">
        <v>16</v>
      </c>
      <c r="I591" s="4">
        <v>-1808.54</v>
      </c>
      <c r="J591" s="4">
        <v>-1808.54</v>
      </c>
    </row>
    <row r="592" spans="1:10" x14ac:dyDescent="0.3">
      <c r="A592" s="3">
        <v>2033815</v>
      </c>
      <c r="B592">
        <v>51610</v>
      </c>
      <c r="C592">
        <v>4</v>
      </c>
      <c r="D592" s="9">
        <v>105</v>
      </c>
      <c r="E592">
        <v>1006</v>
      </c>
      <c r="F592" s="1">
        <v>44010</v>
      </c>
      <c r="G592" t="s">
        <v>99</v>
      </c>
      <c r="H592" s="4">
        <v>1983</v>
      </c>
      <c r="I592" s="4" t="s">
        <v>16</v>
      </c>
      <c r="J592" s="4">
        <v>1983</v>
      </c>
    </row>
    <row r="593" spans="1:10" x14ac:dyDescent="0.3">
      <c r="A593" s="3">
        <v>2033815</v>
      </c>
      <c r="B593">
        <v>22110</v>
      </c>
      <c r="C593">
        <v>4</v>
      </c>
      <c r="D593" s="9">
        <v>105</v>
      </c>
      <c r="E593">
        <v>1006</v>
      </c>
      <c r="F593" s="1">
        <v>44010</v>
      </c>
      <c r="G593" t="s">
        <v>99</v>
      </c>
      <c r="H593" s="4" t="s">
        <v>16</v>
      </c>
      <c r="I593" s="4">
        <v>-1983</v>
      </c>
      <c r="J593" s="4">
        <v>-1983</v>
      </c>
    </row>
    <row r="594" spans="1:10" x14ac:dyDescent="0.3">
      <c r="A594" s="3">
        <v>2033816</v>
      </c>
      <c r="B594">
        <v>14260</v>
      </c>
      <c r="C594">
        <v>1</v>
      </c>
      <c r="D594" s="9">
        <v>101</v>
      </c>
      <c r="E594">
        <v>1002</v>
      </c>
      <c r="F594" s="1">
        <v>44010</v>
      </c>
      <c r="G594" t="s">
        <v>38</v>
      </c>
      <c r="H594" s="4">
        <v>2753.74</v>
      </c>
      <c r="I594" s="4" t="s">
        <v>16</v>
      </c>
      <c r="J594" s="4">
        <v>2753.74</v>
      </c>
    </row>
    <row r="595" spans="1:10" x14ac:dyDescent="0.3">
      <c r="A595" s="3">
        <v>2033816</v>
      </c>
      <c r="B595">
        <v>11845</v>
      </c>
      <c r="C595">
        <v>1</v>
      </c>
      <c r="D595" s="9">
        <v>101</v>
      </c>
      <c r="E595">
        <v>1002</v>
      </c>
      <c r="F595" s="1">
        <v>44010</v>
      </c>
      <c r="G595" t="s">
        <v>38</v>
      </c>
      <c r="H595" s="4" t="s">
        <v>16</v>
      </c>
      <c r="I595" s="4">
        <v>-2753.74</v>
      </c>
      <c r="J595" s="4">
        <v>-2753.74</v>
      </c>
    </row>
    <row r="596" spans="1:10" x14ac:dyDescent="0.3">
      <c r="A596" s="3">
        <v>2033817</v>
      </c>
      <c r="B596">
        <v>11845</v>
      </c>
      <c r="C596">
        <v>1</v>
      </c>
      <c r="D596" s="9">
        <v>106</v>
      </c>
      <c r="E596">
        <v>1003</v>
      </c>
      <c r="F596" s="1">
        <v>44010</v>
      </c>
      <c r="G596" t="s">
        <v>80</v>
      </c>
      <c r="H596" s="4">
        <v>2761.78</v>
      </c>
      <c r="I596" s="4" t="s">
        <v>16</v>
      </c>
      <c r="J596" s="4">
        <v>2761.78</v>
      </c>
    </row>
    <row r="597" spans="1:10" x14ac:dyDescent="0.3">
      <c r="A597" s="3">
        <v>2033817</v>
      </c>
      <c r="B597">
        <v>43310</v>
      </c>
      <c r="C597">
        <v>1</v>
      </c>
      <c r="D597" s="9">
        <v>106</v>
      </c>
      <c r="E597">
        <v>1003</v>
      </c>
      <c r="F597" s="1">
        <v>44010</v>
      </c>
      <c r="G597" t="s">
        <v>80</v>
      </c>
      <c r="H597" s="4" t="s">
        <v>16</v>
      </c>
      <c r="I597" s="4">
        <v>-2761.78</v>
      </c>
      <c r="J597" s="4">
        <v>-2761.78</v>
      </c>
    </row>
    <row r="598" spans="1:10" x14ac:dyDescent="0.3">
      <c r="A598" s="3">
        <v>2033818</v>
      </c>
      <c r="B598">
        <v>14260</v>
      </c>
      <c r="C598">
        <v>1</v>
      </c>
      <c r="D598" s="9">
        <v>101</v>
      </c>
      <c r="E598">
        <v>1002</v>
      </c>
      <c r="F598" s="1">
        <v>44010</v>
      </c>
      <c r="G598" t="s">
        <v>38</v>
      </c>
      <c r="H598" s="4">
        <v>3051.25</v>
      </c>
      <c r="I598" s="4" t="s">
        <v>16</v>
      </c>
      <c r="J598" s="4">
        <v>3051.25</v>
      </c>
    </row>
    <row r="599" spans="1:10" x14ac:dyDescent="0.3">
      <c r="A599" s="3">
        <v>2033818</v>
      </c>
      <c r="B599">
        <v>11845</v>
      </c>
      <c r="C599">
        <v>1</v>
      </c>
      <c r="D599" s="9">
        <v>101</v>
      </c>
      <c r="E599">
        <v>1002</v>
      </c>
      <c r="F599" s="1">
        <v>44010</v>
      </c>
      <c r="G599" t="s">
        <v>38</v>
      </c>
      <c r="H599" s="4" t="s">
        <v>16</v>
      </c>
      <c r="I599" s="4">
        <v>-3051.25</v>
      </c>
      <c r="J599" s="4">
        <v>-3051.25</v>
      </c>
    </row>
    <row r="600" spans="1:10" x14ac:dyDescent="0.3">
      <c r="A600" s="3">
        <v>2033819</v>
      </c>
      <c r="B600">
        <v>51531</v>
      </c>
      <c r="C600">
        <v>1</v>
      </c>
      <c r="D600" s="9">
        <v>105</v>
      </c>
      <c r="E600">
        <v>1006</v>
      </c>
      <c r="F600" s="1">
        <v>44010</v>
      </c>
      <c r="G600" t="s">
        <v>98</v>
      </c>
      <c r="H600" s="4">
        <v>3111.42</v>
      </c>
      <c r="I600" s="4" t="s">
        <v>16</v>
      </c>
      <c r="J600" s="4">
        <v>3111.42</v>
      </c>
    </row>
    <row r="601" spans="1:10" x14ac:dyDescent="0.3">
      <c r="A601" s="3">
        <v>2033819</v>
      </c>
      <c r="B601">
        <v>22110</v>
      </c>
      <c r="C601">
        <v>1</v>
      </c>
      <c r="D601" s="9">
        <v>105</v>
      </c>
      <c r="E601">
        <v>1006</v>
      </c>
      <c r="F601" s="1">
        <v>44010</v>
      </c>
      <c r="G601" t="s">
        <v>98</v>
      </c>
      <c r="H601" s="4" t="s">
        <v>16</v>
      </c>
      <c r="I601" s="4">
        <v>-3111.42</v>
      </c>
      <c r="J601" s="4">
        <v>-3111.42</v>
      </c>
    </row>
    <row r="602" spans="1:10" x14ac:dyDescent="0.3">
      <c r="A602" s="3">
        <v>2033820</v>
      </c>
      <c r="B602">
        <v>51610</v>
      </c>
      <c r="C602">
        <v>1</v>
      </c>
      <c r="D602" s="9">
        <v>105</v>
      </c>
      <c r="E602">
        <v>1006</v>
      </c>
      <c r="F602" s="1">
        <v>44010</v>
      </c>
      <c r="G602" t="s">
        <v>99</v>
      </c>
      <c r="H602" s="4">
        <v>3489</v>
      </c>
      <c r="I602" s="4" t="s">
        <v>16</v>
      </c>
      <c r="J602" s="4">
        <v>3489</v>
      </c>
    </row>
    <row r="603" spans="1:10" x14ac:dyDescent="0.3">
      <c r="A603" s="3">
        <v>2033820</v>
      </c>
      <c r="B603">
        <v>22110</v>
      </c>
      <c r="C603">
        <v>1</v>
      </c>
      <c r="D603" s="9">
        <v>105</v>
      </c>
      <c r="E603">
        <v>1006</v>
      </c>
      <c r="F603" s="1">
        <v>44010</v>
      </c>
      <c r="G603" t="s">
        <v>99</v>
      </c>
      <c r="H603" s="4" t="s">
        <v>16</v>
      </c>
      <c r="I603" s="4">
        <v>-3489</v>
      </c>
      <c r="J603" s="4">
        <v>-3489</v>
      </c>
    </row>
    <row r="604" spans="1:10" x14ac:dyDescent="0.3">
      <c r="A604" s="3">
        <v>2033821</v>
      </c>
      <c r="B604">
        <v>51110</v>
      </c>
      <c r="C604">
        <v>6</v>
      </c>
      <c r="D604" s="9">
        <v>105</v>
      </c>
      <c r="E604">
        <v>1004</v>
      </c>
      <c r="F604" s="1">
        <v>44010</v>
      </c>
      <c r="G604" t="s">
        <v>100</v>
      </c>
      <c r="H604" s="4">
        <v>3501.08</v>
      </c>
      <c r="I604" s="4" t="s">
        <v>16</v>
      </c>
      <c r="J604" s="4">
        <v>3501.08</v>
      </c>
    </row>
    <row r="605" spans="1:10" x14ac:dyDescent="0.3">
      <c r="A605" s="3">
        <v>2033821</v>
      </c>
      <c r="B605">
        <v>11845</v>
      </c>
      <c r="C605">
        <v>6</v>
      </c>
      <c r="D605" s="9">
        <v>105</v>
      </c>
      <c r="E605">
        <v>1004</v>
      </c>
      <c r="F605" s="1">
        <v>44010</v>
      </c>
      <c r="G605" t="s">
        <v>100</v>
      </c>
      <c r="H605" s="4" t="s">
        <v>16</v>
      </c>
      <c r="I605" s="4">
        <v>-3501.08</v>
      </c>
      <c r="J605" s="4">
        <v>-3501.08</v>
      </c>
    </row>
    <row r="606" spans="1:10" x14ac:dyDescent="0.3">
      <c r="A606" s="3">
        <v>2033822</v>
      </c>
      <c r="B606">
        <v>51400</v>
      </c>
      <c r="C606">
        <v>1</v>
      </c>
      <c r="D606" s="9">
        <v>105</v>
      </c>
      <c r="E606">
        <v>1006</v>
      </c>
      <c r="F606" s="1">
        <v>44010</v>
      </c>
      <c r="G606" t="s">
        <v>93</v>
      </c>
      <c r="H606" s="4">
        <v>3633.51</v>
      </c>
      <c r="I606" s="4" t="s">
        <v>16</v>
      </c>
      <c r="J606" s="4">
        <v>3633.51</v>
      </c>
    </row>
    <row r="607" spans="1:10" x14ac:dyDescent="0.3">
      <c r="A607" s="3">
        <v>2033822</v>
      </c>
      <c r="B607">
        <v>22110</v>
      </c>
      <c r="C607">
        <v>1</v>
      </c>
      <c r="D607" s="9">
        <v>105</v>
      </c>
      <c r="E607">
        <v>1006</v>
      </c>
      <c r="F607" s="1">
        <v>44010</v>
      </c>
      <c r="G607" t="s">
        <v>93</v>
      </c>
      <c r="H607" s="4" t="s">
        <v>16</v>
      </c>
      <c r="I607" s="4">
        <v>-3633.51</v>
      </c>
      <c r="J607" s="4">
        <v>-3633.51</v>
      </c>
    </row>
    <row r="608" spans="1:10" x14ac:dyDescent="0.3">
      <c r="A608" s="3">
        <v>2033823</v>
      </c>
      <c r="B608">
        <v>14260</v>
      </c>
      <c r="C608">
        <v>1</v>
      </c>
      <c r="D608" s="9">
        <v>101</v>
      </c>
      <c r="E608">
        <v>1002</v>
      </c>
      <c r="F608" s="1">
        <v>44010</v>
      </c>
      <c r="G608" t="s">
        <v>38</v>
      </c>
      <c r="H608" s="4">
        <v>4148.51</v>
      </c>
      <c r="I608" s="4" t="s">
        <v>16</v>
      </c>
      <c r="J608" s="4">
        <v>4148.51</v>
      </c>
    </row>
    <row r="609" spans="1:10" x14ac:dyDescent="0.3">
      <c r="A609" s="3">
        <v>2033823</v>
      </c>
      <c r="B609">
        <v>11845</v>
      </c>
      <c r="C609">
        <v>1</v>
      </c>
      <c r="D609" s="9">
        <v>101</v>
      </c>
      <c r="E609">
        <v>1002</v>
      </c>
      <c r="F609" s="1">
        <v>44010</v>
      </c>
      <c r="G609" t="s">
        <v>38</v>
      </c>
      <c r="H609" s="4" t="s">
        <v>16</v>
      </c>
      <c r="I609" s="4">
        <v>-4148.51</v>
      </c>
      <c r="J609" s="4">
        <v>-4148.51</v>
      </c>
    </row>
    <row r="610" spans="1:10" x14ac:dyDescent="0.3">
      <c r="A610" s="3">
        <v>2033824</v>
      </c>
      <c r="B610">
        <v>51510</v>
      </c>
      <c r="C610">
        <v>1</v>
      </c>
      <c r="D610" s="9">
        <v>105</v>
      </c>
      <c r="E610">
        <v>1006</v>
      </c>
      <c r="F610" s="1">
        <v>44010</v>
      </c>
      <c r="G610" t="s">
        <v>96</v>
      </c>
      <c r="H610" s="4">
        <v>4207.8999999999996</v>
      </c>
      <c r="I610" s="4" t="s">
        <v>16</v>
      </c>
      <c r="J610" s="4">
        <v>4207.8999999999996</v>
      </c>
    </row>
    <row r="611" spans="1:10" x14ac:dyDescent="0.3">
      <c r="A611" s="3">
        <v>2033824</v>
      </c>
      <c r="B611">
        <v>22110</v>
      </c>
      <c r="C611">
        <v>1</v>
      </c>
      <c r="D611" s="9">
        <v>105</v>
      </c>
      <c r="E611">
        <v>1006</v>
      </c>
      <c r="F611" s="1">
        <v>44010</v>
      </c>
      <c r="G611" t="s">
        <v>96</v>
      </c>
      <c r="H611" s="4" t="s">
        <v>16</v>
      </c>
      <c r="I611" s="4">
        <v>-4207.8999999999996</v>
      </c>
      <c r="J611" s="4">
        <v>-4207.8999999999996</v>
      </c>
    </row>
    <row r="612" spans="1:10" x14ac:dyDescent="0.3">
      <c r="A612" s="3">
        <v>2033825</v>
      </c>
      <c r="B612">
        <v>14260</v>
      </c>
      <c r="C612">
        <v>1</v>
      </c>
      <c r="D612" s="9">
        <v>101</v>
      </c>
      <c r="E612">
        <v>1002</v>
      </c>
      <c r="F612" s="1">
        <v>44010</v>
      </c>
      <c r="G612" t="s">
        <v>38</v>
      </c>
      <c r="H612" s="4">
        <v>4248.3599999999997</v>
      </c>
      <c r="I612" s="4" t="s">
        <v>16</v>
      </c>
      <c r="J612" s="4">
        <v>4248.3599999999997</v>
      </c>
    </row>
    <row r="613" spans="1:10" x14ac:dyDescent="0.3">
      <c r="A613" s="3">
        <v>2033825</v>
      </c>
      <c r="B613">
        <v>11845</v>
      </c>
      <c r="C613">
        <v>1</v>
      </c>
      <c r="D613" s="9">
        <v>101</v>
      </c>
      <c r="E613">
        <v>1002</v>
      </c>
      <c r="F613" s="1">
        <v>44010</v>
      </c>
      <c r="G613" t="s">
        <v>38</v>
      </c>
      <c r="H613" s="4" t="s">
        <v>16</v>
      </c>
      <c r="I613" s="4">
        <v>-4248.3599999999997</v>
      </c>
      <c r="J613" s="4">
        <v>-4248.3599999999997</v>
      </c>
    </row>
    <row r="614" spans="1:10" x14ac:dyDescent="0.3">
      <c r="A614" s="3">
        <v>2033826</v>
      </c>
      <c r="B614">
        <v>51610</v>
      </c>
      <c r="C614">
        <v>1</v>
      </c>
      <c r="D614" s="9">
        <v>105</v>
      </c>
      <c r="E614">
        <v>1006</v>
      </c>
      <c r="F614" s="1">
        <v>44010</v>
      </c>
      <c r="G614" t="s">
        <v>97</v>
      </c>
      <c r="H614" s="4">
        <v>4362</v>
      </c>
      <c r="I614" s="4" t="s">
        <v>16</v>
      </c>
      <c r="J614" s="4">
        <v>4362</v>
      </c>
    </row>
    <row r="615" spans="1:10" x14ac:dyDescent="0.3">
      <c r="A615" s="3">
        <v>2033826</v>
      </c>
      <c r="B615">
        <v>22110</v>
      </c>
      <c r="C615">
        <v>1</v>
      </c>
      <c r="D615" s="9">
        <v>105</v>
      </c>
      <c r="E615">
        <v>1006</v>
      </c>
      <c r="F615" s="1">
        <v>44010</v>
      </c>
      <c r="G615" t="s">
        <v>97</v>
      </c>
      <c r="H615" s="4" t="s">
        <v>16</v>
      </c>
      <c r="I615" s="4">
        <v>-4362</v>
      </c>
      <c r="J615" s="4">
        <v>-4362</v>
      </c>
    </row>
    <row r="616" spans="1:10" x14ac:dyDescent="0.3">
      <c r="A616" s="3">
        <v>2033827</v>
      </c>
      <c r="B616">
        <v>14260</v>
      </c>
      <c r="C616">
        <v>1</v>
      </c>
      <c r="D616" s="9">
        <v>101</v>
      </c>
      <c r="E616">
        <v>1002</v>
      </c>
      <c r="F616" s="1">
        <v>44010</v>
      </c>
      <c r="G616" t="s">
        <v>38</v>
      </c>
      <c r="H616" s="4">
        <v>5100.79</v>
      </c>
      <c r="I616" s="4" t="s">
        <v>16</v>
      </c>
      <c r="J616" s="4">
        <v>5100.79</v>
      </c>
    </row>
    <row r="617" spans="1:10" x14ac:dyDescent="0.3">
      <c r="A617" s="3">
        <v>2033827</v>
      </c>
      <c r="B617">
        <v>11845</v>
      </c>
      <c r="C617">
        <v>1</v>
      </c>
      <c r="D617" s="9">
        <v>101</v>
      </c>
      <c r="E617">
        <v>1002</v>
      </c>
      <c r="F617" s="1">
        <v>44010</v>
      </c>
      <c r="G617" t="s">
        <v>38</v>
      </c>
      <c r="H617" s="4" t="s">
        <v>16</v>
      </c>
      <c r="I617" s="4">
        <v>-5100.79</v>
      </c>
      <c r="J617" s="4">
        <v>-5100.79</v>
      </c>
    </row>
    <row r="618" spans="1:10" x14ac:dyDescent="0.3">
      <c r="A618" s="3">
        <v>2033828</v>
      </c>
      <c r="B618">
        <v>11845</v>
      </c>
      <c r="C618">
        <v>2</v>
      </c>
      <c r="D618" s="9">
        <v>104</v>
      </c>
      <c r="E618">
        <v>1003</v>
      </c>
      <c r="F618" s="1">
        <v>44010</v>
      </c>
      <c r="G618" t="s">
        <v>15</v>
      </c>
      <c r="H618" s="4">
        <v>5129</v>
      </c>
      <c r="I618" s="4" t="s">
        <v>16</v>
      </c>
      <c r="J618" s="4">
        <v>5129</v>
      </c>
    </row>
    <row r="619" spans="1:10" x14ac:dyDescent="0.3">
      <c r="A619" s="3">
        <v>2033828</v>
      </c>
      <c r="B619">
        <v>43180</v>
      </c>
      <c r="C619">
        <v>2</v>
      </c>
      <c r="D619" s="9">
        <v>104</v>
      </c>
      <c r="E619">
        <v>1003</v>
      </c>
      <c r="F619" s="1">
        <v>44010</v>
      </c>
      <c r="G619" t="s">
        <v>15</v>
      </c>
      <c r="H619" s="4" t="s">
        <v>16</v>
      </c>
      <c r="I619" s="4">
        <v>-5129</v>
      </c>
      <c r="J619" s="4">
        <v>-5129</v>
      </c>
    </row>
    <row r="620" spans="1:10" x14ac:dyDescent="0.3">
      <c r="A620" s="3">
        <v>2033829</v>
      </c>
      <c r="B620">
        <v>51110</v>
      </c>
      <c r="C620">
        <v>4</v>
      </c>
      <c r="D620" s="9">
        <v>105</v>
      </c>
      <c r="E620">
        <v>1004</v>
      </c>
      <c r="F620" s="1">
        <v>44010</v>
      </c>
      <c r="G620" t="s">
        <v>100</v>
      </c>
      <c r="H620" s="4">
        <v>7178.83</v>
      </c>
      <c r="I620" s="4" t="s">
        <v>16</v>
      </c>
      <c r="J620" s="4">
        <v>7178.83</v>
      </c>
    </row>
    <row r="621" spans="1:10" x14ac:dyDescent="0.3">
      <c r="A621" s="3">
        <v>2033829</v>
      </c>
      <c r="B621">
        <v>11845</v>
      </c>
      <c r="C621">
        <v>4</v>
      </c>
      <c r="D621" s="9">
        <v>105</v>
      </c>
      <c r="E621">
        <v>1004</v>
      </c>
      <c r="F621" s="1">
        <v>44010</v>
      </c>
      <c r="G621" t="s">
        <v>100</v>
      </c>
      <c r="H621" s="4" t="s">
        <v>16</v>
      </c>
      <c r="I621" s="4">
        <v>-7178.83</v>
      </c>
      <c r="J621" s="4">
        <v>-7178.83</v>
      </c>
    </row>
    <row r="622" spans="1:10" x14ac:dyDescent="0.3">
      <c r="A622" s="3">
        <v>2033830</v>
      </c>
      <c r="B622">
        <v>51110</v>
      </c>
      <c r="C622">
        <v>2</v>
      </c>
      <c r="D622" s="9">
        <v>105</v>
      </c>
      <c r="E622">
        <v>1004</v>
      </c>
      <c r="F622" s="1">
        <v>44010</v>
      </c>
      <c r="G622" t="s">
        <v>100</v>
      </c>
      <c r="H622" s="4">
        <v>12673.75</v>
      </c>
      <c r="I622" s="4" t="s">
        <v>16</v>
      </c>
      <c r="J622" s="4">
        <v>12673.75</v>
      </c>
    </row>
    <row r="623" spans="1:10" x14ac:dyDescent="0.3">
      <c r="A623" s="3">
        <v>2033830</v>
      </c>
      <c r="B623">
        <v>11845</v>
      </c>
      <c r="C623">
        <v>2</v>
      </c>
      <c r="D623" s="9">
        <v>105</v>
      </c>
      <c r="E623">
        <v>1004</v>
      </c>
      <c r="F623" s="1">
        <v>44010</v>
      </c>
      <c r="G623" t="s">
        <v>100</v>
      </c>
      <c r="H623" s="4" t="s">
        <v>16</v>
      </c>
      <c r="I623" s="4">
        <v>-12673.75</v>
      </c>
      <c r="J623" s="4">
        <v>-12673.75</v>
      </c>
    </row>
    <row r="624" spans="1:10" x14ac:dyDescent="0.3">
      <c r="A624" s="3">
        <v>2033831</v>
      </c>
      <c r="B624">
        <v>51110</v>
      </c>
      <c r="C624">
        <v>1</v>
      </c>
      <c r="D624" s="9">
        <v>105</v>
      </c>
      <c r="E624">
        <v>1004</v>
      </c>
      <c r="F624" s="1">
        <v>44010</v>
      </c>
      <c r="G624" t="s">
        <v>100</v>
      </c>
      <c r="H624" s="4">
        <v>63161.04</v>
      </c>
      <c r="I624" s="4" t="s">
        <v>16</v>
      </c>
      <c r="J624" s="4">
        <v>63161.04</v>
      </c>
    </row>
    <row r="625" spans="1:10" x14ac:dyDescent="0.3">
      <c r="A625" s="3">
        <v>2033831</v>
      </c>
      <c r="B625">
        <v>11845</v>
      </c>
      <c r="C625">
        <v>1</v>
      </c>
      <c r="D625" s="9">
        <v>105</v>
      </c>
      <c r="E625">
        <v>1004</v>
      </c>
      <c r="F625" s="1">
        <v>44010</v>
      </c>
      <c r="G625" t="s">
        <v>100</v>
      </c>
      <c r="H625" s="4" t="s">
        <v>16</v>
      </c>
      <c r="I625" s="4">
        <v>-63161.04</v>
      </c>
      <c r="J625" s="4">
        <v>-63161.04</v>
      </c>
    </row>
    <row r="626" spans="1:10" x14ac:dyDescent="0.3">
      <c r="A626" s="3">
        <v>2033832</v>
      </c>
      <c r="B626">
        <v>11845</v>
      </c>
      <c r="C626">
        <v>3</v>
      </c>
      <c r="D626" s="9">
        <v>102</v>
      </c>
      <c r="E626">
        <v>1003</v>
      </c>
      <c r="F626" s="1">
        <v>44011</v>
      </c>
      <c r="G626" t="s">
        <v>15</v>
      </c>
      <c r="H626" s="4">
        <v>13.93</v>
      </c>
      <c r="I626" s="4" t="s">
        <v>16</v>
      </c>
      <c r="J626" s="4">
        <v>13.93</v>
      </c>
    </row>
    <row r="627" spans="1:10" x14ac:dyDescent="0.3">
      <c r="A627" s="3">
        <v>2033832</v>
      </c>
      <c r="B627">
        <v>43440</v>
      </c>
      <c r="C627">
        <v>3</v>
      </c>
      <c r="D627" s="9">
        <v>102</v>
      </c>
      <c r="E627">
        <v>1003</v>
      </c>
      <c r="F627" s="1">
        <v>44011</v>
      </c>
      <c r="G627" t="s">
        <v>15</v>
      </c>
      <c r="H627" s="4" t="s">
        <v>16</v>
      </c>
      <c r="I627" s="4">
        <v>-13.93</v>
      </c>
      <c r="J627" s="4">
        <v>-13.93</v>
      </c>
    </row>
    <row r="628" spans="1:10" x14ac:dyDescent="0.3">
      <c r="A628" s="3">
        <v>2033833</v>
      </c>
      <c r="B628">
        <v>11845</v>
      </c>
      <c r="C628">
        <v>1</v>
      </c>
      <c r="D628" s="9">
        <v>102</v>
      </c>
      <c r="E628">
        <v>1003</v>
      </c>
      <c r="F628" s="1">
        <v>44011</v>
      </c>
      <c r="G628" t="s">
        <v>15</v>
      </c>
      <c r="H628" s="4">
        <v>53.63</v>
      </c>
      <c r="I628" s="4" t="s">
        <v>16</v>
      </c>
      <c r="J628" s="4">
        <v>53.63</v>
      </c>
    </row>
    <row r="629" spans="1:10" x14ac:dyDescent="0.3">
      <c r="A629" s="3">
        <v>2033833</v>
      </c>
      <c r="B629">
        <v>43310</v>
      </c>
      <c r="C629">
        <v>1</v>
      </c>
      <c r="D629" s="9">
        <v>102</v>
      </c>
      <c r="E629">
        <v>1003</v>
      </c>
      <c r="F629" s="1">
        <v>44011</v>
      </c>
      <c r="G629" t="s">
        <v>15</v>
      </c>
      <c r="H629" s="4" t="s">
        <v>16</v>
      </c>
      <c r="I629" s="4">
        <v>-53.63</v>
      </c>
      <c r="J629" s="4">
        <v>-53.63</v>
      </c>
    </row>
    <row r="630" spans="1:10" x14ac:dyDescent="0.3">
      <c r="A630" s="3">
        <v>2033834</v>
      </c>
      <c r="B630">
        <v>11845</v>
      </c>
      <c r="C630">
        <v>3</v>
      </c>
      <c r="D630" s="9">
        <v>102</v>
      </c>
      <c r="E630">
        <v>1001</v>
      </c>
      <c r="F630" s="1">
        <v>44011</v>
      </c>
      <c r="G630" t="s">
        <v>41</v>
      </c>
      <c r="H630" s="4">
        <v>68.92</v>
      </c>
      <c r="I630" s="4" t="s">
        <v>16</v>
      </c>
      <c r="J630" s="4">
        <v>68.92</v>
      </c>
    </row>
    <row r="631" spans="1:10" x14ac:dyDescent="0.3">
      <c r="A631" s="3">
        <v>2033834</v>
      </c>
      <c r="B631">
        <v>43440</v>
      </c>
      <c r="C631">
        <v>3</v>
      </c>
      <c r="D631" s="9">
        <v>102</v>
      </c>
      <c r="E631">
        <v>1001</v>
      </c>
      <c r="F631" s="1">
        <v>44011</v>
      </c>
      <c r="G631" t="s">
        <v>41</v>
      </c>
      <c r="H631" s="4" t="s">
        <v>16</v>
      </c>
      <c r="I631" s="4">
        <v>-68.92</v>
      </c>
      <c r="J631" s="4">
        <v>-68.92</v>
      </c>
    </row>
    <row r="632" spans="1:10" x14ac:dyDescent="0.3">
      <c r="A632" s="3">
        <v>2033835</v>
      </c>
      <c r="B632">
        <v>11845</v>
      </c>
      <c r="C632">
        <v>3</v>
      </c>
      <c r="D632" s="9">
        <v>102</v>
      </c>
      <c r="E632">
        <v>1003</v>
      </c>
      <c r="F632" s="1">
        <v>44011</v>
      </c>
      <c r="G632" t="s">
        <v>15</v>
      </c>
      <c r="H632" s="4">
        <v>74.84</v>
      </c>
      <c r="I632" s="4" t="s">
        <v>16</v>
      </c>
      <c r="J632" s="4">
        <v>74.84</v>
      </c>
    </row>
    <row r="633" spans="1:10" x14ac:dyDescent="0.3">
      <c r="A633" s="3">
        <v>2033835</v>
      </c>
      <c r="B633">
        <v>43440</v>
      </c>
      <c r="C633">
        <v>3</v>
      </c>
      <c r="D633" s="9">
        <v>102</v>
      </c>
      <c r="E633">
        <v>1003</v>
      </c>
      <c r="F633" s="1">
        <v>44011</v>
      </c>
      <c r="G633" t="s">
        <v>15</v>
      </c>
      <c r="H633" s="4" t="s">
        <v>16</v>
      </c>
      <c r="I633" s="4">
        <v>-74.84</v>
      </c>
      <c r="J633" s="4">
        <v>-74.84</v>
      </c>
    </row>
    <row r="634" spans="1:10" x14ac:dyDescent="0.3">
      <c r="A634" s="3">
        <v>2033836</v>
      </c>
      <c r="B634">
        <v>11845</v>
      </c>
      <c r="C634">
        <v>2</v>
      </c>
      <c r="D634" s="9">
        <v>104</v>
      </c>
      <c r="E634">
        <v>1003</v>
      </c>
      <c r="F634" s="1">
        <v>44011</v>
      </c>
      <c r="G634" t="s">
        <v>41</v>
      </c>
      <c r="H634" s="4">
        <v>109</v>
      </c>
      <c r="I634" s="4" t="s">
        <v>16</v>
      </c>
      <c r="J634" s="4">
        <v>109</v>
      </c>
    </row>
    <row r="635" spans="1:10" x14ac:dyDescent="0.3">
      <c r="A635" s="3">
        <v>2033836</v>
      </c>
      <c r="B635">
        <v>43180</v>
      </c>
      <c r="C635">
        <v>2</v>
      </c>
      <c r="D635" s="9">
        <v>104</v>
      </c>
      <c r="E635">
        <v>1003</v>
      </c>
      <c r="F635" s="1">
        <v>44011</v>
      </c>
      <c r="G635" t="s">
        <v>41</v>
      </c>
      <c r="H635" s="4" t="s">
        <v>16</v>
      </c>
      <c r="I635" s="4">
        <v>-109</v>
      </c>
      <c r="J635" s="4">
        <v>-109</v>
      </c>
    </row>
    <row r="636" spans="1:10" x14ac:dyDescent="0.3">
      <c r="A636" s="3">
        <v>2033837</v>
      </c>
      <c r="B636">
        <v>11845</v>
      </c>
      <c r="C636">
        <v>1</v>
      </c>
      <c r="D636" s="9">
        <v>102</v>
      </c>
      <c r="E636">
        <v>1003</v>
      </c>
      <c r="F636" s="1">
        <v>44011</v>
      </c>
      <c r="G636" t="s">
        <v>15</v>
      </c>
      <c r="H636" s="4">
        <v>115.63</v>
      </c>
      <c r="I636" s="4" t="s">
        <v>16</v>
      </c>
      <c r="J636" s="4">
        <v>115.63</v>
      </c>
    </row>
    <row r="637" spans="1:10" x14ac:dyDescent="0.3">
      <c r="A637" s="3">
        <v>2033837</v>
      </c>
      <c r="B637">
        <v>43310</v>
      </c>
      <c r="C637">
        <v>1</v>
      </c>
      <c r="D637" s="9">
        <v>102</v>
      </c>
      <c r="E637">
        <v>1003</v>
      </c>
      <c r="F637" s="1">
        <v>44011</v>
      </c>
      <c r="G637" t="s">
        <v>15</v>
      </c>
      <c r="H637" s="4" t="s">
        <v>16</v>
      </c>
      <c r="I637" s="4">
        <v>-115.63</v>
      </c>
      <c r="J637" s="4">
        <v>-115.63</v>
      </c>
    </row>
    <row r="638" spans="1:10" x14ac:dyDescent="0.3">
      <c r="A638" s="3">
        <v>2033838</v>
      </c>
      <c r="B638">
        <v>11845</v>
      </c>
      <c r="C638">
        <v>3</v>
      </c>
      <c r="D638" s="9">
        <v>102</v>
      </c>
      <c r="E638">
        <v>1003</v>
      </c>
      <c r="F638" s="1">
        <v>44011</v>
      </c>
      <c r="G638" t="s">
        <v>15</v>
      </c>
      <c r="H638" s="4">
        <v>154.6</v>
      </c>
      <c r="I638" s="4" t="s">
        <v>16</v>
      </c>
      <c r="J638" s="4">
        <v>154.6</v>
      </c>
    </row>
    <row r="639" spans="1:10" x14ac:dyDescent="0.3">
      <c r="A639" s="3">
        <v>2033838</v>
      </c>
      <c r="B639">
        <v>43440</v>
      </c>
      <c r="C639">
        <v>3</v>
      </c>
      <c r="D639" s="9">
        <v>102</v>
      </c>
      <c r="E639">
        <v>1003</v>
      </c>
      <c r="F639" s="1">
        <v>44011</v>
      </c>
      <c r="G639" t="s">
        <v>15</v>
      </c>
      <c r="H639" s="4" t="s">
        <v>16</v>
      </c>
      <c r="I639" s="4">
        <v>-154.6</v>
      </c>
      <c r="J639" s="4">
        <v>-154.6</v>
      </c>
    </row>
    <row r="640" spans="1:10" x14ac:dyDescent="0.3">
      <c r="A640" s="3">
        <v>2033839</v>
      </c>
      <c r="B640">
        <v>71900</v>
      </c>
      <c r="C640">
        <v>1</v>
      </c>
      <c r="D640" s="9">
        <v>102</v>
      </c>
      <c r="E640">
        <v>1002</v>
      </c>
      <c r="F640" s="1">
        <v>44011</v>
      </c>
      <c r="G640" t="s">
        <v>36</v>
      </c>
      <c r="H640" s="4">
        <v>258.10000000000002</v>
      </c>
      <c r="I640" s="4" t="s">
        <v>16</v>
      </c>
      <c r="J640" s="4">
        <v>258.10000000000002</v>
      </c>
    </row>
    <row r="641" spans="1:10" x14ac:dyDescent="0.3">
      <c r="A641" s="3">
        <v>2033839</v>
      </c>
      <c r="B641">
        <v>11845</v>
      </c>
      <c r="C641">
        <v>1</v>
      </c>
      <c r="D641" s="9">
        <v>102</v>
      </c>
      <c r="E641">
        <v>1002</v>
      </c>
      <c r="F641" s="1">
        <v>44011</v>
      </c>
      <c r="G641" t="s">
        <v>36</v>
      </c>
      <c r="H641" s="4" t="s">
        <v>16</v>
      </c>
      <c r="I641" s="4">
        <v>-258.10000000000002</v>
      </c>
      <c r="J641" s="4">
        <v>-258.10000000000002</v>
      </c>
    </row>
    <row r="642" spans="1:10" x14ac:dyDescent="0.3">
      <c r="A642" s="3">
        <v>2033840</v>
      </c>
      <c r="B642">
        <v>11845</v>
      </c>
      <c r="C642">
        <v>2</v>
      </c>
      <c r="D642" s="9">
        <v>104</v>
      </c>
      <c r="E642">
        <v>1003</v>
      </c>
      <c r="F642" s="1">
        <v>44011</v>
      </c>
      <c r="G642" t="s">
        <v>41</v>
      </c>
      <c r="H642" s="4">
        <v>500</v>
      </c>
      <c r="I642" s="4" t="s">
        <v>16</v>
      </c>
      <c r="J642" s="4">
        <v>500</v>
      </c>
    </row>
    <row r="643" spans="1:10" x14ac:dyDescent="0.3">
      <c r="A643" s="3">
        <v>2033840</v>
      </c>
      <c r="B643">
        <v>43770</v>
      </c>
      <c r="C643">
        <v>2</v>
      </c>
      <c r="D643" s="9">
        <v>104</v>
      </c>
      <c r="E643">
        <v>1003</v>
      </c>
      <c r="F643" s="1">
        <v>44011</v>
      </c>
      <c r="G643" t="s">
        <v>41</v>
      </c>
      <c r="H643" s="4" t="s">
        <v>16</v>
      </c>
      <c r="I643" s="4">
        <v>-500</v>
      </c>
      <c r="J643" s="4">
        <v>-500</v>
      </c>
    </row>
    <row r="644" spans="1:10" x14ac:dyDescent="0.3">
      <c r="A644" s="3">
        <v>2033841</v>
      </c>
      <c r="B644">
        <v>71400</v>
      </c>
      <c r="C644">
        <v>4</v>
      </c>
      <c r="D644" s="9">
        <v>101</v>
      </c>
      <c r="E644">
        <v>1002</v>
      </c>
      <c r="F644" s="1">
        <v>44011</v>
      </c>
      <c r="G644" t="s">
        <v>199</v>
      </c>
      <c r="H644" s="4">
        <v>649.5</v>
      </c>
      <c r="I644" s="4" t="s">
        <v>16</v>
      </c>
      <c r="J644" s="4">
        <v>649.5</v>
      </c>
    </row>
    <row r="645" spans="1:10" x14ac:dyDescent="0.3">
      <c r="A645" s="3">
        <v>2033841</v>
      </c>
      <c r="B645">
        <v>11845</v>
      </c>
      <c r="C645">
        <v>4</v>
      </c>
      <c r="D645" s="9">
        <v>101</v>
      </c>
      <c r="E645">
        <v>1002</v>
      </c>
      <c r="F645" s="1">
        <v>44011</v>
      </c>
      <c r="G645" t="s">
        <v>199</v>
      </c>
      <c r="H645" s="4" t="s">
        <v>16</v>
      </c>
      <c r="I645" s="4">
        <v>-649.5</v>
      </c>
      <c r="J645" s="4">
        <v>-649.5</v>
      </c>
    </row>
    <row r="646" spans="1:10" x14ac:dyDescent="0.3">
      <c r="A646" s="3">
        <v>2033842</v>
      </c>
      <c r="B646">
        <v>11845</v>
      </c>
      <c r="C646">
        <v>1</v>
      </c>
      <c r="D646" s="9">
        <v>102</v>
      </c>
      <c r="E646">
        <v>1001</v>
      </c>
      <c r="F646" s="1">
        <v>44011</v>
      </c>
      <c r="G646" t="s">
        <v>41</v>
      </c>
      <c r="H646" s="4">
        <v>738.07</v>
      </c>
      <c r="I646" s="4" t="s">
        <v>16</v>
      </c>
      <c r="J646" s="4">
        <v>738.07</v>
      </c>
    </row>
    <row r="647" spans="1:10" x14ac:dyDescent="0.3">
      <c r="A647" s="3">
        <v>2033842</v>
      </c>
      <c r="B647">
        <v>43310</v>
      </c>
      <c r="C647">
        <v>1</v>
      </c>
      <c r="D647" s="9">
        <v>102</v>
      </c>
      <c r="E647">
        <v>1001</v>
      </c>
      <c r="F647" s="1">
        <v>44011</v>
      </c>
      <c r="G647" t="s">
        <v>41</v>
      </c>
      <c r="H647" s="4" t="s">
        <v>16</v>
      </c>
      <c r="I647" s="4">
        <v>-738.07</v>
      </c>
      <c r="J647" s="4">
        <v>-738.07</v>
      </c>
    </row>
    <row r="648" spans="1:10" x14ac:dyDescent="0.3">
      <c r="A648" s="3">
        <v>2033843</v>
      </c>
      <c r="B648">
        <v>74201</v>
      </c>
      <c r="C648">
        <v>2</v>
      </c>
      <c r="D648" s="9">
        <v>101</v>
      </c>
      <c r="E648">
        <v>1002</v>
      </c>
      <c r="F648" s="1">
        <v>44011</v>
      </c>
      <c r="G648" t="s">
        <v>168</v>
      </c>
      <c r="H648" s="4">
        <v>1500</v>
      </c>
      <c r="I648" s="4" t="s">
        <v>16</v>
      </c>
      <c r="J648" s="4">
        <v>1500</v>
      </c>
    </row>
    <row r="649" spans="1:10" x14ac:dyDescent="0.3">
      <c r="A649" s="3">
        <v>2033843</v>
      </c>
      <c r="B649">
        <v>11845</v>
      </c>
      <c r="C649">
        <v>2</v>
      </c>
      <c r="D649" s="9">
        <v>101</v>
      </c>
      <c r="E649">
        <v>1002</v>
      </c>
      <c r="F649" s="1">
        <v>44011</v>
      </c>
      <c r="G649" t="s">
        <v>168</v>
      </c>
      <c r="H649" s="4" t="s">
        <v>16</v>
      </c>
      <c r="I649" s="4">
        <v>-1500</v>
      </c>
      <c r="J649" s="4">
        <v>-1500</v>
      </c>
    </row>
    <row r="650" spans="1:10" x14ac:dyDescent="0.3">
      <c r="A650" s="3">
        <v>2033844</v>
      </c>
      <c r="B650">
        <v>11845</v>
      </c>
      <c r="C650">
        <v>1</v>
      </c>
      <c r="D650" s="9">
        <v>102</v>
      </c>
      <c r="E650">
        <v>1003</v>
      </c>
      <c r="F650" s="1">
        <v>44011</v>
      </c>
      <c r="G650" t="s">
        <v>15</v>
      </c>
      <c r="H650" s="4">
        <v>1656.7</v>
      </c>
      <c r="I650" s="4" t="s">
        <v>16</v>
      </c>
      <c r="J650" s="4">
        <v>1656.7</v>
      </c>
    </row>
    <row r="651" spans="1:10" x14ac:dyDescent="0.3">
      <c r="A651" s="3">
        <v>2033844</v>
      </c>
      <c r="B651">
        <v>43310</v>
      </c>
      <c r="C651">
        <v>1</v>
      </c>
      <c r="D651" s="9">
        <v>102</v>
      </c>
      <c r="E651">
        <v>1003</v>
      </c>
      <c r="F651" s="1">
        <v>44011</v>
      </c>
      <c r="G651" t="s">
        <v>15</v>
      </c>
      <c r="H651" s="4" t="s">
        <v>16</v>
      </c>
      <c r="I651" s="4">
        <v>-1656.7</v>
      </c>
      <c r="J651" s="4">
        <v>-1656.7</v>
      </c>
    </row>
    <row r="652" spans="1:10" x14ac:dyDescent="0.3">
      <c r="A652" s="3">
        <v>2033845</v>
      </c>
      <c r="B652">
        <v>11845</v>
      </c>
      <c r="C652">
        <v>1</v>
      </c>
      <c r="D652" s="9">
        <v>102</v>
      </c>
      <c r="E652">
        <v>1003</v>
      </c>
      <c r="F652" s="1">
        <v>44011</v>
      </c>
      <c r="G652" t="s">
        <v>15</v>
      </c>
      <c r="H652" s="4">
        <v>2055.8200000000002</v>
      </c>
      <c r="I652" s="4" t="s">
        <v>16</v>
      </c>
      <c r="J652" s="4">
        <v>2055.8200000000002</v>
      </c>
    </row>
    <row r="653" spans="1:10" x14ac:dyDescent="0.3">
      <c r="A653" s="3">
        <v>2033845</v>
      </c>
      <c r="B653">
        <v>43310</v>
      </c>
      <c r="C653">
        <v>1</v>
      </c>
      <c r="D653" s="9">
        <v>102</v>
      </c>
      <c r="E653">
        <v>1003</v>
      </c>
      <c r="F653" s="1">
        <v>44011</v>
      </c>
      <c r="G653" t="s">
        <v>15</v>
      </c>
      <c r="H653" s="4" t="s">
        <v>16</v>
      </c>
      <c r="I653" s="4">
        <v>-2055.8200000000002</v>
      </c>
      <c r="J653" s="4">
        <v>-2055.8200000000002</v>
      </c>
    </row>
    <row r="654" spans="1:10" x14ac:dyDescent="0.3">
      <c r="A654" s="3">
        <v>2033846</v>
      </c>
      <c r="B654">
        <v>11845</v>
      </c>
      <c r="C654">
        <v>1</v>
      </c>
      <c r="D654" s="9">
        <v>102</v>
      </c>
      <c r="E654">
        <v>1003</v>
      </c>
      <c r="F654" s="1">
        <v>44011</v>
      </c>
      <c r="G654" t="s">
        <v>15</v>
      </c>
      <c r="H654" s="4">
        <v>2158.96</v>
      </c>
      <c r="I654" s="4" t="s">
        <v>16</v>
      </c>
      <c r="J654" s="4">
        <v>2158.96</v>
      </c>
    </row>
    <row r="655" spans="1:10" x14ac:dyDescent="0.3">
      <c r="A655" s="3">
        <v>2033846</v>
      </c>
      <c r="B655">
        <v>43310</v>
      </c>
      <c r="C655">
        <v>1</v>
      </c>
      <c r="D655" s="9">
        <v>102</v>
      </c>
      <c r="E655">
        <v>1003</v>
      </c>
      <c r="F655" s="1">
        <v>44011</v>
      </c>
      <c r="G655" t="s">
        <v>15</v>
      </c>
      <c r="H655" s="4" t="s">
        <v>16</v>
      </c>
      <c r="I655" s="4">
        <v>-2158.96</v>
      </c>
      <c r="J655" s="4">
        <v>-2158.96</v>
      </c>
    </row>
    <row r="656" spans="1:10" x14ac:dyDescent="0.3">
      <c r="A656" s="3">
        <v>2033847</v>
      </c>
      <c r="B656" t="s">
        <v>166</v>
      </c>
      <c r="C656">
        <v>3</v>
      </c>
      <c r="D656" s="9">
        <v>101</v>
      </c>
      <c r="E656">
        <v>1008</v>
      </c>
      <c r="F656" s="1">
        <v>44011</v>
      </c>
      <c r="G656" t="s">
        <v>243</v>
      </c>
      <c r="H656" s="4">
        <v>4080.9</v>
      </c>
      <c r="I656" s="4" t="s">
        <v>16</v>
      </c>
      <c r="J656" s="4">
        <v>4080.9</v>
      </c>
    </row>
    <row r="657" spans="1:10" x14ac:dyDescent="0.3">
      <c r="A657" s="3">
        <v>2033847</v>
      </c>
      <c r="B657">
        <v>14250</v>
      </c>
      <c r="C657">
        <v>3</v>
      </c>
      <c r="D657" s="9">
        <v>101</v>
      </c>
      <c r="E657">
        <v>1008</v>
      </c>
      <c r="F657" s="1">
        <v>44011</v>
      </c>
      <c r="G657" t="s">
        <v>243</v>
      </c>
      <c r="H657" s="4" t="s">
        <v>16</v>
      </c>
      <c r="I657" s="4">
        <v>-4080.9</v>
      </c>
      <c r="J657" s="4">
        <v>-4080.9</v>
      </c>
    </row>
    <row r="658" spans="1:10" x14ac:dyDescent="0.3">
      <c r="A658" s="3">
        <v>2033848</v>
      </c>
      <c r="B658">
        <v>11845</v>
      </c>
      <c r="C658">
        <v>2</v>
      </c>
      <c r="D658" s="9">
        <v>104</v>
      </c>
      <c r="E658">
        <v>1003</v>
      </c>
      <c r="F658" s="1">
        <v>44011</v>
      </c>
      <c r="G658" t="s">
        <v>15</v>
      </c>
      <c r="H658" s="4">
        <v>7100</v>
      </c>
      <c r="I658" s="4" t="s">
        <v>16</v>
      </c>
      <c r="J658" s="4">
        <v>7100</v>
      </c>
    </row>
    <row r="659" spans="1:10" x14ac:dyDescent="0.3">
      <c r="A659" s="3">
        <v>2033848</v>
      </c>
      <c r="B659">
        <v>43180</v>
      </c>
      <c r="C659">
        <v>2</v>
      </c>
      <c r="D659" s="9">
        <v>104</v>
      </c>
      <c r="E659">
        <v>1003</v>
      </c>
      <c r="F659" s="1">
        <v>44011</v>
      </c>
      <c r="G659" t="s">
        <v>15</v>
      </c>
      <c r="H659" s="4" t="s">
        <v>16</v>
      </c>
      <c r="I659" s="4">
        <v>-7100</v>
      </c>
      <c r="J659" s="4">
        <v>-7100</v>
      </c>
    </row>
    <row r="660" spans="1:10" x14ac:dyDescent="0.3">
      <c r="A660" s="3">
        <v>2033849</v>
      </c>
      <c r="B660">
        <v>11845</v>
      </c>
      <c r="C660">
        <v>2</v>
      </c>
      <c r="D660" s="9">
        <v>104</v>
      </c>
      <c r="E660">
        <v>1003</v>
      </c>
      <c r="F660" s="1">
        <v>44011</v>
      </c>
      <c r="G660" t="s">
        <v>15</v>
      </c>
      <c r="H660" s="4">
        <v>16000</v>
      </c>
      <c r="I660" s="4" t="s">
        <v>16</v>
      </c>
      <c r="J660" s="4">
        <v>16000</v>
      </c>
    </row>
    <row r="661" spans="1:10" x14ac:dyDescent="0.3">
      <c r="A661" s="3">
        <v>2033849</v>
      </c>
      <c r="B661">
        <v>43180</v>
      </c>
      <c r="C661">
        <v>2</v>
      </c>
      <c r="D661" s="9">
        <v>104</v>
      </c>
      <c r="E661">
        <v>1003</v>
      </c>
      <c r="F661" s="1">
        <v>44011</v>
      </c>
      <c r="G661" t="s">
        <v>15</v>
      </c>
      <c r="H661" s="4" t="s">
        <v>16</v>
      </c>
      <c r="I661" s="4">
        <v>-16000</v>
      </c>
      <c r="J661" s="4">
        <v>-16000</v>
      </c>
    </row>
    <row r="662" spans="1:10" x14ac:dyDescent="0.3">
      <c r="A662" s="3">
        <v>2033850</v>
      </c>
      <c r="B662">
        <v>11845</v>
      </c>
      <c r="C662">
        <v>2</v>
      </c>
      <c r="D662" s="9">
        <v>104</v>
      </c>
      <c r="E662">
        <v>1003</v>
      </c>
      <c r="F662" s="1">
        <v>44011</v>
      </c>
      <c r="G662" t="s">
        <v>15</v>
      </c>
      <c r="H662" s="4">
        <v>23975</v>
      </c>
      <c r="I662" s="4" t="s">
        <v>16</v>
      </c>
      <c r="J662" s="4">
        <v>23975</v>
      </c>
    </row>
    <row r="663" spans="1:10" x14ac:dyDescent="0.3">
      <c r="A663" s="3">
        <v>2033850</v>
      </c>
      <c r="B663">
        <v>43180</v>
      </c>
      <c r="C663">
        <v>2</v>
      </c>
      <c r="D663" s="9">
        <v>104</v>
      </c>
      <c r="E663">
        <v>1003</v>
      </c>
      <c r="F663" s="1">
        <v>44011</v>
      </c>
      <c r="G663" t="s">
        <v>15</v>
      </c>
      <c r="H663" s="4" t="s">
        <v>16</v>
      </c>
      <c r="I663" s="4">
        <v>-23975</v>
      </c>
      <c r="J663" s="4">
        <v>-23975</v>
      </c>
    </row>
    <row r="664" spans="1:10" x14ac:dyDescent="0.3">
      <c r="A664" s="3">
        <v>2033851</v>
      </c>
      <c r="B664" t="s">
        <v>112</v>
      </c>
      <c r="C664">
        <v>1</v>
      </c>
      <c r="D664" s="9">
        <v>101</v>
      </c>
      <c r="E664">
        <v>1008</v>
      </c>
      <c r="F664" s="1">
        <v>44011</v>
      </c>
      <c r="G664" t="s">
        <v>163</v>
      </c>
      <c r="H664" s="4">
        <v>87934.18</v>
      </c>
      <c r="I664" s="4" t="s">
        <v>16</v>
      </c>
      <c r="J664" s="4">
        <v>87934.18</v>
      </c>
    </row>
    <row r="665" spans="1:10" x14ac:dyDescent="0.3">
      <c r="A665" s="3">
        <v>2033851</v>
      </c>
      <c r="B665">
        <v>14260</v>
      </c>
      <c r="C665">
        <v>1</v>
      </c>
      <c r="D665" s="9">
        <v>101</v>
      </c>
      <c r="E665">
        <v>1008</v>
      </c>
      <c r="F665" s="1">
        <v>44011</v>
      </c>
      <c r="G665" t="s">
        <v>163</v>
      </c>
      <c r="H665" s="4" t="s">
        <v>16</v>
      </c>
      <c r="I665" s="4">
        <v>-87934.18</v>
      </c>
      <c r="J665" s="4">
        <v>-87934.18</v>
      </c>
    </row>
    <row r="666" spans="1:10" x14ac:dyDescent="0.3">
      <c r="A666" s="3">
        <v>2033852</v>
      </c>
      <c r="B666">
        <v>14260</v>
      </c>
      <c r="C666">
        <v>1</v>
      </c>
      <c r="D666" s="9">
        <v>101</v>
      </c>
      <c r="E666">
        <v>1007</v>
      </c>
      <c r="F666" s="1">
        <v>44012</v>
      </c>
      <c r="G666" t="s">
        <v>86</v>
      </c>
      <c r="H666" s="4">
        <v>4.99</v>
      </c>
      <c r="I666" s="4" t="s">
        <v>16</v>
      </c>
      <c r="J666" s="4">
        <v>4.99</v>
      </c>
    </row>
    <row r="667" spans="1:10" x14ac:dyDescent="0.3">
      <c r="A667" s="3">
        <v>2033852</v>
      </c>
      <c r="B667">
        <v>11845</v>
      </c>
      <c r="C667">
        <v>1</v>
      </c>
      <c r="D667" s="9">
        <v>101</v>
      </c>
      <c r="E667">
        <v>1007</v>
      </c>
      <c r="F667" s="1">
        <v>44012</v>
      </c>
      <c r="G667" t="s">
        <v>86</v>
      </c>
      <c r="H667" s="4" t="s">
        <v>16</v>
      </c>
      <c r="I667" s="4">
        <v>-4.99</v>
      </c>
      <c r="J667" s="4">
        <v>-4.99</v>
      </c>
    </row>
    <row r="668" spans="1:10" x14ac:dyDescent="0.3">
      <c r="A668" s="3">
        <v>2033853</v>
      </c>
      <c r="B668">
        <v>71400</v>
      </c>
      <c r="C668">
        <v>1</v>
      </c>
      <c r="D668" s="9">
        <v>101</v>
      </c>
      <c r="E668">
        <v>1007</v>
      </c>
      <c r="F668" s="1">
        <v>44012</v>
      </c>
      <c r="G668" t="s">
        <v>83</v>
      </c>
      <c r="H668" s="4">
        <v>5.24</v>
      </c>
      <c r="I668" s="4" t="s">
        <v>16</v>
      </c>
      <c r="J668" s="4">
        <v>5.24</v>
      </c>
    </row>
    <row r="669" spans="1:10" x14ac:dyDescent="0.3">
      <c r="A669" s="3">
        <v>2033853</v>
      </c>
      <c r="B669">
        <v>11845</v>
      </c>
      <c r="C669">
        <v>1</v>
      </c>
      <c r="D669" s="9">
        <v>101</v>
      </c>
      <c r="E669">
        <v>1007</v>
      </c>
      <c r="F669" s="1">
        <v>44012</v>
      </c>
      <c r="G669" t="s">
        <v>83</v>
      </c>
      <c r="H669" s="4" t="s">
        <v>16</v>
      </c>
      <c r="I669" s="4">
        <v>-5.24</v>
      </c>
      <c r="J669" s="4">
        <v>-5.24</v>
      </c>
    </row>
    <row r="670" spans="1:10" x14ac:dyDescent="0.3">
      <c r="A670" s="3">
        <v>2033854</v>
      </c>
      <c r="B670">
        <v>11845</v>
      </c>
      <c r="C670">
        <v>1</v>
      </c>
      <c r="D670" s="9">
        <v>101</v>
      </c>
      <c r="E670">
        <v>1007</v>
      </c>
      <c r="F670" s="1">
        <v>44012</v>
      </c>
      <c r="G670" t="s">
        <v>88</v>
      </c>
      <c r="H670" s="4">
        <v>18.45</v>
      </c>
      <c r="I670" s="4" t="s">
        <v>16</v>
      </c>
      <c r="J670" s="4">
        <v>18.45</v>
      </c>
    </row>
    <row r="671" spans="1:10" x14ac:dyDescent="0.3">
      <c r="A671" s="3">
        <v>2033854</v>
      </c>
      <c r="B671">
        <v>71400</v>
      </c>
      <c r="C671">
        <v>1</v>
      </c>
      <c r="D671" s="9">
        <v>101</v>
      </c>
      <c r="E671">
        <v>1007</v>
      </c>
      <c r="F671" s="1">
        <v>44012</v>
      </c>
      <c r="G671" t="s">
        <v>88</v>
      </c>
      <c r="H671" s="4" t="s">
        <v>16</v>
      </c>
      <c r="I671" s="4">
        <v>-18.45</v>
      </c>
      <c r="J671" s="4">
        <v>-18.45</v>
      </c>
    </row>
    <row r="672" spans="1:10" x14ac:dyDescent="0.3">
      <c r="A672" s="3">
        <v>2033855</v>
      </c>
      <c r="B672">
        <v>11845</v>
      </c>
      <c r="C672">
        <v>3</v>
      </c>
      <c r="D672" s="9">
        <v>102</v>
      </c>
      <c r="E672">
        <v>1003</v>
      </c>
      <c r="F672" s="1">
        <v>44012</v>
      </c>
      <c r="G672" t="s">
        <v>15</v>
      </c>
      <c r="H672" s="4">
        <v>20.81</v>
      </c>
      <c r="I672" s="4" t="s">
        <v>16</v>
      </c>
      <c r="J672" s="4">
        <v>20.81</v>
      </c>
    </row>
    <row r="673" spans="1:10" x14ac:dyDescent="0.3">
      <c r="A673" s="3">
        <v>2033855</v>
      </c>
      <c r="B673">
        <v>43440</v>
      </c>
      <c r="C673">
        <v>3</v>
      </c>
      <c r="D673" s="9">
        <v>102</v>
      </c>
      <c r="E673">
        <v>1003</v>
      </c>
      <c r="F673" s="1">
        <v>44012</v>
      </c>
      <c r="G673" t="s">
        <v>15</v>
      </c>
      <c r="H673" s="4" t="s">
        <v>16</v>
      </c>
      <c r="I673" s="4">
        <v>-20.81</v>
      </c>
      <c r="J673" s="4">
        <v>-20.81</v>
      </c>
    </row>
    <row r="674" spans="1:10" x14ac:dyDescent="0.3">
      <c r="A674" s="3">
        <v>2033856</v>
      </c>
      <c r="B674">
        <v>14250</v>
      </c>
      <c r="C674">
        <v>3</v>
      </c>
      <c r="D674" s="9">
        <v>101</v>
      </c>
      <c r="E674">
        <v>1007</v>
      </c>
      <c r="F674" s="1">
        <v>44012</v>
      </c>
      <c r="G674" t="s">
        <v>77</v>
      </c>
      <c r="H674" s="4">
        <v>25.95</v>
      </c>
      <c r="I674" s="4" t="s">
        <v>16</v>
      </c>
      <c r="J674" s="4">
        <v>25.95</v>
      </c>
    </row>
    <row r="675" spans="1:10" x14ac:dyDescent="0.3">
      <c r="A675" s="3">
        <v>2033856</v>
      </c>
      <c r="B675">
        <v>11845</v>
      </c>
      <c r="C675">
        <v>3</v>
      </c>
      <c r="D675" s="9">
        <v>101</v>
      </c>
      <c r="E675">
        <v>1007</v>
      </c>
      <c r="F675" s="1">
        <v>44012</v>
      </c>
      <c r="G675" t="s">
        <v>77</v>
      </c>
      <c r="H675" s="4" t="s">
        <v>16</v>
      </c>
      <c r="I675" s="4">
        <v>-25.95</v>
      </c>
      <c r="J675" s="4">
        <v>-25.95</v>
      </c>
    </row>
    <row r="676" spans="1:10" x14ac:dyDescent="0.3">
      <c r="A676" s="3">
        <v>2033857</v>
      </c>
      <c r="B676">
        <v>72723</v>
      </c>
      <c r="C676">
        <v>1</v>
      </c>
      <c r="D676" s="9">
        <v>101</v>
      </c>
      <c r="E676">
        <v>1007</v>
      </c>
      <c r="F676" s="1">
        <v>44012</v>
      </c>
      <c r="G676" t="s">
        <v>123</v>
      </c>
      <c r="H676" s="4">
        <v>26.95</v>
      </c>
      <c r="I676" s="4" t="s">
        <v>16</v>
      </c>
      <c r="J676" s="4">
        <v>26.95</v>
      </c>
    </row>
    <row r="677" spans="1:10" x14ac:dyDescent="0.3">
      <c r="A677" s="3">
        <v>2033857</v>
      </c>
      <c r="B677">
        <v>11845</v>
      </c>
      <c r="C677">
        <v>1</v>
      </c>
      <c r="D677" s="9">
        <v>101</v>
      </c>
      <c r="E677">
        <v>1007</v>
      </c>
      <c r="F677" s="1">
        <v>44012</v>
      </c>
      <c r="G677" t="s">
        <v>123</v>
      </c>
      <c r="H677" s="4" t="s">
        <v>16</v>
      </c>
      <c r="I677" s="4">
        <v>-26.95</v>
      </c>
      <c r="J677" s="4">
        <v>-26.95</v>
      </c>
    </row>
    <row r="678" spans="1:10" x14ac:dyDescent="0.3">
      <c r="A678" s="3">
        <v>2033858</v>
      </c>
      <c r="B678">
        <v>72723</v>
      </c>
      <c r="C678">
        <v>1</v>
      </c>
      <c r="D678" s="9">
        <v>101</v>
      </c>
      <c r="E678">
        <v>1007</v>
      </c>
      <c r="F678" s="1">
        <v>44012</v>
      </c>
      <c r="G678" t="s">
        <v>123</v>
      </c>
      <c r="H678" s="4">
        <v>26.95</v>
      </c>
      <c r="I678" s="4" t="s">
        <v>16</v>
      </c>
      <c r="J678" s="4">
        <v>26.95</v>
      </c>
    </row>
    <row r="679" spans="1:10" x14ac:dyDescent="0.3">
      <c r="A679" s="3">
        <v>2033858</v>
      </c>
      <c r="B679">
        <v>11845</v>
      </c>
      <c r="C679">
        <v>1</v>
      </c>
      <c r="D679" s="9">
        <v>101</v>
      </c>
      <c r="E679">
        <v>1007</v>
      </c>
      <c r="F679" s="1">
        <v>44012</v>
      </c>
      <c r="G679" t="s">
        <v>123</v>
      </c>
      <c r="H679" s="4" t="s">
        <v>16</v>
      </c>
      <c r="I679" s="4">
        <v>-26.95</v>
      </c>
      <c r="J679" s="4">
        <v>-26.95</v>
      </c>
    </row>
    <row r="680" spans="1:10" x14ac:dyDescent="0.3">
      <c r="A680" s="3">
        <v>2033859</v>
      </c>
      <c r="B680">
        <v>72723</v>
      </c>
      <c r="C680">
        <v>1</v>
      </c>
      <c r="D680" s="9">
        <v>101</v>
      </c>
      <c r="E680">
        <v>1007</v>
      </c>
      <c r="F680" s="1">
        <v>44012</v>
      </c>
      <c r="G680" t="s">
        <v>123</v>
      </c>
      <c r="H680" s="4">
        <v>26.95</v>
      </c>
      <c r="I680" s="4" t="s">
        <v>16</v>
      </c>
      <c r="J680" s="4">
        <v>26.95</v>
      </c>
    </row>
    <row r="681" spans="1:10" x14ac:dyDescent="0.3">
      <c r="A681" s="3">
        <v>2033859</v>
      </c>
      <c r="B681">
        <v>11845</v>
      </c>
      <c r="C681">
        <v>1</v>
      </c>
      <c r="D681" s="9">
        <v>101</v>
      </c>
      <c r="E681">
        <v>1007</v>
      </c>
      <c r="F681" s="1">
        <v>44012</v>
      </c>
      <c r="G681" t="s">
        <v>123</v>
      </c>
      <c r="H681" s="4" t="s">
        <v>16</v>
      </c>
      <c r="I681" s="4">
        <v>-26.95</v>
      </c>
      <c r="J681" s="4">
        <v>-26.95</v>
      </c>
    </row>
    <row r="682" spans="1:10" x14ac:dyDescent="0.3">
      <c r="A682" s="3">
        <v>2033860</v>
      </c>
      <c r="B682">
        <v>11845</v>
      </c>
      <c r="C682">
        <v>1</v>
      </c>
      <c r="D682" s="9">
        <v>102</v>
      </c>
      <c r="E682">
        <v>1001</v>
      </c>
      <c r="F682" s="1">
        <v>44012</v>
      </c>
      <c r="G682" t="s">
        <v>41</v>
      </c>
      <c r="H682" s="4">
        <v>28.35</v>
      </c>
      <c r="I682" s="4" t="s">
        <v>16</v>
      </c>
      <c r="J682" s="4">
        <v>28.35</v>
      </c>
    </row>
    <row r="683" spans="1:10" x14ac:dyDescent="0.3">
      <c r="A683" s="3">
        <v>2033860</v>
      </c>
      <c r="B683">
        <v>43310</v>
      </c>
      <c r="C683">
        <v>1</v>
      </c>
      <c r="D683" s="9">
        <v>102</v>
      </c>
      <c r="E683">
        <v>1001</v>
      </c>
      <c r="F683" s="1">
        <v>44012</v>
      </c>
      <c r="G683" t="s">
        <v>41</v>
      </c>
      <c r="H683" s="4" t="s">
        <v>16</v>
      </c>
      <c r="I683" s="4">
        <v>-28.35</v>
      </c>
      <c r="J683" s="4">
        <v>-28.35</v>
      </c>
    </row>
    <row r="684" spans="1:10" x14ac:dyDescent="0.3">
      <c r="A684" s="3">
        <v>2033861</v>
      </c>
      <c r="B684">
        <v>14260</v>
      </c>
      <c r="C684">
        <v>1</v>
      </c>
      <c r="D684" s="9">
        <v>101</v>
      </c>
      <c r="E684">
        <v>1007</v>
      </c>
      <c r="F684" s="1">
        <v>44012</v>
      </c>
      <c r="G684" t="s">
        <v>86</v>
      </c>
      <c r="H684" s="4">
        <v>28.73</v>
      </c>
      <c r="I684" s="4" t="s">
        <v>16</v>
      </c>
      <c r="J684" s="4">
        <v>28.73</v>
      </c>
    </row>
    <row r="685" spans="1:10" x14ac:dyDescent="0.3">
      <c r="A685" s="3">
        <v>2033861</v>
      </c>
      <c r="B685">
        <v>11845</v>
      </c>
      <c r="C685">
        <v>1</v>
      </c>
      <c r="D685" s="9">
        <v>101</v>
      </c>
      <c r="E685">
        <v>1007</v>
      </c>
      <c r="F685" s="1">
        <v>44012</v>
      </c>
      <c r="G685" t="s">
        <v>86</v>
      </c>
      <c r="H685" s="4" t="s">
        <v>16</v>
      </c>
      <c r="I685" s="4">
        <v>-28.73</v>
      </c>
      <c r="J685" s="4">
        <v>-28.73</v>
      </c>
    </row>
    <row r="686" spans="1:10" x14ac:dyDescent="0.3">
      <c r="A686" s="3">
        <v>2033862</v>
      </c>
      <c r="B686">
        <v>71410</v>
      </c>
      <c r="C686">
        <v>1</v>
      </c>
      <c r="D686" s="9">
        <v>101</v>
      </c>
      <c r="E686">
        <v>1007</v>
      </c>
      <c r="F686" s="1">
        <v>44012</v>
      </c>
      <c r="G686" t="s">
        <v>89</v>
      </c>
      <c r="H686" s="4">
        <v>35.06</v>
      </c>
      <c r="I686" s="4" t="s">
        <v>16</v>
      </c>
      <c r="J686" s="4">
        <v>35.06</v>
      </c>
    </row>
    <row r="687" spans="1:10" x14ac:dyDescent="0.3">
      <c r="A687" s="3">
        <v>2033862</v>
      </c>
      <c r="B687">
        <v>11845</v>
      </c>
      <c r="C687">
        <v>1</v>
      </c>
      <c r="D687" s="9">
        <v>101</v>
      </c>
      <c r="E687">
        <v>1007</v>
      </c>
      <c r="F687" s="1">
        <v>44012</v>
      </c>
      <c r="G687" t="s">
        <v>89</v>
      </c>
      <c r="H687" s="4" t="s">
        <v>16</v>
      </c>
      <c r="I687" s="4">
        <v>-35.06</v>
      </c>
      <c r="J687" s="4">
        <v>-35.06</v>
      </c>
    </row>
    <row r="688" spans="1:10" x14ac:dyDescent="0.3">
      <c r="A688" s="3">
        <v>2033863</v>
      </c>
      <c r="B688">
        <v>14260</v>
      </c>
      <c r="C688">
        <v>1</v>
      </c>
      <c r="D688" s="9">
        <v>101</v>
      </c>
      <c r="E688">
        <v>1007</v>
      </c>
      <c r="F688" s="1">
        <v>44012</v>
      </c>
      <c r="G688" t="s">
        <v>209</v>
      </c>
      <c r="H688" s="4">
        <v>35.5</v>
      </c>
      <c r="I688" s="4" t="s">
        <v>16</v>
      </c>
      <c r="J688" s="4">
        <v>35.5</v>
      </c>
    </row>
    <row r="689" spans="1:10" x14ac:dyDescent="0.3">
      <c r="A689" s="3">
        <v>2033863</v>
      </c>
      <c r="B689">
        <v>11845</v>
      </c>
      <c r="C689">
        <v>1</v>
      </c>
      <c r="D689" s="9">
        <v>101</v>
      </c>
      <c r="E689">
        <v>1007</v>
      </c>
      <c r="F689" s="1">
        <v>44012</v>
      </c>
      <c r="G689" t="s">
        <v>209</v>
      </c>
      <c r="H689" s="4" t="s">
        <v>16</v>
      </c>
      <c r="I689" s="4">
        <v>-35.5</v>
      </c>
      <c r="J689" s="4">
        <v>-35.5</v>
      </c>
    </row>
    <row r="690" spans="1:10" x14ac:dyDescent="0.3">
      <c r="A690" s="3">
        <v>2033864</v>
      </c>
      <c r="B690">
        <v>71400</v>
      </c>
      <c r="C690">
        <v>4</v>
      </c>
      <c r="D690" s="9">
        <v>101</v>
      </c>
      <c r="E690">
        <v>1007</v>
      </c>
      <c r="F690" s="1">
        <v>44012</v>
      </c>
      <c r="G690" t="s">
        <v>78</v>
      </c>
      <c r="H690" s="4">
        <v>35.85</v>
      </c>
      <c r="I690" s="4" t="s">
        <v>16</v>
      </c>
      <c r="J690" s="4">
        <v>35.85</v>
      </c>
    </row>
    <row r="691" spans="1:10" x14ac:dyDescent="0.3">
      <c r="A691" s="3">
        <v>2033864</v>
      </c>
      <c r="B691">
        <v>11845</v>
      </c>
      <c r="C691">
        <v>4</v>
      </c>
      <c r="D691" s="9">
        <v>101</v>
      </c>
      <c r="E691">
        <v>1007</v>
      </c>
      <c r="F691" s="1">
        <v>44012</v>
      </c>
      <c r="G691" t="s">
        <v>78</v>
      </c>
      <c r="H691" s="4" t="s">
        <v>16</v>
      </c>
      <c r="I691" s="4">
        <v>-35.85</v>
      </c>
      <c r="J691" s="4">
        <v>-35.85</v>
      </c>
    </row>
    <row r="692" spans="1:10" x14ac:dyDescent="0.3">
      <c r="A692" s="3">
        <v>2033865</v>
      </c>
      <c r="B692">
        <v>14250</v>
      </c>
      <c r="C692">
        <v>3</v>
      </c>
      <c r="D692" s="9">
        <v>101</v>
      </c>
      <c r="E692">
        <v>1007</v>
      </c>
      <c r="F692" s="1">
        <v>44012</v>
      </c>
      <c r="G692" t="s">
        <v>84</v>
      </c>
      <c r="H692" s="4">
        <v>63.72</v>
      </c>
      <c r="I692" s="4" t="s">
        <v>16</v>
      </c>
      <c r="J692" s="4">
        <v>63.72</v>
      </c>
    </row>
    <row r="693" spans="1:10" x14ac:dyDescent="0.3">
      <c r="A693" s="3">
        <v>2033865</v>
      </c>
      <c r="B693">
        <v>11845</v>
      </c>
      <c r="C693">
        <v>3</v>
      </c>
      <c r="D693" s="9">
        <v>101</v>
      </c>
      <c r="E693">
        <v>1007</v>
      </c>
      <c r="F693" s="1">
        <v>44012</v>
      </c>
      <c r="G693" t="s">
        <v>84</v>
      </c>
      <c r="H693" s="4" t="s">
        <v>16</v>
      </c>
      <c r="I693" s="4">
        <v>-63.72</v>
      </c>
      <c r="J693" s="4">
        <v>-63.72</v>
      </c>
    </row>
    <row r="694" spans="1:10" x14ac:dyDescent="0.3">
      <c r="A694" s="3">
        <v>2033866</v>
      </c>
      <c r="B694">
        <v>11845</v>
      </c>
      <c r="C694">
        <v>3</v>
      </c>
      <c r="D694" s="9">
        <v>102</v>
      </c>
      <c r="E694">
        <v>1001</v>
      </c>
      <c r="F694" s="1">
        <v>44012</v>
      </c>
      <c r="G694" t="s">
        <v>41</v>
      </c>
      <c r="H694" s="4">
        <v>65.790000000000006</v>
      </c>
      <c r="I694" s="4" t="s">
        <v>16</v>
      </c>
      <c r="J694" s="4">
        <v>65.790000000000006</v>
      </c>
    </row>
    <row r="695" spans="1:10" x14ac:dyDescent="0.3">
      <c r="A695" s="3">
        <v>2033866</v>
      </c>
      <c r="B695">
        <v>43440</v>
      </c>
      <c r="C695">
        <v>3</v>
      </c>
      <c r="D695" s="9">
        <v>102</v>
      </c>
      <c r="E695">
        <v>1001</v>
      </c>
      <c r="F695" s="1">
        <v>44012</v>
      </c>
      <c r="G695" t="s">
        <v>41</v>
      </c>
      <c r="H695" s="4" t="s">
        <v>16</v>
      </c>
      <c r="I695" s="4">
        <v>-65.790000000000006</v>
      </c>
      <c r="J695" s="4">
        <v>-65.790000000000006</v>
      </c>
    </row>
    <row r="696" spans="1:10" x14ac:dyDescent="0.3">
      <c r="A696" s="3">
        <v>2033867</v>
      </c>
      <c r="B696">
        <v>71400</v>
      </c>
      <c r="C696">
        <v>1</v>
      </c>
      <c r="D696" s="9">
        <v>101</v>
      </c>
      <c r="E696">
        <v>1007</v>
      </c>
      <c r="F696" s="1">
        <v>44012</v>
      </c>
      <c r="G696" t="s">
        <v>95</v>
      </c>
      <c r="H696" s="4">
        <v>77.12</v>
      </c>
      <c r="I696" s="4" t="s">
        <v>16</v>
      </c>
      <c r="J696" s="4">
        <v>77.12</v>
      </c>
    </row>
    <row r="697" spans="1:10" x14ac:dyDescent="0.3">
      <c r="A697" s="3">
        <v>2033867</v>
      </c>
      <c r="B697">
        <v>11845</v>
      </c>
      <c r="C697">
        <v>1</v>
      </c>
      <c r="D697" s="9">
        <v>101</v>
      </c>
      <c r="E697">
        <v>1007</v>
      </c>
      <c r="F697" s="1">
        <v>44012</v>
      </c>
      <c r="G697" t="s">
        <v>95</v>
      </c>
      <c r="H697" s="4" t="s">
        <v>16</v>
      </c>
      <c r="I697" s="4">
        <v>-77.12</v>
      </c>
      <c r="J697" s="4">
        <v>-77.12</v>
      </c>
    </row>
    <row r="698" spans="1:10" x14ac:dyDescent="0.3">
      <c r="A698" s="3">
        <v>2033868</v>
      </c>
      <c r="B698">
        <v>14260</v>
      </c>
      <c r="C698">
        <v>1</v>
      </c>
      <c r="D698" s="9">
        <v>101</v>
      </c>
      <c r="E698">
        <v>1007</v>
      </c>
      <c r="F698" s="1">
        <v>44012</v>
      </c>
      <c r="G698" t="s">
        <v>86</v>
      </c>
      <c r="H698" s="4">
        <v>79.900000000000006</v>
      </c>
      <c r="I698" s="4" t="s">
        <v>16</v>
      </c>
      <c r="J698" s="4">
        <v>79.900000000000006</v>
      </c>
    </row>
    <row r="699" spans="1:10" x14ac:dyDescent="0.3">
      <c r="A699" s="3">
        <v>2033868</v>
      </c>
      <c r="B699">
        <v>11845</v>
      </c>
      <c r="C699">
        <v>1</v>
      </c>
      <c r="D699" s="9">
        <v>101</v>
      </c>
      <c r="E699">
        <v>1007</v>
      </c>
      <c r="F699" s="1">
        <v>44012</v>
      </c>
      <c r="G699" t="s">
        <v>86</v>
      </c>
      <c r="H699" s="4" t="s">
        <v>16</v>
      </c>
      <c r="I699" s="4">
        <v>-79.900000000000006</v>
      </c>
      <c r="J699" s="4">
        <v>-79.900000000000006</v>
      </c>
    </row>
    <row r="700" spans="1:10" x14ac:dyDescent="0.3">
      <c r="A700" s="3">
        <v>2033869</v>
      </c>
      <c r="B700">
        <v>14260</v>
      </c>
      <c r="C700">
        <v>1</v>
      </c>
      <c r="D700" s="9">
        <v>101</v>
      </c>
      <c r="E700">
        <v>1007</v>
      </c>
      <c r="F700" s="1">
        <v>44012</v>
      </c>
      <c r="G700" t="s">
        <v>244</v>
      </c>
      <c r="H700" s="4">
        <v>91.78</v>
      </c>
      <c r="I700" s="4" t="s">
        <v>16</v>
      </c>
      <c r="J700" s="4">
        <v>91.78</v>
      </c>
    </row>
    <row r="701" spans="1:10" x14ac:dyDescent="0.3">
      <c r="A701" s="3">
        <v>2033869</v>
      </c>
      <c r="B701">
        <v>11845</v>
      </c>
      <c r="C701">
        <v>1</v>
      </c>
      <c r="D701" s="9">
        <v>101</v>
      </c>
      <c r="E701">
        <v>1007</v>
      </c>
      <c r="F701" s="1">
        <v>44012</v>
      </c>
      <c r="G701" t="s">
        <v>244</v>
      </c>
      <c r="H701" s="4" t="s">
        <v>16</v>
      </c>
      <c r="I701" s="4">
        <v>-91.78</v>
      </c>
      <c r="J701" s="4">
        <v>-91.78</v>
      </c>
    </row>
    <row r="702" spans="1:10" x14ac:dyDescent="0.3">
      <c r="A702" s="3">
        <v>2033870</v>
      </c>
      <c r="B702">
        <v>71400</v>
      </c>
      <c r="C702">
        <v>4</v>
      </c>
      <c r="D702" s="9">
        <v>101</v>
      </c>
      <c r="E702">
        <v>1007</v>
      </c>
      <c r="F702" s="1">
        <v>44012</v>
      </c>
      <c r="G702" t="s">
        <v>78</v>
      </c>
      <c r="H702" s="4">
        <v>93.39</v>
      </c>
      <c r="I702" s="4" t="s">
        <v>16</v>
      </c>
      <c r="J702" s="4">
        <v>93.39</v>
      </c>
    </row>
    <row r="703" spans="1:10" x14ac:dyDescent="0.3">
      <c r="A703" s="3">
        <v>2033870</v>
      </c>
      <c r="B703">
        <v>11845</v>
      </c>
      <c r="C703">
        <v>4</v>
      </c>
      <c r="D703" s="9">
        <v>101</v>
      </c>
      <c r="E703">
        <v>1007</v>
      </c>
      <c r="F703" s="1">
        <v>44012</v>
      </c>
      <c r="G703" t="s">
        <v>78</v>
      </c>
      <c r="H703" s="4" t="s">
        <v>16</v>
      </c>
      <c r="I703" s="4">
        <v>-93.39</v>
      </c>
      <c r="J703" s="4">
        <v>-93.39</v>
      </c>
    </row>
    <row r="704" spans="1:10" x14ac:dyDescent="0.3">
      <c r="A704" s="3">
        <v>2033871</v>
      </c>
      <c r="B704">
        <v>11845</v>
      </c>
      <c r="C704">
        <v>2</v>
      </c>
      <c r="D704" s="9">
        <v>104</v>
      </c>
      <c r="E704">
        <v>1003</v>
      </c>
      <c r="F704" s="1">
        <v>44012</v>
      </c>
      <c r="G704" t="s">
        <v>245</v>
      </c>
      <c r="H704" s="4">
        <v>99</v>
      </c>
      <c r="I704" s="4" t="s">
        <v>16</v>
      </c>
      <c r="J704" s="4">
        <v>99</v>
      </c>
    </row>
    <row r="705" spans="1:10" x14ac:dyDescent="0.3">
      <c r="A705" s="3">
        <v>2033871</v>
      </c>
      <c r="B705">
        <v>43180</v>
      </c>
      <c r="C705">
        <v>2</v>
      </c>
      <c r="D705" s="9">
        <v>104</v>
      </c>
      <c r="E705">
        <v>1003</v>
      </c>
      <c r="F705" s="1">
        <v>44012</v>
      </c>
      <c r="G705" t="s">
        <v>245</v>
      </c>
      <c r="H705" s="4" t="s">
        <v>16</v>
      </c>
      <c r="I705" s="4">
        <v>-99</v>
      </c>
      <c r="J705" s="4">
        <v>-99</v>
      </c>
    </row>
    <row r="706" spans="1:10" x14ac:dyDescent="0.3">
      <c r="A706" s="3">
        <v>2033872</v>
      </c>
      <c r="B706">
        <v>71410</v>
      </c>
      <c r="C706">
        <v>1</v>
      </c>
      <c r="D706" s="9">
        <v>101</v>
      </c>
      <c r="E706">
        <v>1007</v>
      </c>
      <c r="F706" s="1">
        <v>44012</v>
      </c>
      <c r="G706" t="s">
        <v>79</v>
      </c>
      <c r="H706" s="4">
        <v>116.62</v>
      </c>
      <c r="I706" s="4" t="s">
        <v>16</v>
      </c>
      <c r="J706" s="4">
        <v>116.62</v>
      </c>
    </row>
    <row r="707" spans="1:10" x14ac:dyDescent="0.3">
      <c r="A707" s="3">
        <v>2033872</v>
      </c>
      <c r="B707">
        <v>11845</v>
      </c>
      <c r="C707">
        <v>1</v>
      </c>
      <c r="D707" s="9">
        <v>101</v>
      </c>
      <c r="E707">
        <v>1007</v>
      </c>
      <c r="F707" s="1">
        <v>44012</v>
      </c>
      <c r="G707" t="s">
        <v>79</v>
      </c>
      <c r="H707" s="4" t="s">
        <v>16</v>
      </c>
      <c r="I707" s="4">
        <v>-116.62</v>
      </c>
      <c r="J707" s="4">
        <v>-116.62</v>
      </c>
    </row>
    <row r="708" spans="1:10" x14ac:dyDescent="0.3">
      <c r="A708" s="3">
        <v>2033873</v>
      </c>
      <c r="B708">
        <v>71400</v>
      </c>
      <c r="C708">
        <v>1</v>
      </c>
      <c r="D708" s="9">
        <v>101</v>
      </c>
      <c r="E708">
        <v>1007</v>
      </c>
      <c r="F708" s="1">
        <v>44012</v>
      </c>
      <c r="G708" t="s">
        <v>95</v>
      </c>
      <c r="H708" s="4">
        <v>129.19999999999999</v>
      </c>
      <c r="I708" s="4" t="s">
        <v>16</v>
      </c>
      <c r="J708" s="4">
        <v>129.19999999999999</v>
      </c>
    </row>
    <row r="709" spans="1:10" x14ac:dyDescent="0.3">
      <c r="A709" s="3">
        <v>2033873</v>
      </c>
      <c r="B709">
        <v>11845</v>
      </c>
      <c r="C709">
        <v>1</v>
      </c>
      <c r="D709" s="9">
        <v>101</v>
      </c>
      <c r="E709">
        <v>1007</v>
      </c>
      <c r="F709" s="1">
        <v>44012</v>
      </c>
      <c r="G709" t="s">
        <v>95</v>
      </c>
      <c r="H709" s="4" t="s">
        <v>16</v>
      </c>
      <c r="I709" s="4">
        <v>-129.19999999999999</v>
      </c>
      <c r="J709" s="4">
        <v>-129.19999999999999</v>
      </c>
    </row>
    <row r="710" spans="1:10" x14ac:dyDescent="0.3">
      <c r="A710" s="3">
        <v>2033874</v>
      </c>
      <c r="B710">
        <v>71400</v>
      </c>
      <c r="C710">
        <v>1</v>
      </c>
      <c r="D710" s="9">
        <v>101</v>
      </c>
      <c r="E710">
        <v>1007</v>
      </c>
      <c r="F710" s="1">
        <v>44012</v>
      </c>
      <c r="G710" t="s">
        <v>88</v>
      </c>
      <c r="H710" s="4">
        <v>137.05000000000001</v>
      </c>
      <c r="I710" s="4" t="s">
        <v>16</v>
      </c>
      <c r="J710" s="4">
        <v>137.05000000000001</v>
      </c>
    </row>
    <row r="711" spans="1:10" x14ac:dyDescent="0.3">
      <c r="A711" s="3">
        <v>2033874</v>
      </c>
      <c r="B711">
        <v>11845</v>
      </c>
      <c r="C711">
        <v>1</v>
      </c>
      <c r="D711" s="9">
        <v>101</v>
      </c>
      <c r="E711">
        <v>1007</v>
      </c>
      <c r="F711" s="1">
        <v>44012</v>
      </c>
      <c r="G711" t="s">
        <v>88</v>
      </c>
      <c r="H711" s="4" t="s">
        <v>16</v>
      </c>
      <c r="I711" s="4">
        <v>-137.05000000000001</v>
      </c>
      <c r="J711" s="4">
        <v>-137.05000000000001</v>
      </c>
    </row>
    <row r="712" spans="1:10" x14ac:dyDescent="0.3">
      <c r="A712" s="3">
        <v>2033875</v>
      </c>
      <c r="B712">
        <v>71400</v>
      </c>
      <c r="C712">
        <v>1</v>
      </c>
      <c r="D712" s="9">
        <v>101</v>
      </c>
      <c r="E712">
        <v>1007</v>
      </c>
      <c r="F712" s="1">
        <v>44012</v>
      </c>
      <c r="G712" t="s">
        <v>246</v>
      </c>
      <c r="H712" s="4">
        <v>152.02000000000001</v>
      </c>
      <c r="I712" s="4" t="s">
        <v>16</v>
      </c>
      <c r="J712" s="4">
        <v>152.02000000000001</v>
      </c>
    </row>
    <row r="713" spans="1:10" x14ac:dyDescent="0.3">
      <c r="A713" s="3">
        <v>2033875</v>
      </c>
      <c r="B713">
        <v>11845</v>
      </c>
      <c r="C713">
        <v>1</v>
      </c>
      <c r="D713" s="9">
        <v>101</v>
      </c>
      <c r="E713">
        <v>1007</v>
      </c>
      <c r="F713" s="1">
        <v>44012</v>
      </c>
      <c r="G713" t="s">
        <v>246</v>
      </c>
      <c r="H713" s="4" t="s">
        <v>16</v>
      </c>
      <c r="I713" s="4">
        <v>-152.02000000000001</v>
      </c>
      <c r="J713" s="4">
        <v>-152.02000000000001</v>
      </c>
    </row>
    <row r="714" spans="1:10" x14ac:dyDescent="0.3">
      <c r="A714" s="3">
        <v>2033876</v>
      </c>
      <c r="B714">
        <v>71400</v>
      </c>
      <c r="C714">
        <v>4</v>
      </c>
      <c r="D714" s="9">
        <v>101</v>
      </c>
      <c r="E714">
        <v>1007</v>
      </c>
      <c r="F714" s="1">
        <v>44012</v>
      </c>
      <c r="G714" t="s">
        <v>132</v>
      </c>
      <c r="H714" s="4">
        <v>159.9</v>
      </c>
      <c r="I714" s="4" t="s">
        <v>16</v>
      </c>
      <c r="J714" s="4">
        <v>159.9</v>
      </c>
    </row>
    <row r="715" spans="1:10" x14ac:dyDescent="0.3">
      <c r="A715" s="3">
        <v>2033876</v>
      </c>
      <c r="B715">
        <v>11845</v>
      </c>
      <c r="C715">
        <v>4</v>
      </c>
      <c r="D715" s="9">
        <v>101</v>
      </c>
      <c r="E715">
        <v>1007</v>
      </c>
      <c r="F715" s="1">
        <v>44012</v>
      </c>
      <c r="G715" t="s">
        <v>132</v>
      </c>
      <c r="H715" s="4" t="s">
        <v>16</v>
      </c>
      <c r="I715" s="4">
        <v>-159.9</v>
      </c>
      <c r="J715" s="4">
        <v>-159.9</v>
      </c>
    </row>
    <row r="716" spans="1:10" x14ac:dyDescent="0.3">
      <c r="A716" s="3">
        <v>2033877</v>
      </c>
      <c r="B716">
        <v>14250</v>
      </c>
      <c r="C716">
        <v>3</v>
      </c>
      <c r="D716" s="9">
        <v>101</v>
      </c>
      <c r="E716">
        <v>1007</v>
      </c>
      <c r="F716" s="1">
        <v>44012</v>
      </c>
      <c r="G716" t="s">
        <v>77</v>
      </c>
      <c r="H716" s="4">
        <v>166.2</v>
      </c>
      <c r="I716" s="4" t="s">
        <v>16</v>
      </c>
      <c r="J716" s="4">
        <v>166.2</v>
      </c>
    </row>
    <row r="717" spans="1:10" x14ac:dyDescent="0.3">
      <c r="A717" s="3">
        <v>2033877</v>
      </c>
      <c r="B717">
        <v>11845</v>
      </c>
      <c r="C717">
        <v>3</v>
      </c>
      <c r="D717" s="9">
        <v>101</v>
      </c>
      <c r="E717">
        <v>1007</v>
      </c>
      <c r="F717" s="1">
        <v>44012</v>
      </c>
      <c r="G717" t="s">
        <v>77</v>
      </c>
      <c r="H717" s="4" t="s">
        <v>16</v>
      </c>
      <c r="I717" s="4">
        <v>-166.2</v>
      </c>
      <c r="J717" s="4">
        <v>-166.2</v>
      </c>
    </row>
    <row r="718" spans="1:10" x14ac:dyDescent="0.3">
      <c r="A718" s="3">
        <v>2033878</v>
      </c>
      <c r="B718">
        <v>71900</v>
      </c>
      <c r="C718">
        <v>1</v>
      </c>
      <c r="D718" s="9">
        <v>102</v>
      </c>
      <c r="E718">
        <v>1002</v>
      </c>
      <c r="F718" s="1">
        <v>44012</v>
      </c>
      <c r="G718" t="s">
        <v>36</v>
      </c>
      <c r="H718" s="4">
        <v>223.2</v>
      </c>
      <c r="I718" s="4" t="s">
        <v>16</v>
      </c>
      <c r="J718" s="4">
        <v>223.2</v>
      </c>
    </row>
    <row r="719" spans="1:10" x14ac:dyDescent="0.3">
      <c r="A719" s="3">
        <v>2033878</v>
      </c>
      <c r="B719">
        <v>11845</v>
      </c>
      <c r="C719">
        <v>1</v>
      </c>
      <c r="D719" s="9">
        <v>102</v>
      </c>
      <c r="E719">
        <v>1002</v>
      </c>
      <c r="F719" s="1">
        <v>44012</v>
      </c>
      <c r="G719" t="s">
        <v>36</v>
      </c>
      <c r="H719" s="4" t="s">
        <v>16</v>
      </c>
      <c r="I719" s="4">
        <v>-223.2</v>
      </c>
      <c r="J719" s="4">
        <v>-223.2</v>
      </c>
    </row>
    <row r="720" spans="1:10" x14ac:dyDescent="0.3">
      <c r="A720" s="3">
        <v>2033879</v>
      </c>
      <c r="B720">
        <v>71400</v>
      </c>
      <c r="C720">
        <v>2</v>
      </c>
      <c r="D720" s="9">
        <v>101</v>
      </c>
      <c r="E720">
        <v>1002</v>
      </c>
      <c r="F720" s="1">
        <v>44012</v>
      </c>
      <c r="G720" t="s">
        <v>208</v>
      </c>
      <c r="H720" s="4">
        <v>294.39999999999998</v>
      </c>
      <c r="I720" s="4" t="s">
        <v>16</v>
      </c>
      <c r="J720" s="4">
        <v>294.39999999999998</v>
      </c>
    </row>
    <row r="721" spans="1:10" x14ac:dyDescent="0.3">
      <c r="A721" s="3">
        <v>2033879</v>
      </c>
      <c r="B721">
        <v>11845</v>
      </c>
      <c r="C721">
        <v>2</v>
      </c>
      <c r="D721" s="9">
        <v>101</v>
      </c>
      <c r="E721">
        <v>1002</v>
      </c>
      <c r="F721" s="1">
        <v>44012</v>
      </c>
      <c r="G721" t="s">
        <v>208</v>
      </c>
      <c r="H721" s="4" t="s">
        <v>16</v>
      </c>
      <c r="I721" s="4">
        <v>-294.39999999999998</v>
      </c>
      <c r="J721" s="4">
        <v>-294.39999999999998</v>
      </c>
    </row>
    <row r="722" spans="1:10" x14ac:dyDescent="0.3">
      <c r="A722" s="3">
        <v>2033880</v>
      </c>
      <c r="B722">
        <v>71410</v>
      </c>
      <c r="C722">
        <v>1</v>
      </c>
      <c r="D722" s="9">
        <v>101</v>
      </c>
      <c r="E722">
        <v>1007</v>
      </c>
      <c r="F722" s="1">
        <v>44012</v>
      </c>
      <c r="G722" t="s">
        <v>71</v>
      </c>
      <c r="H722" s="4">
        <v>336.51</v>
      </c>
      <c r="I722" s="4" t="s">
        <v>16</v>
      </c>
      <c r="J722" s="4">
        <v>336.51</v>
      </c>
    </row>
    <row r="723" spans="1:10" x14ac:dyDescent="0.3">
      <c r="A723" s="3">
        <v>2033880</v>
      </c>
      <c r="B723">
        <v>11845</v>
      </c>
      <c r="C723">
        <v>1</v>
      </c>
      <c r="D723" s="9">
        <v>101</v>
      </c>
      <c r="E723">
        <v>1007</v>
      </c>
      <c r="F723" s="1">
        <v>44012</v>
      </c>
      <c r="G723" t="s">
        <v>71</v>
      </c>
      <c r="H723" s="4" t="s">
        <v>16</v>
      </c>
      <c r="I723" s="4">
        <v>-336.51</v>
      </c>
      <c r="J723" s="4">
        <v>-336.51</v>
      </c>
    </row>
    <row r="724" spans="1:10" x14ac:dyDescent="0.3">
      <c r="A724" s="3">
        <v>2033881</v>
      </c>
      <c r="B724">
        <v>71400</v>
      </c>
      <c r="C724">
        <v>1</v>
      </c>
      <c r="D724" s="9">
        <v>101</v>
      </c>
      <c r="E724">
        <v>1007</v>
      </c>
      <c r="F724" s="1">
        <v>44012</v>
      </c>
      <c r="G724" t="s">
        <v>92</v>
      </c>
      <c r="H724" s="4">
        <v>343.35</v>
      </c>
      <c r="I724" s="4" t="s">
        <v>16</v>
      </c>
      <c r="J724" s="4">
        <v>343.35</v>
      </c>
    </row>
    <row r="725" spans="1:10" x14ac:dyDescent="0.3">
      <c r="A725" s="3">
        <v>2033881</v>
      </c>
      <c r="B725">
        <v>11845</v>
      </c>
      <c r="C725">
        <v>1</v>
      </c>
      <c r="D725" s="9">
        <v>101</v>
      </c>
      <c r="E725">
        <v>1007</v>
      </c>
      <c r="F725" s="1">
        <v>44012</v>
      </c>
      <c r="G725" t="s">
        <v>92</v>
      </c>
      <c r="H725" s="4" t="s">
        <v>16</v>
      </c>
      <c r="I725" s="4">
        <v>-343.35</v>
      </c>
      <c r="J725" s="4">
        <v>-343.35</v>
      </c>
    </row>
    <row r="726" spans="1:10" x14ac:dyDescent="0.3">
      <c r="A726" s="3">
        <v>2033882</v>
      </c>
      <c r="B726">
        <v>11845</v>
      </c>
      <c r="C726">
        <v>1</v>
      </c>
      <c r="D726" s="9">
        <v>102</v>
      </c>
      <c r="E726">
        <v>1003</v>
      </c>
      <c r="F726" s="1">
        <v>44012</v>
      </c>
      <c r="G726" t="s">
        <v>15</v>
      </c>
      <c r="H726" s="4">
        <v>373.76</v>
      </c>
      <c r="I726" s="4" t="s">
        <v>16</v>
      </c>
      <c r="J726" s="4">
        <v>373.76</v>
      </c>
    </row>
    <row r="727" spans="1:10" x14ac:dyDescent="0.3">
      <c r="A727" s="3">
        <v>2033882</v>
      </c>
      <c r="B727">
        <v>43310</v>
      </c>
      <c r="C727">
        <v>1</v>
      </c>
      <c r="D727" s="9">
        <v>102</v>
      </c>
      <c r="E727">
        <v>1003</v>
      </c>
      <c r="F727" s="1">
        <v>44012</v>
      </c>
      <c r="G727" t="s">
        <v>15</v>
      </c>
      <c r="H727" s="4" t="s">
        <v>16</v>
      </c>
      <c r="I727" s="4">
        <v>-373.76</v>
      </c>
      <c r="J727" s="4">
        <v>-373.76</v>
      </c>
    </row>
    <row r="728" spans="1:10" x14ac:dyDescent="0.3">
      <c r="A728" s="3">
        <v>2033883</v>
      </c>
      <c r="B728">
        <v>71400</v>
      </c>
      <c r="C728">
        <v>4</v>
      </c>
      <c r="D728" s="9">
        <v>101</v>
      </c>
      <c r="E728">
        <v>1007</v>
      </c>
      <c r="F728" s="1">
        <v>44012</v>
      </c>
      <c r="G728" t="s">
        <v>77</v>
      </c>
      <c r="H728" s="4">
        <v>385.74</v>
      </c>
      <c r="I728" s="4" t="s">
        <v>16</v>
      </c>
      <c r="J728" s="4">
        <v>385.74</v>
      </c>
    </row>
    <row r="729" spans="1:10" x14ac:dyDescent="0.3">
      <c r="A729" s="3">
        <v>2033883</v>
      </c>
      <c r="B729">
        <v>11845</v>
      </c>
      <c r="C729">
        <v>4</v>
      </c>
      <c r="D729" s="9">
        <v>101</v>
      </c>
      <c r="E729">
        <v>1007</v>
      </c>
      <c r="F729" s="1">
        <v>44012</v>
      </c>
      <c r="G729" t="s">
        <v>77</v>
      </c>
      <c r="H729" s="4" t="s">
        <v>16</v>
      </c>
      <c r="I729" s="4">
        <v>-385.74</v>
      </c>
      <c r="J729" s="4">
        <v>-385.74</v>
      </c>
    </row>
    <row r="730" spans="1:10" x14ac:dyDescent="0.3">
      <c r="A730" s="3">
        <v>2033884</v>
      </c>
      <c r="B730">
        <v>71400</v>
      </c>
      <c r="C730">
        <v>1</v>
      </c>
      <c r="D730" s="9">
        <v>101</v>
      </c>
      <c r="E730">
        <v>1007</v>
      </c>
      <c r="F730" s="1">
        <v>44012</v>
      </c>
      <c r="G730" t="s">
        <v>203</v>
      </c>
      <c r="H730" s="4">
        <v>400</v>
      </c>
      <c r="I730" s="4" t="s">
        <v>16</v>
      </c>
      <c r="J730" s="4">
        <v>400</v>
      </c>
    </row>
    <row r="731" spans="1:10" x14ac:dyDescent="0.3">
      <c r="A731" s="3">
        <v>2033884</v>
      </c>
      <c r="B731">
        <v>11845</v>
      </c>
      <c r="C731">
        <v>1</v>
      </c>
      <c r="D731" s="9">
        <v>101</v>
      </c>
      <c r="E731">
        <v>1007</v>
      </c>
      <c r="F731" s="1">
        <v>44012</v>
      </c>
      <c r="G731" t="s">
        <v>203</v>
      </c>
      <c r="H731" s="4" t="s">
        <v>16</v>
      </c>
      <c r="I731" s="4">
        <v>-400</v>
      </c>
      <c r="J731" s="4">
        <v>-400</v>
      </c>
    </row>
    <row r="732" spans="1:10" x14ac:dyDescent="0.3">
      <c r="A732" s="3">
        <v>2033885</v>
      </c>
      <c r="B732">
        <v>71400</v>
      </c>
      <c r="C732">
        <v>4</v>
      </c>
      <c r="D732" s="9">
        <v>101</v>
      </c>
      <c r="E732">
        <v>1007</v>
      </c>
      <c r="F732" s="1">
        <v>44012</v>
      </c>
      <c r="G732" t="s">
        <v>78</v>
      </c>
      <c r="H732" s="4">
        <v>506.04</v>
      </c>
      <c r="I732" s="4" t="s">
        <v>16</v>
      </c>
      <c r="J732" s="4">
        <v>506.04</v>
      </c>
    </row>
    <row r="733" spans="1:10" x14ac:dyDescent="0.3">
      <c r="A733" s="3">
        <v>2033885</v>
      </c>
      <c r="B733">
        <v>11845</v>
      </c>
      <c r="C733">
        <v>4</v>
      </c>
      <c r="D733" s="9">
        <v>101</v>
      </c>
      <c r="E733">
        <v>1007</v>
      </c>
      <c r="F733" s="1">
        <v>44012</v>
      </c>
      <c r="G733" t="s">
        <v>78</v>
      </c>
      <c r="H733" s="4" t="s">
        <v>16</v>
      </c>
      <c r="I733" s="4">
        <v>-506.04</v>
      </c>
      <c r="J733" s="4">
        <v>-506.04</v>
      </c>
    </row>
    <row r="734" spans="1:10" x14ac:dyDescent="0.3">
      <c r="A734" s="3">
        <v>2033886</v>
      </c>
      <c r="B734">
        <v>71400</v>
      </c>
      <c r="C734">
        <v>1</v>
      </c>
      <c r="D734" s="9">
        <v>101</v>
      </c>
      <c r="E734">
        <v>1007</v>
      </c>
      <c r="F734" s="1">
        <v>44012</v>
      </c>
      <c r="G734" t="s">
        <v>88</v>
      </c>
      <c r="H734" s="4">
        <v>522.45000000000005</v>
      </c>
      <c r="I734" s="4" t="s">
        <v>16</v>
      </c>
      <c r="J734" s="4">
        <v>522.45000000000005</v>
      </c>
    </row>
    <row r="735" spans="1:10" x14ac:dyDescent="0.3">
      <c r="A735" s="3">
        <v>2033886</v>
      </c>
      <c r="B735">
        <v>11845</v>
      </c>
      <c r="C735">
        <v>1</v>
      </c>
      <c r="D735" s="9">
        <v>101</v>
      </c>
      <c r="E735">
        <v>1007</v>
      </c>
      <c r="F735" s="1">
        <v>44012</v>
      </c>
      <c r="G735" t="s">
        <v>88</v>
      </c>
      <c r="H735" s="4" t="s">
        <v>16</v>
      </c>
      <c r="I735" s="4">
        <v>-522.45000000000005</v>
      </c>
      <c r="J735" s="4">
        <v>-522.45000000000005</v>
      </c>
    </row>
    <row r="736" spans="1:10" x14ac:dyDescent="0.3">
      <c r="A736" s="3">
        <v>2033887</v>
      </c>
      <c r="B736">
        <v>71400</v>
      </c>
      <c r="C736">
        <v>1</v>
      </c>
      <c r="D736" s="9">
        <v>101</v>
      </c>
      <c r="E736">
        <v>1007</v>
      </c>
      <c r="F736" s="1">
        <v>44012</v>
      </c>
      <c r="G736" t="s">
        <v>88</v>
      </c>
      <c r="H736" s="4">
        <v>525.70000000000005</v>
      </c>
      <c r="I736" s="4" t="s">
        <v>16</v>
      </c>
      <c r="J736" s="4">
        <v>525.70000000000005</v>
      </c>
    </row>
    <row r="737" spans="1:10" x14ac:dyDescent="0.3">
      <c r="A737" s="3">
        <v>2033887</v>
      </c>
      <c r="B737">
        <v>11845</v>
      </c>
      <c r="C737">
        <v>1</v>
      </c>
      <c r="D737" s="9">
        <v>101</v>
      </c>
      <c r="E737">
        <v>1007</v>
      </c>
      <c r="F737" s="1">
        <v>44012</v>
      </c>
      <c r="G737" t="s">
        <v>88</v>
      </c>
      <c r="H737" s="4" t="s">
        <v>16</v>
      </c>
      <c r="I737" s="4">
        <v>-525.70000000000005</v>
      </c>
      <c r="J737" s="4">
        <v>-525.70000000000005</v>
      </c>
    </row>
    <row r="738" spans="1:10" x14ac:dyDescent="0.3">
      <c r="A738" s="3">
        <v>2033888</v>
      </c>
      <c r="B738">
        <v>71400</v>
      </c>
      <c r="C738">
        <v>4</v>
      </c>
      <c r="D738" s="9">
        <v>101</v>
      </c>
      <c r="E738">
        <v>1007</v>
      </c>
      <c r="F738" s="1">
        <v>44012</v>
      </c>
      <c r="G738" t="s">
        <v>79</v>
      </c>
      <c r="H738" s="4">
        <v>570.4</v>
      </c>
      <c r="I738" s="4" t="s">
        <v>16</v>
      </c>
      <c r="J738" s="4">
        <v>570.4</v>
      </c>
    </row>
    <row r="739" spans="1:10" x14ac:dyDescent="0.3">
      <c r="A739" s="3">
        <v>2033888</v>
      </c>
      <c r="B739">
        <v>11845</v>
      </c>
      <c r="C739">
        <v>4</v>
      </c>
      <c r="D739" s="9">
        <v>101</v>
      </c>
      <c r="E739">
        <v>1007</v>
      </c>
      <c r="F739" s="1">
        <v>44012</v>
      </c>
      <c r="G739" t="s">
        <v>79</v>
      </c>
      <c r="H739" s="4" t="s">
        <v>16</v>
      </c>
      <c r="I739" s="4">
        <v>-570.4</v>
      </c>
      <c r="J739" s="4">
        <v>-570.4</v>
      </c>
    </row>
    <row r="740" spans="1:10" x14ac:dyDescent="0.3">
      <c r="A740" s="3">
        <v>2033889</v>
      </c>
      <c r="B740">
        <v>71400</v>
      </c>
      <c r="C740">
        <v>4</v>
      </c>
      <c r="D740" s="9">
        <v>101</v>
      </c>
      <c r="E740">
        <v>1007</v>
      </c>
      <c r="F740" s="1">
        <v>44012</v>
      </c>
      <c r="G740" t="s">
        <v>133</v>
      </c>
      <c r="H740" s="4">
        <v>651.70000000000005</v>
      </c>
      <c r="I740" s="4" t="s">
        <v>16</v>
      </c>
      <c r="J740" s="4">
        <v>651.70000000000005</v>
      </c>
    </row>
    <row r="741" spans="1:10" x14ac:dyDescent="0.3">
      <c r="A741" s="3">
        <v>2033889</v>
      </c>
      <c r="B741">
        <v>11845</v>
      </c>
      <c r="C741">
        <v>4</v>
      </c>
      <c r="D741" s="9">
        <v>101</v>
      </c>
      <c r="E741">
        <v>1007</v>
      </c>
      <c r="F741" s="1">
        <v>44012</v>
      </c>
      <c r="G741" t="s">
        <v>133</v>
      </c>
      <c r="H741" s="4" t="s">
        <v>16</v>
      </c>
      <c r="I741" s="4">
        <v>-651.70000000000005</v>
      </c>
      <c r="J741" s="4">
        <v>-651.70000000000005</v>
      </c>
    </row>
    <row r="742" spans="1:10" x14ac:dyDescent="0.3">
      <c r="A742" s="3">
        <v>2033890</v>
      </c>
      <c r="B742">
        <v>71400</v>
      </c>
      <c r="C742">
        <v>1</v>
      </c>
      <c r="D742" s="9">
        <v>101</v>
      </c>
      <c r="E742">
        <v>1007</v>
      </c>
      <c r="F742" s="1">
        <v>44012</v>
      </c>
      <c r="G742" t="s">
        <v>128</v>
      </c>
      <c r="H742" s="4">
        <v>711</v>
      </c>
      <c r="I742" s="4" t="s">
        <v>16</v>
      </c>
      <c r="J742" s="4">
        <v>711</v>
      </c>
    </row>
    <row r="743" spans="1:10" x14ac:dyDescent="0.3">
      <c r="A743" s="3">
        <v>2033890</v>
      </c>
      <c r="B743">
        <v>11845</v>
      </c>
      <c r="C743">
        <v>1</v>
      </c>
      <c r="D743" s="9">
        <v>101</v>
      </c>
      <c r="E743">
        <v>1007</v>
      </c>
      <c r="F743" s="1">
        <v>44012</v>
      </c>
      <c r="G743" t="s">
        <v>128</v>
      </c>
      <c r="H743" s="4" t="s">
        <v>16</v>
      </c>
      <c r="I743" s="4">
        <v>-711</v>
      </c>
      <c r="J743" s="4">
        <v>-711</v>
      </c>
    </row>
    <row r="744" spans="1:10" x14ac:dyDescent="0.3">
      <c r="A744" s="3">
        <v>2033891</v>
      </c>
      <c r="B744">
        <v>71500</v>
      </c>
      <c r="C744">
        <v>6</v>
      </c>
      <c r="D744" s="9">
        <v>101</v>
      </c>
      <c r="E744">
        <v>1002</v>
      </c>
      <c r="F744" s="1">
        <v>44012</v>
      </c>
      <c r="G744" t="s">
        <v>186</v>
      </c>
      <c r="H744" s="4">
        <v>827</v>
      </c>
      <c r="I744" s="4" t="s">
        <v>16</v>
      </c>
      <c r="J744" s="4">
        <v>827</v>
      </c>
    </row>
    <row r="745" spans="1:10" x14ac:dyDescent="0.3">
      <c r="A745" s="3">
        <v>2033891</v>
      </c>
      <c r="B745">
        <v>11845</v>
      </c>
      <c r="C745">
        <v>6</v>
      </c>
      <c r="D745" s="9">
        <v>101</v>
      </c>
      <c r="E745">
        <v>1002</v>
      </c>
      <c r="F745" s="1">
        <v>44012</v>
      </c>
      <c r="G745" t="s">
        <v>186</v>
      </c>
      <c r="H745" s="4" t="s">
        <v>16</v>
      </c>
      <c r="I745" s="4">
        <v>-827</v>
      </c>
      <c r="J745" s="4">
        <v>-827</v>
      </c>
    </row>
    <row r="746" spans="1:10" x14ac:dyDescent="0.3">
      <c r="A746" s="3">
        <v>2033892</v>
      </c>
      <c r="B746">
        <v>71400</v>
      </c>
      <c r="C746">
        <v>1</v>
      </c>
      <c r="D746" s="9">
        <v>101</v>
      </c>
      <c r="E746">
        <v>1007</v>
      </c>
      <c r="F746" s="1">
        <v>44012</v>
      </c>
      <c r="G746" t="s">
        <v>88</v>
      </c>
      <c r="H746" s="4">
        <v>876.5</v>
      </c>
      <c r="I746" s="4" t="s">
        <v>16</v>
      </c>
      <c r="J746" s="4">
        <v>876.5</v>
      </c>
    </row>
    <row r="747" spans="1:10" x14ac:dyDescent="0.3">
      <c r="A747" s="3">
        <v>2033892</v>
      </c>
      <c r="B747">
        <v>11845</v>
      </c>
      <c r="C747">
        <v>1</v>
      </c>
      <c r="D747" s="9">
        <v>101</v>
      </c>
      <c r="E747">
        <v>1007</v>
      </c>
      <c r="F747" s="1">
        <v>44012</v>
      </c>
      <c r="G747" t="s">
        <v>88</v>
      </c>
      <c r="H747" s="4" t="s">
        <v>16</v>
      </c>
      <c r="I747" s="4">
        <v>-876.5</v>
      </c>
      <c r="J747" s="4">
        <v>-876.5</v>
      </c>
    </row>
    <row r="748" spans="1:10" x14ac:dyDescent="0.3">
      <c r="A748" s="3">
        <v>2033893</v>
      </c>
      <c r="B748">
        <v>11845</v>
      </c>
      <c r="C748">
        <v>1</v>
      </c>
      <c r="D748" s="9">
        <v>102</v>
      </c>
      <c r="E748">
        <v>1001</v>
      </c>
      <c r="F748" s="1">
        <v>44012</v>
      </c>
      <c r="G748" t="s">
        <v>41</v>
      </c>
      <c r="H748" s="4">
        <v>1039.21</v>
      </c>
      <c r="I748" s="4" t="s">
        <v>16</v>
      </c>
      <c r="J748" s="4">
        <v>1039.21</v>
      </c>
    </row>
    <row r="749" spans="1:10" x14ac:dyDescent="0.3">
      <c r="A749" s="3">
        <v>2033893</v>
      </c>
      <c r="B749">
        <v>43310</v>
      </c>
      <c r="C749">
        <v>1</v>
      </c>
      <c r="D749" s="9">
        <v>102</v>
      </c>
      <c r="E749">
        <v>1001</v>
      </c>
      <c r="F749" s="1">
        <v>44012</v>
      </c>
      <c r="G749" t="s">
        <v>41</v>
      </c>
      <c r="H749" s="4" t="s">
        <v>16</v>
      </c>
      <c r="I749" s="4">
        <v>-1039.21</v>
      </c>
      <c r="J749" s="4">
        <v>-1039.21</v>
      </c>
    </row>
    <row r="750" spans="1:10" x14ac:dyDescent="0.3">
      <c r="A750" s="3">
        <v>2033894</v>
      </c>
      <c r="B750">
        <v>11845</v>
      </c>
      <c r="C750">
        <v>1</v>
      </c>
      <c r="D750" s="9">
        <v>101</v>
      </c>
      <c r="E750">
        <v>1007</v>
      </c>
      <c r="F750" s="1">
        <v>44012</v>
      </c>
      <c r="G750" t="s">
        <v>90</v>
      </c>
      <c r="H750" s="4">
        <v>1170</v>
      </c>
      <c r="I750" s="4" t="s">
        <v>16</v>
      </c>
      <c r="J750" s="4">
        <v>1170</v>
      </c>
    </row>
    <row r="751" spans="1:10" x14ac:dyDescent="0.3">
      <c r="A751" s="3">
        <v>2033894</v>
      </c>
      <c r="B751">
        <v>71400</v>
      </c>
      <c r="C751">
        <v>1</v>
      </c>
      <c r="D751" s="9">
        <v>101</v>
      </c>
      <c r="E751">
        <v>1007</v>
      </c>
      <c r="F751" s="1">
        <v>44012</v>
      </c>
      <c r="G751" t="s">
        <v>90</v>
      </c>
      <c r="H751" s="4" t="s">
        <v>16</v>
      </c>
      <c r="I751" s="4">
        <v>-1170</v>
      </c>
      <c r="J751" s="4">
        <v>-1170</v>
      </c>
    </row>
    <row r="752" spans="1:10" x14ac:dyDescent="0.3">
      <c r="A752" s="3">
        <v>2033895</v>
      </c>
      <c r="B752">
        <v>71400</v>
      </c>
      <c r="C752">
        <v>1</v>
      </c>
      <c r="D752" s="9">
        <v>101</v>
      </c>
      <c r="E752">
        <v>1007</v>
      </c>
      <c r="F752" s="1">
        <v>44012</v>
      </c>
      <c r="G752" t="s">
        <v>88</v>
      </c>
      <c r="H752" s="4">
        <v>1184.94</v>
      </c>
      <c r="I752" s="4" t="s">
        <v>16</v>
      </c>
      <c r="J752" s="4">
        <v>1184.94</v>
      </c>
    </row>
    <row r="753" spans="1:10" x14ac:dyDescent="0.3">
      <c r="A753" s="3">
        <v>2033895</v>
      </c>
      <c r="B753">
        <v>11845</v>
      </c>
      <c r="C753">
        <v>1</v>
      </c>
      <c r="D753" s="9">
        <v>101</v>
      </c>
      <c r="E753">
        <v>1007</v>
      </c>
      <c r="F753" s="1">
        <v>44012</v>
      </c>
      <c r="G753" t="s">
        <v>88</v>
      </c>
      <c r="H753" s="4" t="s">
        <v>16</v>
      </c>
      <c r="I753" s="4">
        <v>-1184.94</v>
      </c>
      <c r="J753" s="4">
        <v>-1184.94</v>
      </c>
    </row>
    <row r="754" spans="1:10" x14ac:dyDescent="0.3">
      <c r="A754" s="3">
        <v>2033896</v>
      </c>
      <c r="B754">
        <v>71400</v>
      </c>
      <c r="C754">
        <v>1</v>
      </c>
      <c r="D754" s="9">
        <v>101</v>
      </c>
      <c r="E754">
        <v>1007</v>
      </c>
      <c r="F754" s="1">
        <v>44012</v>
      </c>
      <c r="G754" t="s">
        <v>95</v>
      </c>
      <c r="H754" s="4">
        <v>1382.47</v>
      </c>
      <c r="I754" s="4" t="s">
        <v>16</v>
      </c>
      <c r="J754" s="4">
        <v>1382.47</v>
      </c>
    </row>
    <row r="755" spans="1:10" x14ac:dyDescent="0.3">
      <c r="A755" s="3">
        <v>2033896</v>
      </c>
      <c r="B755">
        <v>11845</v>
      </c>
      <c r="C755">
        <v>1</v>
      </c>
      <c r="D755" s="9">
        <v>101</v>
      </c>
      <c r="E755">
        <v>1007</v>
      </c>
      <c r="F755" s="1">
        <v>44012</v>
      </c>
      <c r="G755" t="s">
        <v>95</v>
      </c>
      <c r="H755" s="4" t="s">
        <v>16</v>
      </c>
      <c r="I755" s="4">
        <v>-1382.47</v>
      </c>
      <c r="J755" s="4">
        <v>-1382.47</v>
      </c>
    </row>
    <row r="756" spans="1:10" x14ac:dyDescent="0.3">
      <c r="A756" s="3">
        <v>2033897</v>
      </c>
      <c r="B756">
        <v>71400</v>
      </c>
      <c r="C756">
        <v>1</v>
      </c>
      <c r="D756" s="9">
        <v>101</v>
      </c>
      <c r="E756">
        <v>1007</v>
      </c>
      <c r="F756" s="1">
        <v>44012</v>
      </c>
      <c r="G756" t="s">
        <v>88</v>
      </c>
      <c r="H756" s="4">
        <v>1386.24</v>
      </c>
      <c r="I756" s="4" t="s">
        <v>16</v>
      </c>
      <c r="J756" s="4">
        <v>1386.24</v>
      </c>
    </row>
    <row r="757" spans="1:10" x14ac:dyDescent="0.3">
      <c r="A757" s="3">
        <v>2033897</v>
      </c>
      <c r="B757">
        <v>11845</v>
      </c>
      <c r="C757">
        <v>1</v>
      </c>
      <c r="D757" s="9">
        <v>101</v>
      </c>
      <c r="E757">
        <v>1007</v>
      </c>
      <c r="F757" s="1">
        <v>44012</v>
      </c>
      <c r="G757" t="s">
        <v>88</v>
      </c>
      <c r="H757" s="4" t="s">
        <v>16</v>
      </c>
      <c r="I757" s="4">
        <v>-1386.24</v>
      </c>
      <c r="J757" s="4">
        <v>-1386.24</v>
      </c>
    </row>
    <row r="758" spans="1:10" x14ac:dyDescent="0.3">
      <c r="A758" s="3">
        <v>2033898</v>
      </c>
      <c r="B758">
        <v>71400</v>
      </c>
      <c r="C758">
        <v>1</v>
      </c>
      <c r="D758" s="9">
        <v>101</v>
      </c>
      <c r="E758">
        <v>1007</v>
      </c>
      <c r="F758" s="1">
        <v>44012</v>
      </c>
      <c r="G758" t="s">
        <v>88</v>
      </c>
      <c r="H758" s="4">
        <v>1944.24</v>
      </c>
      <c r="I758" s="4" t="s">
        <v>16</v>
      </c>
      <c r="J758" s="4">
        <v>1944.24</v>
      </c>
    </row>
    <row r="759" spans="1:10" x14ac:dyDescent="0.3">
      <c r="A759" s="3">
        <v>2033898</v>
      </c>
      <c r="B759">
        <v>11845</v>
      </c>
      <c r="C759">
        <v>1</v>
      </c>
      <c r="D759" s="9">
        <v>101</v>
      </c>
      <c r="E759">
        <v>1007</v>
      </c>
      <c r="F759" s="1">
        <v>44012</v>
      </c>
      <c r="G759" t="s">
        <v>88</v>
      </c>
      <c r="H759" s="4" t="s">
        <v>16</v>
      </c>
      <c r="I759" s="4">
        <v>-1944.24</v>
      </c>
      <c r="J759" s="4">
        <v>-1944.24</v>
      </c>
    </row>
    <row r="760" spans="1:10" x14ac:dyDescent="0.3">
      <c r="A760" s="3">
        <v>2033899</v>
      </c>
      <c r="B760">
        <v>14260</v>
      </c>
      <c r="C760">
        <v>1</v>
      </c>
      <c r="D760" s="9">
        <v>101</v>
      </c>
      <c r="E760">
        <v>1007</v>
      </c>
      <c r="F760" s="1">
        <v>44012</v>
      </c>
      <c r="G760" t="s">
        <v>216</v>
      </c>
      <c r="H760" s="4">
        <v>1964.6</v>
      </c>
      <c r="I760" s="4" t="s">
        <v>16</v>
      </c>
      <c r="J760" s="4">
        <v>1964.6</v>
      </c>
    </row>
    <row r="761" spans="1:10" x14ac:dyDescent="0.3">
      <c r="A761" s="3">
        <v>2033899</v>
      </c>
      <c r="B761">
        <v>11845</v>
      </c>
      <c r="C761">
        <v>1</v>
      </c>
      <c r="D761" s="9">
        <v>101</v>
      </c>
      <c r="E761">
        <v>1007</v>
      </c>
      <c r="F761" s="1">
        <v>44012</v>
      </c>
      <c r="G761" t="s">
        <v>216</v>
      </c>
      <c r="H761" s="4" t="s">
        <v>16</v>
      </c>
      <c r="I761" s="4">
        <v>-1964.6</v>
      </c>
      <c r="J761" s="4">
        <v>-1964.6</v>
      </c>
    </row>
    <row r="762" spans="1:10" x14ac:dyDescent="0.3">
      <c r="A762" s="3">
        <v>2033900</v>
      </c>
      <c r="B762">
        <v>71400</v>
      </c>
      <c r="C762">
        <v>1</v>
      </c>
      <c r="D762" s="9">
        <v>101</v>
      </c>
      <c r="E762">
        <v>1007</v>
      </c>
      <c r="F762" s="1">
        <v>44012</v>
      </c>
      <c r="G762" t="s">
        <v>216</v>
      </c>
      <c r="H762" s="4">
        <v>2308.65</v>
      </c>
      <c r="I762" s="4" t="s">
        <v>16</v>
      </c>
      <c r="J762" s="4">
        <v>2308.65</v>
      </c>
    </row>
    <row r="763" spans="1:10" x14ac:dyDescent="0.3">
      <c r="A763" s="3">
        <v>2033900</v>
      </c>
      <c r="B763">
        <v>11845</v>
      </c>
      <c r="C763">
        <v>1</v>
      </c>
      <c r="D763" s="9">
        <v>101</v>
      </c>
      <c r="E763">
        <v>1007</v>
      </c>
      <c r="F763" s="1">
        <v>44012</v>
      </c>
      <c r="G763" t="s">
        <v>216</v>
      </c>
      <c r="H763" s="4" t="s">
        <v>16</v>
      </c>
      <c r="I763" s="4">
        <v>-2308.65</v>
      </c>
      <c r="J763" s="4">
        <v>-2308.65</v>
      </c>
    </row>
    <row r="764" spans="1:10" x14ac:dyDescent="0.3">
      <c r="A764" s="3">
        <v>2033901</v>
      </c>
      <c r="B764">
        <v>71400</v>
      </c>
      <c r="C764">
        <v>1</v>
      </c>
      <c r="D764" s="9">
        <v>101</v>
      </c>
      <c r="E764">
        <v>1007</v>
      </c>
      <c r="F764" s="1">
        <v>44012</v>
      </c>
      <c r="G764" t="s">
        <v>145</v>
      </c>
      <c r="H764" s="4">
        <v>2415.8200000000002</v>
      </c>
      <c r="I764" s="4" t="s">
        <v>16</v>
      </c>
      <c r="J764" s="4">
        <v>2415.8200000000002</v>
      </c>
    </row>
    <row r="765" spans="1:10" x14ac:dyDescent="0.3">
      <c r="A765" s="3">
        <v>2033901</v>
      </c>
      <c r="B765">
        <v>11845</v>
      </c>
      <c r="C765">
        <v>1</v>
      </c>
      <c r="D765" s="9">
        <v>101</v>
      </c>
      <c r="E765">
        <v>1007</v>
      </c>
      <c r="F765" s="1">
        <v>44012</v>
      </c>
      <c r="G765" t="s">
        <v>145</v>
      </c>
      <c r="H765" s="4" t="s">
        <v>16</v>
      </c>
      <c r="I765" s="4">
        <v>-2415.8200000000002</v>
      </c>
      <c r="J765" s="4">
        <v>-2415.8200000000002</v>
      </c>
    </row>
    <row r="766" spans="1:10" x14ac:dyDescent="0.3">
      <c r="A766" s="3">
        <v>2033902</v>
      </c>
      <c r="B766">
        <v>71500</v>
      </c>
      <c r="C766">
        <v>6</v>
      </c>
      <c r="D766" s="9">
        <v>101</v>
      </c>
      <c r="E766">
        <v>1002</v>
      </c>
      <c r="F766" s="1">
        <v>44012</v>
      </c>
      <c r="G766" t="s">
        <v>186</v>
      </c>
      <c r="H766" s="4">
        <v>3381</v>
      </c>
      <c r="I766" s="4" t="s">
        <v>16</v>
      </c>
      <c r="J766" s="4">
        <v>3381</v>
      </c>
    </row>
    <row r="767" spans="1:10" x14ac:dyDescent="0.3">
      <c r="A767" s="3">
        <v>2033902</v>
      </c>
      <c r="B767">
        <v>11845</v>
      </c>
      <c r="C767">
        <v>6</v>
      </c>
      <c r="D767" s="9">
        <v>101</v>
      </c>
      <c r="E767">
        <v>1002</v>
      </c>
      <c r="F767" s="1">
        <v>44012</v>
      </c>
      <c r="G767" t="s">
        <v>186</v>
      </c>
      <c r="H767" s="4" t="s">
        <v>16</v>
      </c>
      <c r="I767" s="4">
        <v>-3381</v>
      </c>
      <c r="J767" s="4">
        <v>-3381</v>
      </c>
    </row>
    <row r="768" spans="1:10" x14ac:dyDescent="0.3">
      <c r="A768" s="3">
        <v>2033903</v>
      </c>
      <c r="B768">
        <v>74201</v>
      </c>
      <c r="C768">
        <v>2</v>
      </c>
      <c r="D768" s="9">
        <v>101</v>
      </c>
      <c r="E768">
        <v>1002</v>
      </c>
      <c r="F768" s="1">
        <v>44012</v>
      </c>
      <c r="G768" t="s">
        <v>183</v>
      </c>
      <c r="H768" s="4">
        <v>3864.84</v>
      </c>
      <c r="I768" s="4" t="s">
        <v>16</v>
      </c>
      <c r="J768" s="4">
        <v>3864.84</v>
      </c>
    </row>
    <row r="769" spans="1:10" x14ac:dyDescent="0.3">
      <c r="A769" s="3">
        <v>2033903</v>
      </c>
      <c r="B769">
        <v>11845</v>
      </c>
      <c r="C769">
        <v>2</v>
      </c>
      <c r="D769" s="9">
        <v>101</v>
      </c>
      <c r="E769">
        <v>1002</v>
      </c>
      <c r="F769" s="1">
        <v>44012</v>
      </c>
      <c r="G769" t="s">
        <v>183</v>
      </c>
      <c r="H769" s="4" t="s">
        <v>16</v>
      </c>
      <c r="I769" s="4">
        <v>-3864.84</v>
      </c>
      <c r="J769" s="4">
        <v>-3864.84</v>
      </c>
    </row>
    <row r="770" spans="1:10" x14ac:dyDescent="0.3">
      <c r="A770" s="3">
        <v>2033904</v>
      </c>
      <c r="B770">
        <v>11845</v>
      </c>
      <c r="C770">
        <v>2</v>
      </c>
      <c r="D770" s="9">
        <v>104</v>
      </c>
      <c r="E770">
        <v>1003</v>
      </c>
      <c r="F770" s="1">
        <v>44012</v>
      </c>
      <c r="G770" t="s">
        <v>41</v>
      </c>
      <c r="H770" s="4">
        <v>4600</v>
      </c>
      <c r="I770" s="4" t="s">
        <v>16</v>
      </c>
      <c r="J770" s="4">
        <v>4600</v>
      </c>
    </row>
    <row r="771" spans="1:10" x14ac:dyDescent="0.3">
      <c r="A771" s="3">
        <v>2033904</v>
      </c>
      <c r="B771">
        <v>43180</v>
      </c>
      <c r="C771">
        <v>2</v>
      </c>
      <c r="D771" s="9">
        <v>104</v>
      </c>
      <c r="E771">
        <v>1003</v>
      </c>
      <c r="F771" s="1">
        <v>44012</v>
      </c>
      <c r="G771" t="s">
        <v>41</v>
      </c>
      <c r="H771" s="4" t="s">
        <v>16</v>
      </c>
      <c r="I771" s="4">
        <v>-4600</v>
      </c>
      <c r="J771" s="4">
        <v>-4600</v>
      </c>
    </row>
    <row r="772" spans="1:10" x14ac:dyDescent="0.3">
      <c r="A772" s="3">
        <v>2033905</v>
      </c>
      <c r="B772">
        <v>11845</v>
      </c>
      <c r="C772">
        <v>2</v>
      </c>
      <c r="D772" s="9">
        <v>104</v>
      </c>
      <c r="E772">
        <v>1003</v>
      </c>
      <c r="F772" s="1">
        <v>44012</v>
      </c>
      <c r="G772" t="s">
        <v>15</v>
      </c>
      <c r="H772" s="4">
        <v>5000</v>
      </c>
      <c r="I772" s="4" t="s">
        <v>16</v>
      </c>
      <c r="J772" s="4">
        <v>5000</v>
      </c>
    </row>
    <row r="773" spans="1:10" x14ac:dyDescent="0.3">
      <c r="A773" s="3">
        <v>2033905</v>
      </c>
      <c r="B773">
        <v>43180</v>
      </c>
      <c r="C773">
        <v>2</v>
      </c>
      <c r="D773" s="9">
        <v>104</v>
      </c>
      <c r="E773">
        <v>1003</v>
      </c>
      <c r="F773" s="1">
        <v>44012</v>
      </c>
      <c r="G773" t="s">
        <v>15</v>
      </c>
      <c r="H773" s="4" t="s">
        <v>16</v>
      </c>
      <c r="I773" s="4">
        <v>-5000</v>
      </c>
      <c r="J773" s="4">
        <v>-5000</v>
      </c>
    </row>
    <row r="774" spans="1:10" x14ac:dyDescent="0.3">
      <c r="A774" s="3">
        <v>2033906</v>
      </c>
      <c r="B774">
        <v>11845</v>
      </c>
      <c r="C774">
        <v>2</v>
      </c>
      <c r="D774" s="9">
        <v>104</v>
      </c>
      <c r="E774">
        <v>1003</v>
      </c>
      <c r="F774" s="1">
        <v>44012</v>
      </c>
      <c r="G774" t="s">
        <v>248</v>
      </c>
      <c r="H774" s="4">
        <v>12375</v>
      </c>
      <c r="I774" s="4" t="s">
        <v>16</v>
      </c>
      <c r="J774" s="4">
        <v>12375</v>
      </c>
    </row>
    <row r="775" spans="1:10" x14ac:dyDescent="0.3">
      <c r="A775" s="3">
        <v>2033906</v>
      </c>
      <c r="B775">
        <v>43180</v>
      </c>
      <c r="C775">
        <v>2</v>
      </c>
      <c r="D775" s="9">
        <v>104</v>
      </c>
      <c r="E775">
        <v>1003</v>
      </c>
      <c r="F775" s="1">
        <v>44012</v>
      </c>
      <c r="G775" t="s">
        <v>248</v>
      </c>
      <c r="H775" s="4" t="s">
        <v>16</v>
      </c>
      <c r="I775" s="4">
        <v>-12375</v>
      </c>
      <c r="J775" s="4">
        <v>-12375</v>
      </c>
    </row>
    <row r="776" spans="1:10" x14ac:dyDescent="0.3">
      <c r="A776" s="3">
        <v>2033907</v>
      </c>
      <c r="B776">
        <v>11845</v>
      </c>
      <c r="C776">
        <v>3</v>
      </c>
      <c r="D776" s="9">
        <v>102</v>
      </c>
      <c r="E776">
        <v>1003</v>
      </c>
      <c r="F776" s="1">
        <v>44012</v>
      </c>
      <c r="G776" t="s">
        <v>15</v>
      </c>
      <c r="H776" s="4">
        <v>75.52</v>
      </c>
      <c r="I776" s="4" t="s">
        <v>16</v>
      </c>
      <c r="J776" s="4">
        <v>75.52</v>
      </c>
    </row>
    <row r="777" spans="1:10" x14ac:dyDescent="0.3">
      <c r="A777" s="3">
        <v>2033907</v>
      </c>
      <c r="B777">
        <v>43440</v>
      </c>
      <c r="C777">
        <v>3</v>
      </c>
      <c r="D777" s="9">
        <v>102</v>
      </c>
      <c r="E777">
        <v>1003</v>
      </c>
      <c r="F777" s="1">
        <v>44012</v>
      </c>
      <c r="G777" t="s">
        <v>15</v>
      </c>
      <c r="H777" s="4" t="s">
        <v>16</v>
      </c>
      <c r="I777" s="4">
        <v>-75.52</v>
      </c>
      <c r="J777" s="4">
        <v>-75.52</v>
      </c>
    </row>
    <row r="778" spans="1:10" x14ac:dyDescent="0.3">
      <c r="A778" s="3">
        <v>2033908</v>
      </c>
      <c r="B778">
        <v>11845</v>
      </c>
      <c r="C778">
        <v>1</v>
      </c>
      <c r="D778" s="9">
        <v>102</v>
      </c>
      <c r="E778">
        <v>1003</v>
      </c>
      <c r="F778" s="1">
        <v>44012</v>
      </c>
      <c r="G778" t="s">
        <v>15</v>
      </c>
      <c r="H778" s="4">
        <v>478.89</v>
      </c>
      <c r="I778" s="4" t="s">
        <v>16</v>
      </c>
      <c r="J778" s="4">
        <v>478.89</v>
      </c>
    </row>
    <row r="779" spans="1:10" x14ac:dyDescent="0.3">
      <c r="A779" s="3">
        <v>2033908</v>
      </c>
      <c r="B779">
        <v>43310</v>
      </c>
      <c r="C779">
        <v>1</v>
      </c>
      <c r="D779" s="9">
        <v>102</v>
      </c>
      <c r="E779">
        <v>1003</v>
      </c>
      <c r="F779" s="1">
        <v>44012</v>
      </c>
      <c r="G779" t="s">
        <v>15</v>
      </c>
      <c r="H779" s="4" t="s">
        <v>16</v>
      </c>
      <c r="I779" s="4">
        <v>-478.89</v>
      </c>
      <c r="J779" s="4">
        <v>-478.89</v>
      </c>
    </row>
    <row r="780" spans="1:10" x14ac:dyDescent="0.3">
      <c r="A780" s="3">
        <v>2033909</v>
      </c>
      <c r="B780">
        <v>11845</v>
      </c>
      <c r="C780">
        <v>2</v>
      </c>
      <c r="D780" s="9">
        <v>104</v>
      </c>
      <c r="E780">
        <v>1003</v>
      </c>
      <c r="F780" s="1">
        <v>44012</v>
      </c>
      <c r="G780" t="s">
        <v>15</v>
      </c>
      <c r="H780" s="4">
        <v>1497</v>
      </c>
      <c r="I780" s="4" t="s">
        <v>16</v>
      </c>
      <c r="J780" s="4">
        <v>1497</v>
      </c>
    </row>
    <row r="781" spans="1:10" x14ac:dyDescent="0.3">
      <c r="A781" s="3">
        <v>2033909</v>
      </c>
      <c r="B781">
        <v>43180</v>
      </c>
      <c r="C781">
        <v>2</v>
      </c>
      <c r="D781" s="9">
        <v>104</v>
      </c>
      <c r="E781">
        <v>1003</v>
      </c>
      <c r="F781" s="1">
        <v>44012</v>
      </c>
      <c r="G781" t="s">
        <v>15</v>
      </c>
      <c r="H781" s="4" t="s">
        <v>16</v>
      </c>
      <c r="I781" s="4">
        <v>-1497</v>
      </c>
      <c r="J781" s="4">
        <v>-1497</v>
      </c>
    </row>
    <row r="782" spans="1:10" x14ac:dyDescent="0.3">
      <c r="A782" s="3">
        <v>2033910</v>
      </c>
      <c r="B782">
        <v>40910</v>
      </c>
      <c r="C782">
        <v>5</v>
      </c>
      <c r="D782" s="9">
        <v>103</v>
      </c>
      <c r="E782">
        <v>1008</v>
      </c>
      <c r="F782" s="1">
        <v>44012</v>
      </c>
      <c r="G782" t="s">
        <v>281</v>
      </c>
      <c r="H782" s="4">
        <v>6770.96</v>
      </c>
      <c r="I782" s="4" t="s">
        <v>16</v>
      </c>
      <c r="J782" s="4">
        <v>6770.96</v>
      </c>
    </row>
    <row r="783" spans="1:10" x14ac:dyDescent="0.3">
      <c r="A783" s="3">
        <v>2033910</v>
      </c>
      <c r="B783">
        <v>40910</v>
      </c>
      <c r="C783">
        <v>2</v>
      </c>
      <c r="D783" s="9">
        <v>103</v>
      </c>
      <c r="E783">
        <v>1008</v>
      </c>
      <c r="F783" s="1">
        <v>44012</v>
      </c>
      <c r="G783" t="s">
        <v>249</v>
      </c>
      <c r="H783" s="4" t="s">
        <v>16</v>
      </c>
      <c r="I783" s="4">
        <v>-3385.48</v>
      </c>
      <c r="J783" s="4">
        <v>-3385.48</v>
      </c>
    </row>
    <row r="784" spans="1:10" x14ac:dyDescent="0.3">
      <c r="A784" s="3">
        <v>2033910</v>
      </c>
      <c r="B784">
        <v>40910</v>
      </c>
      <c r="C784">
        <v>1</v>
      </c>
      <c r="D784" s="9">
        <v>103</v>
      </c>
      <c r="E784">
        <v>1008</v>
      </c>
      <c r="F784" s="1">
        <v>44012</v>
      </c>
      <c r="G784" t="s">
        <v>249</v>
      </c>
      <c r="H784" s="4" t="s">
        <v>16</v>
      </c>
      <c r="I784" s="4">
        <v>-3385.48</v>
      </c>
      <c r="J784" s="4">
        <v>-3385.48</v>
      </c>
    </row>
    <row r="785" spans="1:10" x14ac:dyDescent="0.3">
      <c r="A785" s="3">
        <v>2033911</v>
      </c>
      <c r="B785">
        <v>86100</v>
      </c>
      <c r="C785">
        <v>7</v>
      </c>
      <c r="D785" s="9">
        <v>103</v>
      </c>
      <c r="E785">
        <v>1008</v>
      </c>
      <c r="F785" s="1">
        <v>44012</v>
      </c>
      <c r="G785" t="s">
        <v>103</v>
      </c>
      <c r="H785" s="4">
        <v>66957.22</v>
      </c>
      <c r="I785" s="4" t="s">
        <v>16</v>
      </c>
      <c r="J785" s="4">
        <v>66957.22</v>
      </c>
    </row>
    <row r="786" spans="1:10" x14ac:dyDescent="0.3">
      <c r="A786" s="3">
        <v>2033911</v>
      </c>
      <c r="B786">
        <v>16290</v>
      </c>
      <c r="C786">
        <v>7</v>
      </c>
      <c r="D786" s="9">
        <v>103</v>
      </c>
      <c r="E786">
        <v>1008</v>
      </c>
      <c r="F786" s="1">
        <v>44012</v>
      </c>
      <c r="G786" t="s">
        <v>103</v>
      </c>
      <c r="H786" s="4" t="s">
        <v>16</v>
      </c>
      <c r="I786" s="4">
        <v>-66957.22</v>
      </c>
      <c r="J786" s="4">
        <v>-66957.22</v>
      </c>
    </row>
    <row r="787" spans="1:10" x14ac:dyDescent="0.3">
      <c r="A787" s="3">
        <v>2033912</v>
      </c>
      <c r="B787">
        <v>86200</v>
      </c>
      <c r="C787">
        <v>7</v>
      </c>
      <c r="D787" s="9">
        <v>103</v>
      </c>
      <c r="E787">
        <v>1008</v>
      </c>
      <c r="F787" s="1">
        <v>44012</v>
      </c>
      <c r="G787" t="s">
        <v>108</v>
      </c>
      <c r="H787" s="4">
        <v>12035.24</v>
      </c>
      <c r="I787" s="4" t="s">
        <v>16</v>
      </c>
      <c r="J787" s="4">
        <v>12035.24</v>
      </c>
    </row>
    <row r="788" spans="1:10" x14ac:dyDescent="0.3">
      <c r="A788" s="3">
        <v>2033912</v>
      </c>
      <c r="B788">
        <v>16590</v>
      </c>
      <c r="C788">
        <v>7</v>
      </c>
      <c r="D788" s="9">
        <v>103</v>
      </c>
      <c r="E788">
        <v>1008</v>
      </c>
      <c r="F788" s="1">
        <v>44012</v>
      </c>
      <c r="G788" t="s">
        <v>108</v>
      </c>
      <c r="H788" s="4" t="s">
        <v>16</v>
      </c>
      <c r="I788" s="4">
        <v>-12035.24</v>
      </c>
      <c r="J788" s="4">
        <v>-12035.24</v>
      </c>
    </row>
    <row r="789" spans="1:10" x14ac:dyDescent="0.3">
      <c r="A789" s="3">
        <v>2033913</v>
      </c>
      <c r="B789">
        <v>22110</v>
      </c>
      <c r="C789">
        <v>8</v>
      </c>
      <c r="D789" s="9">
        <v>103</v>
      </c>
      <c r="E789">
        <v>1002</v>
      </c>
      <c r="F789" s="1">
        <v>44012</v>
      </c>
      <c r="G789" t="s">
        <v>31</v>
      </c>
      <c r="H789" s="4">
        <v>57357.63</v>
      </c>
      <c r="I789" s="4" t="s">
        <v>16</v>
      </c>
      <c r="J789" s="4">
        <v>57357.63</v>
      </c>
    </row>
    <row r="790" spans="1:10" x14ac:dyDescent="0.3">
      <c r="A790" s="3">
        <v>2033913</v>
      </c>
      <c r="B790">
        <v>11845</v>
      </c>
      <c r="C790">
        <v>8</v>
      </c>
      <c r="D790" s="9">
        <v>103</v>
      </c>
      <c r="E790">
        <v>1002</v>
      </c>
      <c r="F790" s="1">
        <v>44012</v>
      </c>
      <c r="G790" t="s">
        <v>31</v>
      </c>
      <c r="H790" s="4" t="s">
        <v>16</v>
      </c>
      <c r="I790" s="4">
        <v>-57357.63</v>
      </c>
      <c r="J790" s="4">
        <v>-57357.63</v>
      </c>
    </row>
  </sheetData>
  <sortState xmlns:xlrd2="http://schemas.microsoft.com/office/spreadsheetml/2017/richdata2" ref="A2:J790">
    <sortCondition ref="A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3" sqref="A3"/>
    </sheetView>
  </sheetViews>
  <sheetFormatPr defaultColWidth="8.77734375" defaultRowHeight="14.4" x14ac:dyDescent="0.3"/>
  <cols>
    <col min="1" max="1" width="14.88671875" customWidth="1"/>
    <col min="2" max="2" width="14.77734375" bestFit="1" customWidth="1"/>
    <col min="3" max="3" width="65.77734375" style="7" customWidth="1"/>
  </cols>
  <sheetData>
    <row r="1" spans="1:3" x14ac:dyDescent="0.3">
      <c r="A1" t="s">
        <v>285</v>
      </c>
      <c r="B1" t="s">
        <v>5</v>
      </c>
      <c r="C1" t="s">
        <v>301</v>
      </c>
    </row>
    <row r="2" spans="1:3" ht="43.2" x14ac:dyDescent="0.3">
      <c r="A2" s="8">
        <v>1</v>
      </c>
      <c r="B2" s="8" t="s">
        <v>23</v>
      </c>
      <c r="C2" s="7" t="s">
        <v>295</v>
      </c>
    </row>
    <row r="3" spans="1:3" ht="28.8" x14ac:dyDescent="0.3">
      <c r="A3" s="8">
        <v>2</v>
      </c>
      <c r="B3" s="8" t="s">
        <v>35</v>
      </c>
      <c r="C3" s="7" t="s">
        <v>292</v>
      </c>
    </row>
    <row r="4" spans="1:3" ht="28.8" x14ac:dyDescent="0.3">
      <c r="A4" s="8">
        <v>3</v>
      </c>
      <c r="B4" s="8" t="s">
        <v>14</v>
      </c>
      <c r="C4" s="7" t="s">
        <v>294</v>
      </c>
    </row>
    <row r="5" spans="1:3" ht="28.8" x14ac:dyDescent="0.3">
      <c r="A5" s="8">
        <v>4</v>
      </c>
      <c r="B5" s="8" t="s">
        <v>30</v>
      </c>
      <c r="C5" s="7" t="s">
        <v>293</v>
      </c>
    </row>
    <row r="6" spans="1:3" x14ac:dyDescent="0.3">
      <c r="A6" s="8">
        <v>5</v>
      </c>
      <c r="B6" s="8" t="s">
        <v>280</v>
      </c>
      <c r="C6" s="7" t="s">
        <v>297</v>
      </c>
    </row>
    <row r="7" spans="1:3" ht="28.8" x14ac:dyDescent="0.3">
      <c r="A7" s="8">
        <v>6</v>
      </c>
      <c r="B7" s="8" t="s">
        <v>48</v>
      </c>
      <c r="C7" s="7" t="s">
        <v>296</v>
      </c>
    </row>
    <row r="8" spans="1:3" ht="28.8" x14ac:dyDescent="0.3">
      <c r="A8" s="8">
        <v>7</v>
      </c>
      <c r="B8" s="8" t="s">
        <v>102</v>
      </c>
      <c r="C8" s="7" t="s">
        <v>298</v>
      </c>
    </row>
    <row r="9" spans="1:3" x14ac:dyDescent="0.3">
      <c r="A9" s="8">
        <v>8</v>
      </c>
      <c r="B9" s="8" t="s">
        <v>111</v>
      </c>
      <c r="C9" s="7" t="s">
        <v>299</v>
      </c>
    </row>
  </sheetData>
  <sortState xmlns:xlrd2="http://schemas.microsoft.com/office/spreadsheetml/2017/richdata2" ref="A1:B9">
    <sortCondition ref="B1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6"/>
  <sheetViews>
    <sheetView workbookViewId="0">
      <pane xSplit="6" ySplit="1" topLeftCell="G51" activePane="bottomRight" state="frozen"/>
      <selection pane="topRight" activeCell="E1" sqref="E1"/>
      <selection pane="bottomLeft" activeCell="A2" sqref="A2"/>
      <selection pane="bottomRight" activeCell="C1" sqref="C1:C1048576"/>
    </sheetView>
  </sheetViews>
  <sheetFormatPr defaultColWidth="8.77734375" defaultRowHeight="14.4" x14ac:dyDescent="0.3"/>
  <cols>
    <col min="1" max="1" width="16.44140625" bestFit="1" customWidth="1"/>
    <col min="2" max="2" width="45.21875" bestFit="1" customWidth="1"/>
    <col min="3" max="3" width="16.44140625" bestFit="1" customWidth="1"/>
    <col min="4" max="4" width="11.5546875" bestFit="1" customWidth="1"/>
    <col min="5" max="5" width="16.44140625" bestFit="1" customWidth="1"/>
    <col min="6" max="6" width="26" bestFit="1" customWidth="1"/>
    <col min="8" max="8" width="12.21875" bestFit="1" customWidth="1"/>
  </cols>
  <sheetData>
    <row r="1" spans="1:6" x14ac:dyDescent="0.3">
      <c r="A1" t="s">
        <v>1</v>
      </c>
      <c r="B1" t="s">
        <v>12</v>
      </c>
      <c r="C1" t="s">
        <v>1</v>
      </c>
      <c r="D1" t="s">
        <v>10</v>
      </c>
      <c r="E1" t="s">
        <v>1</v>
      </c>
      <c r="F1" t="s">
        <v>11</v>
      </c>
    </row>
    <row r="2" spans="1:6" x14ac:dyDescent="0.3">
      <c r="A2">
        <v>11200</v>
      </c>
      <c r="B2" t="s">
        <v>250</v>
      </c>
      <c r="C2">
        <v>11200</v>
      </c>
      <c r="D2" t="s">
        <v>17</v>
      </c>
      <c r="E2">
        <v>11200</v>
      </c>
      <c r="F2" t="s">
        <v>18</v>
      </c>
    </row>
    <row r="3" spans="1:6" x14ac:dyDescent="0.3">
      <c r="A3">
        <v>11845</v>
      </c>
      <c r="B3" t="s">
        <v>19</v>
      </c>
      <c r="C3">
        <v>11845</v>
      </c>
      <c r="D3" t="s">
        <v>17</v>
      </c>
      <c r="E3">
        <v>11845</v>
      </c>
      <c r="F3" t="s">
        <v>18</v>
      </c>
    </row>
    <row r="4" spans="1:6" x14ac:dyDescent="0.3">
      <c r="A4">
        <v>12987</v>
      </c>
      <c r="B4" t="s">
        <v>122</v>
      </c>
      <c r="C4">
        <v>12987</v>
      </c>
      <c r="D4" t="s">
        <v>17</v>
      </c>
      <c r="E4">
        <v>12987</v>
      </c>
      <c r="F4" t="s">
        <v>121</v>
      </c>
    </row>
    <row r="5" spans="1:6" x14ac:dyDescent="0.3">
      <c r="A5">
        <v>13100</v>
      </c>
      <c r="B5" t="s">
        <v>251</v>
      </c>
      <c r="C5">
        <v>13100</v>
      </c>
      <c r="D5" t="s">
        <v>17</v>
      </c>
      <c r="E5">
        <v>13100</v>
      </c>
      <c r="F5" t="s">
        <v>251</v>
      </c>
    </row>
    <row r="6" spans="1:6" x14ac:dyDescent="0.3">
      <c r="A6">
        <v>14250</v>
      </c>
      <c r="B6" t="s">
        <v>46</v>
      </c>
      <c r="C6">
        <v>14250</v>
      </c>
      <c r="D6" t="s">
        <v>17</v>
      </c>
      <c r="E6">
        <v>14250</v>
      </c>
      <c r="F6" t="s">
        <v>27</v>
      </c>
    </row>
    <row r="7" spans="1:6" x14ac:dyDescent="0.3">
      <c r="A7">
        <v>14260</v>
      </c>
      <c r="B7" t="s">
        <v>28</v>
      </c>
      <c r="C7">
        <v>14260</v>
      </c>
      <c r="D7" t="s">
        <v>17</v>
      </c>
      <c r="E7">
        <v>14260</v>
      </c>
      <c r="F7" t="s">
        <v>27</v>
      </c>
    </row>
    <row r="8" spans="1:6" x14ac:dyDescent="0.3">
      <c r="A8">
        <v>15100</v>
      </c>
      <c r="B8" t="s">
        <v>252</v>
      </c>
      <c r="C8">
        <v>15100</v>
      </c>
      <c r="D8" t="s">
        <v>17</v>
      </c>
      <c r="E8">
        <v>15100</v>
      </c>
      <c r="F8" t="s">
        <v>253</v>
      </c>
    </row>
    <row r="9" spans="1:6" x14ac:dyDescent="0.3">
      <c r="A9">
        <v>16100</v>
      </c>
      <c r="B9" t="s">
        <v>254</v>
      </c>
      <c r="C9">
        <v>16100</v>
      </c>
      <c r="D9" t="s">
        <v>17</v>
      </c>
      <c r="E9">
        <v>16100</v>
      </c>
      <c r="F9" t="s">
        <v>104</v>
      </c>
    </row>
    <row r="10" spans="1:6" x14ac:dyDescent="0.3">
      <c r="A10">
        <v>16200</v>
      </c>
      <c r="B10" t="s">
        <v>255</v>
      </c>
      <c r="C10">
        <v>16200</v>
      </c>
      <c r="D10" t="s">
        <v>17</v>
      </c>
      <c r="E10">
        <v>16200</v>
      </c>
      <c r="F10" t="s">
        <v>104</v>
      </c>
    </row>
    <row r="11" spans="1:6" x14ac:dyDescent="0.3">
      <c r="A11">
        <v>16290</v>
      </c>
      <c r="B11" t="s">
        <v>105</v>
      </c>
      <c r="C11">
        <v>16290</v>
      </c>
      <c r="D11" t="s">
        <v>17</v>
      </c>
      <c r="E11">
        <v>16290</v>
      </c>
      <c r="F11" t="s">
        <v>104</v>
      </c>
    </row>
    <row r="12" spans="1:6" x14ac:dyDescent="0.3">
      <c r="A12">
        <v>16500</v>
      </c>
      <c r="B12" t="s">
        <v>147</v>
      </c>
      <c r="C12">
        <v>16500</v>
      </c>
      <c r="D12" t="s">
        <v>17</v>
      </c>
      <c r="E12">
        <v>16500</v>
      </c>
      <c r="F12" t="s">
        <v>104</v>
      </c>
    </row>
    <row r="13" spans="1:6" x14ac:dyDescent="0.3">
      <c r="A13">
        <v>16590</v>
      </c>
      <c r="B13" t="s">
        <v>109</v>
      </c>
      <c r="C13">
        <v>16590</v>
      </c>
      <c r="D13" t="s">
        <v>17</v>
      </c>
      <c r="E13">
        <v>16590</v>
      </c>
      <c r="F13" t="s">
        <v>104</v>
      </c>
    </row>
    <row r="14" spans="1:6" x14ac:dyDescent="0.3">
      <c r="A14">
        <v>21103</v>
      </c>
      <c r="B14" t="s">
        <v>37</v>
      </c>
      <c r="C14">
        <v>21103</v>
      </c>
      <c r="D14" t="s">
        <v>32</v>
      </c>
      <c r="E14">
        <v>21103</v>
      </c>
      <c r="F14" t="s">
        <v>37</v>
      </c>
    </row>
    <row r="15" spans="1:6" x14ac:dyDescent="0.3">
      <c r="A15">
        <v>21900</v>
      </c>
      <c r="B15" t="s">
        <v>256</v>
      </c>
      <c r="C15">
        <v>21900</v>
      </c>
      <c r="D15" t="s">
        <v>32</v>
      </c>
      <c r="E15">
        <v>21900</v>
      </c>
      <c r="F15" t="s">
        <v>257</v>
      </c>
    </row>
    <row r="16" spans="1:6" x14ac:dyDescent="0.3">
      <c r="A16">
        <v>22100</v>
      </c>
      <c r="B16" t="s">
        <v>258</v>
      </c>
      <c r="C16">
        <v>22100</v>
      </c>
      <c r="D16" t="s">
        <v>32</v>
      </c>
      <c r="E16">
        <v>22100</v>
      </c>
      <c r="F16" t="s">
        <v>33</v>
      </c>
    </row>
    <row r="17" spans="1:8" x14ac:dyDescent="0.3">
      <c r="A17">
        <v>22110</v>
      </c>
      <c r="B17" t="s">
        <v>34</v>
      </c>
      <c r="C17">
        <v>22110</v>
      </c>
      <c r="D17" t="s">
        <v>32</v>
      </c>
      <c r="E17">
        <v>22110</v>
      </c>
      <c r="F17" t="s">
        <v>33</v>
      </c>
    </row>
    <row r="18" spans="1:8" x14ac:dyDescent="0.3">
      <c r="A18">
        <v>29100</v>
      </c>
      <c r="B18" t="s">
        <v>259</v>
      </c>
      <c r="C18">
        <v>29100</v>
      </c>
      <c r="D18" t="s">
        <v>32</v>
      </c>
      <c r="E18">
        <v>29100</v>
      </c>
      <c r="F18" t="s">
        <v>260</v>
      </c>
    </row>
    <row r="19" spans="1:8" x14ac:dyDescent="0.3">
      <c r="A19">
        <v>31000</v>
      </c>
      <c r="B19" t="s">
        <v>261</v>
      </c>
      <c r="C19">
        <v>31000</v>
      </c>
      <c r="D19" t="s">
        <v>262</v>
      </c>
      <c r="E19">
        <v>31000</v>
      </c>
      <c r="F19" t="s">
        <v>263</v>
      </c>
    </row>
    <row r="20" spans="1:8" x14ac:dyDescent="0.3">
      <c r="A20">
        <v>32000</v>
      </c>
      <c r="B20" t="s">
        <v>264</v>
      </c>
      <c r="C20">
        <v>32000</v>
      </c>
      <c r="D20" t="s">
        <v>262</v>
      </c>
      <c r="E20">
        <v>32000</v>
      </c>
      <c r="F20" t="s">
        <v>264</v>
      </c>
      <c r="H20" s="6"/>
    </row>
    <row r="21" spans="1:8" x14ac:dyDescent="0.3">
      <c r="A21">
        <v>40910</v>
      </c>
      <c r="B21" t="s">
        <v>150</v>
      </c>
      <c r="C21">
        <v>40910</v>
      </c>
      <c r="D21" t="s">
        <v>20</v>
      </c>
      <c r="E21">
        <v>40910</v>
      </c>
      <c r="F21" t="s">
        <v>149</v>
      </c>
    </row>
    <row r="22" spans="1:8" x14ac:dyDescent="0.3">
      <c r="A22">
        <v>43180</v>
      </c>
      <c r="B22" t="s">
        <v>45</v>
      </c>
      <c r="C22">
        <v>43180</v>
      </c>
      <c r="D22" t="s">
        <v>20</v>
      </c>
      <c r="E22">
        <v>43180</v>
      </c>
      <c r="F22" t="s">
        <v>44</v>
      </c>
    </row>
    <row r="23" spans="1:8" x14ac:dyDescent="0.3">
      <c r="A23">
        <v>43310</v>
      </c>
      <c r="B23" t="s">
        <v>25</v>
      </c>
      <c r="C23">
        <v>43310</v>
      </c>
      <c r="D23" t="s">
        <v>20</v>
      </c>
      <c r="E23">
        <v>43310</v>
      </c>
      <c r="F23" t="s">
        <v>24</v>
      </c>
    </row>
    <row r="24" spans="1:8" x14ac:dyDescent="0.3">
      <c r="A24">
        <v>43440</v>
      </c>
      <c r="B24" t="s">
        <v>22</v>
      </c>
      <c r="C24">
        <v>43440</v>
      </c>
      <c r="D24" t="s">
        <v>20</v>
      </c>
      <c r="E24">
        <v>43440</v>
      </c>
      <c r="F24" t="s">
        <v>21</v>
      </c>
    </row>
    <row r="25" spans="1:8" x14ac:dyDescent="0.3">
      <c r="A25">
        <v>43620</v>
      </c>
      <c r="B25" t="s">
        <v>137</v>
      </c>
      <c r="C25">
        <v>43620</v>
      </c>
      <c r="D25" t="s">
        <v>20</v>
      </c>
      <c r="E25">
        <v>43620</v>
      </c>
      <c r="F25" t="s">
        <v>21</v>
      </c>
    </row>
    <row r="26" spans="1:8" x14ac:dyDescent="0.3">
      <c r="A26">
        <v>43770</v>
      </c>
      <c r="B26" t="s">
        <v>42</v>
      </c>
      <c r="C26">
        <v>43770</v>
      </c>
      <c r="D26" t="s">
        <v>20</v>
      </c>
      <c r="E26">
        <v>43770</v>
      </c>
      <c r="F26" t="s">
        <v>21</v>
      </c>
    </row>
    <row r="27" spans="1:8" x14ac:dyDescent="0.3">
      <c r="A27">
        <v>51110</v>
      </c>
      <c r="B27" t="s">
        <v>154</v>
      </c>
      <c r="C27">
        <v>51110</v>
      </c>
      <c r="D27" t="s">
        <v>50</v>
      </c>
      <c r="E27">
        <v>51110</v>
      </c>
      <c r="F27" t="s">
        <v>141</v>
      </c>
    </row>
    <row r="28" spans="1:8" x14ac:dyDescent="0.3">
      <c r="A28">
        <v>51120</v>
      </c>
      <c r="B28" t="s">
        <v>197</v>
      </c>
      <c r="C28">
        <v>51120</v>
      </c>
      <c r="D28" t="s">
        <v>50</v>
      </c>
      <c r="E28">
        <v>51120</v>
      </c>
      <c r="F28" t="s">
        <v>141</v>
      </c>
    </row>
    <row r="29" spans="1:8" x14ac:dyDescent="0.3">
      <c r="A29">
        <v>51130</v>
      </c>
      <c r="B29" t="s">
        <v>142</v>
      </c>
      <c r="C29">
        <v>51130</v>
      </c>
      <c r="D29" t="s">
        <v>50</v>
      </c>
      <c r="E29">
        <v>51130</v>
      </c>
      <c r="F29" t="s">
        <v>141</v>
      </c>
    </row>
    <row r="30" spans="1:8" x14ac:dyDescent="0.3">
      <c r="A30">
        <v>51140</v>
      </c>
      <c r="B30" t="s">
        <v>165</v>
      </c>
      <c r="C30">
        <v>51140</v>
      </c>
      <c r="D30" t="s">
        <v>50</v>
      </c>
      <c r="E30">
        <v>51140</v>
      </c>
      <c r="F30" t="s">
        <v>141</v>
      </c>
    </row>
    <row r="31" spans="1:8" x14ac:dyDescent="0.3">
      <c r="A31">
        <v>51200</v>
      </c>
      <c r="B31" t="s">
        <v>151</v>
      </c>
      <c r="C31">
        <v>51200</v>
      </c>
      <c r="D31" t="s">
        <v>50</v>
      </c>
      <c r="E31">
        <v>51200</v>
      </c>
      <c r="F31" t="s">
        <v>141</v>
      </c>
    </row>
    <row r="32" spans="1:8" x14ac:dyDescent="0.3">
      <c r="A32">
        <v>51240</v>
      </c>
      <c r="B32" t="s">
        <v>169</v>
      </c>
      <c r="C32">
        <v>51240</v>
      </c>
      <c r="D32" t="s">
        <v>50</v>
      </c>
      <c r="E32">
        <v>51240</v>
      </c>
      <c r="F32" t="s">
        <v>141</v>
      </c>
    </row>
    <row r="33" spans="1:6" x14ac:dyDescent="0.3">
      <c r="A33">
        <v>51400</v>
      </c>
      <c r="B33" t="s">
        <v>72</v>
      </c>
      <c r="C33">
        <v>51400</v>
      </c>
      <c r="D33" t="s">
        <v>50</v>
      </c>
      <c r="E33">
        <v>51400</v>
      </c>
      <c r="F33" t="s">
        <v>56</v>
      </c>
    </row>
    <row r="34" spans="1:6" x14ac:dyDescent="0.3">
      <c r="A34">
        <v>51402</v>
      </c>
      <c r="B34" t="s">
        <v>194</v>
      </c>
      <c r="C34">
        <v>51402</v>
      </c>
      <c r="D34" t="s">
        <v>50</v>
      </c>
      <c r="E34">
        <v>51402</v>
      </c>
      <c r="F34" t="s">
        <v>56</v>
      </c>
    </row>
    <row r="35" spans="1:6" x14ac:dyDescent="0.3">
      <c r="A35">
        <v>51510</v>
      </c>
      <c r="B35" t="s">
        <v>193</v>
      </c>
      <c r="C35">
        <v>51510</v>
      </c>
      <c r="D35" t="s">
        <v>50</v>
      </c>
      <c r="E35">
        <v>51510</v>
      </c>
      <c r="F35" t="s">
        <v>191</v>
      </c>
    </row>
    <row r="36" spans="1:6" x14ac:dyDescent="0.3">
      <c r="A36">
        <v>51531</v>
      </c>
      <c r="B36" t="s">
        <v>192</v>
      </c>
      <c r="C36">
        <v>51531</v>
      </c>
      <c r="D36" t="s">
        <v>50</v>
      </c>
      <c r="E36">
        <v>51531</v>
      </c>
      <c r="F36" t="s">
        <v>191</v>
      </c>
    </row>
    <row r="37" spans="1:6" x14ac:dyDescent="0.3">
      <c r="A37">
        <v>51610</v>
      </c>
      <c r="B37" t="s">
        <v>279</v>
      </c>
      <c r="C37">
        <v>51610</v>
      </c>
      <c r="D37" t="s">
        <v>50</v>
      </c>
      <c r="E37">
        <v>51610</v>
      </c>
      <c r="F37" t="s">
        <v>117</v>
      </c>
    </row>
    <row r="38" spans="1:6" x14ac:dyDescent="0.3">
      <c r="A38">
        <v>51620</v>
      </c>
      <c r="B38" t="s">
        <v>139</v>
      </c>
      <c r="C38">
        <v>51620</v>
      </c>
      <c r="D38" t="s">
        <v>50</v>
      </c>
      <c r="E38">
        <v>51620</v>
      </c>
      <c r="F38" t="s">
        <v>117</v>
      </c>
    </row>
    <row r="39" spans="1:6" x14ac:dyDescent="0.3">
      <c r="A39">
        <v>51700</v>
      </c>
      <c r="B39" t="s">
        <v>146</v>
      </c>
      <c r="C39">
        <v>51700</v>
      </c>
      <c r="D39" t="s">
        <v>50</v>
      </c>
      <c r="E39">
        <v>51700</v>
      </c>
      <c r="F39" t="s">
        <v>117</v>
      </c>
    </row>
    <row r="40" spans="1:6" x14ac:dyDescent="0.3">
      <c r="A40">
        <v>51800</v>
      </c>
      <c r="B40" t="s">
        <v>217</v>
      </c>
      <c r="C40">
        <v>51800</v>
      </c>
      <c r="D40" t="s">
        <v>50</v>
      </c>
      <c r="E40">
        <v>51800</v>
      </c>
      <c r="F40" t="s">
        <v>117</v>
      </c>
    </row>
    <row r="41" spans="1:6" x14ac:dyDescent="0.3">
      <c r="A41">
        <v>51850</v>
      </c>
      <c r="B41" t="s">
        <v>138</v>
      </c>
      <c r="C41">
        <v>51850</v>
      </c>
      <c r="D41" t="s">
        <v>50</v>
      </c>
      <c r="E41">
        <v>51850</v>
      </c>
      <c r="F41" t="s">
        <v>117</v>
      </c>
    </row>
    <row r="42" spans="1:6" x14ac:dyDescent="0.3">
      <c r="A42">
        <v>64100</v>
      </c>
      <c r="B42" t="s">
        <v>213</v>
      </c>
      <c r="C42">
        <v>64100</v>
      </c>
      <c r="D42" t="s">
        <v>50</v>
      </c>
      <c r="E42">
        <v>64100</v>
      </c>
      <c r="F42" t="s">
        <v>51</v>
      </c>
    </row>
    <row r="43" spans="1:6" x14ac:dyDescent="0.3">
      <c r="A43">
        <v>64150</v>
      </c>
      <c r="B43" t="s">
        <v>215</v>
      </c>
      <c r="C43">
        <v>64150</v>
      </c>
      <c r="D43" t="s">
        <v>50</v>
      </c>
      <c r="E43">
        <v>64150</v>
      </c>
      <c r="F43" t="s">
        <v>51</v>
      </c>
    </row>
    <row r="44" spans="1:6" x14ac:dyDescent="0.3">
      <c r="A44">
        <v>71200</v>
      </c>
      <c r="B44" t="s">
        <v>155</v>
      </c>
      <c r="C44">
        <v>71200</v>
      </c>
      <c r="D44" t="s">
        <v>50</v>
      </c>
      <c r="E44">
        <v>71200</v>
      </c>
      <c r="F44" t="s">
        <v>51</v>
      </c>
    </row>
    <row r="45" spans="1:6" x14ac:dyDescent="0.3">
      <c r="A45">
        <v>71400</v>
      </c>
      <c r="B45" t="s">
        <v>205</v>
      </c>
      <c r="C45">
        <v>71400</v>
      </c>
      <c r="D45" t="s">
        <v>50</v>
      </c>
      <c r="E45">
        <v>71400</v>
      </c>
      <c r="F45" t="s">
        <v>51</v>
      </c>
    </row>
    <row r="46" spans="1:6" x14ac:dyDescent="0.3">
      <c r="A46">
        <v>71410</v>
      </c>
      <c r="B46" t="s">
        <v>70</v>
      </c>
      <c r="C46">
        <v>71410</v>
      </c>
      <c r="D46" t="s">
        <v>50</v>
      </c>
      <c r="E46">
        <v>71410</v>
      </c>
      <c r="F46" t="s">
        <v>51</v>
      </c>
    </row>
    <row r="47" spans="1:6" x14ac:dyDescent="0.3">
      <c r="A47">
        <v>71420</v>
      </c>
      <c r="B47" t="s">
        <v>170</v>
      </c>
      <c r="C47">
        <v>71420</v>
      </c>
      <c r="D47" t="s">
        <v>50</v>
      </c>
      <c r="E47">
        <v>71420</v>
      </c>
      <c r="F47" t="s">
        <v>51</v>
      </c>
    </row>
    <row r="48" spans="1:6" x14ac:dyDescent="0.3">
      <c r="A48">
        <v>71500</v>
      </c>
      <c r="B48" t="s">
        <v>184</v>
      </c>
      <c r="C48">
        <v>71500</v>
      </c>
      <c r="D48" t="s">
        <v>50</v>
      </c>
      <c r="E48">
        <v>71500</v>
      </c>
      <c r="F48" t="s">
        <v>51</v>
      </c>
    </row>
    <row r="49" spans="1:6" x14ac:dyDescent="0.3">
      <c r="A49">
        <v>71740</v>
      </c>
      <c r="B49" t="s">
        <v>156</v>
      </c>
      <c r="C49">
        <v>71740</v>
      </c>
      <c r="D49" t="s">
        <v>50</v>
      </c>
      <c r="E49">
        <v>71740</v>
      </c>
      <c r="F49" t="s">
        <v>51</v>
      </c>
    </row>
    <row r="50" spans="1:6" x14ac:dyDescent="0.3">
      <c r="A50">
        <v>71900</v>
      </c>
      <c r="B50" t="s">
        <v>181</v>
      </c>
      <c r="C50">
        <v>71900</v>
      </c>
      <c r="D50" t="s">
        <v>50</v>
      </c>
      <c r="E50">
        <v>71900</v>
      </c>
      <c r="F50" t="s">
        <v>51</v>
      </c>
    </row>
    <row r="51" spans="1:6" x14ac:dyDescent="0.3">
      <c r="A51">
        <v>72000</v>
      </c>
      <c r="B51" t="s">
        <v>158</v>
      </c>
      <c r="C51">
        <v>72000</v>
      </c>
      <c r="D51" t="s">
        <v>50</v>
      </c>
      <c r="E51">
        <v>72000</v>
      </c>
      <c r="F51" t="s">
        <v>51</v>
      </c>
    </row>
    <row r="52" spans="1:6" x14ac:dyDescent="0.3">
      <c r="A52">
        <v>72702</v>
      </c>
      <c r="B52" t="s">
        <v>158</v>
      </c>
      <c r="C52">
        <v>72702</v>
      </c>
      <c r="D52" t="s">
        <v>50</v>
      </c>
      <c r="E52">
        <v>72702</v>
      </c>
      <c r="F52" t="s">
        <v>51</v>
      </c>
    </row>
    <row r="53" spans="1:6" x14ac:dyDescent="0.3">
      <c r="A53">
        <v>72712</v>
      </c>
      <c r="B53" t="s">
        <v>219</v>
      </c>
      <c r="C53">
        <v>72712</v>
      </c>
      <c r="D53" t="s">
        <v>50</v>
      </c>
      <c r="E53">
        <v>72712</v>
      </c>
      <c r="F53" t="s">
        <v>51</v>
      </c>
    </row>
    <row r="54" spans="1:6" x14ac:dyDescent="0.3">
      <c r="A54">
        <v>72714</v>
      </c>
      <c r="B54" t="s">
        <v>157</v>
      </c>
      <c r="C54">
        <v>72714</v>
      </c>
      <c r="D54" t="s">
        <v>50</v>
      </c>
      <c r="E54">
        <v>72714</v>
      </c>
      <c r="F54" t="s">
        <v>51</v>
      </c>
    </row>
    <row r="55" spans="1:6" x14ac:dyDescent="0.3">
      <c r="A55">
        <v>72715</v>
      </c>
      <c r="B55" t="s">
        <v>179</v>
      </c>
      <c r="C55">
        <v>72715</v>
      </c>
      <c r="D55" t="s">
        <v>50</v>
      </c>
      <c r="E55">
        <v>72715</v>
      </c>
      <c r="F55" t="s">
        <v>51</v>
      </c>
    </row>
    <row r="56" spans="1:6" x14ac:dyDescent="0.3">
      <c r="A56">
        <v>72716</v>
      </c>
      <c r="B56" t="s">
        <v>180</v>
      </c>
      <c r="C56">
        <v>72716</v>
      </c>
      <c r="D56" t="s">
        <v>50</v>
      </c>
      <c r="E56">
        <v>72716</v>
      </c>
      <c r="F56" t="s">
        <v>51</v>
      </c>
    </row>
    <row r="57" spans="1:6" x14ac:dyDescent="0.3">
      <c r="A57">
        <v>72722</v>
      </c>
      <c r="B57" t="s">
        <v>59</v>
      </c>
      <c r="C57">
        <v>72722</v>
      </c>
      <c r="D57" t="s">
        <v>50</v>
      </c>
      <c r="E57">
        <v>72722</v>
      </c>
      <c r="F57" t="s">
        <v>51</v>
      </c>
    </row>
    <row r="58" spans="1:6" x14ac:dyDescent="0.3">
      <c r="A58">
        <v>72723</v>
      </c>
      <c r="B58" t="s">
        <v>201</v>
      </c>
      <c r="C58">
        <v>72723</v>
      </c>
      <c r="D58" t="s">
        <v>50</v>
      </c>
      <c r="E58">
        <v>72723</v>
      </c>
      <c r="F58" t="s">
        <v>51</v>
      </c>
    </row>
    <row r="59" spans="1:6" x14ac:dyDescent="0.3">
      <c r="A59">
        <v>72725</v>
      </c>
      <c r="B59" t="s">
        <v>176</v>
      </c>
      <c r="C59">
        <v>72725</v>
      </c>
      <c r="D59" t="s">
        <v>50</v>
      </c>
      <c r="E59">
        <v>72725</v>
      </c>
      <c r="F59" t="s">
        <v>51</v>
      </c>
    </row>
    <row r="60" spans="1:6" x14ac:dyDescent="0.3">
      <c r="A60">
        <v>72732</v>
      </c>
      <c r="B60" t="s">
        <v>67</v>
      </c>
      <c r="C60">
        <v>72732</v>
      </c>
      <c r="D60" t="s">
        <v>50</v>
      </c>
      <c r="E60">
        <v>72732</v>
      </c>
      <c r="F60" t="s">
        <v>51</v>
      </c>
    </row>
    <row r="61" spans="1:6" x14ac:dyDescent="0.3">
      <c r="A61">
        <v>72760</v>
      </c>
      <c r="B61" t="s">
        <v>162</v>
      </c>
      <c r="C61">
        <v>72760</v>
      </c>
      <c r="D61" t="s">
        <v>50</v>
      </c>
      <c r="E61">
        <v>72760</v>
      </c>
      <c r="F61" t="s">
        <v>51</v>
      </c>
    </row>
    <row r="62" spans="1:6" x14ac:dyDescent="0.3">
      <c r="A62">
        <v>72765</v>
      </c>
      <c r="B62" t="s">
        <v>247</v>
      </c>
      <c r="C62">
        <v>72765</v>
      </c>
      <c r="D62" t="s">
        <v>50</v>
      </c>
      <c r="E62">
        <v>72765</v>
      </c>
      <c r="F62" t="s">
        <v>51</v>
      </c>
    </row>
    <row r="63" spans="1:6" x14ac:dyDescent="0.3">
      <c r="A63">
        <v>73300</v>
      </c>
      <c r="B63" t="s">
        <v>200</v>
      </c>
      <c r="C63">
        <v>73300</v>
      </c>
      <c r="D63" t="s">
        <v>50</v>
      </c>
      <c r="E63">
        <v>73300</v>
      </c>
      <c r="F63" t="s">
        <v>51</v>
      </c>
    </row>
    <row r="64" spans="1:6" x14ac:dyDescent="0.3">
      <c r="A64">
        <v>74200</v>
      </c>
      <c r="B64" t="s">
        <v>174</v>
      </c>
      <c r="C64">
        <v>74200</v>
      </c>
      <c r="D64" t="s">
        <v>50</v>
      </c>
      <c r="E64">
        <v>74200</v>
      </c>
      <c r="F64" t="s">
        <v>51</v>
      </c>
    </row>
    <row r="65" spans="1:6" x14ac:dyDescent="0.3">
      <c r="A65">
        <v>74201</v>
      </c>
      <c r="B65" t="s">
        <v>74</v>
      </c>
      <c r="C65">
        <v>74201</v>
      </c>
      <c r="D65" t="s">
        <v>50</v>
      </c>
      <c r="E65">
        <v>74201</v>
      </c>
      <c r="F65" t="s">
        <v>51</v>
      </c>
    </row>
    <row r="66" spans="1:6" x14ac:dyDescent="0.3">
      <c r="A66">
        <v>74203</v>
      </c>
      <c r="B66" t="s">
        <v>195</v>
      </c>
      <c r="C66">
        <v>74203</v>
      </c>
      <c r="D66" t="s">
        <v>50</v>
      </c>
      <c r="E66">
        <v>74203</v>
      </c>
      <c r="F66" t="s">
        <v>51</v>
      </c>
    </row>
    <row r="67" spans="1:6" x14ac:dyDescent="0.3">
      <c r="A67">
        <v>74220</v>
      </c>
      <c r="B67" t="s">
        <v>173</v>
      </c>
      <c r="C67">
        <v>74220</v>
      </c>
      <c r="D67" t="s">
        <v>50</v>
      </c>
      <c r="E67">
        <v>74220</v>
      </c>
      <c r="F67" t="s">
        <v>51</v>
      </c>
    </row>
    <row r="68" spans="1:6" x14ac:dyDescent="0.3">
      <c r="A68">
        <v>74300</v>
      </c>
      <c r="B68" t="s">
        <v>64</v>
      </c>
      <c r="C68">
        <v>74300</v>
      </c>
      <c r="D68" t="s">
        <v>50</v>
      </c>
      <c r="E68">
        <v>74300</v>
      </c>
      <c r="F68" t="s">
        <v>51</v>
      </c>
    </row>
    <row r="69" spans="1:6" x14ac:dyDescent="0.3">
      <c r="A69">
        <v>74306</v>
      </c>
      <c r="B69" t="s">
        <v>218</v>
      </c>
      <c r="C69">
        <v>74306</v>
      </c>
      <c r="D69" t="s">
        <v>50</v>
      </c>
      <c r="E69">
        <v>74306</v>
      </c>
      <c r="F69" t="s">
        <v>51</v>
      </c>
    </row>
    <row r="70" spans="1:6" x14ac:dyDescent="0.3">
      <c r="A70">
        <v>74308</v>
      </c>
      <c r="B70" t="s">
        <v>61</v>
      </c>
      <c r="C70">
        <v>74308</v>
      </c>
      <c r="D70" t="s">
        <v>50</v>
      </c>
      <c r="E70">
        <v>74308</v>
      </c>
      <c r="F70" t="s">
        <v>51</v>
      </c>
    </row>
    <row r="71" spans="1:6" x14ac:dyDescent="0.3">
      <c r="A71">
        <v>74318</v>
      </c>
      <c r="B71" t="s">
        <v>63</v>
      </c>
      <c r="C71">
        <v>74318</v>
      </c>
      <c r="D71" t="s">
        <v>50</v>
      </c>
      <c r="E71">
        <v>74318</v>
      </c>
      <c r="F71" t="s">
        <v>51</v>
      </c>
    </row>
    <row r="72" spans="1:6" x14ac:dyDescent="0.3">
      <c r="A72">
        <v>74328</v>
      </c>
      <c r="B72" t="s">
        <v>265</v>
      </c>
      <c r="C72">
        <v>74328</v>
      </c>
      <c r="D72" t="s">
        <v>50</v>
      </c>
      <c r="E72">
        <v>74328</v>
      </c>
      <c r="F72" t="s">
        <v>51</v>
      </c>
    </row>
    <row r="73" spans="1:6" x14ac:dyDescent="0.3">
      <c r="A73">
        <v>75110</v>
      </c>
      <c r="B73" t="s">
        <v>161</v>
      </c>
      <c r="C73">
        <v>75110</v>
      </c>
      <c r="D73" t="s">
        <v>50</v>
      </c>
      <c r="E73">
        <v>75110</v>
      </c>
      <c r="F73" t="s">
        <v>51</v>
      </c>
    </row>
    <row r="74" spans="1:6" x14ac:dyDescent="0.3">
      <c r="A74">
        <v>75113</v>
      </c>
      <c r="B74" t="s">
        <v>266</v>
      </c>
      <c r="C74">
        <v>75113</v>
      </c>
      <c r="D74" t="s">
        <v>50</v>
      </c>
      <c r="E74">
        <v>75113</v>
      </c>
      <c r="F74" t="s">
        <v>51</v>
      </c>
    </row>
    <row r="75" spans="1:6" x14ac:dyDescent="0.3">
      <c r="A75">
        <v>75210</v>
      </c>
      <c r="B75" t="s">
        <v>178</v>
      </c>
      <c r="C75">
        <v>75210</v>
      </c>
      <c r="D75" t="s">
        <v>50</v>
      </c>
      <c r="E75">
        <v>75210</v>
      </c>
      <c r="F75" t="s">
        <v>51</v>
      </c>
    </row>
    <row r="76" spans="1:6" x14ac:dyDescent="0.3">
      <c r="A76">
        <v>75220</v>
      </c>
      <c r="B76" t="s">
        <v>58</v>
      </c>
      <c r="C76">
        <v>75220</v>
      </c>
      <c r="D76" t="s">
        <v>50</v>
      </c>
      <c r="E76">
        <v>75220</v>
      </c>
      <c r="F76" t="s">
        <v>51</v>
      </c>
    </row>
    <row r="77" spans="1:6" x14ac:dyDescent="0.3">
      <c r="A77">
        <v>75300</v>
      </c>
      <c r="B77" t="s">
        <v>52</v>
      </c>
      <c r="C77">
        <v>75300</v>
      </c>
      <c r="D77" t="s">
        <v>50</v>
      </c>
      <c r="E77">
        <v>75300</v>
      </c>
      <c r="F77" t="s">
        <v>51</v>
      </c>
    </row>
    <row r="78" spans="1:6" x14ac:dyDescent="0.3">
      <c r="A78">
        <v>76030</v>
      </c>
      <c r="B78" t="s">
        <v>268</v>
      </c>
      <c r="C78">
        <v>76030</v>
      </c>
      <c r="D78" t="s">
        <v>50</v>
      </c>
      <c r="E78">
        <v>76030</v>
      </c>
      <c r="F78" t="s">
        <v>51</v>
      </c>
    </row>
    <row r="79" spans="1:6" x14ac:dyDescent="0.3">
      <c r="A79">
        <v>76910</v>
      </c>
      <c r="B79" t="s">
        <v>267</v>
      </c>
      <c r="C79">
        <v>76910</v>
      </c>
      <c r="D79" t="s">
        <v>50</v>
      </c>
      <c r="E79">
        <v>76910</v>
      </c>
      <c r="F79" t="s">
        <v>51</v>
      </c>
    </row>
    <row r="80" spans="1:6" x14ac:dyDescent="0.3">
      <c r="A80">
        <v>76930</v>
      </c>
      <c r="B80" t="s">
        <v>140</v>
      </c>
      <c r="C80">
        <v>76930</v>
      </c>
      <c r="D80" t="s">
        <v>50</v>
      </c>
      <c r="E80">
        <v>76930</v>
      </c>
      <c r="F80" t="s">
        <v>51</v>
      </c>
    </row>
    <row r="81" spans="1:6" x14ac:dyDescent="0.3">
      <c r="A81">
        <v>76932</v>
      </c>
      <c r="B81" t="s">
        <v>130</v>
      </c>
      <c r="C81">
        <v>76932</v>
      </c>
      <c r="D81" t="s">
        <v>50</v>
      </c>
      <c r="E81">
        <v>76932</v>
      </c>
      <c r="F81" t="s">
        <v>51</v>
      </c>
    </row>
    <row r="82" spans="1:6" x14ac:dyDescent="0.3">
      <c r="A82">
        <v>84320</v>
      </c>
      <c r="B82" t="s">
        <v>160</v>
      </c>
      <c r="C82">
        <v>84320</v>
      </c>
      <c r="D82" t="s">
        <v>50</v>
      </c>
      <c r="E82">
        <v>84320</v>
      </c>
      <c r="F82" t="s">
        <v>51</v>
      </c>
    </row>
    <row r="83" spans="1:6" x14ac:dyDescent="0.3">
      <c r="A83">
        <v>86100</v>
      </c>
      <c r="B83" t="s">
        <v>107</v>
      </c>
      <c r="C83">
        <v>86100</v>
      </c>
      <c r="D83" t="s">
        <v>50</v>
      </c>
      <c r="E83">
        <v>86100</v>
      </c>
      <c r="F83" t="s">
        <v>106</v>
      </c>
    </row>
    <row r="84" spans="1:6" x14ac:dyDescent="0.3">
      <c r="A84">
        <v>86200</v>
      </c>
      <c r="B84" t="s">
        <v>110</v>
      </c>
      <c r="C84">
        <v>86200</v>
      </c>
      <c r="D84" t="s">
        <v>50</v>
      </c>
      <c r="E84">
        <v>86200</v>
      </c>
      <c r="F84" t="s">
        <v>106</v>
      </c>
    </row>
    <row r="85" spans="1:6" x14ac:dyDescent="0.3">
      <c r="A85" t="s">
        <v>112</v>
      </c>
      <c r="B85" t="s">
        <v>114</v>
      </c>
      <c r="C85" t="s">
        <v>112</v>
      </c>
      <c r="D85" t="s">
        <v>50</v>
      </c>
      <c r="E85" t="s">
        <v>112</v>
      </c>
      <c r="F85" t="s">
        <v>113</v>
      </c>
    </row>
    <row r="86" spans="1:6" x14ac:dyDescent="0.3">
      <c r="A86" t="s">
        <v>166</v>
      </c>
      <c r="B86" t="s">
        <v>114</v>
      </c>
      <c r="C86" t="s">
        <v>166</v>
      </c>
      <c r="D86" t="s">
        <v>50</v>
      </c>
      <c r="E86" t="s">
        <v>166</v>
      </c>
      <c r="F86" t="s">
        <v>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>
      <selection sqref="A1:A1048576"/>
    </sheetView>
  </sheetViews>
  <sheetFormatPr defaultRowHeight="14.4" x14ac:dyDescent="0.3"/>
  <cols>
    <col min="1" max="1" width="10.21875" bestFit="1" customWidth="1"/>
    <col min="2" max="2" width="38.77734375" bestFit="1" customWidth="1"/>
    <col min="3" max="3" width="13.21875" bestFit="1" customWidth="1"/>
  </cols>
  <sheetData>
    <row r="1" spans="1:3" x14ac:dyDescent="0.3">
      <c r="A1" t="s">
        <v>3</v>
      </c>
      <c r="B1" s="2" t="s">
        <v>286</v>
      </c>
      <c r="C1" t="s">
        <v>285</v>
      </c>
    </row>
    <row r="2" spans="1:3" x14ac:dyDescent="0.3">
      <c r="A2">
        <v>101</v>
      </c>
      <c r="B2" s="2" t="s">
        <v>272</v>
      </c>
      <c r="C2">
        <v>1</v>
      </c>
    </row>
    <row r="3" spans="1:3" x14ac:dyDescent="0.3">
      <c r="A3">
        <v>101</v>
      </c>
      <c r="B3" s="2" t="s">
        <v>273</v>
      </c>
      <c r="C3">
        <v>2</v>
      </c>
    </row>
    <row r="4" spans="1:3" x14ac:dyDescent="0.3">
      <c r="A4">
        <v>101</v>
      </c>
      <c r="B4" s="2" t="s">
        <v>278</v>
      </c>
      <c r="C4">
        <v>3</v>
      </c>
    </row>
    <row r="5" spans="1:3" x14ac:dyDescent="0.3">
      <c r="A5">
        <v>101</v>
      </c>
      <c r="B5" s="2" t="s">
        <v>276</v>
      </c>
      <c r="C5">
        <v>4</v>
      </c>
    </row>
    <row r="6" spans="1:3" x14ac:dyDescent="0.3">
      <c r="A6">
        <v>101</v>
      </c>
      <c r="B6" s="2" t="s">
        <v>275</v>
      </c>
      <c r="C6">
        <v>6</v>
      </c>
    </row>
    <row r="7" spans="1:3" x14ac:dyDescent="0.3">
      <c r="A7">
        <v>102</v>
      </c>
      <c r="B7" s="2" t="s">
        <v>269</v>
      </c>
      <c r="C7">
        <v>1</v>
      </c>
    </row>
    <row r="8" spans="1:3" x14ac:dyDescent="0.3">
      <c r="A8">
        <v>102</v>
      </c>
      <c r="B8" s="5" t="s">
        <v>271</v>
      </c>
      <c r="C8">
        <v>2</v>
      </c>
    </row>
    <row r="9" spans="1:3" x14ac:dyDescent="0.3">
      <c r="A9">
        <v>102</v>
      </c>
      <c r="B9" s="2" t="s">
        <v>13</v>
      </c>
      <c r="C9">
        <v>3</v>
      </c>
    </row>
    <row r="10" spans="1:3" x14ac:dyDescent="0.3">
      <c r="A10">
        <v>103</v>
      </c>
      <c r="B10" s="2" t="s">
        <v>277</v>
      </c>
      <c r="C10">
        <v>2</v>
      </c>
    </row>
    <row r="11" spans="1:3" x14ac:dyDescent="0.3">
      <c r="A11">
        <v>104</v>
      </c>
      <c r="B11" s="2" t="s">
        <v>40</v>
      </c>
      <c r="C11">
        <v>2</v>
      </c>
    </row>
    <row r="12" spans="1:3" x14ac:dyDescent="0.3">
      <c r="A12">
        <v>105</v>
      </c>
      <c r="B12" s="2" t="s">
        <v>270</v>
      </c>
      <c r="C12">
        <v>2</v>
      </c>
    </row>
    <row r="13" spans="1:3" x14ac:dyDescent="0.3">
      <c r="A13">
        <v>106</v>
      </c>
      <c r="B13" s="2" t="s">
        <v>274</v>
      </c>
      <c r="C13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>
      <selection activeCell="B1" sqref="B1:B9"/>
    </sheetView>
  </sheetViews>
  <sheetFormatPr defaultRowHeight="14.4" x14ac:dyDescent="0.3"/>
  <cols>
    <col min="2" max="2" width="24.77734375" bestFit="1" customWidth="1"/>
  </cols>
  <sheetData>
    <row r="1" spans="1:2" x14ac:dyDescent="0.3">
      <c r="A1" t="s">
        <v>287</v>
      </c>
      <c r="B1" t="s">
        <v>4</v>
      </c>
    </row>
    <row r="2" spans="1:2" x14ac:dyDescent="0.3">
      <c r="A2">
        <v>1001</v>
      </c>
      <c r="B2" t="s">
        <v>57</v>
      </c>
    </row>
    <row r="3" spans="1:2" x14ac:dyDescent="0.3">
      <c r="A3">
        <v>1002</v>
      </c>
      <c r="B3" t="s">
        <v>29</v>
      </c>
    </row>
    <row r="4" spans="1:2" x14ac:dyDescent="0.3">
      <c r="A4">
        <v>1003</v>
      </c>
      <c r="B4" t="s">
        <v>288</v>
      </c>
    </row>
    <row r="5" spans="1:2" x14ac:dyDescent="0.3">
      <c r="A5">
        <v>1004</v>
      </c>
      <c r="B5" t="s">
        <v>289</v>
      </c>
    </row>
    <row r="6" spans="1:2" x14ac:dyDescent="0.3">
      <c r="A6">
        <v>1005</v>
      </c>
      <c r="B6" t="s">
        <v>290</v>
      </c>
    </row>
    <row r="7" spans="1:2" x14ac:dyDescent="0.3">
      <c r="A7">
        <v>1006</v>
      </c>
      <c r="B7" t="s">
        <v>111</v>
      </c>
    </row>
    <row r="8" spans="1:2" x14ac:dyDescent="0.3">
      <c r="A8">
        <v>1007</v>
      </c>
      <c r="B8" t="s">
        <v>291</v>
      </c>
    </row>
    <row r="9" spans="1:2" x14ac:dyDescent="0.3">
      <c r="A9">
        <v>1008</v>
      </c>
      <c r="B9" t="s">
        <v>101</v>
      </c>
    </row>
  </sheetData>
  <sortState xmlns:xlrd2="http://schemas.microsoft.com/office/spreadsheetml/2017/richdata2" ref="A1:B2">
    <sortCondition ref="B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790"/>
  <sheetViews>
    <sheetView topLeftCell="G1" workbookViewId="0">
      <selection sqref="A1:D1048576"/>
    </sheetView>
  </sheetViews>
  <sheetFormatPr defaultRowHeight="14.4" x14ac:dyDescent="0.3"/>
  <cols>
    <col min="3" max="3" width="13.21875" bestFit="1" customWidth="1"/>
    <col min="6" max="6" width="12.21875" bestFit="1" customWidth="1"/>
    <col min="7" max="7" width="34.77734375" bestFit="1" customWidth="1"/>
    <col min="9" max="10" width="10.77734375" bestFit="1" customWidth="1"/>
    <col min="11" max="11" width="11.21875" bestFit="1" customWidth="1"/>
    <col min="12" max="12" width="12.77734375" bestFit="1" customWidth="1"/>
    <col min="13" max="13" width="14.77734375" bestFit="1" customWidth="1"/>
    <col min="14" max="14" width="11.5546875" bestFit="1" customWidth="1"/>
    <col min="15" max="15" width="11.77734375" bestFit="1" customWidth="1"/>
    <col min="16" max="16" width="12.77734375" bestFit="1" customWidth="1"/>
  </cols>
  <sheetData>
    <row r="1" spans="1:17" x14ac:dyDescent="0.3">
      <c r="A1" t="s">
        <v>0</v>
      </c>
      <c r="B1" t="s">
        <v>1</v>
      </c>
      <c r="C1" t="s">
        <v>285</v>
      </c>
      <c r="D1" s="2" t="s">
        <v>3</v>
      </c>
      <c r="E1" t="s">
        <v>287</v>
      </c>
      <c r="F1" s="1" t="s">
        <v>2</v>
      </c>
      <c r="G1" t="s">
        <v>6</v>
      </c>
      <c r="H1" s="4" t="s">
        <v>7</v>
      </c>
      <c r="I1" s="4" t="s">
        <v>8</v>
      </c>
      <c r="J1" s="4" t="s">
        <v>9</v>
      </c>
      <c r="K1" t="s">
        <v>5</v>
      </c>
      <c r="L1" t="s">
        <v>300</v>
      </c>
      <c r="M1" t="s">
        <v>12</v>
      </c>
      <c r="N1" t="s">
        <v>10</v>
      </c>
      <c r="O1" t="s">
        <v>11</v>
      </c>
      <c r="P1" s="2" t="s">
        <v>286</v>
      </c>
      <c r="Q1" t="s">
        <v>4</v>
      </c>
    </row>
    <row r="2" spans="1:17" x14ac:dyDescent="0.3">
      <c r="A2" s="3">
        <v>2033520</v>
      </c>
      <c r="B2">
        <v>76930</v>
      </c>
      <c r="C2">
        <v>1</v>
      </c>
      <c r="D2" s="9">
        <v>101</v>
      </c>
      <c r="E2">
        <v>1002</v>
      </c>
      <c r="F2" s="1">
        <v>44002</v>
      </c>
      <c r="G2" t="s">
        <v>212</v>
      </c>
      <c r="H2" s="4">
        <v>36.9</v>
      </c>
      <c r="I2" s="4" t="s">
        <v>16</v>
      </c>
      <c r="J2" s="4">
        <v>36.9</v>
      </c>
      <c r="K2" t="str">
        <f>IFERROR(INDEX(BusinessUnits!$B:$B,MATCH($C2,BusinessUnits!$A:$A,0)),"")</f>
        <v>FOOD SERVICE</v>
      </c>
      <c r="L2" t="str">
        <f>IFERROR(INDEX(Table1[[#All],[Description]],MATCH($C2,BusinessUnits!$A:$A,0)),"")</f>
        <v xml:space="preserve">Transactions related to food and beverage service. Includes all guest transactions in the hotel restaurants, catering-related transactions and food service payroll. </v>
      </c>
      <c r="M2" t="str">
        <f>IFERROR(INDEX(ChartOfAccounts!B1:B86,MATCH($B2,ChartOfAccounts!A1:A86,0)),"")</f>
        <v>Telecommunications - Other</v>
      </c>
      <c r="N2" t="str">
        <f>IFERROR(INDEX(ChartOfAccounts!D:D,MATCH($B2,ChartOfAccounts!A1:A86,0)),"")</f>
        <v>Expenses</v>
      </c>
      <c r="O2" t="str">
        <f>IFERROR(INDEX(ChartOfAccounts!F:F,MATCH($B2,ChartOfAccounts!A1:A86,0)),"")</f>
        <v>SG&amp;A</v>
      </c>
      <c r="P2" t="str" cm="1">
        <f t="array" ref="P2">IFERROR(INDEX(PreparerInfo!B1:B13,MATCH($D2&amp;$C2,PreparerInfo!A1:A13&amp;PreparerInfo!C1:C13,0)),"")</f>
        <v xml:space="preserve">Carolyn Slater|Food Operations Manager       </v>
      </c>
      <c r="Q2" t="str">
        <f>IFERROR(INDEX(Source!B1:B9,MATCH('Case 4 solution'!E2,Source!A1:A9,0)),"")</f>
        <v>CHECK</v>
      </c>
    </row>
    <row r="3" spans="1:17" x14ac:dyDescent="0.3">
      <c r="A3" s="3">
        <v>2033520</v>
      </c>
      <c r="B3">
        <v>11845</v>
      </c>
      <c r="C3">
        <v>1</v>
      </c>
      <c r="D3" s="9">
        <v>101</v>
      </c>
      <c r="E3">
        <v>1002</v>
      </c>
      <c r="F3" s="1">
        <v>44002</v>
      </c>
      <c r="G3" t="s">
        <v>212</v>
      </c>
      <c r="H3" s="4" t="s">
        <v>16</v>
      </c>
      <c r="I3" s="4">
        <v>-36.9</v>
      </c>
      <c r="J3" s="4">
        <v>-36.9</v>
      </c>
      <c r="K3" t="str">
        <f>IFERROR(INDEX(BusinessUnits!$B:$B,MATCH($C3,BusinessUnits!$A:$A,0)),"")</f>
        <v>FOOD SERVICE</v>
      </c>
      <c r="L3" t="str">
        <f>IFERROR(INDEX(Table1[[#All],[Description]],MATCH($C3,BusinessUnits!$A:$A,0)),"")</f>
        <v xml:space="preserve">Transactions related to food and beverage service. Includes all guest transactions in the hotel restaurants, catering-related transactions and food service payroll. </v>
      </c>
      <c r="M3" t="str">
        <f>IFERROR(INDEX(ChartOfAccounts!B2:B87,MATCH($B3,ChartOfAccounts!A2:A87,0)),"")</f>
        <v>Operating Bank Account</v>
      </c>
      <c r="N3" t="str">
        <f>IFERROR(INDEX(ChartOfAccounts!D:D,MATCH($B3,ChartOfAccounts!A2:A87,0)),"")</f>
        <v>Assets</v>
      </c>
      <c r="O3" t="str">
        <f>IFERROR(INDEX(ChartOfAccounts!F:F,MATCH($B3,ChartOfAccounts!A2:A87,0)),"")</f>
        <v>Cash</v>
      </c>
      <c r="P3" t="str" cm="1">
        <f t="array" ref="P3">IFERROR(INDEX(PreparerInfo!B2:B14,MATCH($D3&amp;$C3,PreparerInfo!A2:A14&amp;PreparerInfo!C2:C14,0)),"")</f>
        <v xml:space="preserve">Carolyn Slater|Food Operations Manager       </v>
      </c>
      <c r="Q3" t="str">
        <f>IFERROR(INDEX(Source!B2:B10,MATCH('Case 4 solution'!E3,Source!A2:A10,0)),"")</f>
        <v>CHECK</v>
      </c>
    </row>
    <row r="4" spans="1:17" x14ac:dyDescent="0.3">
      <c r="A4" s="3">
        <v>2033521</v>
      </c>
      <c r="B4">
        <v>11845</v>
      </c>
      <c r="C4">
        <v>3</v>
      </c>
      <c r="D4" s="9">
        <v>102</v>
      </c>
      <c r="E4">
        <v>1001</v>
      </c>
      <c r="F4" s="1">
        <v>44002</v>
      </c>
      <c r="G4" t="s">
        <v>41</v>
      </c>
      <c r="H4" s="4">
        <v>63.1</v>
      </c>
      <c r="I4" s="4" t="s">
        <v>16</v>
      </c>
      <c r="J4" s="4">
        <v>63.1</v>
      </c>
      <c r="K4" t="str">
        <f>IFERROR(INDEX(BusinessUnits!$B:$B,MATCH($C4,BusinessUnits!$A:$A,0)),"")</f>
        <v>HOTEL PANTRY</v>
      </c>
      <c r="L4" t="str">
        <f>IFERROR(INDEX(Table1[[#All],[Description]],MATCH($C4,BusinessUnits!$A:$A,0)),"")</f>
        <v>Transactions related to the hotel convenience store, including some food and beverage costs.</v>
      </c>
      <c r="M4" t="str">
        <f>IFERROR(INDEX(ChartOfAccounts!B3:B88,MATCH($B4,ChartOfAccounts!A3:A88,0)),"")</f>
        <v>Operating Bank Account</v>
      </c>
      <c r="N4" t="str">
        <f>IFERROR(INDEX(ChartOfAccounts!D:D,MATCH($B4,ChartOfAccounts!A3:A88,0)),"")</f>
        <v>AccountType</v>
      </c>
      <c r="O4" t="str">
        <f>IFERROR(INDEX(ChartOfAccounts!F:F,MATCH($B4,ChartOfAccounts!A3:A88,0)),"")</f>
        <v>AccountClass</v>
      </c>
      <c r="P4" t="str" cm="1">
        <f t="array" ref="P4">IFERROR(INDEX(PreparerInfo!B3:B15,MATCH($D4&amp;$C4,PreparerInfo!A3:A15&amp;PreparerInfo!C3:C15,0)),"")</f>
        <v>POS</v>
      </c>
      <c r="Q4" t="str">
        <f>IFERROR(INDEX(Source!B3:B11,MATCH('Case 4 solution'!E4,Source!A3:A11,0)),"")</f>
        <v/>
      </c>
    </row>
    <row r="5" spans="1:17" x14ac:dyDescent="0.3">
      <c r="A5" s="3">
        <v>2033521</v>
      </c>
      <c r="B5">
        <v>43440</v>
      </c>
      <c r="C5">
        <v>3</v>
      </c>
      <c r="D5" s="9">
        <v>102</v>
      </c>
      <c r="E5">
        <v>1001</v>
      </c>
      <c r="F5" s="1">
        <v>44002</v>
      </c>
      <c r="G5" t="s">
        <v>41</v>
      </c>
      <c r="H5" s="4" t="s">
        <v>16</v>
      </c>
      <c r="I5" s="4">
        <v>-63.1</v>
      </c>
      <c r="J5" s="4">
        <v>-63.1</v>
      </c>
      <c r="K5" t="str">
        <f>IFERROR(INDEX(BusinessUnits!$B:$B,MATCH($C5,BusinessUnits!$A:$A,0)),"")</f>
        <v>HOTEL PANTRY</v>
      </c>
      <c r="L5" t="str">
        <f>IFERROR(INDEX(Table1[[#All],[Description]],MATCH($C5,BusinessUnits!$A:$A,0)),"")</f>
        <v>Transactions related to the hotel convenience store, including some food and beverage costs.</v>
      </c>
      <c r="M5" t="str">
        <f>IFERROR(INDEX(ChartOfAccounts!B4:B89,MATCH($B5,ChartOfAccounts!A4:A89,0)),"")</f>
        <v>Sales - Other</v>
      </c>
      <c r="N5" t="str">
        <f>IFERROR(INDEX(ChartOfAccounts!D:D,MATCH($B5,ChartOfAccounts!A4:A89,0)),"")</f>
        <v>Revenue</v>
      </c>
      <c r="O5" t="str">
        <f>IFERROR(INDEX(ChartOfAccounts!F:F,MATCH($B5,ChartOfAccounts!A4:A89,0)),"")</f>
        <v>Other Income</v>
      </c>
      <c r="P5" t="str" cm="1">
        <f t="array" ref="P5">IFERROR(INDEX(PreparerInfo!B4:B16,MATCH($D5&amp;$C5,PreparerInfo!A4:A16&amp;PreparerInfo!C4:C16,0)),"")</f>
        <v>POS</v>
      </c>
      <c r="Q5" t="str">
        <f>IFERROR(INDEX(Source!B4:B12,MATCH('Case 4 solution'!E5,Source!A4:A12,0)),"")</f>
        <v/>
      </c>
    </row>
    <row r="6" spans="1:17" x14ac:dyDescent="0.3">
      <c r="A6" s="3">
        <v>2033522</v>
      </c>
      <c r="B6">
        <v>11845</v>
      </c>
      <c r="C6">
        <v>1</v>
      </c>
      <c r="D6" s="9">
        <v>102</v>
      </c>
      <c r="E6">
        <v>1003</v>
      </c>
      <c r="F6" s="1">
        <v>44002</v>
      </c>
      <c r="G6" t="s">
        <v>15</v>
      </c>
      <c r="H6" s="4">
        <v>68.28</v>
      </c>
      <c r="I6" s="4" t="s">
        <v>16</v>
      </c>
      <c r="J6" s="4">
        <v>68.28</v>
      </c>
      <c r="K6" t="str">
        <f>IFERROR(INDEX(BusinessUnits!$B:$B,MATCH($C6,BusinessUnits!$A:$A,0)),"")</f>
        <v>FOOD SERVICE</v>
      </c>
      <c r="L6" t="str">
        <f>IFERROR(INDEX(Table1[[#All],[Description]],MATCH($C6,BusinessUnits!$A:$A,0)),"")</f>
        <v xml:space="preserve">Transactions related to food and beverage service. Includes all guest transactions in the hotel restaurants, catering-related transactions and food service payroll. </v>
      </c>
      <c r="M6" t="str">
        <f>IFERROR(INDEX(ChartOfAccounts!B5:B90,MATCH($B6,ChartOfAccounts!A5:A90,0)),"")</f>
        <v/>
      </c>
      <c r="N6" t="str">
        <f>IFERROR(INDEX(ChartOfAccounts!D:D,MATCH($B6,ChartOfAccounts!A5:A90,0)),"")</f>
        <v/>
      </c>
      <c r="O6" t="str">
        <f>IFERROR(INDEX(ChartOfAccounts!F:F,MATCH($B6,ChartOfAccounts!A5:A90,0)),"")</f>
        <v/>
      </c>
      <c r="P6" t="str" cm="1">
        <f t="array" ref="P6">IFERROR(INDEX(PreparerInfo!B5:B17,MATCH($D6&amp;$C6,PreparerInfo!A5:A17&amp;PreparerInfo!C5:C17,0)),"")</f>
        <v xml:space="preserve">Elizabeth Rees|Food Operations Manager       </v>
      </c>
      <c r="Q6" t="str">
        <f>IFERROR(INDEX(Source!B5:B13,MATCH('Case 4 solution'!E6,Source!A5:A13,0)),"")</f>
        <v/>
      </c>
    </row>
    <row r="7" spans="1:17" x14ac:dyDescent="0.3">
      <c r="A7" s="3">
        <v>2033522</v>
      </c>
      <c r="B7">
        <v>43310</v>
      </c>
      <c r="C7">
        <v>1</v>
      </c>
      <c r="D7" s="9">
        <v>102</v>
      </c>
      <c r="E7">
        <v>1003</v>
      </c>
      <c r="F7" s="1">
        <v>44002</v>
      </c>
      <c r="G7" t="s">
        <v>15</v>
      </c>
      <c r="H7" s="4" t="s">
        <v>16</v>
      </c>
      <c r="I7" s="4">
        <v>-68.28</v>
      </c>
      <c r="J7" s="4">
        <v>-68.28</v>
      </c>
      <c r="K7" t="str">
        <f>IFERROR(INDEX(BusinessUnits!$B:$B,MATCH($C7,BusinessUnits!$A:$A,0)),"")</f>
        <v>FOOD SERVICE</v>
      </c>
      <c r="L7" t="str">
        <f>IFERROR(INDEX(Table1[[#All],[Description]],MATCH($C7,BusinessUnits!$A:$A,0)),"")</f>
        <v xml:space="preserve">Transactions related to food and beverage service. Includes all guest transactions in the hotel restaurants, catering-related transactions and food service payroll. </v>
      </c>
      <c r="M7" t="str">
        <f>IFERROR(INDEX(ChartOfAccounts!B6:B91,MATCH($B7,ChartOfAccounts!A6:A91,0)),"")</f>
        <v>Sales - Dining Halls</v>
      </c>
      <c r="N7" t="str">
        <f>IFERROR(INDEX(ChartOfAccounts!D:D,MATCH($B7,ChartOfAccounts!A6:A91,0)),"")</f>
        <v>Liabilities</v>
      </c>
      <c r="O7" t="str">
        <f>IFERROR(INDEX(ChartOfAccounts!F:F,MATCH($B7,ChartOfAccounts!A6:A91,0)),"")</f>
        <v>Other LT Liabilities</v>
      </c>
      <c r="P7" t="str" cm="1">
        <f t="array" ref="P7">IFERROR(INDEX(PreparerInfo!B6:B18,MATCH($D7&amp;$C7,PreparerInfo!A6:A18&amp;PreparerInfo!C6:C18,0)),"")</f>
        <v xml:space="preserve">Elizabeth Rees|Food Operations Manager       </v>
      </c>
      <c r="Q7" t="str">
        <f>IFERROR(INDEX(Source!B6:B14,MATCH('Case 4 solution'!E7,Source!A6:A14,0)),"")</f>
        <v/>
      </c>
    </row>
    <row r="8" spans="1:17" x14ac:dyDescent="0.3">
      <c r="A8" s="3">
        <v>2033523</v>
      </c>
      <c r="B8">
        <v>11845</v>
      </c>
      <c r="C8">
        <v>2</v>
      </c>
      <c r="D8" s="9">
        <v>106</v>
      </c>
      <c r="E8">
        <v>1003</v>
      </c>
      <c r="F8" s="1">
        <v>44002</v>
      </c>
      <c r="G8" t="s">
        <v>81</v>
      </c>
      <c r="H8" s="4">
        <v>99</v>
      </c>
      <c r="I8" s="4" t="s">
        <v>16</v>
      </c>
      <c r="J8" s="4">
        <v>99</v>
      </c>
      <c r="K8" t="str">
        <f>IFERROR(INDEX(BusinessUnits!$B:$B,MATCH($C8,BusinessUnits!$A:$A,0)),"")</f>
        <v>HOTEL</v>
      </c>
      <c r="L8" t="str">
        <f>IFERROR(INDEX(Table1[[#All],[Description]],MATCH($C8,BusinessUnits!$A:$A,0)),"")</f>
        <v xml:space="preserve">Transactions related to guest rooms and overall hotel operations. Includes payroll for administrative staff, clerks and interns. </v>
      </c>
      <c r="M8" t="str">
        <f>IFERROR(INDEX(ChartOfAccounts!B7:B92,MATCH($B8,ChartOfAccounts!A7:A92,0)),"")</f>
        <v/>
      </c>
      <c r="N8" t="str">
        <f>IFERROR(INDEX(ChartOfAccounts!D:D,MATCH($B8,ChartOfAccounts!A7:A92,0)),"")</f>
        <v/>
      </c>
      <c r="O8" t="str">
        <f>IFERROR(INDEX(ChartOfAccounts!F:F,MATCH($B8,ChartOfAccounts!A7:A92,0)),"")</f>
        <v/>
      </c>
      <c r="P8" t="str" cm="1">
        <f t="array" ref="P8">IFERROR(INDEX(PreparerInfo!B7:B19,MATCH($D8&amp;$C8,PreparerInfo!A7:A19&amp;PreparerInfo!C7:C19,0)),"")</f>
        <v>Yvonne Chapman|Catering Manager              </v>
      </c>
      <c r="Q8" t="str">
        <f>IFERROR(INDEX(Source!B7:B15,MATCH('Case 4 solution'!E8,Source!A7:A15,0)),"")</f>
        <v/>
      </c>
    </row>
    <row r="9" spans="1:17" x14ac:dyDescent="0.3">
      <c r="A9" s="3">
        <v>2033523</v>
      </c>
      <c r="B9">
        <v>43180</v>
      </c>
      <c r="C9">
        <v>2</v>
      </c>
      <c r="D9" s="9">
        <v>106</v>
      </c>
      <c r="E9">
        <v>1003</v>
      </c>
      <c r="F9" s="1">
        <v>44002</v>
      </c>
      <c r="G9" t="s">
        <v>81</v>
      </c>
      <c r="H9" s="4" t="s">
        <v>16</v>
      </c>
      <c r="I9" s="4">
        <v>-99</v>
      </c>
      <c r="J9" s="4">
        <v>-99</v>
      </c>
      <c r="K9" t="str">
        <f>IFERROR(INDEX(BusinessUnits!$B:$B,MATCH($C9,BusinessUnits!$A:$A,0)),"")</f>
        <v>HOTEL</v>
      </c>
      <c r="L9" t="str">
        <f>IFERROR(INDEX(Table1[[#All],[Description]],MATCH($C9,BusinessUnits!$A:$A,0)),"")</f>
        <v xml:space="preserve">Transactions related to guest rooms and overall hotel operations. Includes payroll for administrative staff, clerks and interns. </v>
      </c>
      <c r="M9" t="str">
        <f>IFERROR(INDEX(ChartOfAccounts!B8:B93,MATCH($B9,ChartOfAccounts!A8:A93,0)),"")</f>
        <v>Rents - Hotels</v>
      </c>
      <c r="N9" t="str">
        <f>IFERROR(INDEX(ChartOfAccounts!D:D,MATCH($B9,ChartOfAccounts!A8:A93,0)),"")</f>
        <v>Liabilities</v>
      </c>
      <c r="O9" t="str">
        <f>IFERROR(INDEX(ChartOfAccounts!F:F,MATCH($B9,ChartOfAccounts!A8:A93,0)),"")</f>
        <v>Other ST Liabilities</v>
      </c>
      <c r="P9" t="str" cm="1">
        <f t="array" ref="P9">IFERROR(INDEX(PreparerInfo!B8:B20,MATCH($D9&amp;$C9,PreparerInfo!A8:A20&amp;PreparerInfo!C8:C20,0)),"")</f>
        <v>Yvonne Chapman|Catering Manager              </v>
      </c>
      <c r="Q9" t="str">
        <f>IFERROR(INDEX(Source!B8:B16,MATCH('Case 4 solution'!E9,Source!A8:A16,0)),"")</f>
        <v/>
      </c>
    </row>
    <row r="10" spans="1:17" x14ac:dyDescent="0.3">
      <c r="A10" s="3">
        <v>2033524</v>
      </c>
      <c r="B10">
        <v>11845</v>
      </c>
      <c r="C10">
        <v>3</v>
      </c>
      <c r="D10" s="9">
        <v>102</v>
      </c>
      <c r="E10">
        <v>1003</v>
      </c>
      <c r="F10" s="1">
        <v>44002</v>
      </c>
      <c r="G10" t="s">
        <v>15</v>
      </c>
      <c r="H10" s="4">
        <v>107.21</v>
      </c>
      <c r="I10" s="4" t="s">
        <v>16</v>
      </c>
      <c r="J10" s="4">
        <v>107.21</v>
      </c>
      <c r="K10" t="str">
        <f>IFERROR(INDEX(BusinessUnits!$B:$B,MATCH($C10,BusinessUnits!$A:$A,0)),"")</f>
        <v>HOTEL PANTRY</v>
      </c>
      <c r="L10" t="str">
        <f>IFERROR(INDEX(Table1[[#All],[Description]],MATCH($C10,BusinessUnits!$A:$A,0)),"")</f>
        <v>Transactions related to the hotel convenience store, including some food and beverage costs.</v>
      </c>
      <c r="M10" t="str">
        <f>IFERROR(INDEX(ChartOfAccounts!B9:B94,MATCH($B10,ChartOfAccounts!A9:A94,0)),"")</f>
        <v/>
      </c>
      <c r="N10" t="str">
        <f>IFERROR(INDEX(ChartOfAccounts!D:D,MATCH($B10,ChartOfAccounts!A9:A94,0)),"")</f>
        <v/>
      </c>
      <c r="O10" t="str">
        <f>IFERROR(INDEX(ChartOfAccounts!F:F,MATCH($B10,ChartOfAccounts!A9:A94,0)),"")</f>
        <v/>
      </c>
      <c r="P10" t="str" cm="1">
        <f t="array" ref="P10">IFERROR(INDEX(PreparerInfo!B9:B21,MATCH($D10&amp;$C10,PreparerInfo!A9:A21&amp;PreparerInfo!C9:C21,0)),"")</f>
        <v>POS</v>
      </c>
      <c r="Q10" t="str">
        <f>IFERROR(INDEX(Source!B9:B17,MATCH('Case 4 solution'!E10,Source!A9:A17,0)),"")</f>
        <v/>
      </c>
    </row>
    <row r="11" spans="1:17" x14ac:dyDescent="0.3">
      <c r="A11" s="3">
        <v>2033524</v>
      </c>
      <c r="B11">
        <v>43440</v>
      </c>
      <c r="C11">
        <v>3</v>
      </c>
      <c r="D11" s="9">
        <v>102</v>
      </c>
      <c r="E11">
        <v>1003</v>
      </c>
      <c r="F11" s="1">
        <v>44002</v>
      </c>
      <c r="G11" t="s">
        <v>15</v>
      </c>
      <c r="H11" s="4" t="s">
        <v>16</v>
      </c>
      <c r="I11" s="4">
        <v>-107.21</v>
      </c>
      <c r="J11" s="4">
        <v>-107.21</v>
      </c>
      <c r="K11" t="str">
        <f>IFERROR(INDEX(BusinessUnits!$B:$B,MATCH($C11,BusinessUnits!$A:$A,0)),"")</f>
        <v>HOTEL PANTRY</v>
      </c>
      <c r="L11" t="str">
        <f>IFERROR(INDEX(Table1[[#All],[Description]],MATCH($C11,BusinessUnits!$A:$A,0)),"")</f>
        <v>Transactions related to the hotel convenience store, including some food and beverage costs.</v>
      </c>
      <c r="M11" t="str">
        <f>IFERROR(INDEX(ChartOfAccounts!B10:B95,MATCH($B11,ChartOfAccounts!A10:A95,0)),"")</f>
        <v>Sales - Other</v>
      </c>
      <c r="N11" t="str">
        <f>IFERROR(INDEX(ChartOfAccounts!D:D,MATCH($B11,ChartOfAccounts!A10:A95,0)),"")</f>
        <v>Liabilities</v>
      </c>
      <c r="O11" t="str">
        <f>IFERROR(INDEX(ChartOfAccounts!F:F,MATCH($B11,ChartOfAccounts!A10:A95,0)),"")</f>
        <v>Other ST Liabilities</v>
      </c>
      <c r="P11" t="str" cm="1">
        <f t="array" ref="P11">IFERROR(INDEX(PreparerInfo!B10:B22,MATCH($D11&amp;$C11,PreparerInfo!A10:A22&amp;PreparerInfo!C10:C22,0)),"")</f>
        <v/>
      </c>
      <c r="Q11" t="str">
        <f>IFERROR(INDEX(Source!B10:B18,MATCH('Case 4 solution'!E11,Source!A10:A18,0)),"")</f>
        <v/>
      </c>
    </row>
    <row r="12" spans="1:17" x14ac:dyDescent="0.3">
      <c r="A12" s="3">
        <v>2033525</v>
      </c>
      <c r="B12">
        <v>11845</v>
      </c>
      <c r="C12">
        <v>2</v>
      </c>
      <c r="D12" s="9">
        <v>104</v>
      </c>
      <c r="E12">
        <v>1003</v>
      </c>
      <c r="F12" s="1">
        <v>44002</v>
      </c>
      <c r="G12" t="s">
        <v>220</v>
      </c>
      <c r="H12" s="4">
        <v>129</v>
      </c>
      <c r="I12" s="4" t="s">
        <v>16</v>
      </c>
      <c r="J12" s="4">
        <v>129</v>
      </c>
      <c r="K12" t="str">
        <f>IFERROR(INDEX(BusinessUnits!$B:$B,MATCH($C12,BusinessUnits!$A:$A,0)),"")</f>
        <v>HOTEL</v>
      </c>
      <c r="L12" t="str">
        <f>IFERROR(INDEX(Table1[[#All],[Description]],MATCH($C12,BusinessUnits!$A:$A,0)),"")</f>
        <v xml:space="preserve">Transactions related to guest rooms and overall hotel operations. Includes payroll for administrative staff, clerks and interns. </v>
      </c>
      <c r="M12" t="str">
        <f>IFERROR(INDEX(ChartOfAccounts!B11:B96,MATCH($B12,ChartOfAccounts!A11:A96,0)),"")</f>
        <v/>
      </c>
      <c r="N12" t="str">
        <f>IFERROR(INDEX(ChartOfAccounts!D:D,MATCH($B12,ChartOfAccounts!A11:A96,0)),"")</f>
        <v/>
      </c>
      <c r="O12" t="str">
        <f>IFERROR(INDEX(ChartOfAccounts!F:F,MATCH($B12,ChartOfAccounts!A11:A96,0)),"")</f>
        <v/>
      </c>
      <c r="P12" t="str" cm="1">
        <f t="array" ref="P12">IFERROR(INDEX(PreparerInfo!B11:B23,MATCH($D12&amp;$C12,PreparerInfo!A11:A23&amp;PreparerInfo!C11:C23,0)),"")</f>
        <v>GUESTSYS</v>
      </c>
      <c r="Q12" t="str">
        <f>IFERROR(INDEX(Source!B11:B19,MATCH('Case 4 solution'!E12,Source!A11:A19,0)),"")</f>
        <v/>
      </c>
    </row>
    <row r="13" spans="1:17" x14ac:dyDescent="0.3">
      <c r="A13" s="3">
        <v>2033525</v>
      </c>
      <c r="B13">
        <v>43180</v>
      </c>
      <c r="C13">
        <v>2</v>
      </c>
      <c r="D13" s="9">
        <v>104</v>
      </c>
      <c r="E13">
        <v>1003</v>
      </c>
      <c r="F13" s="1">
        <v>44002</v>
      </c>
      <c r="G13" t="s">
        <v>220</v>
      </c>
      <c r="H13" s="4" t="s">
        <v>16</v>
      </c>
      <c r="I13" s="4">
        <v>-129</v>
      </c>
      <c r="J13" s="4">
        <v>-129</v>
      </c>
      <c r="K13" t="str">
        <f>IFERROR(INDEX(BusinessUnits!$B:$B,MATCH($C13,BusinessUnits!$A:$A,0)),"")</f>
        <v>HOTEL</v>
      </c>
      <c r="L13" t="str">
        <f>IFERROR(INDEX(Table1[[#All],[Description]],MATCH($C13,BusinessUnits!$A:$A,0)),"")</f>
        <v xml:space="preserve">Transactions related to guest rooms and overall hotel operations. Includes payroll for administrative staff, clerks and interns. </v>
      </c>
      <c r="M13" t="str">
        <f>IFERROR(INDEX(ChartOfAccounts!B12:B97,MATCH($B13,ChartOfAccounts!A12:A97,0)),"")</f>
        <v>Rents - Hotels</v>
      </c>
      <c r="N13" t="str">
        <f>IFERROR(INDEX(ChartOfAccounts!D:D,MATCH($B13,ChartOfAccounts!A12:A97,0)),"")</f>
        <v>Assets</v>
      </c>
      <c r="O13" t="str">
        <f>IFERROR(INDEX(ChartOfAccounts!F:F,MATCH($B13,ChartOfAccounts!A12:A97,0)),"")</f>
        <v>Plant, Property and Equipment</v>
      </c>
      <c r="P13" t="str" cm="1">
        <f t="array" ref="P13">IFERROR(INDEX(PreparerInfo!B12:B24,MATCH($D13&amp;$C13,PreparerInfo!A12:A24&amp;PreparerInfo!C12:C24,0)),"")</f>
        <v/>
      </c>
      <c r="Q13" t="str">
        <f>IFERROR(INDEX(Source!B12:B20,MATCH('Case 4 solution'!E13,Source!A12:A20,0)),"")</f>
        <v/>
      </c>
    </row>
    <row r="14" spans="1:17" x14ac:dyDescent="0.3">
      <c r="A14" s="3">
        <v>2033526</v>
      </c>
      <c r="B14">
        <v>11845</v>
      </c>
      <c r="C14">
        <v>2</v>
      </c>
      <c r="D14" s="9">
        <v>104</v>
      </c>
      <c r="E14">
        <v>1003</v>
      </c>
      <c r="F14" s="1">
        <v>44002</v>
      </c>
      <c r="G14" t="s">
        <v>125</v>
      </c>
      <c r="H14" s="4">
        <v>258</v>
      </c>
      <c r="I14" s="4" t="s">
        <v>16</v>
      </c>
      <c r="J14" s="4">
        <v>258</v>
      </c>
      <c r="K14" t="str">
        <f>IFERROR(INDEX(BusinessUnits!$B:$B,MATCH($C14,BusinessUnits!$A:$A,0)),"")</f>
        <v>HOTEL</v>
      </c>
      <c r="L14" t="str">
        <f>IFERROR(INDEX(Table1[[#All],[Description]],MATCH($C14,BusinessUnits!$A:$A,0)),"")</f>
        <v xml:space="preserve">Transactions related to guest rooms and overall hotel operations. Includes payroll for administrative staff, clerks and interns. </v>
      </c>
      <c r="M14" t="str">
        <f>IFERROR(INDEX(ChartOfAccounts!B13:B98,MATCH($B14,ChartOfAccounts!A13:A98,0)),"")</f>
        <v/>
      </c>
      <c r="N14" t="str">
        <f>IFERROR(INDEX(ChartOfAccounts!D:D,MATCH($B14,ChartOfAccounts!A13:A98,0)),"")</f>
        <v/>
      </c>
      <c r="O14" t="str">
        <f>IFERROR(INDEX(ChartOfAccounts!F:F,MATCH($B14,ChartOfAccounts!A13:A98,0)),"")</f>
        <v/>
      </c>
      <c r="P14" t="str" cm="1">
        <f t="array" ref="P14">IFERROR(INDEX(PreparerInfo!B13:B25,MATCH($D14&amp;$C14,PreparerInfo!A13:A25&amp;PreparerInfo!C13:C25,0)),"")</f>
        <v/>
      </c>
      <c r="Q14" t="str">
        <f>IFERROR(INDEX(Source!B13:B21,MATCH('Case 4 solution'!E14,Source!A13:A21,0)),"")</f>
        <v/>
      </c>
    </row>
    <row r="15" spans="1:17" x14ac:dyDescent="0.3">
      <c r="A15" s="3">
        <v>2033526</v>
      </c>
      <c r="B15">
        <v>43180</v>
      </c>
      <c r="C15">
        <v>2</v>
      </c>
      <c r="D15" s="9">
        <v>104</v>
      </c>
      <c r="E15">
        <v>1003</v>
      </c>
      <c r="F15" s="1">
        <v>44002</v>
      </c>
      <c r="G15" t="s">
        <v>125</v>
      </c>
      <c r="H15" s="4" t="s">
        <v>16</v>
      </c>
      <c r="I15" s="4">
        <v>-258</v>
      </c>
      <c r="J15" s="4">
        <v>-258</v>
      </c>
      <c r="K15" t="str">
        <f>IFERROR(INDEX(BusinessUnits!$B:$B,MATCH($C15,BusinessUnits!$A:$A,0)),"")</f>
        <v>HOTEL</v>
      </c>
      <c r="L15" t="str">
        <f>IFERROR(INDEX(Table1[[#All],[Description]],MATCH($C15,BusinessUnits!$A:$A,0)),"")</f>
        <v xml:space="preserve">Transactions related to guest rooms and overall hotel operations. Includes payroll for administrative staff, clerks and interns. </v>
      </c>
      <c r="M15" t="str">
        <f>IFERROR(INDEX(ChartOfAccounts!B14:B99,MATCH($B15,ChartOfAccounts!A14:A99,0)),"")</f>
        <v>Rents - Hotels</v>
      </c>
      <c r="N15" t="str">
        <f>IFERROR(INDEX(ChartOfAccounts!D:D,MATCH($B15,ChartOfAccounts!A14:A99,0)),"")</f>
        <v>Assets</v>
      </c>
      <c r="O15" t="str">
        <f>IFERROR(INDEX(ChartOfAccounts!F:F,MATCH($B15,ChartOfAccounts!A14:A99,0)),"")</f>
        <v>Plant, Property and Equipment</v>
      </c>
      <c r="P15" t="str" cm="1">
        <f t="array" ref="P15">IFERROR(INDEX(PreparerInfo!B14:B26,MATCH($D15&amp;$C15,PreparerInfo!A14:A26&amp;PreparerInfo!C14:C26,0)),"")</f>
        <v/>
      </c>
      <c r="Q15" t="str">
        <f>IFERROR(INDEX(Source!B14:B22,MATCH('Case 4 solution'!E15,Source!A14:A22,0)),"")</f>
        <v/>
      </c>
    </row>
    <row r="16" spans="1:17" x14ac:dyDescent="0.3">
      <c r="A16" s="3">
        <v>2033527</v>
      </c>
      <c r="B16">
        <v>11845</v>
      </c>
      <c r="C16">
        <v>2</v>
      </c>
      <c r="D16" s="9">
        <v>104</v>
      </c>
      <c r="E16">
        <v>1003</v>
      </c>
      <c r="F16" s="1">
        <v>44002</v>
      </c>
      <c r="G16" t="s">
        <v>221</v>
      </c>
      <c r="H16" s="4">
        <v>418</v>
      </c>
      <c r="I16" s="4" t="s">
        <v>16</v>
      </c>
      <c r="J16" s="4">
        <v>418</v>
      </c>
      <c r="K16" t="str">
        <f>IFERROR(INDEX(BusinessUnits!$B:$B,MATCH($C16,BusinessUnits!$A:$A,0)),"")</f>
        <v>HOTEL</v>
      </c>
      <c r="L16" t="str">
        <f>IFERROR(INDEX(Table1[[#All],[Description]],MATCH($C16,BusinessUnits!$A:$A,0)),"")</f>
        <v xml:space="preserve">Transactions related to guest rooms and overall hotel operations. Includes payroll for administrative staff, clerks and interns. </v>
      </c>
      <c r="M16" t="str">
        <f>IFERROR(INDEX(ChartOfAccounts!B15:B100,MATCH($B16,ChartOfAccounts!A15:A100,0)),"")</f>
        <v/>
      </c>
      <c r="N16" t="str">
        <f>IFERROR(INDEX(ChartOfAccounts!D:D,MATCH($B16,ChartOfAccounts!A15:A100,0)),"")</f>
        <v/>
      </c>
      <c r="O16" t="str">
        <f>IFERROR(INDEX(ChartOfAccounts!F:F,MATCH($B16,ChartOfAccounts!A15:A100,0)),"")</f>
        <v/>
      </c>
      <c r="P16" t="str" cm="1">
        <f t="array" ref="P16">IFERROR(INDEX(PreparerInfo!B15:B27,MATCH($D16&amp;$C16,PreparerInfo!A15:A27&amp;PreparerInfo!C15:C27,0)),"")</f>
        <v/>
      </c>
      <c r="Q16" t="str">
        <f>IFERROR(INDEX(Source!B15:B23,MATCH('Case 4 solution'!E16,Source!A15:A23,0)),"")</f>
        <v/>
      </c>
    </row>
    <row r="17" spans="1:17" x14ac:dyDescent="0.3">
      <c r="A17" s="3">
        <v>2033527</v>
      </c>
      <c r="B17">
        <v>43180</v>
      </c>
      <c r="C17">
        <v>2</v>
      </c>
      <c r="D17" s="9">
        <v>104</v>
      </c>
      <c r="E17">
        <v>1003</v>
      </c>
      <c r="F17" s="1">
        <v>44002</v>
      </c>
      <c r="G17" t="s">
        <v>221</v>
      </c>
      <c r="H17" s="4" t="s">
        <v>16</v>
      </c>
      <c r="I17" s="4">
        <v>-418</v>
      </c>
      <c r="J17" s="4">
        <v>-418</v>
      </c>
      <c r="K17" t="str">
        <f>IFERROR(INDEX(BusinessUnits!$B:$B,MATCH($C17,BusinessUnits!$A:$A,0)),"")</f>
        <v>HOTEL</v>
      </c>
      <c r="L17" t="str">
        <f>IFERROR(INDEX(Table1[[#All],[Description]],MATCH($C17,BusinessUnits!$A:$A,0)),"")</f>
        <v xml:space="preserve">Transactions related to guest rooms and overall hotel operations. Includes payroll for administrative staff, clerks and interns. </v>
      </c>
      <c r="M17" t="str">
        <f>IFERROR(INDEX(ChartOfAccounts!B16:B101,MATCH($B17,ChartOfAccounts!A16:A101,0)),"")</f>
        <v>Rents - Hotels</v>
      </c>
      <c r="N17" t="str">
        <f>IFERROR(INDEX(ChartOfAccounts!D:D,MATCH($B17,ChartOfAccounts!A16:A101,0)),"")</f>
        <v>Assets</v>
      </c>
      <c r="O17" t="str">
        <f>IFERROR(INDEX(ChartOfAccounts!F:F,MATCH($B17,ChartOfAccounts!A16:A101,0)),"")</f>
        <v>Inventory</v>
      </c>
      <c r="P17" t="str" cm="1">
        <f t="array" ref="P17">IFERROR(INDEX(PreparerInfo!B16:B28,MATCH($D17&amp;$C17,PreparerInfo!A16:A28&amp;PreparerInfo!C16:C28,0)),"")</f>
        <v/>
      </c>
      <c r="Q17" t="str">
        <f>IFERROR(INDEX(Source!B16:B24,MATCH('Case 4 solution'!E17,Source!A16:A24,0)),"")</f>
        <v/>
      </c>
    </row>
    <row r="18" spans="1:17" x14ac:dyDescent="0.3">
      <c r="A18" s="3">
        <v>2033528</v>
      </c>
      <c r="B18">
        <v>71900</v>
      </c>
      <c r="C18">
        <v>1</v>
      </c>
      <c r="D18" s="9">
        <v>102</v>
      </c>
      <c r="E18">
        <v>1002</v>
      </c>
      <c r="F18" s="1">
        <v>44002</v>
      </c>
      <c r="G18" t="s">
        <v>36</v>
      </c>
      <c r="H18" s="4">
        <v>431.8</v>
      </c>
      <c r="I18" s="4" t="s">
        <v>16</v>
      </c>
      <c r="J18" s="4">
        <v>431.8</v>
      </c>
      <c r="K18" t="str">
        <f>IFERROR(INDEX(BusinessUnits!$B:$B,MATCH($C18,BusinessUnits!$A:$A,0)),"")</f>
        <v>FOOD SERVICE</v>
      </c>
      <c r="L18" t="str">
        <f>IFERROR(INDEX(Table1[[#All],[Description]],MATCH($C18,BusinessUnits!$A:$A,0)),"")</f>
        <v xml:space="preserve">Transactions related to food and beverage service. Includes all guest transactions in the hotel restaurants, catering-related transactions and food service payroll. </v>
      </c>
      <c r="M18" t="str">
        <f>IFERROR(INDEX(ChartOfAccounts!B17:B102,MATCH($B18,ChartOfAccounts!A17:A102,0)),"")</f>
        <v>Rents - Other Than Real Estate</v>
      </c>
      <c r="N18" t="str">
        <f>IFERROR(INDEX(ChartOfAccounts!D:D,MATCH($B18,ChartOfAccounts!A17:A102,0)),"")</f>
        <v>Expenses</v>
      </c>
      <c r="O18" t="str">
        <f>IFERROR(INDEX(ChartOfAccounts!F:F,MATCH($B18,ChartOfAccounts!A17:A102,0)),"")</f>
        <v>Payroll Taxes</v>
      </c>
      <c r="P18" t="str" cm="1">
        <f t="array" ref="P18">IFERROR(INDEX(PreparerInfo!B17:B29,MATCH($D18&amp;$C18,PreparerInfo!A17:A29&amp;PreparerInfo!C17:C29,0)),"")</f>
        <v/>
      </c>
      <c r="Q18" t="str">
        <f>IFERROR(INDEX(Source!B17:B25,MATCH('Case 4 solution'!E18,Source!A17:A25,0)),"")</f>
        <v/>
      </c>
    </row>
    <row r="19" spans="1:17" x14ac:dyDescent="0.3">
      <c r="A19" s="3">
        <v>2033528</v>
      </c>
      <c r="B19">
        <v>11845</v>
      </c>
      <c r="C19">
        <v>1</v>
      </c>
      <c r="D19" s="9">
        <v>102</v>
      </c>
      <c r="E19">
        <v>1002</v>
      </c>
      <c r="F19" s="1">
        <v>44002</v>
      </c>
      <c r="G19" t="s">
        <v>36</v>
      </c>
      <c r="H19" s="4" t="s">
        <v>16</v>
      </c>
      <c r="I19" s="4">
        <v>-431.8</v>
      </c>
      <c r="J19" s="4">
        <v>-431.8</v>
      </c>
      <c r="K19" t="str">
        <f>IFERROR(INDEX(BusinessUnits!$B:$B,MATCH($C19,BusinessUnits!$A:$A,0)),"")</f>
        <v>FOOD SERVICE</v>
      </c>
      <c r="L19" t="str">
        <f>IFERROR(INDEX(Table1[[#All],[Description]],MATCH($C19,BusinessUnits!$A:$A,0)),"")</f>
        <v xml:space="preserve">Transactions related to food and beverage service. Includes all guest transactions in the hotel restaurants, catering-related transactions and food service payroll. </v>
      </c>
      <c r="M19" t="str">
        <f>IFERROR(INDEX(ChartOfAccounts!B18:B103,MATCH($B19,ChartOfAccounts!A18:A103,0)),"")</f>
        <v/>
      </c>
      <c r="N19" t="str">
        <f>IFERROR(INDEX(ChartOfAccounts!D:D,MATCH($B19,ChartOfAccounts!A18:A103,0)),"")</f>
        <v/>
      </c>
      <c r="O19" t="str">
        <f>IFERROR(INDEX(ChartOfAccounts!F:F,MATCH($B19,ChartOfAccounts!A18:A103,0)),"")</f>
        <v/>
      </c>
      <c r="P19" t="str" cm="1">
        <f t="array" ref="P19">IFERROR(INDEX(PreparerInfo!B18:B30,MATCH($D19&amp;$C19,PreparerInfo!A18:A30&amp;PreparerInfo!C18:C30,0)),"")</f>
        <v/>
      </c>
      <c r="Q19" t="str">
        <f>IFERROR(INDEX(Source!B18:B26,MATCH('Case 4 solution'!E19,Source!A18:A26,0)),"")</f>
        <v/>
      </c>
    </row>
    <row r="20" spans="1:17" x14ac:dyDescent="0.3">
      <c r="A20" s="3">
        <v>2033529</v>
      </c>
      <c r="B20">
        <v>11845</v>
      </c>
      <c r="C20">
        <v>1</v>
      </c>
      <c r="D20" s="9">
        <v>102</v>
      </c>
      <c r="E20">
        <v>1001</v>
      </c>
      <c r="F20" s="1">
        <v>44002</v>
      </c>
      <c r="G20" t="s">
        <v>41</v>
      </c>
      <c r="H20" s="4">
        <v>612.54</v>
      </c>
      <c r="I20" s="4" t="s">
        <v>16</v>
      </c>
      <c r="J20" s="4">
        <v>612.54</v>
      </c>
      <c r="K20" t="str">
        <f>IFERROR(INDEX(BusinessUnits!$B:$B,MATCH($C20,BusinessUnits!$A:$A,0)),"")</f>
        <v>FOOD SERVICE</v>
      </c>
      <c r="L20" t="str">
        <f>IFERROR(INDEX(Table1[[#All],[Description]],MATCH($C20,BusinessUnits!$A:$A,0)),"")</f>
        <v xml:space="preserve">Transactions related to food and beverage service. Includes all guest transactions in the hotel restaurants, catering-related transactions and food service payroll. </v>
      </c>
      <c r="M20" t="str">
        <f>IFERROR(INDEX(ChartOfAccounts!B19:B104,MATCH($B20,ChartOfAccounts!A19:A104,0)),"")</f>
        <v/>
      </c>
      <c r="N20" t="str">
        <f>IFERROR(INDEX(ChartOfAccounts!D:D,MATCH($B20,ChartOfAccounts!A19:A104,0)),"")</f>
        <v/>
      </c>
      <c r="O20" t="str">
        <f>IFERROR(INDEX(ChartOfAccounts!F:F,MATCH($B20,ChartOfAccounts!A19:A104,0)),"")</f>
        <v/>
      </c>
      <c r="P20" t="str" cm="1">
        <f t="array" ref="P20">IFERROR(INDEX(PreparerInfo!B19:B31,MATCH($D20&amp;$C20,PreparerInfo!A19:A31&amp;PreparerInfo!C19:C31,0)),"")</f>
        <v/>
      </c>
      <c r="Q20" t="str">
        <f>IFERROR(INDEX(Source!B19:B27,MATCH('Case 4 solution'!E20,Source!A19:A27,0)),"")</f>
        <v/>
      </c>
    </row>
    <row r="21" spans="1:17" x14ac:dyDescent="0.3">
      <c r="A21" s="3">
        <v>2033529</v>
      </c>
      <c r="B21">
        <v>43310</v>
      </c>
      <c r="C21">
        <v>1</v>
      </c>
      <c r="D21" s="9">
        <v>102</v>
      </c>
      <c r="E21">
        <v>1001</v>
      </c>
      <c r="F21" s="1">
        <v>44002</v>
      </c>
      <c r="G21" t="s">
        <v>41</v>
      </c>
      <c r="H21" s="4" t="s">
        <v>16</v>
      </c>
      <c r="I21" s="4">
        <v>-612.54</v>
      </c>
      <c r="J21" s="4">
        <v>-612.54</v>
      </c>
      <c r="K21" t="str">
        <f>IFERROR(INDEX(BusinessUnits!$B:$B,MATCH($C21,BusinessUnits!$A:$A,0)),"")</f>
        <v>FOOD SERVICE</v>
      </c>
      <c r="L21" t="str">
        <f>IFERROR(INDEX(Table1[[#All],[Description]],MATCH($C21,BusinessUnits!$A:$A,0)),"")</f>
        <v xml:space="preserve">Transactions related to food and beverage service. Includes all guest transactions in the hotel restaurants, catering-related transactions and food service payroll. </v>
      </c>
      <c r="M21" t="str">
        <f>IFERROR(INDEX(ChartOfAccounts!B20:B105,MATCH($B21,ChartOfAccounts!A20:A105,0)),"")</f>
        <v>Sales - Dining Halls</v>
      </c>
      <c r="N21" t="str">
        <f>IFERROR(INDEX(ChartOfAccounts!D:D,MATCH($B21,ChartOfAccounts!A20:A105,0)),"")</f>
        <v>Assets</v>
      </c>
      <c r="O21" t="str">
        <f>IFERROR(INDEX(ChartOfAccounts!F:F,MATCH($B21,ChartOfAccounts!A20:A105,0)),"")</f>
        <v>Accounts Receivable</v>
      </c>
      <c r="P21" t="str" cm="1">
        <f t="array" ref="P21">IFERROR(INDEX(PreparerInfo!B20:B32,MATCH($D21&amp;$C21,PreparerInfo!A20:A32&amp;PreparerInfo!C20:C32,0)),"")</f>
        <v/>
      </c>
      <c r="Q21" t="str">
        <f>IFERROR(INDEX(Source!B20:B28,MATCH('Case 4 solution'!E21,Source!A20:A28,0)),"")</f>
        <v/>
      </c>
    </row>
    <row r="22" spans="1:17" x14ac:dyDescent="0.3">
      <c r="A22" s="3">
        <v>2033530</v>
      </c>
      <c r="B22">
        <v>76930</v>
      </c>
      <c r="C22">
        <v>2</v>
      </c>
      <c r="D22" s="9">
        <v>101</v>
      </c>
      <c r="E22">
        <v>1002</v>
      </c>
      <c r="F22" s="1">
        <v>44002</v>
      </c>
      <c r="G22" t="s">
        <v>212</v>
      </c>
      <c r="H22" s="4">
        <v>1015.21</v>
      </c>
      <c r="I22" s="4" t="s">
        <v>16</v>
      </c>
      <c r="J22" s="4">
        <v>1015.21</v>
      </c>
      <c r="K22" t="str">
        <f>IFERROR(INDEX(BusinessUnits!$B:$B,MATCH($C22,BusinessUnits!$A:$A,0)),"")</f>
        <v>HOTEL</v>
      </c>
      <c r="L22" t="str">
        <f>IFERROR(INDEX(Table1[[#All],[Description]],MATCH($C22,BusinessUnits!$A:$A,0)),"")</f>
        <v xml:space="preserve">Transactions related to guest rooms and overall hotel operations. Includes payroll for administrative staff, clerks and interns. </v>
      </c>
      <c r="M22" t="str">
        <f>IFERROR(INDEX(ChartOfAccounts!B21:B106,MATCH($B22,ChartOfAccounts!A21:A106,0)),"")</f>
        <v>Telecommunications - Other</v>
      </c>
      <c r="N22" t="str">
        <f>IFERROR(INDEX(ChartOfAccounts!D:D,MATCH($B22,ChartOfAccounts!A21:A106,0)),"")</f>
        <v>Expenses</v>
      </c>
      <c r="O22" t="str">
        <f>IFERROR(INDEX(ChartOfAccounts!F:F,MATCH($B22,ChartOfAccounts!A21:A106,0)),"")</f>
        <v>SG&amp;A</v>
      </c>
      <c r="P22" t="str" cm="1">
        <f t="array" ref="P22">IFERROR(INDEX(PreparerInfo!B21:B33,MATCH($D22&amp;$C22,PreparerInfo!A21:A33&amp;PreparerInfo!C21:C33,0)),"")</f>
        <v/>
      </c>
      <c r="Q22" t="str">
        <f>IFERROR(INDEX(Source!B21:B29,MATCH('Case 4 solution'!E22,Source!A21:A29,0)),"")</f>
        <v/>
      </c>
    </row>
    <row r="23" spans="1:17" x14ac:dyDescent="0.3">
      <c r="A23" s="3">
        <v>2033530</v>
      </c>
      <c r="B23">
        <v>11845</v>
      </c>
      <c r="C23">
        <v>2</v>
      </c>
      <c r="D23" s="9">
        <v>101</v>
      </c>
      <c r="E23">
        <v>1002</v>
      </c>
      <c r="F23" s="1">
        <v>44002</v>
      </c>
      <c r="G23" t="s">
        <v>212</v>
      </c>
      <c r="H23" s="4" t="s">
        <v>16</v>
      </c>
      <c r="I23" s="4">
        <v>-1015.21</v>
      </c>
      <c r="J23" s="4">
        <v>-1015.21</v>
      </c>
      <c r="K23" t="str">
        <f>IFERROR(INDEX(BusinessUnits!$B:$B,MATCH($C23,BusinessUnits!$A:$A,0)),"")</f>
        <v>HOTEL</v>
      </c>
      <c r="L23" t="str">
        <f>IFERROR(INDEX(Table1[[#All],[Description]],MATCH($C23,BusinessUnits!$A:$A,0)),"")</f>
        <v xml:space="preserve">Transactions related to guest rooms and overall hotel operations. Includes payroll for administrative staff, clerks and interns. </v>
      </c>
      <c r="M23" t="str">
        <f>IFERROR(INDEX(ChartOfAccounts!B22:B107,MATCH($B23,ChartOfAccounts!A22:A107,0)),"")</f>
        <v/>
      </c>
      <c r="N23" t="str">
        <f>IFERROR(INDEX(ChartOfAccounts!D:D,MATCH($B23,ChartOfAccounts!A22:A107,0)),"")</f>
        <v/>
      </c>
      <c r="O23" t="str">
        <f>IFERROR(INDEX(ChartOfAccounts!F:F,MATCH($B23,ChartOfAccounts!A22:A107,0)),"")</f>
        <v/>
      </c>
      <c r="P23" t="str" cm="1">
        <f t="array" ref="P23">IFERROR(INDEX(PreparerInfo!B22:B34,MATCH($D23&amp;$C23,PreparerInfo!A22:A34&amp;PreparerInfo!C22:C34,0)),"")</f>
        <v/>
      </c>
      <c r="Q23" t="str">
        <f>IFERROR(INDEX(Source!B22:B30,MATCH('Case 4 solution'!E23,Source!A22:A30,0)),"")</f>
        <v/>
      </c>
    </row>
    <row r="24" spans="1:17" x14ac:dyDescent="0.3">
      <c r="A24" s="3">
        <v>2033531</v>
      </c>
      <c r="B24">
        <v>11845</v>
      </c>
      <c r="C24">
        <v>1</v>
      </c>
      <c r="D24" s="9">
        <v>102</v>
      </c>
      <c r="E24">
        <v>1003</v>
      </c>
      <c r="F24" s="1">
        <v>44002</v>
      </c>
      <c r="G24" t="s">
        <v>15</v>
      </c>
      <c r="H24" s="4">
        <v>2157.2199999999998</v>
      </c>
      <c r="I24" s="4" t="s">
        <v>16</v>
      </c>
      <c r="J24" s="4">
        <v>2157.2199999999998</v>
      </c>
      <c r="K24" t="str">
        <f>IFERROR(INDEX(BusinessUnits!$B:$B,MATCH($C24,BusinessUnits!$A:$A,0)),"")</f>
        <v>FOOD SERVICE</v>
      </c>
      <c r="L24" t="str">
        <f>IFERROR(INDEX(Table1[[#All],[Description]],MATCH($C24,BusinessUnits!$A:$A,0)),"")</f>
        <v xml:space="preserve">Transactions related to food and beverage service. Includes all guest transactions in the hotel restaurants, catering-related transactions and food service payroll. </v>
      </c>
      <c r="M24" t="str">
        <f>IFERROR(INDEX(ChartOfAccounts!B23:B108,MATCH($B24,ChartOfAccounts!A23:A108,0)),"")</f>
        <v/>
      </c>
      <c r="N24" t="str">
        <f>IFERROR(INDEX(ChartOfAccounts!D:D,MATCH($B24,ChartOfAccounts!A23:A108,0)),"")</f>
        <v/>
      </c>
      <c r="O24" t="str">
        <f>IFERROR(INDEX(ChartOfAccounts!F:F,MATCH($B24,ChartOfAccounts!A23:A108,0)),"")</f>
        <v/>
      </c>
      <c r="P24" t="str" cm="1">
        <f t="array" ref="P24">IFERROR(INDEX(PreparerInfo!B23:B35,MATCH($D24&amp;$C24,PreparerInfo!A23:A35&amp;PreparerInfo!C23:C35,0)),"")</f>
        <v/>
      </c>
      <c r="Q24" t="str">
        <f>IFERROR(INDEX(Source!B23:B31,MATCH('Case 4 solution'!E24,Source!A23:A31,0)),"")</f>
        <v/>
      </c>
    </row>
    <row r="25" spans="1:17" x14ac:dyDescent="0.3">
      <c r="A25" s="3">
        <v>2033531</v>
      </c>
      <c r="B25">
        <v>43310</v>
      </c>
      <c r="C25">
        <v>1</v>
      </c>
      <c r="D25" s="9">
        <v>102</v>
      </c>
      <c r="E25">
        <v>1003</v>
      </c>
      <c r="F25" s="1">
        <v>44002</v>
      </c>
      <c r="G25" t="s">
        <v>15</v>
      </c>
      <c r="H25" s="4" t="s">
        <v>16</v>
      </c>
      <c r="I25" s="4">
        <v>-2157.2199999999998</v>
      </c>
      <c r="J25" s="4">
        <v>-2157.2199999999998</v>
      </c>
      <c r="K25" t="str">
        <f>IFERROR(INDEX(BusinessUnits!$B:$B,MATCH($C25,BusinessUnits!$A:$A,0)),"")</f>
        <v>FOOD SERVICE</v>
      </c>
      <c r="L25" t="str">
        <f>IFERROR(INDEX(Table1[[#All],[Description]],MATCH($C25,BusinessUnits!$A:$A,0)),"")</f>
        <v xml:space="preserve">Transactions related to food and beverage service. Includes all guest transactions in the hotel restaurants, catering-related transactions and food service payroll. </v>
      </c>
      <c r="M25" t="str">
        <f>IFERROR(INDEX(ChartOfAccounts!B24:B109,MATCH($B25,ChartOfAccounts!A24:A109,0)),"")</f>
        <v/>
      </c>
      <c r="N25" t="str">
        <f>IFERROR(INDEX(ChartOfAccounts!D:D,MATCH($B25,ChartOfAccounts!A24:A109,0)),"")</f>
        <v/>
      </c>
      <c r="O25" t="str">
        <f>IFERROR(INDEX(ChartOfAccounts!F:F,MATCH($B25,ChartOfAccounts!A24:A109,0)),"")</f>
        <v/>
      </c>
      <c r="P25" t="str" cm="1">
        <f t="array" ref="P25">IFERROR(INDEX(PreparerInfo!B24:B36,MATCH($D25&amp;$C25,PreparerInfo!A24:A36&amp;PreparerInfo!C24:C36,0)),"")</f>
        <v/>
      </c>
      <c r="Q25" t="str">
        <f>IFERROR(INDEX(Source!B24:B32,MATCH('Case 4 solution'!E25,Source!A24:A32,0)),"")</f>
        <v/>
      </c>
    </row>
    <row r="26" spans="1:17" x14ac:dyDescent="0.3">
      <c r="A26" s="3">
        <v>2033532</v>
      </c>
      <c r="B26">
        <v>11845</v>
      </c>
      <c r="C26">
        <v>1</v>
      </c>
      <c r="D26" s="9">
        <v>106</v>
      </c>
      <c r="E26">
        <v>1003</v>
      </c>
      <c r="F26" s="1">
        <v>44002</v>
      </c>
      <c r="G26" t="s">
        <v>80</v>
      </c>
      <c r="H26" s="4">
        <v>4503.3</v>
      </c>
      <c r="I26" s="4" t="s">
        <v>16</v>
      </c>
      <c r="J26" s="4">
        <v>4503.3</v>
      </c>
      <c r="K26" t="str">
        <f>IFERROR(INDEX(BusinessUnits!$B:$B,MATCH($C26,BusinessUnits!$A:$A,0)),"")</f>
        <v>FOOD SERVICE</v>
      </c>
      <c r="L26" t="str">
        <f>IFERROR(INDEX(Table1[[#All],[Description]],MATCH($C26,BusinessUnits!$A:$A,0)),"")</f>
        <v xml:space="preserve">Transactions related to food and beverage service. Includes all guest transactions in the hotel restaurants, catering-related transactions and food service payroll. </v>
      </c>
      <c r="M26" t="str">
        <f>IFERROR(INDEX(ChartOfAccounts!B25:B110,MATCH($B26,ChartOfAccounts!A25:A110,0)),"")</f>
        <v/>
      </c>
      <c r="N26" t="str">
        <f>IFERROR(INDEX(ChartOfAccounts!D:D,MATCH($B26,ChartOfAccounts!A25:A110,0)),"")</f>
        <v/>
      </c>
      <c r="O26" t="str">
        <f>IFERROR(INDEX(ChartOfAccounts!F:F,MATCH($B26,ChartOfAccounts!A25:A110,0)),"")</f>
        <v/>
      </c>
      <c r="P26" t="str" cm="1">
        <f t="array" ref="P26">IFERROR(INDEX(PreparerInfo!B25:B37,MATCH($D26&amp;$C26,PreparerInfo!A25:A37&amp;PreparerInfo!C25:C37,0)),"")</f>
        <v/>
      </c>
      <c r="Q26" t="str">
        <f>IFERROR(INDEX(Source!B25:B33,MATCH('Case 4 solution'!E26,Source!A25:A33,0)),"")</f>
        <v/>
      </c>
    </row>
    <row r="27" spans="1:17" x14ac:dyDescent="0.3">
      <c r="A27" s="3">
        <v>2033532</v>
      </c>
      <c r="B27">
        <v>43310</v>
      </c>
      <c r="C27">
        <v>1</v>
      </c>
      <c r="D27" s="9">
        <v>106</v>
      </c>
      <c r="E27">
        <v>1003</v>
      </c>
      <c r="F27" s="1">
        <v>44002</v>
      </c>
      <c r="G27" t="s">
        <v>80</v>
      </c>
      <c r="H27" s="4" t="s">
        <v>16</v>
      </c>
      <c r="I27" s="4">
        <v>-4503.3</v>
      </c>
      <c r="J27" s="4">
        <v>-4503.3</v>
      </c>
      <c r="K27" t="str">
        <f>IFERROR(INDEX(BusinessUnits!$B:$B,MATCH($C27,BusinessUnits!$A:$A,0)),"")</f>
        <v>FOOD SERVICE</v>
      </c>
      <c r="L27" t="str">
        <f>IFERROR(INDEX(Table1[[#All],[Description]],MATCH($C27,BusinessUnits!$A:$A,0)),"")</f>
        <v xml:space="preserve">Transactions related to food and beverage service. Includes all guest transactions in the hotel restaurants, catering-related transactions and food service payroll. </v>
      </c>
      <c r="M27" t="str">
        <f>IFERROR(INDEX(ChartOfAccounts!B26:B111,MATCH($B27,ChartOfAccounts!A26:A111,0)),"")</f>
        <v/>
      </c>
      <c r="N27" t="str">
        <f>IFERROR(INDEX(ChartOfAccounts!D:D,MATCH($B27,ChartOfAccounts!A26:A111,0)),"")</f>
        <v/>
      </c>
      <c r="O27" t="str">
        <f>IFERROR(INDEX(ChartOfAccounts!F:F,MATCH($B27,ChartOfAccounts!A26:A111,0)),"")</f>
        <v/>
      </c>
      <c r="P27" t="str" cm="1">
        <f t="array" ref="P27">IFERROR(INDEX(PreparerInfo!B26:B38,MATCH($D27&amp;$C27,PreparerInfo!A26:A38&amp;PreparerInfo!C26:C38,0)),"")</f>
        <v/>
      </c>
      <c r="Q27" t="str">
        <f>IFERROR(INDEX(Source!B26:B34,MATCH('Case 4 solution'!E27,Source!A26:A34,0)),"")</f>
        <v/>
      </c>
    </row>
    <row r="28" spans="1:17" x14ac:dyDescent="0.3">
      <c r="A28" s="3">
        <v>2033533</v>
      </c>
      <c r="B28">
        <v>11845</v>
      </c>
      <c r="C28">
        <v>2</v>
      </c>
      <c r="D28" s="9">
        <v>104</v>
      </c>
      <c r="E28">
        <v>1003</v>
      </c>
      <c r="F28" s="1">
        <v>44002</v>
      </c>
      <c r="G28" t="s">
        <v>15</v>
      </c>
      <c r="H28" s="4">
        <v>6197</v>
      </c>
      <c r="I28" s="4" t="s">
        <v>16</v>
      </c>
      <c r="J28" s="4">
        <v>6197</v>
      </c>
      <c r="K28" t="str">
        <f>IFERROR(INDEX(BusinessUnits!$B:$B,MATCH($C28,BusinessUnits!$A:$A,0)),"")</f>
        <v>HOTEL</v>
      </c>
      <c r="L28" t="str">
        <f>IFERROR(INDEX(Table1[[#All],[Description]],MATCH($C28,BusinessUnits!$A:$A,0)),"")</f>
        <v xml:space="preserve">Transactions related to guest rooms and overall hotel operations. Includes payroll for administrative staff, clerks and interns. </v>
      </c>
      <c r="M28" t="str">
        <f>IFERROR(INDEX(ChartOfAccounts!B27:B112,MATCH($B28,ChartOfAccounts!A27:A112,0)),"")</f>
        <v/>
      </c>
      <c r="N28" t="str">
        <f>IFERROR(INDEX(ChartOfAccounts!D:D,MATCH($B28,ChartOfAccounts!A27:A112,0)),"")</f>
        <v/>
      </c>
      <c r="O28" t="str">
        <f>IFERROR(INDEX(ChartOfAccounts!F:F,MATCH($B28,ChartOfAccounts!A27:A112,0)),"")</f>
        <v/>
      </c>
      <c r="P28" t="str" cm="1">
        <f t="array" ref="P28">IFERROR(INDEX(PreparerInfo!B27:B39,MATCH($D28&amp;$C28,PreparerInfo!A27:A39&amp;PreparerInfo!C27:C39,0)),"")</f>
        <v/>
      </c>
      <c r="Q28" t="str">
        <f>IFERROR(INDEX(Source!B27:B35,MATCH('Case 4 solution'!E28,Source!A27:A35,0)),"")</f>
        <v/>
      </c>
    </row>
    <row r="29" spans="1:17" x14ac:dyDescent="0.3">
      <c r="A29" s="3">
        <v>2033533</v>
      </c>
      <c r="B29">
        <v>43180</v>
      </c>
      <c r="C29">
        <v>2</v>
      </c>
      <c r="D29" s="9">
        <v>104</v>
      </c>
      <c r="E29">
        <v>1003</v>
      </c>
      <c r="F29" s="1">
        <v>44002</v>
      </c>
      <c r="G29" t="s">
        <v>15</v>
      </c>
      <c r="H29" s="4" t="s">
        <v>16</v>
      </c>
      <c r="I29" s="4">
        <v>-6197</v>
      </c>
      <c r="J29" s="4">
        <v>-6197</v>
      </c>
      <c r="K29" t="str">
        <f>IFERROR(INDEX(BusinessUnits!$B:$B,MATCH($C29,BusinessUnits!$A:$A,0)),"")</f>
        <v>HOTEL</v>
      </c>
      <c r="L29" t="str">
        <f>IFERROR(INDEX(Table1[[#All],[Description]],MATCH($C29,BusinessUnits!$A:$A,0)),"")</f>
        <v xml:space="preserve">Transactions related to guest rooms and overall hotel operations. Includes payroll for administrative staff, clerks and interns. </v>
      </c>
      <c r="M29" t="str">
        <f>IFERROR(INDEX(ChartOfAccounts!B28:B113,MATCH($B29,ChartOfAccounts!A28:A113,0)),"")</f>
        <v/>
      </c>
      <c r="N29" t="str">
        <f>IFERROR(INDEX(ChartOfAccounts!D:D,MATCH($B29,ChartOfAccounts!A28:A113,0)),"")</f>
        <v/>
      </c>
      <c r="O29" t="str">
        <f>IFERROR(INDEX(ChartOfAccounts!F:F,MATCH($B29,ChartOfAccounts!A28:A113,0)),"")</f>
        <v/>
      </c>
      <c r="P29" t="str" cm="1">
        <f t="array" ref="P29">IFERROR(INDEX(PreparerInfo!B28:B40,MATCH($D29&amp;$C29,PreparerInfo!A28:A40&amp;PreparerInfo!C28:C40,0)),"")</f>
        <v/>
      </c>
      <c r="Q29" t="str">
        <f>IFERROR(INDEX(Source!B28:B36,MATCH('Case 4 solution'!E29,Source!A28:A36,0)),"")</f>
        <v/>
      </c>
    </row>
    <row r="30" spans="1:17" x14ac:dyDescent="0.3">
      <c r="A30" s="3">
        <v>2033534</v>
      </c>
      <c r="B30">
        <v>71400</v>
      </c>
      <c r="C30">
        <v>2</v>
      </c>
      <c r="D30" s="9">
        <v>101</v>
      </c>
      <c r="E30">
        <v>1002</v>
      </c>
      <c r="F30" s="1">
        <v>44002</v>
      </c>
      <c r="G30" t="s">
        <v>49</v>
      </c>
      <c r="H30" s="4">
        <v>26770</v>
      </c>
      <c r="I30" s="4" t="s">
        <v>16</v>
      </c>
      <c r="J30" s="4">
        <v>26770</v>
      </c>
      <c r="K30" t="str">
        <f>IFERROR(INDEX(BusinessUnits!$B:$B,MATCH($C30,BusinessUnits!$A:$A,0)),"")</f>
        <v>HOTEL</v>
      </c>
      <c r="L30" t="str">
        <f>IFERROR(INDEX(Table1[[#All],[Description]],MATCH($C30,BusinessUnits!$A:$A,0)),"")</f>
        <v xml:space="preserve">Transactions related to guest rooms and overall hotel operations. Includes payroll for administrative staff, clerks and interns. </v>
      </c>
      <c r="M30" t="str">
        <f>IFERROR(INDEX(ChartOfAccounts!B29:B114,MATCH($B30,ChartOfAccounts!A29:A114,0)),"")</f>
        <v>Supplies and Materials</v>
      </c>
      <c r="N30" t="str">
        <f>IFERROR(INDEX(ChartOfAccounts!D:D,MATCH($B30,ChartOfAccounts!A29:A114,0)),"")</f>
        <v>Liabilities</v>
      </c>
      <c r="O30" t="str">
        <f>IFERROR(INDEX(ChartOfAccounts!F:F,MATCH($B30,ChartOfAccounts!A29:A114,0)),"")</f>
        <v>Accrued Payroll</v>
      </c>
      <c r="P30" t="str" cm="1">
        <f t="array" ref="P30">IFERROR(INDEX(PreparerInfo!B29:B41,MATCH($D30&amp;$C30,PreparerInfo!A29:A41&amp;PreparerInfo!C29:C41,0)),"")</f>
        <v/>
      </c>
      <c r="Q30" t="str">
        <f>IFERROR(INDEX(Source!B29:B37,MATCH('Case 4 solution'!E30,Source!A29:A37,0)),"")</f>
        <v/>
      </c>
    </row>
    <row r="31" spans="1:17" x14ac:dyDescent="0.3">
      <c r="A31" s="3">
        <v>2033534</v>
      </c>
      <c r="B31">
        <v>11845</v>
      </c>
      <c r="C31">
        <v>2</v>
      </c>
      <c r="D31" s="9">
        <v>101</v>
      </c>
      <c r="E31">
        <v>1002</v>
      </c>
      <c r="F31" s="1">
        <v>44002</v>
      </c>
      <c r="G31" t="s">
        <v>49</v>
      </c>
      <c r="H31" s="4" t="s">
        <v>16</v>
      </c>
      <c r="I31" s="4">
        <v>-26770</v>
      </c>
      <c r="J31" s="4">
        <v>-26770</v>
      </c>
      <c r="K31" t="str">
        <f>IFERROR(INDEX(BusinessUnits!$B:$B,MATCH($C31,BusinessUnits!$A:$A,0)),"")</f>
        <v>HOTEL</v>
      </c>
      <c r="L31" t="str">
        <f>IFERROR(INDEX(Table1[[#All],[Description]],MATCH($C31,BusinessUnits!$A:$A,0)),"")</f>
        <v xml:space="preserve">Transactions related to guest rooms and overall hotel operations. Includes payroll for administrative staff, clerks and interns. </v>
      </c>
      <c r="M31" t="str">
        <f>IFERROR(INDEX(ChartOfAccounts!B30:B115,MATCH($B31,ChartOfAccounts!A30:A115,0)),"")</f>
        <v/>
      </c>
      <c r="N31" t="str">
        <f>IFERROR(INDEX(ChartOfAccounts!D:D,MATCH($B31,ChartOfAccounts!A30:A115,0)),"")</f>
        <v/>
      </c>
      <c r="O31" t="str">
        <f>IFERROR(INDEX(ChartOfAccounts!F:F,MATCH($B31,ChartOfAccounts!A30:A115,0)),"")</f>
        <v/>
      </c>
      <c r="P31" t="str" cm="1">
        <f t="array" ref="P31">IFERROR(INDEX(PreparerInfo!B30:B42,MATCH($D31&amp;$C31,PreparerInfo!A30:A42&amp;PreparerInfo!C30:C42,0)),"")</f>
        <v/>
      </c>
      <c r="Q31" t="str">
        <f>IFERROR(INDEX(Source!B30:B38,MATCH('Case 4 solution'!E31,Source!A30:A38,0)),"")</f>
        <v/>
      </c>
    </row>
    <row r="32" spans="1:17" x14ac:dyDescent="0.3">
      <c r="A32" s="3">
        <v>2033535</v>
      </c>
      <c r="B32">
        <v>11845</v>
      </c>
      <c r="C32">
        <v>3</v>
      </c>
      <c r="D32" s="9">
        <v>102</v>
      </c>
      <c r="E32">
        <v>1001</v>
      </c>
      <c r="F32" s="1">
        <v>44003</v>
      </c>
      <c r="G32" t="s">
        <v>41</v>
      </c>
      <c r="H32" s="4">
        <v>38.29</v>
      </c>
      <c r="I32" s="4" t="s">
        <v>16</v>
      </c>
      <c r="J32" s="4">
        <v>38.29</v>
      </c>
      <c r="K32" t="str">
        <f>IFERROR(INDEX(BusinessUnits!$B:$B,MATCH($C32,BusinessUnits!$A:$A,0)),"")</f>
        <v>HOTEL PANTRY</v>
      </c>
      <c r="L32" t="str">
        <f>IFERROR(INDEX(Table1[[#All],[Description]],MATCH($C32,BusinessUnits!$A:$A,0)),"")</f>
        <v>Transactions related to the hotel convenience store, including some food and beverage costs.</v>
      </c>
      <c r="M32" t="str">
        <f>IFERROR(INDEX(ChartOfAccounts!B31:B116,MATCH($B32,ChartOfAccounts!A31:A116,0)),"")</f>
        <v/>
      </c>
      <c r="N32" t="str">
        <f>IFERROR(INDEX(ChartOfAccounts!D:D,MATCH($B32,ChartOfAccounts!A31:A116,0)),"")</f>
        <v/>
      </c>
      <c r="O32" t="str">
        <f>IFERROR(INDEX(ChartOfAccounts!F:F,MATCH($B32,ChartOfAccounts!A31:A116,0)),"")</f>
        <v/>
      </c>
      <c r="P32" t="str" cm="1">
        <f t="array" ref="P32">IFERROR(INDEX(PreparerInfo!B31:B43,MATCH($D32&amp;$C32,PreparerInfo!A31:A43&amp;PreparerInfo!C31:C43,0)),"")</f>
        <v/>
      </c>
      <c r="Q32" t="str">
        <f>IFERROR(INDEX(Source!B31:B39,MATCH('Case 4 solution'!E32,Source!A31:A39,0)),"")</f>
        <v/>
      </c>
    </row>
    <row r="33" spans="1:17" x14ac:dyDescent="0.3">
      <c r="A33" s="3">
        <v>2033535</v>
      </c>
      <c r="B33">
        <v>43440</v>
      </c>
      <c r="C33">
        <v>3</v>
      </c>
      <c r="D33" s="9">
        <v>102</v>
      </c>
      <c r="E33">
        <v>1001</v>
      </c>
      <c r="F33" s="1">
        <v>44003</v>
      </c>
      <c r="G33" t="s">
        <v>41</v>
      </c>
      <c r="H33" s="4" t="s">
        <v>16</v>
      </c>
      <c r="I33" s="4">
        <v>-38.29</v>
      </c>
      <c r="J33" s="4">
        <v>-38.29</v>
      </c>
      <c r="K33" t="str">
        <f>IFERROR(INDEX(BusinessUnits!$B:$B,MATCH($C33,BusinessUnits!$A:$A,0)),"")</f>
        <v>HOTEL PANTRY</v>
      </c>
      <c r="L33" t="str">
        <f>IFERROR(INDEX(Table1[[#All],[Description]],MATCH($C33,BusinessUnits!$A:$A,0)),"")</f>
        <v>Transactions related to the hotel convenience store, including some food and beverage costs.</v>
      </c>
      <c r="M33" t="str">
        <f>IFERROR(INDEX(ChartOfAccounts!B32:B117,MATCH($B33,ChartOfAccounts!A32:A117,0)),"")</f>
        <v/>
      </c>
      <c r="N33" t="str">
        <f>IFERROR(INDEX(ChartOfAccounts!D:D,MATCH($B33,ChartOfAccounts!A32:A117,0)),"")</f>
        <v/>
      </c>
      <c r="O33" t="str">
        <f>IFERROR(INDEX(ChartOfAccounts!F:F,MATCH($B33,ChartOfAccounts!A32:A117,0)),"")</f>
        <v/>
      </c>
      <c r="P33" t="str" cm="1">
        <f t="array" ref="P33">IFERROR(INDEX(PreparerInfo!B32:B44,MATCH($D33&amp;$C33,PreparerInfo!A32:A44&amp;PreparerInfo!C32:C44,0)),"")</f>
        <v/>
      </c>
      <c r="Q33" t="str">
        <f>IFERROR(INDEX(Source!B32:B40,MATCH('Case 4 solution'!E33,Source!A32:A40,0)),"")</f>
        <v/>
      </c>
    </row>
    <row r="34" spans="1:17" x14ac:dyDescent="0.3">
      <c r="A34" s="3">
        <v>2033536</v>
      </c>
      <c r="B34">
        <v>11845</v>
      </c>
      <c r="C34">
        <v>3</v>
      </c>
      <c r="D34" s="9">
        <v>102</v>
      </c>
      <c r="E34">
        <v>1003</v>
      </c>
      <c r="F34" s="1">
        <v>44003</v>
      </c>
      <c r="G34" t="s">
        <v>15</v>
      </c>
      <c r="H34" s="4">
        <v>47.96</v>
      </c>
      <c r="I34" s="4" t="s">
        <v>16</v>
      </c>
      <c r="J34" s="4">
        <v>47.96</v>
      </c>
      <c r="K34" t="str">
        <f>IFERROR(INDEX(BusinessUnits!$B:$B,MATCH($C34,BusinessUnits!$A:$A,0)),"")</f>
        <v>HOTEL PANTRY</v>
      </c>
      <c r="L34" t="str">
        <f>IFERROR(INDEX(Table1[[#All],[Description]],MATCH($C34,BusinessUnits!$A:$A,0)),"")</f>
        <v>Transactions related to the hotel convenience store, including some food and beverage costs.</v>
      </c>
      <c r="M34" t="str">
        <f>IFERROR(INDEX(ChartOfAccounts!B33:B118,MATCH($B34,ChartOfAccounts!A33:A118,0)),"")</f>
        <v/>
      </c>
      <c r="N34" t="str">
        <f>IFERROR(INDEX(ChartOfAccounts!D:D,MATCH($B34,ChartOfAccounts!A33:A118,0)),"")</f>
        <v/>
      </c>
      <c r="O34" t="str">
        <f>IFERROR(INDEX(ChartOfAccounts!F:F,MATCH($B34,ChartOfAccounts!A33:A118,0)),"")</f>
        <v/>
      </c>
      <c r="P34" t="str" cm="1">
        <f t="array" ref="P34">IFERROR(INDEX(PreparerInfo!B33:B45,MATCH($D34&amp;$C34,PreparerInfo!A33:A45&amp;PreparerInfo!C33:C45,0)),"")</f>
        <v/>
      </c>
      <c r="Q34" t="str">
        <f>IFERROR(INDEX(Source!B33:B41,MATCH('Case 4 solution'!E34,Source!A33:A41,0)),"")</f>
        <v/>
      </c>
    </row>
    <row r="35" spans="1:17" x14ac:dyDescent="0.3">
      <c r="A35" s="3">
        <v>2033536</v>
      </c>
      <c r="B35">
        <v>43440</v>
      </c>
      <c r="C35">
        <v>3</v>
      </c>
      <c r="D35" s="9">
        <v>102</v>
      </c>
      <c r="E35">
        <v>1003</v>
      </c>
      <c r="F35" s="1">
        <v>44003</v>
      </c>
      <c r="G35" t="s">
        <v>15</v>
      </c>
      <c r="H35" s="4" t="s">
        <v>16</v>
      </c>
      <c r="I35" s="4">
        <v>-47.96</v>
      </c>
      <c r="J35" s="4">
        <v>-47.96</v>
      </c>
      <c r="K35" t="str">
        <f>IFERROR(INDEX(BusinessUnits!$B:$B,MATCH($C35,BusinessUnits!$A:$A,0)),"")</f>
        <v>HOTEL PANTRY</v>
      </c>
      <c r="L35" t="str">
        <f>IFERROR(INDEX(Table1[[#All],[Description]],MATCH($C35,BusinessUnits!$A:$A,0)),"")</f>
        <v>Transactions related to the hotel convenience store, including some food and beverage costs.</v>
      </c>
      <c r="M35" t="str">
        <f>IFERROR(INDEX(ChartOfAccounts!B34:B119,MATCH($B35,ChartOfAccounts!A34:A119,0)),"")</f>
        <v/>
      </c>
      <c r="N35" t="str">
        <f>IFERROR(INDEX(ChartOfAccounts!D:D,MATCH($B35,ChartOfAccounts!A34:A119,0)),"")</f>
        <v/>
      </c>
      <c r="O35" t="str">
        <f>IFERROR(INDEX(ChartOfAccounts!F:F,MATCH($B35,ChartOfAccounts!A34:A119,0)),"")</f>
        <v/>
      </c>
      <c r="P35" t="str" cm="1">
        <f t="array" ref="P35">IFERROR(INDEX(PreparerInfo!B34:B46,MATCH($D35&amp;$C35,PreparerInfo!A34:A46&amp;PreparerInfo!C34:C46,0)),"")</f>
        <v/>
      </c>
      <c r="Q35" t="str">
        <f>IFERROR(INDEX(Source!B34:B42,MATCH('Case 4 solution'!E35,Source!A34:A42,0)),"")</f>
        <v/>
      </c>
    </row>
    <row r="36" spans="1:17" x14ac:dyDescent="0.3">
      <c r="A36" s="3">
        <v>2033537</v>
      </c>
      <c r="B36">
        <v>14250</v>
      </c>
      <c r="C36">
        <v>3</v>
      </c>
      <c r="D36" s="9">
        <v>102</v>
      </c>
      <c r="E36">
        <v>1002</v>
      </c>
      <c r="F36" s="1">
        <v>44003</v>
      </c>
      <c r="G36" t="s">
        <v>47</v>
      </c>
      <c r="H36" s="4">
        <v>197.08</v>
      </c>
      <c r="I36" s="4" t="s">
        <v>16</v>
      </c>
      <c r="J36" s="4">
        <v>197.08</v>
      </c>
      <c r="K36" t="str">
        <f>IFERROR(INDEX(BusinessUnits!$B:$B,MATCH($C36,BusinessUnits!$A:$A,0)),"")</f>
        <v>HOTEL PANTRY</v>
      </c>
      <c r="L36" t="str">
        <f>IFERROR(INDEX(Table1[[#All],[Description]],MATCH($C36,BusinessUnits!$A:$A,0)),"")</f>
        <v>Transactions related to the hotel convenience store, including some food and beverage costs.</v>
      </c>
      <c r="M36" t="str">
        <f>IFERROR(INDEX(ChartOfAccounts!B35:B120,MATCH($B36,ChartOfAccounts!A35:A120,0)),"")</f>
        <v/>
      </c>
      <c r="N36" t="str">
        <f>IFERROR(INDEX(ChartOfAccounts!D:D,MATCH($B36,ChartOfAccounts!A35:A120,0)),"")</f>
        <v/>
      </c>
      <c r="O36" t="str">
        <f>IFERROR(INDEX(ChartOfAccounts!F:F,MATCH($B36,ChartOfAccounts!A35:A120,0)),"")</f>
        <v/>
      </c>
      <c r="P36" t="str" cm="1">
        <f t="array" ref="P36">IFERROR(INDEX(PreparerInfo!B35:B47,MATCH($D36&amp;$C36,PreparerInfo!A35:A47&amp;PreparerInfo!C35:C47,0)),"")</f>
        <v/>
      </c>
      <c r="Q36" t="str">
        <f>IFERROR(INDEX(Source!B35:B43,MATCH('Case 4 solution'!E36,Source!A35:A43,0)),"")</f>
        <v/>
      </c>
    </row>
    <row r="37" spans="1:17" x14ac:dyDescent="0.3">
      <c r="A37" s="3">
        <v>2033537</v>
      </c>
      <c r="B37">
        <v>11845</v>
      </c>
      <c r="C37">
        <v>3</v>
      </c>
      <c r="D37" s="9">
        <v>102</v>
      </c>
      <c r="E37">
        <v>1002</v>
      </c>
      <c r="F37" s="1">
        <v>44003</v>
      </c>
      <c r="G37" t="s">
        <v>47</v>
      </c>
      <c r="H37" s="4" t="s">
        <v>16</v>
      </c>
      <c r="I37" s="4">
        <v>-197.08</v>
      </c>
      <c r="J37" s="4">
        <v>-197.08</v>
      </c>
      <c r="K37" t="str">
        <f>IFERROR(INDEX(BusinessUnits!$B:$B,MATCH($C37,BusinessUnits!$A:$A,0)),"")</f>
        <v>HOTEL PANTRY</v>
      </c>
      <c r="L37" t="str">
        <f>IFERROR(INDEX(Table1[[#All],[Description]],MATCH($C37,BusinessUnits!$A:$A,0)),"")</f>
        <v>Transactions related to the hotel convenience store, including some food and beverage costs.</v>
      </c>
      <c r="M37" t="str">
        <f>IFERROR(INDEX(ChartOfAccounts!B36:B121,MATCH($B37,ChartOfAccounts!A36:A121,0)),"")</f>
        <v/>
      </c>
      <c r="N37" t="str">
        <f>IFERROR(INDEX(ChartOfAccounts!D:D,MATCH($B37,ChartOfAccounts!A36:A121,0)),"")</f>
        <v/>
      </c>
      <c r="O37" t="str">
        <f>IFERROR(INDEX(ChartOfAccounts!F:F,MATCH($B37,ChartOfAccounts!A36:A121,0)),"")</f>
        <v/>
      </c>
      <c r="P37" t="str" cm="1">
        <f t="array" ref="P37">IFERROR(INDEX(PreparerInfo!B36:B48,MATCH($D37&amp;$C37,PreparerInfo!A36:A48&amp;PreparerInfo!C36:C48,0)),"")</f>
        <v/>
      </c>
      <c r="Q37" t="str">
        <f>IFERROR(INDEX(Source!B36:B44,MATCH('Case 4 solution'!E37,Source!A36:A44,0)),"")</f>
        <v/>
      </c>
    </row>
    <row r="38" spans="1:17" x14ac:dyDescent="0.3">
      <c r="A38" s="3">
        <v>2033538</v>
      </c>
      <c r="B38">
        <v>72760</v>
      </c>
      <c r="C38">
        <v>6</v>
      </c>
      <c r="D38" s="9">
        <v>101</v>
      </c>
      <c r="E38">
        <v>1002</v>
      </c>
      <c r="F38" s="1">
        <v>44003</v>
      </c>
      <c r="G38" t="s">
        <v>135</v>
      </c>
      <c r="H38" s="4">
        <v>236.32</v>
      </c>
      <c r="I38" s="4" t="s">
        <v>16</v>
      </c>
      <c r="J38" s="4">
        <v>236.32</v>
      </c>
      <c r="K38" t="str">
        <f>IFERROR(INDEX(BusinessUnits!$B:$B,MATCH($C38,BusinessUnits!$A:$A,0)),"")</f>
        <v>MAINTENANCE</v>
      </c>
      <c r="L38" t="str">
        <f>IFERROR(INDEX(Table1[[#All],[Description]],MATCH($C38,BusinessUnits!$A:$A,0)),"")</f>
        <v>Transactions related to the hotel Maintenance Department. Primarily includes payroll for maintenance, grounds keepers and related supplies.</v>
      </c>
      <c r="M38" t="str">
        <f>IFERROR(INDEX(ChartOfAccounts!B37:B122,MATCH($B38,ChartOfAccounts!A37:A122,0)),"")</f>
        <v>Other Services</v>
      </c>
      <c r="N38" t="str">
        <f>IFERROR(INDEX(ChartOfAccounts!D:D,MATCH($B38,ChartOfAccounts!A37:A122,0)),"")</f>
        <v>Revenue</v>
      </c>
      <c r="O38" t="str">
        <f>IFERROR(INDEX(ChartOfAccounts!F:F,MATCH($B38,ChartOfAccounts!A37:A122,0)),"")</f>
        <v>Sales-Other</v>
      </c>
      <c r="P38" t="str" cm="1">
        <f t="array" ref="P38">IFERROR(INDEX(PreparerInfo!B37:B49,MATCH($D38&amp;$C38,PreparerInfo!A37:A49&amp;PreparerInfo!C37:C49,0)),"")</f>
        <v/>
      </c>
      <c r="Q38" t="str">
        <f>IFERROR(INDEX(Source!B37:B45,MATCH('Case 4 solution'!E38,Source!A37:A45,0)),"")</f>
        <v/>
      </c>
    </row>
    <row r="39" spans="1:17" x14ac:dyDescent="0.3">
      <c r="A39" s="3">
        <v>2033538</v>
      </c>
      <c r="B39">
        <v>11845</v>
      </c>
      <c r="C39">
        <v>6</v>
      </c>
      <c r="D39" s="9">
        <v>101</v>
      </c>
      <c r="E39">
        <v>1002</v>
      </c>
      <c r="F39" s="1">
        <v>44003</v>
      </c>
      <c r="G39" t="s">
        <v>135</v>
      </c>
      <c r="H39" s="4" t="s">
        <v>16</v>
      </c>
      <c r="I39" s="4">
        <v>-236.32</v>
      </c>
      <c r="J39" s="4">
        <v>-236.32</v>
      </c>
      <c r="K39" t="str">
        <f>IFERROR(INDEX(BusinessUnits!$B:$B,MATCH($C39,BusinessUnits!$A:$A,0)),"")</f>
        <v>MAINTENANCE</v>
      </c>
      <c r="L39" t="str">
        <f>IFERROR(INDEX(Table1[[#All],[Description]],MATCH($C39,BusinessUnits!$A:$A,0)),"")</f>
        <v>Transactions related to the hotel Maintenance Department. Primarily includes payroll for maintenance, grounds keepers and related supplies.</v>
      </c>
      <c r="M39" t="str">
        <f>IFERROR(INDEX(ChartOfAccounts!B38:B123,MATCH($B39,ChartOfAccounts!A38:A123,0)),"")</f>
        <v/>
      </c>
      <c r="N39" t="str">
        <f>IFERROR(INDEX(ChartOfAccounts!D:D,MATCH($B39,ChartOfAccounts!A38:A123,0)),"")</f>
        <v/>
      </c>
      <c r="O39" t="str">
        <f>IFERROR(INDEX(ChartOfAccounts!F:F,MATCH($B39,ChartOfAccounts!A38:A123,0)),"")</f>
        <v/>
      </c>
      <c r="P39" t="str" cm="1">
        <f t="array" ref="P39">IFERROR(INDEX(PreparerInfo!B38:B50,MATCH($D39&amp;$C39,PreparerInfo!A38:A50&amp;PreparerInfo!C38:C50,0)),"")</f>
        <v/>
      </c>
      <c r="Q39" t="str">
        <f>IFERROR(INDEX(Source!B38:B46,MATCH('Case 4 solution'!E39,Source!A38:A46,0)),"")</f>
        <v/>
      </c>
    </row>
    <row r="40" spans="1:17" x14ac:dyDescent="0.3">
      <c r="A40" s="3">
        <v>2033539</v>
      </c>
      <c r="B40">
        <v>72760</v>
      </c>
      <c r="C40">
        <v>6</v>
      </c>
      <c r="D40" s="9">
        <v>101</v>
      </c>
      <c r="E40">
        <v>1002</v>
      </c>
      <c r="F40" s="1">
        <v>44003</v>
      </c>
      <c r="G40" t="s">
        <v>135</v>
      </c>
      <c r="H40" s="4">
        <v>236.32</v>
      </c>
      <c r="I40" s="4" t="s">
        <v>16</v>
      </c>
      <c r="J40" s="4">
        <v>236.32</v>
      </c>
      <c r="K40" t="str">
        <f>IFERROR(INDEX(BusinessUnits!$B:$B,MATCH($C40,BusinessUnits!$A:$A,0)),"")</f>
        <v>MAINTENANCE</v>
      </c>
      <c r="L40" t="str">
        <f>IFERROR(INDEX(Table1[[#All],[Description]],MATCH($C40,BusinessUnits!$A:$A,0)),"")</f>
        <v>Transactions related to the hotel Maintenance Department. Primarily includes payroll for maintenance, grounds keepers and related supplies.</v>
      </c>
      <c r="M40" t="str">
        <f>IFERROR(INDEX(ChartOfAccounts!B39:B124,MATCH($B40,ChartOfAccounts!A39:A124,0)),"")</f>
        <v>Other Services</v>
      </c>
      <c r="N40" t="str">
        <f>IFERROR(INDEX(ChartOfAccounts!D:D,MATCH($B40,ChartOfAccounts!A39:A124,0)),"")</f>
        <v>Revenue</v>
      </c>
      <c r="O40" t="str">
        <f>IFERROR(INDEX(ChartOfAccounts!F:F,MATCH($B40,ChartOfAccounts!A39:A124,0)),"")</f>
        <v>Sales-Dining</v>
      </c>
      <c r="P40" t="str" cm="1">
        <f t="array" ref="P40">IFERROR(INDEX(PreparerInfo!B39:B51,MATCH($D40&amp;$C40,PreparerInfo!A39:A51&amp;PreparerInfo!C39:C51,0)),"")</f>
        <v/>
      </c>
      <c r="Q40" t="str">
        <f>IFERROR(INDEX(Source!B39:B47,MATCH('Case 4 solution'!E40,Source!A39:A47,0)),"")</f>
        <v/>
      </c>
    </row>
    <row r="41" spans="1:17" x14ac:dyDescent="0.3">
      <c r="A41" s="3">
        <v>2033539</v>
      </c>
      <c r="B41">
        <v>11845</v>
      </c>
      <c r="C41">
        <v>6</v>
      </c>
      <c r="D41" s="9">
        <v>101</v>
      </c>
      <c r="E41">
        <v>1002</v>
      </c>
      <c r="F41" s="1">
        <v>44003</v>
      </c>
      <c r="G41" t="s">
        <v>135</v>
      </c>
      <c r="H41" s="4" t="s">
        <v>16</v>
      </c>
      <c r="I41" s="4">
        <v>-236.32</v>
      </c>
      <c r="J41" s="4">
        <v>-236.32</v>
      </c>
      <c r="K41" t="str">
        <f>IFERROR(INDEX(BusinessUnits!$B:$B,MATCH($C41,BusinessUnits!$A:$A,0)),"")</f>
        <v>MAINTENANCE</v>
      </c>
      <c r="L41" t="str">
        <f>IFERROR(INDEX(Table1[[#All],[Description]],MATCH($C41,BusinessUnits!$A:$A,0)),"")</f>
        <v>Transactions related to the hotel Maintenance Department. Primarily includes payroll for maintenance, grounds keepers and related supplies.</v>
      </c>
      <c r="M41" t="str">
        <f>IFERROR(INDEX(ChartOfAccounts!B40:B125,MATCH($B41,ChartOfAccounts!A40:A125,0)),"")</f>
        <v/>
      </c>
      <c r="N41" t="str">
        <f>IFERROR(INDEX(ChartOfAccounts!D:D,MATCH($B41,ChartOfAccounts!A40:A125,0)),"")</f>
        <v/>
      </c>
      <c r="O41" t="str">
        <f>IFERROR(INDEX(ChartOfAccounts!F:F,MATCH($B41,ChartOfAccounts!A40:A125,0)),"")</f>
        <v/>
      </c>
      <c r="P41" t="str" cm="1">
        <f t="array" ref="P41">IFERROR(INDEX(PreparerInfo!B40:B52,MATCH($D41&amp;$C41,PreparerInfo!A40:A52&amp;PreparerInfo!C40:C52,0)),"")</f>
        <v/>
      </c>
      <c r="Q41" t="str">
        <f>IFERROR(INDEX(Source!B40:B48,MATCH('Case 4 solution'!E41,Source!A40:A48,0)),"")</f>
        <v/>
      </c>
    </row>
    <row r="42" spans="1:17" x14ac:dyDescent="0.3">
      <c r="A42" s="3">
        <v>2033540</v>
      </c>
      <c r="B42">
        <v>14250</v>
      </c>
      <c r="C42">
        <v>3</v>
      </c>
      <c r="D42" s="9">
        <v>102</v>
      </c>
      <c r="E42">
        <v>1002</v>
      </c>
      <c r="F42" s="1">
        <v>44003</v>
      </c>
      <c r="G42" t="s">
        <v>214</v>
      </c>
      <c r="H42" s="4">
        <v>328.56</v>
      </c>
      <c r="I42" s="4" t="s">
        <v>16</v>
      </c>
      <c r="J42" s="4">
        <v>328.56</v>
      </c>
      <c r="K42" t="str">
        <f>IFERROR(INDEX(BusinessUnits!$B:$B,MATCH($C42,BusinessUnits!$A:$A,0)),"")</f>
        <v>HOTEL PANTRY</v>
      </c>
      <c r="L42" t="str">
        <f>IFERROR(INDEX(Table1[[#All],[Description]],MATCH($C42,BusinessUnits!$A:$A,0)),"")</f>
        <v>Transactions related to the hotel convenience store, including some food and beverage costs.</v>
      </c>
      <c r="M42" t="str">
        <f>IFERROR(INDEX(ChartOfAccounts!B41:B126,MATCH($B42,ChartOfAccounts!A41:A126,0)),"")</f>
        <v/>
      </c>
      <c r="N42" t="str">
        <f>IFERROR(INDEX(ChartOfAccounts!D:D,MATCH($B42,ChartOfAccounts!A41:A126,0)),"")</f>
        <v/>
      </c>
      <c r="O42" t="str">
        <f>IFERROR(INDEX(ChartOfAccounts!F:F,MATCH($B42,ChartOfAccounts!A41:A126,0)),"")</f>
        <v/>
      </c>
      <c r="P42" t="str" cm="1">
        <f t="array" ref="P42">IFERROR(INDEX(PreparerInfo!B41:B53,MATCH($D42&amp;$C42,PreparerInfo!A41:A53&amp;PreparerInfo!C41:C53,0)),"")</f>
        <v/>
      </c>
      <c r="Q42" t="str">
        <f>IFERROR(INDEX(Source!B41:B49,MATCH('Case 4 solution'!E42,Source!A41:A49,0)),"")</f>
        <v/>
      </c>
    </row>
    <row r="43" spans="1:17" x14ac:dyDescent="0.3">
      <c r="A43" s="3">
        <v>2033540</v>
      </c>
      <c r="B43">
        <v>11845</v>
      </c>
      <c r="C43">
        <v>3</v>
      </c>
      <c r="D43" s="9">
        <v>102</v>
      </c>
      <c r="E43">
        <v>1002</v>
      </c>
      <c r="F43" s="1">
        <v>44003</v>
      </c>
      <c r="G43" t="s">
        <v>214</v>
      </c>
      <c r="H43" s="4" t="s">
        <v>16</v>
      </c>
      <c r="I43" s="4">
        <v>-328.56</v>
      </c>
      <c r="J43" s="4">
        <v>-328.56</v>
      </c>
      <c r="K43" t="str">
        <f>IFERROR(INDEX(BusinessUnits!$B:$B,MATCH($C43,BusinessUnits!$A:$A,0)),"")</f>
        <v>HOTEL PANTRY</v>
      </c>
      <c r="L43" t="str">
        <f>IFERROR(INDEX(Table1[[#All],[Description]],MATCH($C43,BusinessUnits!$A:$A,0)),"")</f>
        <v>Transactions related to the hotel convenience store, including some food and beverage costs.</v>
      </c>
      <c r="M43" t="str">
        <f>IFERROR(INDEX(ChartOfAccounts!B42:B127,MATCH($B43,ChartOfAccounts!A42:A127,0)),"")</f>
        <v/>
      </c>
      <c r="N43" t="str">
        <f>IFERROR(INDEX(ChartOfAccounts!D:D,MATCH($B43,ChartOfAccounts!A42:A127,0)),"")</f>
        <v/>
      </c>
      <c r="O43" t="str">
        <f>IFERROR(INDEX(ChartOfAccounts!F:F,MATCH($B43,ChartOfAccounts!A42:A127,0)),"")</f>
        <v/>
      </c>
      <c r="P43" t="str" cm="1">
        <f t="array" ref="P43">IFERROR(INDEX(PreparerInfo!B42:B54,MATCH($D43&amp;$C43,PreparerInfo!A42:A54&amp;PreparerInfo!C42:C54,0)),"")</f>
        <v/>
      </c>
      <c r="Q43" t="str">
        <f>IFERROR(INDEX(Source!B42:B50,MATCH('Case 4 solution'!E43,Source!A42:A50,0)),"")</f>
        <v/>
      </c>
    </row>
    <row r="44" spans="1:17" x14ac:dyDescent="0.3">
      <c r="A44" s="3">
        <v>2033541</v>
      </c>
      <c r="B44">
        <v>11845</v>
      </c>
      <c r="C44">
        <v>1</v>
      </c>
      <c r="D44" s="9">
        <v>102</v>
      </c>
      <c r="E44">
        <v>1001</v>
      </c>
      <c r="F44" s="1">
        <v>44003</v>
      </c>
      <c r="G44" t="s">
        <v>41</v>
      </c>
      <c r="H44" s="4">
        <v>603.45000000000005</v>
      </c>
      <c r="I44" s="4" t="s">
        <v>16</v>
      </c>
      <c r="J44" s="4">
        <v>603.45000000000005</v>
      </c>
      <c r="K44" t="str">
        <f>IFERROR(INDEX(BusinessUnits!$B:$B,MATCH($C44,BusinessUnits!$A:$A,0)),"")</f>
        <v>FOOD SERVICE</v>
      </c>
      <c r="L44" t="str">
        <f>IFERROR(INDEX(Table1[[#All],[Description]],MATCH($C44,BusinessUnits!$A:$A,0)),"")</f>
        <v xml:space="preserve">Transactions related to food and beverage service. Includes all guest transactions in the hotel restaurants, catering-related transactions and food service payroll. </v>
      </c>
      <c r="M44" t="str">
        <f>IFERROR(INDEX(ChartOfAccounts!B43:B128,MATCH($B44,ChartOfAccounts!A43:A128,0)),"")</f>
        <v/>
      </c>
      <c r="N44" t="str">
        <f>IFERROR(INDEX(ChartOfAccounts!D:D,MATCH($B44,ChartOfAccounts!A43:A128,0)),"")</f>
        <v/>
      </c>
      <c r="O44" t="str">
        <f>IFERROR(INDEX(ChartOfAccounts!F:F,MATCH($B44,ChartOfAccounts!A43:A128,0)),"")</f>
        <v/>
      </c>
      <c r="P44" t="str" cm="1">
        <f t="array" ref="P44">IFERROR(INDEX(PreparerInfo!B43:B55,MATCH($D44&amp;$C44,PreparerInfo!A43:A55&amp;PreparerInfo!C43:C55,0)),"")</f>
        <v/>
      </c>
      <c r="Q44" t="str">
        <f>IFERROR(INDEX(Source!B43:B51,MATCH('Case 4 solution'!E44,Source!A43:A51,0)),"")</f>
        <v/>
      </c>
    </row>
    <row r="45" spans="1:17" x14ac:dyDescent="0.3">
      <c r="A45" s="3">
        <v>2033541</v>
      </c>
      <c r="B45">
        <v>43310</v>
      </c>
      <c r="C45">
        <v>1</v>
      </c>
      <c r="D45" s="9">
        <v>102</v>
      </c>
      <c r="E45">
        <v>1001</v>
      </c>
      <c r="F45" s="1">
        <v>44003</v>
      </c>
      <c r="G45" t="s">
        <v>41</v>
      </c>
      <c r="H45" s="4" t="s">
        <v>16</v>
      </c>
      <c r="I45" s="4">
        <v>-603.45000000000005</v>
      </c>
      <c r="J45" s="4">
        <v>-603.45000000000005</v>
      </c>
      <c r="K45" t="str">
        <f>IFERROR(INDEX(BusinessUnits!$B:$B,MATCH($C45,BusinessUnits!$A:$A,0)),"")</f>
        <v>FOOD SERVICE</v>
      </c>
      <c r="L45" t="str">
        <f>IFERROR(INDEX(Table1[[#All],[Description]],MATCH($C45,BusinessUnits!$A:$A,0)),"")</f>
        <v xml:space="preserve">Transactions related to food and beverage service. Includes all guest transactions in the hotel restaurants, catering-related transactions and food service payroll. </v>
      </c>
      <c r="M45" t="str">
        <f>IFERROR(INDEX(ChartOfAccounts!B44:B129,MATCH($B45,ChartOfAccounts!A44:A129,0)),"")</f>
        <v/>
      </c>
      <c r="N45" t="str">
        <f>IFERROR(INDEX(ChartOfAccounts!D:D,MATCH($B45,ChartOfAccounts!A44:A129,0)),"")</f>
        <v/>
      </c>
      <c r="O45" t="str">
        <f>IFERROR(INDEX(ChartOfAccounts!F:F,MATCH($B45,ChartOfAccounts!A44:A129,0)),"")</f>
        <v/>
      </c>
      <c r="P45" t="str" cm="1">
        <f t="array" ref="P45">IFERROR(INDEX(PreparerInfo!B44:B56,MATCH($D45&amp;$C45,PreparerInfo!A44:A56&amp;PreparerInfo!C44:C56,0)),"")</f>
        <v/>
      </c>
      <c r="Q45" t="str">
        <f>IFERROR(INDEX(Source!B44:B52,MATCH('Case 4 solution'!E45,Source!A44:A52,0)),"")</f>
        <v/>
      </c>
    </row>
    <row r="46" spans="1:17" x14ac:dyDescent="0.3">
      <c r="A46" s="3">
        <v>2033542</v>
      </c>
      <c r="B46">
        <v>11845</v>
      </c>
      <c r="C46">
        <v>1</v>
      </c>
      <c r="D46" s="9">
        <v>102</v>
      </c>
      <c r="E46">
        <v>1003</v>
      </c>
      <c r="F46" s="1">
        <v>44003</v>
      </c>
      <c r="G46" t="s">
        <v>15</v>
      </c>
      <c r="H46" s="4">
        <v>2422.96</v>
      </c>
      <c r="I46" s="4" t="s">
        <v>16</v>
      </c>
      <c r="J46" s="4">
        <v>2422.96</v>
      </c>
      <c r="K46" t="str">
        <f>IFERROR(INDEX(BusinessUnits!$B:$B,MATCH($C46,BusinessUnits!$A:$A,0)),"")</f>
        <v>FOOD SERVICE</v>
      </c>
      <c r="L46" t="str">
        <f>IFERROR(INDEX(Table1[[#All],[Description]],MATCH($C46,BusinessUnits!$A:$A,0)),"")</f>
        <v xml:space="preserve">Transactions related to food and beverage service. Includes all guest transactions in the hotel restaurants, catering-related transactions and food service payroll. </v>
      </c>
      <c r="M46" t="str">
        <f>IFERROR(INDEX(ChartOfAccounts!B45:B130,MATCH($B46,ChartOfAccounts!A45:A130,0)),"")</f>
        <v/>
      </c>
      <c r="N46" t="str">
        <f>IFERROR(INDEX(ChartOfAccounts!D:D,MATCH($B46,ChartOfAccounts!A45:A130,0)),"")</f>
        <v/>
      </c>
      <c r="O46" t="str">
        <f>IFERROR(INDEX(ChartOfAccounts!F:F,MATCH($B46,ChartOfAccounts!A45:A130,0)),"")</f>
        <v/>
      </c>
      <c r="P46" t="str" cm="1">
        <f t="array" ref="P46">IFERROR(INDEX(PreparerInfo!B45:B57,MATCH($D46&amp;$C46,PreparerInfo!A45:A57&amp;PreparerInfo!C45:C57,0)),"")</f>
        <v/>
      </c>
      <c r="Q46" t="str">
        <f>IFERROR(INDEX(Source!B45:B53,MATCH('Case 4 solution'!E46,Source!A45:A53,0)),"")</f>
        <v/>
      </c>
    </row>
    <row r="47" spans="1:17" x14ac:dyDescent="0.3">
      <c r="A47" s="3">
        <v>2033542</v>
      </c>
      <c r="B47">
        <v>43310</v>
      </c>
      <c r="C47">
        <v>1</v>
      </c>
      <c r="D47" s="9">
        <v>102</v>
      </c>
      <c r="E47">
        <v>1003</v>
      </c>
      <c r="F47" s="1">
        <v>44003</v>
      </c>
      <c r="G47" t="s">
        <v>15</v>
      </c>
      <c r="H47" s="4" t="s">
        <v>16</v>
      </c>
      <c r="I47" s="4">
        <v>-2422.96</v>
      </c>
      <c r="J47" s="4">
        <v>-2422.96</v>
      </c>
      <c r="K47" t="str">
        <f>IFERROR(INDEX(BusinessUnits!$B:$B,MATCH($C47,BusinessUnits!$A:$A,0)),"")</f>
        <v>FOOD SERVICE</v>
      </c>
      <c r="L47" t="str">
        <f>IFERROR(INDEX(Table1[[#All],[Description]],MATCH($C47,BusinessUnits!$A:$A,0)),"")</f>
        <v xml:space="preserve">Transactions related to food and beverage service. Includes all guest transactions in the hotel restaurants, catering-related transactions and food service payroll. </v>
      </c>
      <c r="M47" t="str">
        <f>IFERROR(INDEX(ChartOfAccounts!B46:B131,MATCH($B47,ChartOfAccounts!A46:A131,0)),"")</f>
        <v/>
      </c>
      <c r="N47" t="str">
        <f>IFERROR(INDEX(ChartOfAccounts!D:D,MATCH($B47,ChartOfAccounts!A46:A131,0)),"")</f>
        <v/>
      </c>
      <c r="O47" t="str">
        <f>IFERROR(INDEX(ChartOfAccounts!F:F,MATCH($B47,ChartOfAccounts!A46:A131,0)),"")</f>
        <v/>
      </c>
      <c r="P47" t="str" cm="1">
        <f t="array" ref="P47">IFERROR(INDEX(PreparerInfo!B46:B58,MATCH($D47&amp;$C47,PreparerInfo!A46:A58&amp;PreparerInfo!C46:C58,0)),"")</f>
        <v/>
      </c>
      <c r="Q47" t="str">
        <f>IFERROR(INDEX(Source!B46:B54,MATCH('Case 4 solution'!E47,Source!A46:A54,0)),"")</f>
        <v/>
      </c>
    </row>
    <row r="48" spans="1:17" x14ac:dyDescent="0.3">
      <c r="A48" s="3">
        <v>2033543</v>
      </c>
      <c r="B48">
        <v>11845</v>
      </c>
      <c r="C48">
        <v>2</v>
      </c>
      <c r="D48" s="9">
        <v>104</v>
      </c>
      <c r="E48">
        <v>1003</v>
      </c>
      <c r="F48" s="1">
        <v>44003</v>
      </c>
      <c r="G48" t="s">
        <v>15</v>
      </c>
      <c r="H48" s="4">
        <v>3400</v>
      </c>
      <c r="I48" s="4" t="s">
        <v>16</v>
      </c>
      <c r="J48" s="4">
        <v>3400</v>
      </c>
      <c r="K48" t="str">
        <f>IFERROR(INDEX(BusinessUnits!$B:$B,MATCH($C48,BusinessUnits!$A:$A,0)),"")</f>
        <v>HOTEL</v>
      </c>
      <c r="L48" t="str">
        <f>IFERROR(INDEX(Table1[[#All],[Description]],MATCH($C48,BusinessUnits!$A:$A,0)),"")</f>
        <v xml:space="preserve">Transactions related to guest rooms and overall hotel operations. Includes payroll for administrative staff, clerks and interns. </v>
      </c>
      <c r="M48" t="str">
        <f>IFERROR(INDEX(ChartOfAccounts!B47:B132,MATCH($B48,ChartOfAccounts!A47:A132,0)),"")</f>
        <v/>
      </c>
      <c r="N48" t="str">
        <f>IFERROR(INDEX(ChartOfAccounts!D:D,MATCH($B48,ChartOfAccounts!A47:A132,0)),"")</f>
        <v/>
      </c>
      <c r="O48" t="str">
        <f>IFERROR(INDEX(ChartOfAccounts!F:F,MATCH($B48,ChartOfAccounts!A47:A132,0)),"")</f>
        <v/>
      </c>
      <c r="P48" t="str" cm="1">
        <f t="array" ref="P48">IFERROR(INDEX(PreparerInfo!B47:B59,MATCH($D48&amp;$C48,PreparerInfo!A47:A59&amp;PreparerInfo!C47:C59,0)),"")</f>
        <v/>
      </c>
      <c r="Q48" t="str">
        <f>IFERROR(INDEX(Source!B47:B55,MATCH('Case 4 solution'!E48,Source!A47:A55,0)),"")</f>
        <v/>
      </c>
    </row>
    <row r="49" spans="1:17" x14ac:dyDescent="0.3">
      <c r="A49" s="3">
        <v>2033543</v>
      </c>
      <c r="B49">
        <v>43180</v>
      </c>
      <c r="C49">
        <v>2</v>
      </c>
      <c r="D49" s="9">
        <v>104</v>
      </c>
      <c r="E49">
        <v>1003</v>
      </c>
      <c r="F49" s="1">
        <v>44003</v>
      </c>
      <c r="G49" t="s">
        <v>15</v>
      </c>
      <c r="H49" s="4" t="s">
        <v>16</v>
      </c>
      <c r="I49" s="4">
        <v>-3400</v>
      </c>
      <c r="J49" s="4">
        <v>-3400</v>
      </c>
      <c r="K49" t="str">
        <f>IFERROR(INDEX(BusinessUnits!$B:$B,MATCH($C49,BusinessUnits!$A:$A,0)),"")</f>
        <v>HOTEL</v>
      </c>
      <c r="L49" t="str">
        <f>IFERROR(INDEX(Table1[[#All],[Description]],MATCH($C49,BusinessUnits!$A:$A,0)),"")</f>
        <v xml:space="preserve">Transactions related to guest rooms and overall hotel operations. Includes payroll for administrative staff, clerks and interns. </v>
      </c>
      <c r="M49" t="str">
        <f>IFERROR(INDEX(ChartOfAccounts!B48:B133,MATCH($B49,ChartOfAccounts!A48:A133,0)),"")</f>
        <v/>
      </c>
      <c r="N49" t="str">
        <f>IFERROR(INDEX(ChartOfAccounts!D:D,MATCH($B49,ChartOfAccounts!A48:A133,0)),"")</f>
        <v/>
      </c>
      <c r="O49" t="str">
        <f>IFERROR(INDEX(ChartOfAccounts!F:F,MATCH($B49,ChartOfAccounts!A48:A133,0)),"")</f>
        <v/>
      </c>
      <c r="P49" t="str" cm="1">
        <f t="array" ref="P49">IFERROR(INDEX(PreparerInfo!B48:B60,MATCH($D49&amp;$C49,PreparerInfo!A48:A60&amp;PreparerInfo!C48:C60,0)),"")</f>
        <v/>
      </c>
      <c r="Q49" t="str">
        <f>IFERROR(INDEX(Source!B48:B56,MATCH('Case 4 solution'!E49,Source!A48:A56,0)),"")</f>
        <v/>
      </c>
    </row>
    <row r="50" spans="1:17" x14ac:dyDescent="0.3">
      <c r="A50" s="3">
        <v>2033544</v>
      </c>
      <c r="B50">
        <v>16200</v>
      </c>
      <c r="C50">
        <v>2</v>
      </c>
      <c r="D50" s="9">
        <v>102</v>
      </c>
      <c r="E50">
        <v>1002</v>
      </c>
      <c r="F50" s="1">
        <v>44003</v>
      </c>
      <c r="G50" t="s">
        <v>284</v>
      </c>
      <c r="H50" s="4">
        <v>3000</v>
      </c>
      <c r="I50" s="4"/>
      <c r="J50" s="4">
        <v>3000</v>
      </c>
      <c r="K50" t="str">
        <f>IFERROR(INDEX(BusinessUnits!$B:$B,MATCH($C50,BusinessUnits!$A:$A,0)),"")</f>
        <v>HOTEL</v>
      </c>
      <c r="L50" t="str">
        <f>IFERROR(INDEX(Table1[[#All],[Description]],MATCH($C50,BusinessUnits!$A:$A,0)),"")</f>
        <v xml:space="preserve">Transactions related to guest rooms and overall hotel operations. Includes payroll for administrative staff, clerks and interns. </v>
      </c>
      <c r="M50" t="str">
        <f>IFERROR(INDEX(ChartOfAccounts!B49:B134,MATCH($B50,ChartOfAccounts!A49:A134,0)),"")</f>
        <v/>
      </c>
      <c r="N50" t="str">
        <f>IFERROR(INDEX(ChartOfAccounts!D:D,MATCH($B50,ChartOfAccounts!A49:A134,0)),"")</f>
        <v/>
      </c>
      <c r="O50" t="str">
        <f>IFERROR(INDEX(ChartOfAccounts!F:F,MATCH($B50,ChartOfAccounts!A49:A134,0)),"")</f>
        <v/>
      </c>
      <c r="P50" t="str" cm="1">
        <f t="array" ref="P50">IFERROR(INDEX(PreparerInfo!B49:B61,MATCH($D50&amp;$C50,PreparerInfo!A49:A61&amp;PreparerInfo!C49:C61,0)),"")</f>
        <v/>
      </c>
      <c r="Q50" t="str">
        <f>IFERROR(INDEX(Source!B49:B57,MATCH('Case 4 solution'!E50,Source!A49:A57,0)),"")</f>
        <v/>
      </c>
    </row>
    <row r="51" spans="1:17" x14ac:dyDescent="0.3">
      <c r="A51" s="3">
        <v>2033544</v>
      </c>
      <c r="B51" s="2">
        <v>11845</v>
      </c>
      <c r="C51">
        <v>2</v>
      </c>
      <c r="D51" s="9">
        <v>102</v>
      </c>
      <c r="E51">
        <v>1002</v>
      </c>
      <c r="F51" s="1">
        <v>44003</v>
      </c>
      <c r="G51" t="s">
        <v>284</v>
      </c>
      <c r="H51" s="4"/>
      <c r="I51" s="4">
        <v>-3000</v>
      </c>
      <c r="J51" s="4">
        <v>-3000</v>
      </c>
      <c r="K51" t="str">
        <f>IFERROR(INDEX(BusinessUnits!$B:$B,MATCH($C51,BusinessUnits!$A:$A,0)),"")</f>
        <v>HOTEL</v>
      </c>
      <c r="L51" t="str">
        <f>IFERROR(INDEX(Table1[[#All],[Description]],MATCH($C51,BusinessUnits!$A:$A,0)),"")</f>
        <v xml:space="preserve">Transactions related to guest rooms and overall hotel operations. Includes payroll for administrative staff, clerks and interns. </v>
      </c>
      <c r="M51" t="str">
        <f>IFERROR(INDEX(ChartOfAccounts!B50:B135,MATCH($B51,ChartOfAccounts!A50:A135,0)),"")</f>
        <v/>
      </c>
      <c r="N51" t="str">
        <f>IFERROR(INDEX(ChartOfAccounts!D:D,MATCH($B51,ChartOfAccounts!A50:A135,0)),"")</f>
        <v/>
      </c>
      <c r="O51" t="str">
        <f>IFERROR(INDEX(ChartOfAccounts!F:F,MATCH($B51,ChartOfAccounts!A50:A135,0)),"")</f>
        <v/>
      </c>
      <c r="P51" t="str" cm="1">
        <f t="array" ref="P51">IFERROR(INDEX(PreparerInfo!B50:B62,MATCH($D51&amp;$C51,PreparerInfo!A50:A62&amp;PreparerInfo!C50:C62,0)),"")</f>
        <v/>
      </c>
      <c r="Q51" t="str">
        <f>IFERROR(INDEX(Source!B50:B58,MATCH('Case 4 solution'!E51,Source!A50:A58,0)),"")</f>
        <v/>
      </c>
    </row>
    <row r="52" spans="1:17" x14ac:dyDescent="0.3">
      <c r="A52" s="3">
        <v>2033545</v>
      </c>
      <c r="B52">
        <v>71400</v>
      </c>
      <c r="C52">
        <v>1</v>
      </c>
      <c r="D52" s="9">
        <v>101</v>
      </c>
      <c r="E52">
        <v>1002</v>
      </c>
      <c r="F52" s="1">
        <v>44004</v>
      </c>
      <c r="G52" t="s">
        <v>222</v>
      </c>
      <c r="H52" s="4">
        <v>6.37</v>
      </c>
      <c r="I52" s="4" t="s">
        <v>16</v>
      </c>
      <c r="J52" s="4">
        <v>6.37</v>
      </c>
      <c r="K52" t="str">
        <f>IFERROR(INDEX(BusinessUnits!$B:$B,MATCH($C52,BusinessUnits!$A:$A,0)),"")</f>
        <v>FOOD SERVICE</v>
      </c>
      <c r="L52" t="str">
        <f>IFERROR(INDEX(Table1[[#All],[Description]],MATCH($C52,BusinessUnits!$A:$A,0)),"")</f>
        <v xml:space="preserve">Transactions related to food and beverage service. Includes all guest transactions in the hotel restaurants, catering-related transactions and food service payroll. </v>
      </c>
      <c r="M52" t="str">
        <f>IFERROR(INDEX(ChartOfAccounts!B51:B136,MATCH($B52,ChartOfAccounts!A51:A136,0)),"")</f>
        <v/>
      </c>
      <c r="N52" t="str">
        <f>IFERROR(INDEX(ChartOfAccounts!D:D,MATCH($B52,ChartOfAccounts!A51:A136,0)),"")</f>
        <v/>
      </c>
      <c r="O52" t="str">
        <f>IFERROR(INDEX(ChartOfAccounts!F:F,MATCH($B52,ChartOfAccounts!A51:A136,0)),"")</f>
        <v/>
      </c>
      <c r="P52" t="str" cm="1">
        <f t="array" ref="P52">IFERROR(INDEX(PreparerInfo!B51:B63,MATCH($D52&amp;$C52,PreparerInfo!A51:A63&amp;PreparerInfo!C51:C63,0)),"")</f>
        <v/>
      </c>
      <c r="Q52" t="str">
        <f>IFERROR(INDEX(Source!B51:B59,MATCH('Case 4 solution'!E52,Source!A51:A59,0)),"")</f>
        <v/>
      </c>
    </row>
    <row r="53" spans="1:17" x14ac:dyDescent="0.3">
      <c r="A53" s="3">
        <v>2033545</v>
      </c>
      <c r="B53">
        <v>11845</v>
      </c>
      <c r="C53">
        <v>1</v>
      </c>
      <c r="D53" s="9">
        <v>101</v>
      </c>
      <c r="E53">
        <v>1002</v>
      </c>
      <c r="F53" s="1">
        <v>44004</v>
      </c>
      <c r="G53" t="s">
        <v>222</v>
      </c>
      <c r="H53" s="4" t="s">
        <v>16</v>
      </c>
      <c r="I53" s="4">
        <v>-6.37</v>
      </c>
      <c r="J53" s="4">
        <v>-6.37</v>
      </c>
      <c r="K53" t="str">
        <f>IFERROR(INDEX(BusinessUnits!$B:$B,MATCH($C53,BusinessUnits!$A:$A,0)),"")</f>
        <v>FOOD SERVICE</v>
      </c>
      <c r="L53" t="str">
        <f>IFERROR(INDEX(Table1[[#All],[Description]],MATCH($C53,BusinessUnits!$A:$A,0)),"")</f>
        <v xml:space="preserve">Transactions related to food and beverage service. Includes all guest transactions in the hotel restaurants, catering-related transactions and food service payroll. </v>
      </c>
      <c r="M53" t="str">
        <f>IFERROR(INDEX(ChartOfAccounts!B52:B137,MATCH($B53,ChartOfAccounts!A52:A137,0)),"")</f>
        <v/>
      </c>
      <c r="N53" t="str">
        <f>IFERROR(INDEX(ChartOfAccounts!D:D,MATCH($B53,ChartOfAccounts!A52:A137,0)),"")</f>
        <v/>
      </c>
      <c r="O53" t="str">
        <f>IFERROR(INDEX(ChartOfAccounts!F:F,MATCH($B53,ChartOfAccounts!A52:A137,0)),"")</f>
        <v/>
      </c>
      <c r="P53" t="str" cm="1">
        <f t="array" ref="P53">IFERROR(INDEX(PreparerInfo!B52:B64,MATCH($D53&amp;$C53,PreparerInfo!A52:A64&amp;PreparerInfo!C52:C64,0)),"")</f>
        <v/>
      </c>
      <c r="Q53" t="str">
        <f>IFERROR(INDEX(Source!B52:B60,MATCH('Case 4 solution'!E53,Source!A52:A60,0)),"")</f>
        <v/>
      </c>
    </row>
    <row r="54" spans="1:17" x14ac:dyDescent="0.3">
      <c r="A54" s="3">
        <v>2033546</v>
      </c>
      <c r="B54">
        <v>11845</v>
      </c>
      <c r="C54">
        <v>1</v>
      </c>
      <c r="D54" s="9">
        <v>102</v>
      </c>
      <c r="E54">
        <v>1001</v>
      </c>
      <c r="F54" s="1">
        <v>44004</v>
      </c>
      <c r="G54" t="s">
        <v>223</v>
      </c>
      <c r="H54" s="4">
        <v>7.66</v>
      </c>
      <c r="I54" s="4" t="s">
        <v>16</v>
      </c>
      <c r="J54" s="4">
        <v>7.66</v>
      </c>
      <c r="K54" t="str">
        <f>IFERROR(INDEX(BusinessUnits!$B:$B,MATCH($C54,BusinessUnits!$A:$A,0)),"")</f>
        <v>FOOD SERVICE</v>
      </c>
      <c r="L54" t="str">
        <f>IFERROR(INDEX(Table1[[#All],[Description]],MATCH($C54,BusinessUnits!$A:$A,0)),"")</f>
        <v xml:space="preserve">Transactions related to food and beverage service. Includes all guest transactions in the hotel restaurants, catering-related transactions and food service payroll. </v>
      </c>
      <c r="M54" t="str">
        <f>IFERROR(INDEX(ChartOfAccounts!B53:B138,MATCH($B54,ChartOfAccounts!A53:A138,0)),"")</f>
        <v/>
      </c>
      <c r="N54" t="str">
        <f>IFERROR(INDEX(ChartOfAccounts!D:D,MATCH($B54,ChartOfAccounts!A53:A138,0)),"")</f>
        <v/>
      </c>
      <c r="O54" t="str">
        <f>IFERROR(INDEX(ChartOfAccounts!F:F,MATCH($B54,ChartOfAccounts!A53:A138,0)),"")</f>
        <v/>
      </c>
      <c r="P54" t="str" cm="1">
        <f t="array" ref="P54">IFERROR(INDEX(PreparerInfo!B53:B65,MATCH($D54&amp;$C54,PreparerInfo!A53:A65&amp;PreparerInfo!C53:C65,0)),"")</f>
        <v/>
      </c>
      <c r="Q54" t="str">
        <f>IFERROR(INDEX(Source!B53:B61,MATCH('Case 4 solution'!E54,Source!A53:A61,0)),"")</f>
        <v/>
      </c>
    </row>
    <row r="55" spans="1:17" x14ac:dyDescent="0.3">
      <c r="A55" s="3">
        <v>2033546</v>
      </c>
      <c r="B55">
        <v>43310</v>
      </c>
      <c r="C55">
        <v>1</v>
      </c>
      <c r="D55" s="9">
        <v>102</v>
      </c>
      <c r="E55">
        <v>1001</v>
      </c>
      <c r="F55" s="1">
        <v>44004</v>
      </c>
      <c r="G55" t="s">
        <v>223</v>
      </c>
      <c r="H55" s="4" t="s">
        <v>16</v>
      </c>
      <c r="I55" s="4">
        <v>-7.66</v>
      </c>
      <c r="J55" s="4">
        <v>-7.66</v>
      </c>
      <c r="K55" t="str">
        <f>IFERROR(INDEX(BusinessUnits!$B:$B,MATCH($C55,BusinessUnits!$A:$A,0)),"")</f>
        <v>FOOD SERVICE</v>
      </c>
      <c r="L55" t="str">
        <f>IFERROR(INDEX(Table1[[#All],[Description]],MATCH($C55,BusinessUnits!$A:$A,0)),"")</f>
        <v xml:space="preserve">Transactions related to food and beverage service. Includes all guest transactions in the hotel restaurants, catering-related transactions and food service payroll. </v>
      </c>
      <c r="M55" t="str">
        <f>IFERROR(INDEX(ChartOfAccounts!B54:B139,MATCH($B55,ChartOfAccounts!A54:A139,0)),"")</f>
        <v/>
      </c>
      <c r="N55" t="str">
        <f>IFERROR(INDEX(ChartOfAccounts!D:D,MATCH($B55,ChartOfAccounts!A54:A139,0)),"")</f>
        <v/>
      </c>
      <c r="O55" t="str">
        <f>IFERROR(INDEX(ChartOfAccounts!F:F,MATCH($B55,ChartOfAccounts!A54:A139,0)),"")</f>
        <v/>
      </c>
      <c r="P55" t="str" cm="1">
        <f t="array" ref="P55">IFERROR(INDEX(PreparerInfo!B54:B66,MATCH($D55&amp;$C55,PreparerInfo!A54:A66&amp;PreparerInfo!C54:C66,0)),"")</f>
        <v/>
      </c>
      <c r="Q55" t="str">
        <f>IFERROR(INDEX(Source!B54:B62,MATCH('Case 4 solution'!E55,Source!A54:A62,0)),"")</f>
        <v/>
      </c>
    </row>
    <row r="56" spans="1:17" x14ac:dyDescent="0.3">
      <c r="A56" s="3">
        <v>2033547</v>
      </c>
      <c r="B56">
        <v>11845</v>
      </c>
      <c r="C56">
        <v>3</v>
      </c>
      <c r="D56" s="9">
        <v>102</v>
      </c>
      <c r="E56">
        <v>1003</v>
      </c>
      <c r="F56" s="1">
        <v>44004</v>
      </c>
      <c r="G56" t="s">
        <v>15</v>
      </c>
      <c r="H56" s="4">
        <v>17.21</v>
      </c>
      <c r="I56" s="4" t="s">
        <v>16</v>
      </c>
      <c r="J56" s="4">
        <v>17.21</v>
      </c>
      <c r="K56" t="str">
        <f>IFERROR(INDEX(BusinessUnits!$B:$B,MATCH($C56,BusinessUnits!$A:$A,0)),"")</f>
        <v>HOTEL PANTRY</v>
      </c>
      <c r="L56" t="str">
        <f>IFERROR(INDEX(Table1[[#All],[Description]],MATCH($C56,BusinessUnits!$A:$A,0)),"")</f>
        <v>Transactions related to the hotel convenience store, including some food and beverage costs.</v>
      </c>
      <c r="M56" t="str">
        <f>IFERROR(INDEX(ChartOfAccounts!B55:B140,MATCH($B56,ChartOfAccounts!A55:A140,0)),"")</f>
        <v/>
      </c>
      <c r="N56" t="str">
        <f>IFERROR(INDEX(ChartOfAccounts!D:D,MATCH($B56,ChartOfAccounts!A55:A140,0)),"")</f>
        <v/>
      </c>
      <c r="O56" t="str">
        <f>IFERROR(INDEX(ChartOfAccounts!F:F,MATCH($B56,ChartOfAccounts!A55:A140,0)),"")</f>
        <v/>
      </c>
      <c r="P56" t="str" cm="1">
        <f t="array" ref="P56">IFERROR(INDEX(PreparerInfo!B55:B67,MATCH($D56&amp;$C56,PreparerInfo!A55:A67&amp;PreparerInfo!C55:C67,0)),"")</f>
        <v/>
      </c>
      <c r="Q56" t="str">
        <f>IFERROR(INDEX(Source!B55:B63,MATCH('Case 4 solution'!E56,Source!A55:A63,0)),"")</f>
        <v/>
      </c>
    </row>
    <row r="57" spans="1:17" x14ac:dyDescent="0.3">
      <c r="A57" s="3">
        <v>2033547</v>
      </c>
      <c r="B57">
        <v>43440</v>
      </c>
      <c r="C57">
        <v>3</v>
      </c>
      <c r="D57" s="9">
        <v>102</v>
      </c>
      <c r="E57">
        <v>1003</v>
      </c>
      <c r="F57" s="1">
        <v>44004</v>
      </c>
      <c r="G57" t="s">
        <v>15</v>
      </c>
      <c r="H57" s="4" t="s">
        <v>16</v>
      </c>
      <c r="I57" s="4">
        <v>-17.21</v>
      </c>
      <c r="J57" s="4">
        <v>-17.21</v>
      </c>
      <c r="K57" t="str">
        <f>IFERROR(INDEX(BusinessUnits!$B:$B,MATCH($C57,BusinessUnits!$A:$A,0)),"")</f>
        <v>HOTEL PANTRY</v>
      </c>
      <c r="L57" t="str">
        <f>IFERROR(INDEX(Table1[[#All],[Description]],MATCH($C57,BusinessUnits!$A:$A,0)),"")</f>
        <v>Transactions related to the hotel convenience store, including some food and beverage costs.</v>
      </c>
      <c r="M57" t="str">
        <f>IFERROR(INDEX(ChartOfAccounts!B56:B141,MATCH($B57,ChartOfAccounts!A56:A141,0)),"")</f>
        <v/>
      </c>
      <c r="N57" t="str">
        <f>IFERROR(INDEX(ChartOfAccounts!D:D,MATCH($B57,ChartOfAccounts!A56:A141,0)),"")</f>
        <v/>
      </c>
      <c r="O57" t="str">
        <f>IFERROR(INDEX(ChartOfAccounts!F:F,MATCH($B57,ChartOfAccounts!A56:A141,0)),"")</f>
        <v/>
      </c>
      <c r="P57" t="str" cm="1">
        <f t="array" ref="P57">IFERROR(INDEX(PreparerInfo!B56:B68,MATCH($D57&amp;$C57,PreparerInfo!A56:A68&amp;PreparerInfo!C56:C68,0)),"")</f>
        <v/>
      </c>
      <c r="Q57" t="str">
        <f>IFERROR(INDEX(Source!B56:B64,MATCH('Case 4 solution'!E57,Source!A56:A64,0)),"")</f>
        <v/>
      </c>
    </row>
    <row r="58" spans="1:17" x14ac:dyDescent="0.3">
      <c r="A58" s="3">
        <v>2033548</v>
      </c>
      <c r="B58">
        <v>11845</v>
      </c>
      <c r="C58">
        <v>1</v>
      </c>
      <c r="D58" s="9">
        <v>102</v>
      </c>
      <c r="E58">
        <v>1003</v>
      </c>
      <c r="F58" s="1">
        <v>44004</v>
      </c>
      <c r="G58" t="s">
        <v>15</v>
      </c>
      <c r="H58" s="4">
        <v>26.98</v>
      </c>
      <c r="I58" s="4" t="s">
        <v>16</v>
      </c>
      <c r="J58" s="4">
        <v>26.98</v>
      </c>
      <c r="K58" t="str">
        <f>IFERROR(INDEX(BusinessUnits!$B:$B,MATCH($C58,BusinessUnits!$A:$A,0)),"")</f>
        <v>FOOD SERVICE</v>
      </c>
      <c r="L58" t="str">
        <f>IFERROR(INDEX(Table1[[#All],[Description]],MATCH($C58,BusinessUnits!$A:$A,0)),"")</f>
        <v xml:space="preserve">Transactions related to food and beverage service. Includes all guest transactions in the hotel restaurants, catering-related transactions and food service payroll. </v>
      </c>
      <c r="M58" t="str">
        <f>IFERROR(INDEX(ChartOfAccounts!B57:B142,MATCH($B58,ChartOfAccounts!A57:A142,0)),"")</f>
        <v/>
      </c>
      <c r="N58" t="str">
        <f>IFERROR(INDEX(ChartOfAccounts!D:D,MATCH($B58,ChartOfAccounts!A57:A142,0)),"")</f>
        <v/>
      </c>
      <c r="O58" t="str">
        <f>IFERROR(INDEX(ChartOfAccounts!F:F,MATCH($B58,ChartOfAccounts!A57:A142,0)),"")</f>
        <v/>
      </c>
      <c r="P58" t="str" cm="1">
        <f t="array" ref="P58">IFERROR(INDEX(PreparerInfo!B57:B69,MATCH($D58&amp;$C58,PreparerInfo!A57:A69&amp;PreparerInfo!C57:C69,0)),"")</f>
        <v/>
      </c>
      <c r="Q58" t="str">
        <f>IFERROR(INDEX(Source!B57:B65,MATCH('Case 4 solution'!E58,Source!A57:A65,0)),"")</f>
        <v/>
      </c>
    </row>
    <row r="59" spans="1:17" x14ac:dyDescent="0.3">
      <c r="A59" s="3">
        <v>2033548</v>
      </c>
      <c r="B59">
        <v>43310</v>
      </c>
      <c r="C59">
        <v>1</v>
      </c>
      <c r="D59" s="9">
        <v>102</v>
      </c>
      <c r="E59">
        <v>1003</v>
      </c>
      <c r="F59" s="1">
        <v>44004</v>
      </c>
      <c r="G59" t="s">
        <v>15</v>
      </c>
      <c r="H59" s="4" t="s">
        <v>16</v>
      </c>
      <c r="I59" s="4">
        <v>-26.98</v>
      </c>
      <c r="J59" s="4">
        <v>-26.98</v>
      </c>
      <c r="K59" t="str">
        <f>IFERROR(INDEX(BusinessUnits!$B:$B,MATCH($C59,BusinessUnits!$A:$A,0)),"")</f>
        <v>FOOD SERVICE</v>
      </c>
      <c r="L59" t="str">
        <f>IFERROR(INDEX(Table1[[#All],[Description]],MATCH($C59,BusinessUnits!$A:$A,0)),"")</f>
        <v xml:space="preserve">Transactions related to food and beverage service. Includes all guest transactions in the hotel restaurants, catering-related transactions and food service payroll. </v>
      </c>
      <c r="M59" t="str">
        <f>IFERROR(INDEX(ChartOfAccounts!B58:B143,MATCH($B59,ChartOfAccounts!A58:A143,0)),"")</f>
        <v/>
      </c>
      <c r="N59" t="str">
        <f>IFERROR(INDEX(ChartOfAccounts!D:D,MATCH($B59,ChartOfAccounts!A58:A143,0)),"")</f>
        <v/>
      </c>
      <c r="O59" t="str">
        <f>IFERROR(INDEX(ChartOfAccounts!F:F,MATCH($B59,ChartOfAccounts!A58:A143,0)),"")</f>
        <v/>
      </c>
      <c r="P59" t="str" cm="1">
        <f t="array" ref="P59">IFERROR(INDEX(PreparerInfo!B58:B70,MATCH($D59&amp;$C59,PreparerInfo!A58:A70&amp;PreparerInfo!C58:C70,0)),"")</f>
        <v/>
      </c>
      <c r="Q59" t="str">
        <f>IFERROR(INDEX(Source!B58:B66,MATCH('Case 4 solution'!E59,Source!A58:A66,0)),"")</f>
        <v/>
      </c>
    </row>
    <row r="60" spans="1:17" x14ac:dyDescent="0.3">
      <c r="A60" s="3">
        <v>2033549</v>
      </c>
      <c r="B60">
        <v>71400</v>
      </c>
      <c r="C60">
        <v>2</v>
      </c>
      <c r="D60" s="9">
        <v>101</v>
      </c>
      <c r="E60">
        <v>1002</v>
      </c>
      <c r="F60" s="1">
        <v>44004</v>
      </c>
      <c r="G60" t="s">
        <v>224</v>
      </c>
      <c r="H60" s="4">
        <v>40</v>
      </c>
      <c r="I60" s="4" t="s">
        <v>16</v>
      </c>
      <c r="J60" s="4">
        <v>40</v>
      </c>
      <c r="K60" t="str">
        <f>IFERROR(INDEX(BusinessUnits!$B:$B,MATCH($C60,BusinessUnits!$A:$A,0)),"")</f>
        <v>HOTEL</v>
      </c>
      <c r="L60" t="str">
        <f>IFERROR(INDEX(Table1[[#All],[Description]],MATCH($C60,BusinessUnits!$A:$A,0)),"")</f>
        <v xml:space="preserve">Transactions related to guest rooms and overall hotel operations. Includes payroll for administrative staff, clerks and interns. </v>
      </c>
      <c r="M60" t="str">
        <f>IFERROR(INDEX(ChartOfAccounts!B59:B144,MATCH($B60,ChartOfAccounts!A59:A144,0)),"")</f>
        <v/>
      </c>
      <c r="N60" t="str">
        <f>IFERROR(INDEX(ChartOfAccounts!D:D,MATCH($B60,ChartOfAccounts!A59:A144,0)),"")</f>
        <v/>
      </c>
      <c r="O60" t="str">
        <f>IFERROR(INDEX(ChartOfAccounts!F:F,MATCH($B60,ChartOfAccounts!A59:A144,0)),"")</f>
        <v/>
      </c>
      <c r="P60" t="str" cm="1">
        <f t="array" ref="P60">IFERROR(INDEX(PreparerInfo!B59:B71,MATCH($D60&amp;$C60,PreparerInfo!A59:A71&amp;PreparerInfo!C59:C71,0)),"")</f>
        <v/>
      </c>
      <c r="Q60" t="str">
        <f>IFERROR(INDEX(Source!B59:B67,MATCH('Case 4 solution'!E60,Source!A59:A67,0)),"")</f>
        <v/>
      </c>
    </row>
    <row r="61" spans="1:17" x14ac:dyDescent="0.3">
      <c r="A61" s="3">
        <v>2033549</v>
      </c>
      <c r="B61">
        <v>11845</v>
      </c>
      <c r="C61">
        <v>2</v>
      </c>
      <c r="D61" s="9">
        <v>101</v>
      </c>
      <c r="E61">
        <v>1002</v>
      </c>
      <c r="F61" s="1">
        <v>44004</v>
      </c>
      <c r="G61" t="s">
        <v>224</v>
      </c>
      <c r="H61" s="4" t="s">
        <v>16</v>
      </c>
      <c r="I61" s="4">
        <v>-40</v>
      </c>
      <c r="J61" s="4">
        <v>-40</v>
      </c>
      <c r="K61" t="str">
        <f>IFERROR(INDEX(BusinessUnits!$B:$B,MATCH($C61,BusinessUnits!$A:$A,0)),"")</f>
        <v>HOTEL</v>
      </c>
      <c r="L61" t="str">
        <f>IFERROR(INDEX(Table1[[#All],[Description]],MATCH($C61,BusinessUnits!$A:$A,0)),"")</f>
        <v xml:space="preserve">Transactions related to guest rooms and overall hotel operations. Includes payroll for administrative staff, clerks and interns. </v>
      </c>
      <c r="M61" t="str">
        <f>IFERROR(INDEX(ChartOfAccounts!B60:B145,MATCH($B61,ChartOfAccounts!A60:A145,0)),"")</f>
        <v/>
      </c>
      <c r="N61" t="str">
        <f>IFERROR(INDEX(ChartOfAccounts!D:D,MATCH($B61,ChartOfAccounts!A60:A145,0)),"")</f>
        <v/>
      </c>
      <c r="O61" t="str">
        <f>IFERROR(INDEX(ChartOfAccounts!F:F,MATCH($B61,ChartOfAccounts!A60:A145,0)),"")</f>
        <v/>
      </c>
      <c r="P61" t="str" cm="1">
        <f t="array" ref="P61">IFERROR(INDEX(PreparerInfo!B60:B72,MATCH($D61&amp;$C61,PreparerInfo!A60:A72&amp;PreparerInfo!C60:C72,0)),"")</f>
        <v/>
      </c>
      <c r="Q61" t="str">
        <f>IFERROR(INDEX(Source!B60:B68,MATCH('Case 4 solution'!E61,Source!A60:A68,0)),"")</f>
        <v/>
      </c>
    </row>
    <row r="62" spans="1:17" x14ac:dyDescent="0.3">
      <c r="A62" s="3">
        <v>2033550</v>
      </c>
      <c r="B62">
        <v>71400</v>
      </c>
      <c r="C62">
        <v>1</v>
      </c>
      <c r="D62" s="9">
        <v>101</v>
      </c>
      <c r="E62">
        <v>1002</v>
      </c>
      <c r="F62" s="1">
        <v>44004</v>
      </c>
      <c r="G62" t="s">
        <v>222</v>
      </c>
      <c r="H62" s="4">
        <v>45</v>
      </c>
      <c r="I62" s="4" t="s">
        <v>16</v>
      </c>
      <c r="J62" s="4">
        <v>45</v>
      </c>
      <c r="K62" t="str">
        <f>IFERROR(INDEX(BusinessUnits!$B:$B,MATCH($C62,BusinessUnits!$A:$A,0)),"")</f>
        <v>FOOD SERVICE</v>
      </c>
      <c r="L62" t="str">
        <f>IFERROR(INDEX(Table1[[#All],[Description]],MATCH($C62,BusinessUnits!$A:$A,0)),"")</f>
        <v xml:space="preserve">Transactions related to food and beverage service. Includes all guest transactions in the hotel restaurants, catering-related transactions and food service payroll. </v>
      </c>
      <c r="M62" t="str">
        <f>IFERROR(INDEX(ChartOfAccounts!B61:B146,MATCH($B62,ChartOfAccounts!A61:A146,0)),"")</f>
        <v/>
      </c>
      <c r="N62" t="str">
        <f>IFERROR(INDEX(ChartOfAccounts!D:D,MATCH($B62,ChartOfAccounts!A61:A146,0)),"")</f>
        <v/>
      </c>
      <c r="O62" t="str">
        <f>IFERROR(INDEX(ChartOfAccounts!F:F,MATCH($B62,ChartOfAccounts!A61:A146,0)),"")</f>
        <v/>
      </c>
      <c r="P62" t="str" cm="1">
        <f t="array" ref="P62">IFERROR(INDEX(PreparerInfo!B61:B73,MATCH($D62&amp;$C62,PreparerInfo!A61:A73&amp;PreparerInfo!C61:C73,0)),"")</f>
        <v/>
      </c>
      <c r="Q62" t="str">
        <f>IFERROR(INDEX(Source!B61:B69,MATCH('Case 4 solution'!E62,Source!A61:A69,0)),"")</f>
        <v/>
      </c>
    </row>
    <row r="63" spans="1:17" x14ac:dyDescent="0.3">
      <c r="A63" s="3">
        <v>2033550</v>
      </c>
      <c r="B63">
        <v>11845</v>
      </c>
      <c r="C63">
        <v>1</v>
      </c>
      <c r="D63" s="9">
        <v>101</v>
      </c>
      <c r="E63">
        <v>1002</v>
      </c>
      <c r="F63" s="1">
        <v>44004</v>
      </c>
      <c r="G63" t="s">
        <v>222</v>
      </c>
      <c r="H63" s="4" t="s">
        <v>16</v>
      </c>
      <c r="I63" s="4">
        <v>-45</v>
      </c>
      <c r="J63" s="4">
        <v>-45</v>
      </c>
      <c r="K63" t="str">
        <f>IFERROR(INDEX(BusinessUnits!$B:$B,MATCH($C63,BusinessUnits!$A:$A,0)),"")</f>
        <v>FOOD SERVICE</v>
      </c>
      <c r="L63" t="str">
        <f>IFERROR(INDEX(Table1[[#All],[Description]],MATCH($C63,BusinessUnits!$A:$A,0)),"")</f>
        <v xml:space="preserve">Transactions related to food and beverage service. Includes all guest transactions in the hotel restaurants, catering-related transactions and food service payroll. </v>
      </c>
      <c r="M63" t="str">
        <f>IFERROR(INDEX(ChartOfAccounts!B62:B147,MATCH($B63,ChartOfAccounts!A62:A147,0)),"")</f>
        <v/>
      </c>
      <c r="N63" t="str">
        <f>IFERROR(INDEX(ChartOfAccounts!D:D,MATCH($B63,ChartOfAccounts!A62:A147,0)),"")</f>
        <v/>
      </c>
      <c r="O63" t="str">
        <f>IFERROR(INDEX(ChartOfAccounts!F:F,MATCH($B63,ChartOfAccounts!A62:A147,0)),"")</f>
        <v/>
      </c>
      <c r="P63" t="str" cm="1">
        <f t="array" ref="P63">IFERROR(INDEX(PreparerInfo!B62:B74,MATCH($D63&amp;$C63,PreparerInfo!A62:A74&amp;PreparerInfo!C62:C74,0)),"")</f>
        <v/>
      </c>
      <c r="Q63" t="str">
        <f>IFERROR(INDEX(Source!B62:B70,MATCH('Case 4 solution'!E63,Source!A62:A70,0)),"")</f>
        <v/>
      </c>
    </row>
    <row r="64" spans="1:17" x14ac:dyDescent="0.3">
      <c r="A64" s="3">
        <v>2033551</v>
      </c>
      <c r="B64">
        <v>11845</v>
      </c>
      <c r="C64">
        <v>3</v>
      </c>
      <c r="D64" s="9">
        <v>102</v>
      </c>
      <c r="E64">
        <v>1001</v>
      </c>
      <c r="F64" s="1">
        <v>44004</v>
      </c>
      <c r="G64" t="s">
        <v>41</v>
      </c>
      <c r="H64" s="4">
        <v>49.51</v>
      </c>
      <c r="I64" s="4" t="s">
        <v>16</v>
      </c>
      <c r="J64" s="4">
        <v>49.51</v>
      </c>
      <c r="K64" t="str">
        <f>IFERROR(INDEX(BusinessUnits!$B:$B,MATCH($C64,BusinessUnits!$A:$A,0)),"")</f>
        <v>HOTEL PANTRY</v>
      </c>
      <c r="L64" t="str">
        <f>IFERROR(INDEX(Table1[[#All],[Description]],MATCH($C64,BusinessUnits!$A:$A,0)),"")</f>
        <v>Transactions related to the hotel convenience store, including some food and beverage costs.</v>
      </c>
      <c r="M64" t="str">
        <f>IFERROR(INDEX(ChartOfAccounts!B63:B148,MATCH($B64,ChartOfAccounts!A63:A148,0)),"")</f>
        <v/>
      </c>
      <c r="N64" t="str">
        <f>IFERROR(INDEX(ChartOfAccounts!D:D,MATCH($B64,ChartOfAccounts!A63:A148,0)),"")</f>
        <v/>
      </c>
      <c r="O64" t="str">
        <f>IFERROR(INDEX(ChartOfAccounts!F:F,MATCH($B64,ChartOfAccounts!A63:A148,0)),"")</f>
        <v/>
      </c>
      <c r="P64" t="str" cm="1">
        <f t="array" ref="P64">IFERROR(INDEX(PreparerInfo!B63:B75,MATCH($D64&amp;$C64,PreparerInfo!A63:A75&amp;PreparerInfo!C63:C75,0)),"")</f>
        <v/>
      </c>
      <c r="Q64" t="str">
        <f>IFERROR(INDEX(Source!B63:B71,MATCH('Case 4 solution'!E64,Source!A63:A71,0)),"")</f>
        <v/>
      </c>
    </row>
    <row r="65" spans="1:17" x14ac:dyDescent="0.3">
      <c r="A65" s="3">
        <v>2033551</v>
      </c>
      <c r="B65">
        <v>43440</v>
      </c>
      <c r="C65">
        <v>3</v>
      </c>
      <c r="D65" s="9">
        <v>102</v>
      </c>
      <c r="E65">
        <v>1001</v>
      </c>
      <c r="F65" s="1">
        <v>44004</v>
      </c>
      <c r="G65" t="s">
        <v>41</v>
      </c>
      <c r="H65" s="4" t="s">
        <v>16</v>
      </c>
      <c r="I65" s="4">
        <v>-49.51</v>
      </c>
      <c r="J65" s="4">
        <v>-49.51</v>
      </c>
      <c r="K65" t="str">
        <f>IFERROR(INDEX(BusinessUnits!$B:$B,MATCH($C65,BusinessUnits!$A:$A,0)),"")</f>
        <v>HOTEL PANTRY</v>
      </c>
      <c r="L65" t="str">
        <f>IFERROR(INDEX(Table1[[#All],[Description]],MATCH($C65,BusinessUnits!$A:$A,0)),"")</f>
        <v>Transactions related to the hotel convenience store, including some food and beverage costs.</v>
      </c>
      <c r="M65" t="str">
        <f>IFERROR(INDEX(ChartOfAccounts!B64:B149,MATCH($B65,ChartOfAccounts!A64:A149,0)),"")</f>
        <v/>
      </c>
      <c r="N65" t="str">
        <f>IFERROR(INDEX(ChartOfAccounts!D:D,MATCH($B65,ChartOfAccounts!A64:A149,0)),"")</f>
        <v/>
      </c>
      <c r="O65" t="str">
        <f>IFERROR(INDEX(ChartOfAccounts!F:F,MATCH($B65,ChartOfAccounts!A64:A149,0)),"")</f>
        <v/>
      </c>
      <c r="P65" t="str" cm="1">
        <f t="array" ref="P65">IFERROR(INDEX(PreparerInfo!B64:B76,MATCH($D65&amp;$C65,PreparerInfo!A64:A76&amp;PreparerInfo!C64:C76,0)),"")</f>
        <v/>
      </c>
      <c r="Q65" t="str">
        <f>IFERROR(INDEX(Source!B64:B72,MATCH('Case 4 solution'!E65,Source!A64:A72,0)),"")</f>
        <v/>
      </c>
    </row>
    <row r="66" spans="1:17" x14ac:dyDescent="0.3">
      <c r="A66" s="3">
        <v>2033552</v>
      </c>
      <c r="B66">
        <v>72732</v>
      </c>
      <c r="C66">
        <v>1</v>
      </c>
      <c r="D66" s="9">
        <v>101</v>
      </c>
      <c r="E66">
        <v>1002</v>
      </c>
      <c r="F66" s="1">
        <v>44004</v>
      </c>
      <c r="G66" t="s">
        <v>69</v>
      </c>
      <c r="H66" s="4">
        <v>55</v>
      </c>
      <c r="I66" s="4" t="s">
        <v>16</v>
      </c>
      <c r="J66" s="4">
        <v>55</v>
      </c>
      <c r="K66" t="str">
        <f>IFERROR(INDEX(BusinessUnits!$B:$B,MATCH($C66,BusinessUnits!$A:$A,0)),"")</f>
        <v>FOOD SERVICE</v>
      </c>
      <c r="L66" t="str">
        <f>IFERROR(INDEX(Table1[[#All],[Description]],MATCH($C66,BusinessUnits!$A:$A,0)),"")</f>
        <v xml:space="preserve">Transactions related to food and beverage service. Includes all guest transactions in the hotel restaurants, catering-related transactions and food service payroll. </v>
      </c>
      <c r="M66" t="str">
        <f>IFERROR(INDEX(ChartOfAccounts!B65:B150,MATCH($B66,ChartOfAccounts!A65:A150,0)),"")</f>
        <v/>
      </c>
      <c r="N66" t="str">
        <f>IFERROR(INDEX(ChartOfAccounts!D:D,MATCH($B66,ChartOfAccounts!A65:A150,0)),"")</f>
        <v/>
      </c>
      <c r="O66" t="str">
        <f>IFERROR(INDEX(ChartOfAccounts!F:F,MATCH($B66,ChartOfAccounts!A65:A150,0)),"")</f>
        <v/>
      </c>
      <c r="P66" t="str" cm="1">
        <f t="array" ref="P66">IFERROR(INDEX(PreparerInfo!B65:B77,MATCH($D66&amp;$C66,PreparerInfo!A65:A77&amp;PreparerInfo!C65:C77,0)),"")</f>
        <v/>
      </c>
      <c r="Q66" t="str">
        <f>IFERROR(INDEX(Source!B65:B73,MATCH('Case 4 solution'!E66,Source!A65:A73,0)),"")</f>
        <v/>
      </c>
    </row>
    <row r="67" spans="1:17" x14ac:dyDescent="0.3">
      <c r="A67" s="3">
        <v>2033552</v>
      </c>
      <c r="B67">
        <v>11845</v>
      </c>
      <c r="C67">
        <v>1</v>
      </c>
      <c r="D67" s="9">
        <v>101</v>
      </c>
      <c r="E67">
        <v>1002</v>
      </c>
      <c r="F67" s="1">
        <v>44004</v>
      </c>
      <c r="G67" t="s">
        <v>69</v>
      </c>
      <c r="H67" s="4" t="s">
        <v>16</v>
      </c>
      <c r="I67" s="4">
        <v>-55</v>
      </c>
      <c r="J67" s="4">
        <v>-55</v>
      </c>
      <c r="K67" t="str">
        <f>IFERROR(INDEX(BusinessUnits!$B:$B,MATCH($C67,BusinessUnits!$A:$A,0)),"")</f>
        <v>FOOD SERVICE</v>
      </c>
      <c r="L67" t="str">
        <f>IFERROR(INDEX(Table1[[#All],[Description]],MATCH($C67,BusinessUnits!$A:$A,0)),"")</f>
        <v xml:space="preserve">Transactions related to food and beverage service. Includes all guest transactions in the hotel restaurants, catering-related transactions and food service payroll. </v>
      </c>
      <c r="M67" t="str">
        <f>IFERROR(INDEX(ChartOfAccounts!B66:B151,MATCH($B67,ChartOfAccounts!A66:A151,0)),"")</f>
        <v/>
      </c>
      <c r="N67" t="str">
        <f>IFERROR(INDEX(ChartOfAccounts!D:D,MATCH($B67,ChartOfAccounts!A66:A151,0)),"")</f>
        <v/>
      </c>
      <c r="O67" t="str">
        <f>IFERROR(INDEX(ChartOfAccounts!F:F,MATCH($B67,ChartOfAccounts!A66:A151,0)),"")</f>
        <v/>
      </c>
      <c r="P67" t="str" cm="1">
        <f t="array" ref="P67">IFERROR(INDEX(PreparerInfo!B66:B78,MATCH($D67&amp;$C67,PreparerInfo!A66:A78&amp;PreparerInfo!C66:C78,0)),"")</f>
        <v/>
      </c>
      <c r="Q67" t="str">
        <f>IFERROR(INDEX(Source!B66:B74,MATCH('Case 4 solution'!E67,Source!A66:A74,0)),"")</f>
        <v/>
      </c>
    </row>
    <row r="68" spans="1:17" x14ac:dyDescent="0.3">
      <c r="A68" s="3">
        <v>2033553</v>
      </c>
      <c r="B68">
        <v>11845</v>
      </c>
      <c r="C68">
        <v>3</v>
      </c>
      <c r="D68" s="9">
        <v>102</v>
      </c>
      <c r="E68">
        <v>1003</v>
      </c>
      <c r="F68" s="1">
        <v>44004</v>
      </c>
      <c r="G68" t="s">
        <v>15</v>
      </c>
      <c r="H68" s="4">
        <v>58.02</v>
      </c>
      <c r="I68" s="4" t="s">
        <v>16</v>
      </c>
      <c r="J68" s="4">
        <v>58.02</v>
      </c>
      <c r="K68" t="str">
        <f>IFERROR(INDEX(BusinessUnits!$B:$B,MATCH($C68,BusinessUnits!$A:$A,0)),"")</f>
        <v>HOTEL PANTRY</v>
      </c>
      <c r="L68" t="str">
        <f>IFERROR(INDEX(Table1[[#All],[Description]],MATCH($C68,BusinessUnits!$A:$A,0)),"")</f>
        <v>Transactions related to the hotel convenience store, including some food and beverage costs.</v>
      </c>
      <c r="M68" t="str">
        <f>IFERROR(INDEX(ChartOfAccounts!B67:B152,MATCH($B68,ChartOfAccounts!A67:A152,0)),"")</f>
        <v/>
      </c>
      <c r="N68" t="str">
        <f>IFERROR(INDEX(ChartOfAccounts!D:D,MATCH($B68,ChartOfAccounts!A67:A152,0)),"")</f>
        <v/>
      </c>
      <c r="O68" t="str">
        <f>IFERROR(INDEX(ChartOfAccounts!F:F,MATCH($B68,ChartOfAccounts!A67:A152,0)),"")</f>
        <v/>
      </c>
      <c r="P68" t="str" cm="1">
        <f t="array" ref="P68">IFERROR(INDEX(PreparerInfo!B67:B79,MATCH($D68&amp;$C68,PreparerInfo!A67:A79&amp;PreparerInfo!C67:C79,0)),"")</f>
        <v/>
      </c>
      <c r="Q68" t="str">
        <f>IFERROR(INDEX(Source!B67:B75,MATCH('Case 4 solution'!E68,Source!A67:A75,0)),"")</f>
        <v/>
      </c>
    </row>
    <row r="69" spans="1:17" x14ac:dyDescent="0.3">
      <c r="A69" s="3">
        <v>2033553</v>
      </c>
      <c r="B69">
        <v>43440</v>
      </c>
      <c r="C69">
        <v>3</v>
      </c>
      <c r="D69" s="9">
        <v>102</v>
      </c>
      <c r="E69">
        <v>1003</v>
      </c>
      <c r="F69" s="1">
        <v>44004</v>
      </c>
      <c r="G69" t="s">
        <v>15</v>
      </c>
      <c r="H69" s="4" t="s">
        <v>16</v>
      </c>
      <c r="I69" s="4">
        <v>-58.02</v>
      </c>
      <c r="J69" s="4">
        <v>-58.02</v>
      </c>
      <c r="K69" t="str">
        <f>IFERROR(INDEX(BusinessUnits!$B:$B,MATCH($C69,BusinessUnits!$A:$A,0)),"")</f>
        <v>HOTEL PANTRY</v>
      </c>
      <c r="L69" t="str">
        <f>IFERROR(INDEX(Table1[[#All],[Description]],MATCH($C69,BusinessUnits!$A:$A,0)),"")</f>
        <v>Transactions related to the hotel convenience store, including some food and beverage costs.</v>
      </c>
      <c r="M69" t="str">
        <f>IFERROR(INDEX(ChartOfAccounts!B68:B153,MATCH($B69,ChartOfAccounts!A68:A153,0)),"")</f>
        <v/>
      </c>
      <c r="N69" t="str">
        <f>IFERROR(INDEX(ChartOfAccounts!D:D,MATCH($B69,ChartOfAccounts!A68:A153,0)),"")</f>
        <v/>
      </c>
      <c r="O69" t="str">
        <f>IFERROR(INDEX(ChartOfAccounts!F:F,MATCH($B69,ChartOfAccounts!A68:A153,0)),"")</f>
        <v/>
      </c>
      <c r="P69" t="str" cm="1">
        <f t="array" ref="P69">IFERROR(INDEX(PreparerInfo!B68:B80,MATCH($D69&amp;$C69,PreparerInfo!A68:A80&amp;PreparerInfo!C68:C80,0)),"")</f>
        <v/>
      </c>
      <c r="Q69" t="str">
        <f>IFERROR(INDEX(Source!B68:B76,MATCH('Case 4 solution'!E69,Source!A68:A76,0)),"")</f>
        <v/>
      </c>
    </row>
    <row r="70" spans="1:17" x14ac:dyDescent="0.3">
      <c r="A70" s="3">
        <v>2033554</v>
      </c>
      <c r="B70">
        <v>11845</v>
      </c>
      <c r="C70">
        <v>1</v>
      </c>
      <c r="D70" s="9">
        <v>102</v>
      </c>
      <c r="E70">
        <v>1003</v>
      </c>
      <c r="F70" s="1">
        <v>44004</v>
      </c>
      <c r="G70" t="s">
        <v>87</v>
      </c>
      <c r="H70" s="4">
        <v>80.239999999999995</v>
      </c>
      <c r="I70" s="4" t="s">
        <v>16</v>
      </c>
      <c r="J70" s="4">
        <v>80.239999999999995</v>
      </c>
      <c r="K70" t="str">
        <f>IFERROR(INDEX(BusinessUnits!$B:$B,MATCH($C70,BusinessUnits!$A:$A,0)),"")</f>
        <v>FOOD SERVICE</v>
      </c>
      <c r="L70" t="str">
        <f>IFERROR(INDEX(Table1[[#All],[Description]],MATCH($C70,BusinessUnits!$A:$A,0)),"")</f>
        <v xml:space="preserve">Transactions related to food and beverage service. Includes all guest transactions in the hotel restaurants, catering-related transactions and food service payroll. </v>
      </c>
      <c r="M70" t="str">
        <f>IFERROR(INDEX(ChartOfAccounts!B69:B154,MATCH($B70,ChartOfAccounts!A69:A154,0)),"")</f>
        <v/>
      </c>
      <c r="N70" t="str">
        <f>IFERROR(INDEX(ChartOfAccounts!D:D,MATCH($B70,ChartOfAccounts!A69:A154,0)),"")</f>
        <v/>
      </c>
      <c r="O70" t="str">
        <f>IFERROR(INDEX(ChartOfAccounts!F:F,MATCH($B70,ChartOfAccounts!A69:A154,0)),"")</f>
        <v/>
      </c>
      <c r="P70" t="str" cm="1">
        <f t="array" ref="P70">IFERROR(INDEX(PreparerInfo!B69:B81,MATCH($D70&amp;$C70,PreparerInfo!A69:A81&amp;PreparerInfo!C69:C81,0)),"")</f>
        <v/>
      </c>
      <c r="Q70" t="str">
        <f>IFERROR(INDEX(Source!B69:B77,MATCH('Case 4 solution'!E70,Source!A69:A77,0)),"")</f>
        <v/>
      </c>
    </row>
    <row r="71" spans="1:17" x14ac:dyDescent="0.3">
      <c r="A71" s="3">
        <v>2033554</v>
      </c>
      <c r="B71">
        <v>43310</v>
      </c>
      <c r="C71">
        <v>1</v>
      </c>
      <c r="D71" s="9">
        <v>102</v>
      </c>
      <c r="E71">
        <v>1003</v>
      </c>
      <c r="F71" s="1">
        <v>44004</v>
      </c>
      <c r="G71" t="s">
        <v>87</v>
      </c>
      <c r="H71" s="4" t="s">
        <v>16</v>
      </c>
      <c r="I71" s="4">
        <v>-80.239999999999995</v>
      </c>
      <c r="J71" s="4">
        <v>-80.239999999999995</v>
      </c>
      <c r="K71" t="str">
        <f>IFERROR(INDEX(BusinessUnits!$B:$B,MATCH($C71,BusinessUnits!$A:$A,0)),"")</f>
        <v>FOOD SERVICE</v>
      </c>
      <c r="L71" t="str">
        <f>IFERROR(INDEX(Table1[[#All],[Description]],MATCH($C71,BusinessUnits!$A:$A,0)),"")</f>
        <v xml:space="preserve">Transactions related to food and beverage service. Includes all guest transactions in the hotel restaurants, catering-related transactions and food service payroll. </v>
      </c>
      <c r="M71" t="str">
        <f>IFERROR(INDEX(ChartOfAccounts!B70:B155,MATCH($B71,ChartOfAccounts!A70:A155,0)),"")</f>
        <v/>
      </c>
      <c r="N71" t="str">
        <f>IFERROR(INDEX(ChartOfAccounts!D:D,MATCH($B71,ChartOfAccounts!A70:A155,0)),"")</f>
        <v/>
      </c>
      <c r="O71" t="str">
        <f>IFERROR(INDEX(ChartOfAccounts!F:F,MATCH($B71,ChartOfAccounts!A70:A155,0)),"")</f>
        <v/>
      </c>
      <c r="P71" t="str" cm="1">
        <f t="array" ref="P71">IFERROR(INDEX(PreparerInfo!B70:B82,MATCH($D71&amp;$C71,PreparerInfo!A70:A82&amp;PreparerInfo!C70:C82,0)),"")</f>
        <v/>
      </c>
      <c r="Q71" t="str">
        <f>IFERROR(INDEX(Source!B70:B78,MATCH('Case 4 solution'!E71,Source!A70:A78,0)),"")</f>
        <v/>
      </c>
    </row>
    <row r="72" spans="1:17" x14ac:dyDescent="0.3">
      <c r="A72" s="3">
        <v>2033555</v>
      </c>
      <c r="B72">
        <v>11845</v>
      </c>
      <c r="C72">
        <v>1</v>
      </c>
      <c r="D72" s="9">
        <v>102</v>
      </c>
      <c r="E72">
        <v>1003</v>
      </c>
      <c r="F72" s="1">
        <v>44004</v>
      </c>
      <c r="G72" t="s">
        <v>15</v>
      </c>
      <c r="H72" s="4">
        <v>91</v>
      </c>
      <c r="I72" s="4" t="s">
        <v>16</v>
      </c>
      <c r="J72" s="4">
        <v>91</v>
      </c>
      <c r="K72" t="str">
        <f>IFERROR(INDEX(BusinessUnits!$B:$B,MATCH($C72,BusinessUnits!$A:$A,0)),"")</f>
        <v>FOOD SERVICE</v>
      </c>
      <c r="L72" t="str">
        <f>IFERROR(INDEX(Table1[[#All],[Description]],MATCH($C72,BusinessUnits!$A:$A,0)),"")</f>
        <v xml:space="preserve">Transactions related to food and beverage service. Includes all guest transactions in the hotel restaurants, catering-related transactions and food service payroll. </v>
      </c>
      <c r="M72" t="str">
        <f>IFERROR(INDEX(ChartOfAccounts!B71:B156,MATCH($B72,ChartOfAccounts!A71:A156,0)),"")</f>
        <v/>
      </c>
      <c r="N72" t="str">
        <f>IFERROR(INDEX(ChartOfAccounts!D:D,MATCH($B72,ChartOfAccounts!A71:A156,0)),"")</f>
        <v/>
      </c>
      <c r="O72" t="str">
        <f>IFERROR(INDEX(ChartOfAccounts!F:F,MATCH($B72,ChartOfAccounts!A71:A156,0)),"")</f>
        <v/>
      </c>
      <c r="P72" t="str" cm="1">
        <f t="array" ref="P72">IFERROR(INDEX(PreparerInfo!B71:B83,MATCH($D72&amp;$C72,PreparerInfo!A71:A83&amp;PreparerInfo!C71:C83,0)),"")</f>
        <v/>
      </c>
      <c r="Q72" t="str">
        <f>IFERROR(INDEX(Source!B71:B79,MATCH('Case 4 solution'!E72,Source!A71:A79,0)),"")</f>
        <v/>
      </c>
    </row>
    <row r="73" spans="1:17" x14ac:dyDescent="0.3">
      <c r="A73" s="3">
        <v>2033555</v>
      </c>
      <c r="B73">
        <v>43310</v>
      </c>
      <c r="C73">
        <v>1</v>
      </c>
      <c r="D73" s="9">
        <v>102</v>
      </c>
      <c r="E73">
        <v>1003</v>
      </c>
      <c r="F73" s="1">
        <v>44004</v>
      </c>
      <c r="G73" t="s">
        <v>15</v>
      </c>
      <c r="H73" s="4" t="s">
        <v>16</v>
      </c>
      <c r="I73" s="4">
        <v>-91</v>
      </c>
      <c r="J73" s="4">
        <v>-91</v>
      </c>
      <c r="K73" t="str">
        <f>IFERROR(INDEX(BusinessUnits!$B:$B,MATCH($C73,BusinessUnits!$A:$A,0)),"")</f>
        <v>FOOD SERVICE</v>
      </c>
      <c r="L73" t="str">
        <f>IFERROR(INDEX(Table1[[#All],[Description]],MATCH($C73,BusinessUnits!$A:$A,0)),"")</f>
        <v xml:space="preserve">Transactions related to food and beverage service. Includes all guest transactions in the hotel restaurants, catering-related transactions and food service payroll. </v>
      </c>
      <c r="M73" t="str">
        <f>IFERROR(INDEX(ChartOfAccounts!B72:B157,MATCH($B73,ChartOfAccounts!A72:A157,0)),"")</f>
        <v/>
      </c>
      <c r="N73" t="str">
        <f>IFERROR(INDEX(ChartOfAccounts!D:D,MATCH($B73,ChartOfAccounts!A72:A157,0)),"")</f>
        <v/>
      </c>
      <c r="O73" t="str">
        <f>IFERROR(INDEX(ChartOfAccounts!F:F,MATCH($B73,ChartOfAccounts!A72:A157,0)),"")</f>
        <v/>
      </c>
      <c r="P73" t="str" cm="1">
        <f t="array" ref="P73">IFERROR(INDEX(PreparerInfo!B72:B84,MATCH($D73&amp;$C73,PreparerInfo!A72:A84&amp;PreparerInfo!C72:C84,0)),"")</f>
        <v/>
      </c>
      <c r="Q73" t="str">
        <f>IFERROR(INDEX(Source!B72:B80,MATCH('Case 4 solution'!E73,Source!A72:A80,0)),"")</f>
        <v/>
      </c>
    </row>
    <row r="74" spans="1:17" x14ac:dyDescent="0.3">
      <c r="A74" s="3">
        <v>2033556</v>
      </c>
      <c r="B74">
        <v>71400</v>
      </c>
      <c r="C74">
        <v>1</v>
      </c>
      <c r="D74" s="9">
        <v>101</v>
      </c>
      <c r="E74">
        <v>1002</v>
      </c>
      <c r="F74" s="1">
        <v>44004</v>
      </c>
      <c r="G74" t="s">
        <v>224</v>
      </c>
      <c r="H74" s="4">
        <v>100</v>
      </c>
      <c r="I74" s="4" t="s">
        <v>16</v>
      </c>
      <c r="J74" s="4">
        <v>100</v>
      </c>
      <c r="K74" t="str">
        <f>IFERROR(INDEX(BusinessUnits!$B:$B,MATCH($C74,BusinessUnits!$A:$A,0)),"")</f>
        <v>FOOD SERVICE</v>
      </c>
      <c r="L74" t="str">
        <f>IFERROR(INDEX(Table1[[#All],[Description]],MATCH($C74,BusinessUnits!$A:$A,0)),"")</f>
        <v xml:space="preserve">Transactions related to food and beverage service. Includes all guest transactions in the hotel restaurants, catering-related transactions and food service payroll. </v>
      </c>
      <c r="M74" t="str">
        <f>IFERROR(INDEX(ChartOfAccounts!B73:B158,MATCH($B74,ChartOfAccounts!A73:A158,0)),"")</f>
        <v/>
      </c>
      <c r="N74" t="str">
        <f>IFERROR(INDEX(ChartOfAccounts!D:D,MATCH($B74,ChartOfAccounts!A73:A158,0)),"")</f>
        <v/>
      </c>
      <c r="O74" t="str">
        <f>IFERROR(INDEX(ChartOfAccounts!F:F,MATCH($B74,ChartOfAccounts!A73:A158,0)),"")</f>
        <v/>
      </c>
      <c r="P74" t="str" cm="1">
        <f t="array" ref="P74">IFERROR(INDEX(PreparerInfo!B73:B85,MATCH($D74&amp;$C74,PreparerInfo!A73:A85&amp;PreparerInfo!C73:C85,0)),"")</f>
        <v/>
      </c>
      <c r="Q74" t="str">
        <f>IFERROR(INDEX(Source!B73:B81,MATCH('Case 4 solution'!E74,Source!A73:A81,0)),"")</f>
        <v/>
      </c>
    </row>
    <row r="75" spans="1:17" x14ac:dyDescent="0.3">
      <c r="A75" s="3">
        <v>2033556</v>
      </c>
      <c r="B75">
        <v>11845</v>
      </c>
      <c r="C75">
        <v>1</v>
      </c>
      <c r="D75" s="9">
        <v>101</v>
      </c>
      <c r="E75">
        <v>1002</v>
      </c>
      <c r="F75" s="1">
        <v>44004</v>
      </c>
      <c r="G75" t="s">
        <v>224</v>
      </c>
      <c r="H75" s="4" t="s">
        <v>16</v>
      </c>
      <c r="I75" s="4">
        <v>-100</v>
      </c>
      <c r="J75" s="4">
        <v>-100</v>
      </c>
      <c r="K75" t="str">
        <f>IFERROR(INDEX(BusinessUnits!$B:$B,MATCH($C75,BusinessUnits!$A:$A,0)),"")</f>
        <v>FOOD SERVICE</v>
      </c>
      <c r="L75" t="str">
        <f>IFERROR(INDEX(Table1[[#All],[Description]],MATCH($C75,BusinessUnits!$A:$A,0)),"")</f>
        <v xml:space="preserve">Transactions related to food and beverage service. Includes all guest transactions in the hotel restaurants, catering-related transactions and food service payroll. </v>
      </c>
      <c r="M75" t="str">
        <f>IFERROR(INDEX(ChartOfAccounts!B74:B159,MATCH($B75,ChartOfAccounts!A74:A159,0)),"")</f>
        <v/>
      </c>
      <c r="N75" t="str">
        <f>IFERROR(INDEX(ChartOfAccounts!D:D,MATCH($B75,ChartOfAccounts!A74:A159,0)),"")</f>
        <v/>
      </c>
      <c r="O75" t="str">
        <f>IFERROR(INDEX(ChartOfAccounts!F:F,MATCH($B75,ChartOfAccounts!A74:A159,0)),"")</f>
        <v/>
      </c>
      <c r="P75" t="str" cm="1">
        <f t="array" ref="P75">IFERROR(INDEX(PreparerInfo!B74:B86,MATCH($D75&amp;$C75,PreparerInfo!A74:A86&amp;PreparerInfo!C74:C86,0)),"")</f>
        <v/>
      </c>
      <c r="Q75" t="str">
        <f>IFERROR(INDEX(Source!B74:B82,MATCH('Case 4 solution'!E75,Source!A74:A82,0)),"")</f>
        <v/>
      </c>
    </row>
    <row r="76" spans="1:17" x14ac:dyDescent="0.3">
      <c r="A76" s="3">
        <v>2033557</v>
      </c>
      <c r="B76">
        <v>72702</v>
      </c>
      <c r="C76">
        <v>2</v>
      </c>
      <c r="D76" s="9">
        <v>101</v>
      </c>
      <c r="E76">
        <v>1002</v>
      </c>
      <c r="F76" s="1">
        <v>44004</v>
      </c>
      <c r="G76" t="s">
        <v>119</v>
      </c>
      <c r="H76" s="4">
        <v>111.15</v>
      </c>
      <c r="I76" s="4" t="s">
        <v>16</v>
      </c>
      <c r="J76" s="4">
        <v>111.15</v>
      </c>
      <c r="K76" t="str">
        <f>IFERROR(INDEX(BusinessUnits!$B:$B,MATCH($C76,BusinessUnits!$A:$A,0)),"")</f>
        <v>HOTEL</v>
      </c>
      <c r="L76" t="str">
        <f>IFERROR(INDEX(Table1[[#All],[Description]],MATCH($C76,BusinessUnits!$A:$A,0)),"")</f>
        <v xml:space="preserve">Transactions related to guest rooms and overall hotel operations. Includes payroll for administrative staff, clerks and interns. </v>
      </c>
      <c r="M76" t="str">
        <f>IFERROR(INDEX(ChartOfAccounts!B75:B160,MATCH($B76,ChartOfAccounts!A75:A160,0)),"")</f>
        <v/>
      </c>
      <c r="N76" t="str">
        <f>IFERROR(INDEX(ChartOfAccounts!D:D,MATCH($B76,ChartOfAccounts!A75:A160,0)),"")</f>
        <v/>
      </c>
      <c r="O76" t="str">
        <f>IFERROR(INDEX(ChartOfAccounts!F:F,MATCH($B76,ChartOfAccounts!A75:A160,0)),"")</f>
        <v/>
      </c>
      <c r="P76" t="str" cm="1">
        <f t="array" ref="P76">IFERROR(INDEX(PreparerInfo!B75:B87,MATCH($D76&amp;$C76,PreparerInfo!A75:A87&amp;PreparerInfo!C75:C87,0)),"")</f>
        <v/>
      </c>
      <c r="Q76" t="str">
        <f>IFERROR(INDEX(Source!B75:B83,MATCH('Case 4 solution'!E76,Source!A75:A83,0)),"")</f>
        <v/>
      </c>
    </row>
    <row r="77" spans="1:17" x14ac:dyDescent="0.3">
      <c r="A77" s="3">
        <v>2033557</v>
      </c>
      <c r="B77">
        <v>11845</v>
      </c>
      <c r="C77">
        <v>2</v>
      </c>
      <c r="D77" s="9">
        <v>101</v>
      </c>
      <c r="E77">
        <v>1002</v>
      </c>
      <c r="F77" s="1">
        <v>44004</v>
      </c>
      <c r="G77" t="s">
        <v>119</v>
      </c>
      <c r="H77" s="4" t="s">
        <v>16</v>
      </c>
      <c r="I77" s="4">
        <v>-111.15</v>
      </c>
      <c r="J77" s="4">
        <v>-111.15</v>
      </c>
      <c r="K77" t="str">
        <f>IFERROR(INDEX(BusinessUnits!$B:$B,MATCH($C77,BusinessUnits!$A:$A,0)),"")</f>
        <v>HOTEL</v>
      </c>
      <c r="L77" t="str">
        <f>IFERROR(INDEX(Table1[[#All],[Description]],MATCH($C77,BusinessUnits!$A:$A,0)),"")</f>
        <v xml:space="preserve">Transactions related to guest rooms and overall hotel operations. Includes payroll for administrative staff, clerks and interns. </v>
      </c>
      <c r="M77" t="str">
        <f>IFERROR(INDEX(ChartOfAccounts!B76:B161,MATCH($B77,ChartOfAccounts!A76:A161,0)),"")</f>
        <v/>
      </c>
      <c r="N77" t="str">
        <f>IFERROR(INDEX(ChartOfAccounts!D:D,MATCH($B77,ChartOfAccounts!A76:A161,0)),"")</f>
        <v/>
      </c>
      <c r="O77" t="str">
        <f>IFERROR(INDEX(ChartOfAccounts!F:F,MATCH($B77,ChartOfAccounts!A76:A161,0)),"")</f>
        <v/>
      </c>
      <c r="P77" t="str" cm="1">
        <f t="array" ref="P77">IFERROR(INDEX(PreparerInfo!B76:B88,MATCH($D77&amp;$C77,PreparerInfo!A76:A88&amp;PreparerInfo!C76:C88,0)),"")</f>
        <v/>
      </c>
      <c r="Q77" t="str">
        <f>IFERROR(INDEX(Source!B76:B84,MATCH('Case 4 solution'!E77,Source!A76:A84,0)),"")</f>
        <v/>
      </c>
    </row>
    <row r="78" spans="1:17" x14ac:dyDescent="0.3">
      <c r="A78" s="3">
        <v>2033558</v>
      </c>
      <c r="B78">
        <v>11845</v>
      </c>
      <c r="C78">
        <v>1</v>
      </c>
      <c r="D78" s="9">
        <v>106</v>
      </c>
      <c r="E78">
        <v>1003</v>
      </c>
      <c r="F78" s="1">
        <v>44004</v>
      </c>
      <c r="G78" t="s">
        <v>80</v>
      </c>
      <c r="H78" s="4">
        <v>138.16</v>
      </c>
      <c r="I78" s="4" t="s">
        <v>16</v>
      </c>
      <c r="J78" s="4">
        <v>138.16</v>
      </c>
      <c r="K78" t="str">
        <f>IFERROR(INDEX(BusinessUnits!$B:$B,MATCH($C78,BusinessUnits!$A:$A,0)),"")</f>
        <v>FOOD SERVICE</v>
      </c>
      <c r="L78" t="str">
        <f>IFERROR(INDEX(Table1[[#All],[Description]],MATCH($C78,BusinessUnits!$A:$A,0)),"")</f>
        <v xml:space="preserve">Transactions related to food and beverage service. Includes all guest transactions in the hotel restaurants, catering-related transactions and food service payroll. </v>
      </c>
      <c r="M78" t="str">
        <f>IFERROR(INDEX(ChartOfAccounts!B77:B162,MATCH($B78,ChartOfAccounts!A77:A162,0)),"")</f>
        <v/>
      </c>
      <c r="N78" t="str">
        <f>IFERROR(INDEX(ChartOfAccounts!D:D,MATCH($B78,ChartOfAccounts!A77:A162,0)),"")</f>
        <v/>
      </c>
      <c r="O78" t="str">
        <f>IFERROR(INDEX(ChartOfAccounts!F:F,MATCH($B78,ChartOfAccounts!A77:A162,0)),"")</f>
        <v/>
      </c>
      <c r="P78" t="str" cm="1">
        <f t="array" ref="P78">IFERROR(INDEX(PreparerInfo!B77:B89,MATCH($D78&amp;$C78,PreparerInfo!A77:A89&amp;PreparerInfo!C77:C89,0)),"")</f>
        <v/>
      </c>
      <c r="Q78" t="str">
        <f>IFERROR(INDEX(Source!B77:B85,MATCH('Case 4 solution'!E78,Source!A77:A85,0)),"")</f>
        <v/>
      </c>
    </row>
    <row r="79" spans="1:17" x14ac:dyDescent="0.3">
      <c r="A79" s="3">
        <v>2033558</v>
      </c>
      <c r="B79">
        <v>43310</v>
      </c>
      <c r="C79">
        <v>1</v>
      </c>
      <c r="D79" s="9">
        <v>106</v>
      </c>
      <c r="E79">
        <v>1003</v>
      </c>
      <c r="F79" s="1">
        <v>44004</v>
      </c>
      <c r="G79" t="s">
        <v>80</v>
      </c>
      <c r="H79" s="4" t="s">
        <v>16</v>
      </c>
      <c r="I79" s="4">
        <v>-138.16</v>
      </c>
      <c r="J79" s="4">
        <v>-138.16</v>
      </c>
      <c r="K79" t="str">
        <f>IFERROR(INDEX(BusinessUnits!$B:$B,MATCH($C79,BusinessUnits!$A:$A,0)),"")</f>
        <v>FOOD SERVICE</v>
      </c>
      <c r="L79" t="str">
        <f>IFERROR(INDEX(Table1[[#All],[Description]],MATCH($C79,BusinessUnits!$A:$A,0)),"")</f>
        <v xml:space="preserve">Transactions related to food and beverage service. Includes all guest transactions in the hotel restaurants, catering-related transactions and food service payroll. </v>
      </c>
      <c r="M79" t="str">
        <f>IFERROR(INDEX(ChartOfAccounts!B78:B163,MATCH($B79,ChartOfAccounts!A78:A163,0)),"")</f>
        <v/>
      </c>
      <c r="N79" t="str">
        <f>IFERROR(INDEX(ChartOfAccounts!D:D,MATCH($B79,ChartOfAccounts!A78:A163,0)),"")</f>
        <v/>
      </c>
      <c r="O79" t="str">
        <f>IFERROR(INDEX(ChartOfAccounts!F:F,MATCH($B79,ChartOfAccounts!A78:A163,0)),"")</f>
        <v/>
      </c>
      <c r="P79" t="str" cm="1">
        <f t="array" ref="P79">IFERROR(INDEX(PreparerInfo!B78:B90,MATCH($D79&amp;$C79,PreparerInfo!A78:A90&amp;PreparerInfo!C78:C90,0)),"")</f>
        <v/>
      </c>
      <c r="Q79" t="str">
        <f>IFERROR(INDEX(Source!B78:B86,MATCH('Case 4 solution'!E79,Source!A78:A86,0)),"")</f>
        <v/>
      </c>
    </row>
    <row r="80" spans="1:17" x14ac:dyDescent="0.3">
      <c r="A80" s="3">
        <v>2033559</v>
      </c>
      <c r="B80">
        <v>71400</v>
      </c>
      <c r="C80">
        <v>1</v>
      </c>
      <c r="D80" s="9">
        <v>101</v>
      </c>
      <c r="E80">
        <v>1002</v>
      </c>
      <c r="F80" s="1">
        <v>44004</v>
      </c>
      <c r="G80" t="s">
        <v>207</v>
      </c>
      <c r="H80" s="4">
        <v>159.9</v>
      </c>
      <c r="I80" s="4" t="s">
        <v>16</v>
      </c>
      <c r="J80" s="4">
        <v>159.9</v>
      </c>
      <c r="K80" t="str">
        <f>IFERROR(INDEX(BusinessUnits!$B:$B,MATCH($C80,BusinessUnits!$A:$A,0)),"")</f>
        <v>FOOD SERVICE</v>
      </c>
      <c r="L80" t="str">
        <f>IFERROR(INDEX(Table1[[#All],[Description]],MATCH($C80,BusinessUnits!$A:$A,0)),"")</f>
        <v xml:space="preserve">Transactions related to food and beverage service. Includes all guest transactions in the hotel restaurants, catering-related transactions and food service payroll. </v>
      </c>
      <c r="M80" t="str">
        <f>IFERROR(INDEX(ChartOfAccounts!B79:B164,MATCH($B80,ChartOfAccounts!A79:A164,0)),"")</f>
        <v/>
      </c>
      <c r="N80" t="str">
        <f>IFERROR(INDEX(ChartOfAccounts!D:D,MATCH($B80,ChartOfAccounts!A79:A164,0)),"")</f>
        <v/>
      </c>
      <c r="O80" t="str">
        <f>IFERROR(INDEX(ChartOfAccounts!F:F,MATCH($B80,ChartOfAccounts!A79:A164,0)),"")</f>
        <v/>
      </c>
      <c r="P80" t="str" cm="1">
        <f t="array" ref="P80">IFERROR(INDEX(PreparerInfo!B79:B91,MATCH($D80&amp;$C80,PreparerInfo!A79:A91&amp;PreparerInfo!C79:C91,0)),"")</f>
        <v/>
      </c>
      <c r="Q80" t="str">
        <f>IFERROR(INDEX(Source!B79:B87,MATCH('Case 4 solution'!E80,Source!A79:A87,0)),"")</f>
        <v/>
      </c>
    </row>
    <row r="81" spans="1:17" x14ac:dyDescent="0.3">
      <c r="A81" s="3">
        <v>2033559</v>
      </c>
      <c r="B81">
        <v>11845</v>
      </c>
      <c r="C81">
        <v>1</v>
      </c>
      <c r="D81" s="9">
        <v>101</v>
      </c>
      <c r="E81">
        <v>1002</v>
      </c>
      <c r="F81" s="1">
        <v>44004</v>
      </c>
      <c r="G81" t="s">
        <v>207</v>
      </c>
      <c r="H81" s="4" t="s">
        <v>16</v>
      </c>
      <c r="I81" s="4">
        <v>-159.9</v>
      </c>
      <c r="J81" s="4">
        <v>-159.9</v>
      </c>
      <c r="K81" t="str">
        <f>IFERROR(INDEX(BusinessUnits!$B:$B,MATCH($C81,BusinessUnits!$A:$A,0)),"")</f>
        <v>FOOD SERVICE</v>
      </c>
      <c r="L81" t="str">
        <f>IFERROR(INDEX(Table1[[#All],[Description]],MATCH($C81,BusinessUnits!$A:$A,0)),"")</f>
        <v xml:space="preserve">Transactions related to food and beverage service. Includes all guest transactions in the hotel restaurants, catering-related transactions and food service payroll. </v>
      </c>
      <c r="M81" t="str">
        <f>IFERROR(INDEX(ChartOfAccounts!B80:B165,MATCH($B81,ChartOfAccounts!A80:A165,0)),"")</f>
        <v/>
      </c>
      <c r="N81" t="str">
        <f>IFERROR(INDEX(ChartOfAccounts!D:D,MATCH($B81,ChartOfAccounts!A80:A165,0)),"")</f>
        <v/>
      </c>
      <c r="O81" t="str">
        <f>IFERROR(INDEX(ChartOfAccounts!F:F,MATCH($B81,ChartOfAccounts!A80:A165,0)),"")</f>
        <v/>
      </c>
      <c r="P81" t="str" cm="1">
        <f t="array" ref="P81">IFERROR(INDEX(PreparerInfo!B80:B92,MATCH($D81&amp;$C81,PreparerInfo!A80:A92&amp;PreparerInfo!C80:C92,0)),"")</f>
        <v/>
      </c>
      <c r="Q81" t="str">
        <f>IFERROR(INDEX(Source!B80:B88,MATCH('Case 4 solution'!E81,Source!A80:A88,0)),"")</f>
        <v/>
      </c>
    </row>
    <row r="82" spans="1:17" x14ac:dyDescent="0.3">
      <c r="A82" s="3">
        <v>2033560</v>
      </c>
      <c r="B82">
        <v>71400</v>
      </c>
      <c r="C82">
        <v>1</v>
      </c>
      <c r="D82" s="9">
        <v>101</v>
      </c>
      <c r="E82">
        <v>1002</v>
      </c>
      <c r="F82" s="1">
        <v>44004</v>
      </c>
      <c r="G82" t="s">
        <v>207</v>
      </c>
      <c r="H82" s="4">
        <v>159.9</v>
      </c>
      <c r="I82" s="4" t="s">
        <v>16</v>
      </c>
      <c r="J82" s="4">
        <v>159.9</v>
      </c>
      <c r="K82" t="str">
        <f>IFERROR(INDEX(BusinessUnits!$B:$B,MATCH($C82,BusinessUnits!$A:$A,0)),"")</f>
        <v>FOOD SERVICE</v>
      </c>
      <c r="L82" t="str">
        <f>IFERROR(INDEX(Table1[[#All],[Description]],MATCH($C82,BusinessUnits!$A:$A,0)),"")</f>
        <v xml:space="preserve">Transactions related to food and beverage service. Includes all guest transactions in the hotel restaurants, catering-related transactions and food service payroll. </v>
      </c>
      <c r="M82" t="str">
        <f>IFERROR(INDEX(ChartOfAccounts!B81:B166,MATCH($B82,ChartOfAccounts!A81:A166,0)),"")</f>
        <v/>
      </c>
      <c r="N82" t="str">
        <f>IFERROR(INDEX(ChartOfAccounts!D:D,MATCH($B82,ChartOfAccounts!A81:A166,0)),"")</f>
        <v/>
      </c>
      <c r="O82" t="str">
        <f>IFERROR(INDEX(ChartOfAccounts!F:F,MATCH($B82,ChartOfAccounts!A81:A166,0)),"")</f>
        <v/>
      </c>
      <c r="P82" t="str" cm="1">
        <f t="array" ref="P82">IFERROR(INDEX(PreparerInfo!B81:B93,MATCH($D82&amp;$C82,PreparerInfo!A81:A93&amp;PreparerInfo!C81:C93,0)),"")</f>
        <v/>
      </c>
      <c r="Q82" t="str">
        <f>IFERROR(INDEX(Source!B81:B89,MATCH('Case 4 solution'!E82,Source!A81:A89,0)),"")</f>
        <v/>
      </c>
    </row>
    <row r="83" spans="1:17" x14ac:dyDescent="0.3">
      <c r="A83" s="3">
        <v>2033560</v>
      </c>
      <c r="B83">
        <v>11845</v>
      </c>
      <c r="C83">
        <v>1</v>
      </c>
      <c r="D83" s="9">
        <v>101</v>
      </c>
      <c r="E83">
        <v>1002</v>
      </c>
      <c r="F83" s="1">
        <v>44004</v>
      </c>
      <c r="G83" t="s">
        <v>207</v>
      </c>
      <c r="H83" s="4" t="s">
        <v>16</v>
      </c>
      <c r="I83" s="4">
        <v>-159.9</v>
      </c>
      <c r="J83" s="4">
        <v>-159.9</v>
      </c>
      <c r="K83" t="str">
        <f>IFERROR(INDEX(BusinessUnits!$B:$B,MATCH($C83,BusinessUnits!$A:$A,0)),"")</f>
        <v>FOOD SERVICE</v>
      </c>
      <c r="L83" t="str">
        <f>IFERROR(INDEX(Table1[[#All],[Description]],MATCH($C83,BusinessUnits!$A:$A,0)),"")</f>
        <v xml:space="preserve">Transactions related to food and beverage service. Includes all guest transactions in the hotel restaurants, catering-related transactions and food service payroll. </v>
      </c>
      <c r="M83" t="str">
        <f>IFERROR(INDEX(ChartOfAccounts!B82:B167,MATCH($B83,ChartOfAccounts!A82:A167,0)),"")</f>
        <v/>
      </c>
      <c r="N83" t="str">
        <f>IFERROR(INDEX(ChartOfAccounts!D:D,MATCH($B83,ChartOfAccounts!A82:A167,0)),"")</f>
        <v/>
      </c>
      <c r="O83" t="str">
        <f>IFERROR(INDEX(ChartOfAccounts!F:F,MATCH($B83,ChartOfAccounts!A82:A167,0)),"")</f>
        <v/>
      </c>
      <c r="P83" t="str" cm="1">
        <f t="array" ref="P83">IFERROR(INDEX(PreparerInfo!B82:B94,MATCH($D83&amp;$C83,PreparerInfo!A82:A94&amp;PreparerInfo!C82:C94,0)),"")</f>
        <v/>
      </c>
      <c r="Q83" t="str">
        <f>IFERROR(INDEX(Source!B82:B90,MATCH('Case 4 solution'!E83,Source!A82:A90,0)),"")</f>
        <v/>
      </c>
    </row>
    <row r="84" spans="1:17" x14ac:dyDescent="0.3">
      <c r="A84" s="3">
        <v>2033561</v>
      </c>
      <c r="B84">
        <v>71400</v>
      </c>
      <c r="C84">
        <v>1</v>
      </c>
      <c r="D84" s="9">
        <v>101</v>
      </c>
      <c r="E84">
        <v>1002</v>
      </c>
      <c r="F84" s="1">
        <v>44004</v>
      </c>
      <c r="G84" t="s">
        <v>207</v>
      </c>
      <c r="H84" s="4">
        <v>159.9</v>
      </c>
      <c r="I84" s="4" t="s">
        <v>16</v>
      </c>
      <c r="J84" s="4">
        <v>159.9</v>
      </c>
      <c r="K84" t="str">
        <f>IFERROR(INDEX(BusinessUnits!$B:$B,MATCH($C84,BusinessUnits!$A:$A,0)),"")</f>
        <v>FOOD SERVICE</v>
      </c>
      <c r="L84" t="str">
        <f>IFERROR(INDEX(Table1[[#All],[Description]],MATCH($C84,BusinessUnits!$A:$A,0)),"")</f>
        <v xml:space="preserve">Transactions related to food and beverage service. Includes all guest transactions in the hotel restaurants, catering-related transactions and food service payroll. </v>
      </c>
      <c r="M84" t="str">
        <f>IFERROR(INDEX(ChartOfAccounts!B83:B168,MATCH($B84,ChartOfAccounts!A83:A168,0)),"")</f>
        <v/>
      </c>
      <c r="N84" t="str">
        <f>IFERROR(INDEX(ChartOfAccounts!D:D,MATCH($B84,ChartOfAccounts!A83:A168,0)),"")</f>
        <v/>
      </c>
      <c r="O84" t="str">
        <f>IFERROR(INDEX(ChartOfAccounts!F:F,MATCH($B84,ChartOfAccounts!A83:A168,0)),"")</f>
        <v/>
      </c>
      <c r="P84" t="str" cm="1">
        <f t="array" ref="P84">IFERROR(INDEX(PreparerInfo!B83:B95,MATCH($D84&amp;$C84,PreparerInfo!A83:A95&amp;PreparerInfo!C83:C95,0)),"")</f>
        <v/>
      </c>
      <c r="Q84" t="str">
        <f>IFERROR(INDEX(Source!B83:B91,MATCH('Case 4 solution'!E84,Source!A83:A91,0)),"")</f>
        <v/>
      </c>
    </row>
    <row r="85" spans="1:17" x14ac:dyDescent="0.3">
      <c r="A85" s="3">
        <v>2033561</v>
      </c>
      <c r="B85">
        <v>11845</v>
      </c>
      <c r="C85">
        <v>1</v>
      </c>
      <c r="D85" s="9">
        <v>101</v>
      </c>
      <c r="E85">
        <v>1002</v>
      </c>
      <c r="F85" s="1">
        <v>44004</v>
      </c>
      <c r="G85" t="s">
        <v>207</v>
      </c>
      <c r="H85" s="4" t="s">
        <v>16</v>
      </c>
      <c r="I85" s="4">
        <v>-159.9</v>
      </c>
      <c r="J85" s="4">
        <v>-159.9</v>
      </c>
      <c r="K85" t="str">
        <f>IFERROR(INDEX(BusinessUnits!$B:$B,MATCH($C85,BusinessUnits!$A:$A,0)),"")</f>
        <v>FOOD SERVICE</v>
      </c>
      <c r="L85" t="str">
        <f>IFERROR(INDEX(Table1[[#All],[Description]],MATCH($C85,BusinessUnits!$A:$A,0)),"")</f>
        <v xml:space="preserve">Transactions related to food and beverage service. Includes all guest transactions in the hotel restaurants, catering-related transactions and food service payroll. </v>
      </c>
      <c r="M85" t="str">
        <f>IFERROR(INDEX(ChartOfAccounts!B84:B169,MATCH($B85,ChartOfAccounts!A84:A169,0)),"")</f>
        <v/>
      </c>
      <c r="N85" t="str">
        <f>IFERROR(INDEX(ChartOfAccounts!D:D,MATCH($B85,ChartOfAccounts!A84:A169,0)),"")</f>
        <v/>
      </c>
      <c r="O85" t="str">
        <f>IFERROR(INDEX(ChartOfAccounts!F:F,MATCH($B85,ChartOfAccounts!A84:A169,0)),"")</f>
        <v/>
      </c>
      <c r="P85" t="str" cm="1">
        <f t="array" ref="P85">IFERROR(INDEX(PreparerInfo!B84:B96,MATCH($D85&amp;$C85,PreparerInfo!A84:A96&amp;PreparerInfo!C84:C96,0)),"")</f>
        <v/>
      </c>
      <c r="Q85" t="str">
        <f>IFERROR(INDEX(Source!B84:B92,MATCH('Case 4 solution'!E85,Source!A84:A92,0)),"")</f>
        <v/>
      </c>
    </row>
    <row r="86" spans="1:17" x14ac:dyDescent="0.3">
      <c r="A86" s="3">
        <v>2033562</v>
      </c>
      <c r="B86">
        <v>71400</v>
      </c>
      <c r="C86">
        <v>1</v>
      </c>
      <c r="D86" s="9">
        <v>101</v>
      </c>
      <c r="E86">
        <v>1002</v>
      </c>
      <c r="F86" s="1">
        <v>44004</v>
      </c>
      <c r="G86" t="s">
        <v>207</v>
      </c>
      <c r="H86" s="4">
        <v>159.9</v>
      </c>
      <c r="I86" s="4" t="s">
        <v>16</v>
      </c>
      <c r="J86" s="4">
        <v>159.9</v>
      </c>
      <c r="K86" t="str">
        <f>IFERROR(INDEX(BusinessUnits!$B:$B,MATCH($C86,BusinessUnits!$A:$A,0)),"")</f>
        <v>FOOD SERVICE</v>
      </c>
      <c r="L86" t="str">
        <f>IFERROR(INDEX(Table1[[#All],[Description]],MATCH($C86,BusinessUnits!$A:$A,0)),"")</f>
        <v xml:space="preserve">Transactions related to food and beverage service. Includes all guest transactions in the hotel restaurants, catering-related transactions and food service payroll. </v>
      </c>
      <c r="M86" t="str">
        <f>IFERROR(INDEX(ChartOfAccounts!B85:B170,MATCH($B86,ChartOfAccounts!A85:A170,0)),"")</f>
        <v/>
      </c>
      <c r="N86" t="str">
        <f>IFERROR(INDEX(ChartOfAccounts!D:D,MATCH($B86,ChartOfAccounts!A85:A170,0)),"")</f>
        <v/>
      </c>
      <c r="O86" t="str">
        <f>IFERROR(INDEX(ChartOfAccounts!F:F,MATCH($B86,ChartOfAccounts!A85:A170,0)),"")</f>
        <v/>
      </c>
      <c r="P86" t="str" cm="1">
        <f t="array" ref="P86">IFERROR(INDEX(PreparerInfo!B85:B97,MATCH($D86&amp;$C86,PreparerInfo!A85:A97&amp;PreparerInfo!C85:C97,0)),"")</f>
        <v/>
      </c>
      <c r="Q86" t="str">
        <f>IFERROR(INDEX(Source!B85:B93,MATCH('Case 4 solution'!E86,Source!A85:A93,0)),"")</f>
        <v/>
      </c>
    </row>
    <row r="87" spans="1:17" x14ac:dyDescent="0.3">
      <c r="A87" s="3">
        <v>2033562</v>
      </c>
      <c r="B87">
        <v>11845</v>
      </c>
      <c r="C87">
        <v>1</v>
      </c>
      <c r="D87" s="9">
        <v>101</v>
      </c>
      <c r="E87">
        <v>1002</v>
      </c>
      <c r="F87" s="1">
        <v>44004</v>
      </c>
      <c r="G87" t="s">
        <v>207</v>
      </c>
      <c r="H87" s="4" t="s">
        <v>16</v>
      </c>
      <c r="I87" s="4">
        <v>-159.9</v>
      </c>
      <c r="J87" s="4">
        <v>-159.9</v>
      </c>
      <c r="K87" t="str">
        <f>IFERROR(INDEX(BusinessUnits!$B:$B,MATCH($C87,BusinessUnits!$A:$A,0)),"")</f>
        <v>FOOD SERVICE</v>
      </c>
      <c r="L87" t="str">
        <f>IFERROR(INDEX(Table1[[#All],[Description]],MATCH($C87,BusinessUnits!$A:$A,0)),"")</f>
        <v xml:space="preserve">Transactions related to food and beverage service. Includes all guest transactions in the hotel restaurants, catering-related transactions and food service payroll. </v>
      </c>
      <c r="M87" t="str">
        <f>IFERROR(INDEX(ChartOfAccounts!B86:B171,MATCH($B87,ChartOfAccounts!A86:A171,0)),"")</f>
        <v/>
      </c>
      <c r="N87" t="str">
        <f>IFERROR(INDEX(ChartOfAccounts!D:D,MATCH($B87,ChartOfAccounts!A86:A171,0)),"")</f>
        <v/>
      </c>
      <c r="O87" t="str">
        <f>IFERROR(INDEX(ChartOfAccounts!F:F,MATCH($B87,ChartOfAccounts!A86:A171,0)),"")</f>
        <v/>
      </c>
      <c r="P87" t="str" cm="1">
        <f t="array" ref="P87">IFERROR(INDEX(PreparerInfo!B86:B98,MATCH($D87&amp;$C87,PreparerInfo!A86:A98&amp;PreparerInfo!C86:C98,0)),"")</f>
        <v/>
      </c>
      <c r="Q87" t="str">
        <f>IFERROR(INDEX(Source!B86:B94,MATCH('Case 4 solution'!E87,Source!A86:A94,0)),"")</f>
        <v/>
      </c>
    </row>
    <row r="88" spans="1:17" x14ac:dyDescent="0.3">
      <c r="A88" s="3">
        <v>2033563</v>
      </c>
      <c r="B88">
        <v>71400</v>
      </c>
      <c r="C88">
        <v>1</v>
      </c>
      <c r="D88" s="9">
        <v>101</v>
      </c>
      <c r="E88">
        <v>1002</v>
      </c>
      <c r="F88" s="1">
        <v>44004</v>
      </c>
      <c r="G88" t="s">
        <v>207</v>
      </c>
      <c r="H88" s="4">
        <v>159.9</v>
      </c>
      <c r="I88" s="4" t="s">
        <v>16</v>
      </c>
      <c r="J88" s="4">
        <v>159.9</v>
      </c>
      <c r="K88" t="str">
        <f>IFERROR(INDEX(BusinessUnits!$B:$B,MATCH($C88,BusinessUnits!$A:$A,0)),"")</f>
        <v>FOOD SERVICE</v>
      </c>
      <c r="L88" t="str">
        <f>IFERROR(INDEX(Table1[[#All],[Description]],MATCH($C88,BusinessUnits!$A:$A,0)),"")</f>
        <v xml:space="preserve">Transactions related to food and beverage service. Includes all guest transactions in the hotel restaurants, catering-related transactions and food service payroll. </v>
      </c>
      <c r="M88" t="str">
        <f>IFERROR(INDEX(ChartOfAccounts!B87:B172,MATCH($B88,ChartOfAccounts!A87:A172,0)),"")</f>
        <v/>
      </c>
      <c r="N88" t="str">
        <f>IFERROR(INDEX(ChartOfAccounts!D:D,MATCH($B88,ChartOfAccounts!A87:A172,0)),"")</f>
        <v/>
      </c>
      <c r="O88" t="str">
        <f>IFERROR(INDEX(ChartOfAccounts!F:F,MATCH($B88,ChartOfAccounts!A87:A172,0)),"")</f>
        <v/>
      </c>
      <c r="P88" t="str" cm="1">
        <f t="array" ref="P88">IFERROR(INDEX(PreparerInfo!B87:B99,MATCH($D88&amp;$C88,PreparerInfo!A87:A99&amp;PreparerInfo!C87:C99,0)),"")</f>
        <v/>
      </c>
      <c r="Q88" t="str">
        <f>IFERROR(INDEX(Source!B87:B95,MATCH('Case 4 solution'!E88,Source!A87:A95,0)),"")</f>
        <v/>
      </c>
    </row>
    <row r="89" spans="1:17" x14ac:dyDescent="0.3">
      <c r="A89" s="3">
        <v>2033563</v>
      </c>
      <c r="B89">
        <v>11845</v>
      </c>
      <c r="C89">
        <v>1</v>
      </c>
      <c r="D89" s="9">
        <v>101</v>
      </c>
      <c r="E89">
        <v>1002</v>
      </c>
      <c r="F89" s="1">
        <v>44004</v>
      </c>
      <c r="G89" t="s">
        <v>207</v>
      </c>
      <c r="H89" s="4" t="s">
        <v>16</v>
      </c>
      <c r="I89" s="4">
        <v>-159.9</v>
      </c>
      <c r="J89" s="4">
        <v>-159.9</v>
      </c>
      <c r="K89" t="str">
        <f>IFERROR(INDEX(BusinessUnits!$B:$B,MATCH($C89,BusinessUnits!$A:$A,0)),"")</f>
        <v>FOOD SERVICE</v>
      </c>
      <c r="L89" t="str">
        <f>IFERROR(INDEX(Table1[[#All],[Description]],MATCH($C89,BusinessUnits!$A:$A,0)),"")</f>
        <v xml:space="preserve">Transactions related to food and beverage service. Includes all guest transactions in the hotel restaurants, catering-related transactions and food service payroll. </v>
      </c>
      <c r="M89" t="str">
        <f>IFERROR(INDEX(ChartOfAccounts!B88:B173,MATCH($B89,ChartOfAccounts!A88:A173,0)),"")</f>
        <v/>
      </c>
      <c r="N89" t="str">
        <f>IFERROR(INDEX(ChartOfAccounts!D:D,MATCH($B89,ChartOfAccounts!A88:A173,0)),"")</f>
        <v/>
      </c>
      <c r="O89" t="str">
        <f>IFERROR(INDEX(ChartOfAccounts!F:F,MATCH($B89,ChartOfAccounts!A88:A173,0)),"")</f>
        <v/>
      </c>
      <c r="P89" t="str" cm="1">
        <f t="array" ref="P89">IFERROR(INDEX(PreparerInfo!B88:B100,MATCH($D89&amp;$C89,PreparerInfo!A88:A100&amp;PreparerInfo!C88:C100,0)),"")</f>
        <v/>
      </c>
      <c r="Q89" t="str">
        <f>IFERROR(INDEX(Source!B88:B96,MATCH('Case 4 solution'!E89,Source!A88:A96,0)),"")</f>
        <v/>
      </c>
    </row>
    <row r="90" spans="1:17" x14ac:dyDescent="0.3">
      <c r="A90" s="3">
        <v>2033564</v>
      </c>
      <c r="B90">
        <v>11845</v>
      </c>
      <c r="C90">
        <v>2</v>
      </c>
      <c r="D90" s="9">
        <v>104</v>
      </c>
      <c r="E90">
        <v>1003</v>
      </c>
      <c r="F90" s="1">
        <v>44004</v>
      </c>
      <c r="G90" t="s">
        <v>223</v>
      </c>
      <c r="H90" s="4">
        <v>198</v>
      </c>
      <c r="I90" s="4" t="s">
        <v>16</v>
      </c>
      <c r="J90" s="4">
        <v>198</v>
      </c>
      <c r="K90" t="str">
        <f>IFERROR(INDEX(BusinessUnits!$B:$B,MATCH($C90,BusinessUnits!$A:$A,0)),"")</f>
        <v>HOTEL</v>
      </c>
      <c r="L90" t="str">
        <f>IFERROR(INDEX(Table1[[#All],[Description]],MATCH($C90,BusinessUnits!$A:$A,0)),"")</f>
        <v xml:space="preserve">Transactions related to guest rooms and overall hotel operations. Includes payroll for administrative staff, clerks and interns. </v>
      </c>
      <c r="M90" t="str">
        <f>IFERROR(INDEX(ChartOfAccounts!B89:B174,MATCH($B90,ChartOfAccounts!A89:A174,0)),"")</f>
        <v/>
      </c>
      <c r="N90" t="str">
        <f>IFERROR(INDEX(ChartOfAccounts!D:D,MATCH($B90,ChartOfAccounts!A89:A174,0)),"")</f>
        <v/>
      </c>
      <c r="O90" t="str">
        <f>IFERROR(INDEX(ChartOfAccounts!F:F,MATCH($B90,ChartOfAccounts!A89:A174,0)),"")</f>
        <v/>
      </c>
      <c r="P90" t="str" cm="1">
        <f t="array" ref="P90">IFERROR(INDEX(PreparerInfo!B89:B101,MATCH($D90&amp;$C90,PreparerInfo!A89:A101&amp;PreparerInfo!C89:C101,0)),"")</f>
        <v/>
      </c>
      <c r="Q90" t="str">
        <f>IFERROR(INDEX(Source!B89:B97,MATCH('Case 4 solution'!E90,Source!A89:A97,0)),"")</f>
        <v/>
      </c>
    </row>
    <row r="91" spans="1:17" x14ac:dyDescent="0.3">
      <c r="A91" s="3">
        <v>2033564</v>
      </c>
      <c r="B91">
        <v>43180</v>
      </c>
      <c r="C91">
        <v>2</v>
      </c>
      <c r="D91" s="9">
        <v>104</v>
      </c>
      <c r="E91">
        <v>1003</v>
      </c>
      <c r="F91" s="1">
        <v>44004</v>
      </c>
      <c r="G91" t="s">
        <v>223</v>
      </c>
      <c r="H91" s="4" t="s">
        <v>16</v>
      </c>
      <c r="I91" s="4">
        <v>-198</v>
      </c>
      <c r="J91" s="4">
        <v>-198</v>
      </c>
      <c r="K91" t="str">
        <f>IFERROR(INDEX(BusinessUnits!$B:$B,MATCH($C91,BusinessUnits!$A:$A,0)),"")</f>
        <v>HOTEL</v>
      </c>
      <c r="L91" t="str">
        <f>IFERROR(INDEX(Table1[[#All],[Description]],MATCH($C91,BusinessUnits!$A:$A,0)),"")</f>
        <v xml:space="preserve">Transactions related to guest rooms and overall hotel operations. Includes payroll for administrative staff, clerks and interns. </v>
      </c>
      <c r="M91" t="str">
        <f>IFERROR(INDEX(ChartOfAccounts!B90:B175,MATCH($B91,ChartOfAccounts!A90:A175,0)),"")</f>
        <v/>
      </c>
      <c r="N91" t="str">
        <f>IFERROR(INDEX(ChartOfAccounts!D:D,MATCH($B91,ChartOfAccounts!A90:A175,0)),"")</f>
        <v/>
      </c>
      <c r="O91" t="str">
        <f>IFERROR(INDEX(ChartOfAccounts!F:F,MATCH($B91,ChartOfAccounts!A90:A175,0)),"")</f>
        <v/>
      </c>
      <c r="P91" t="str" cm="1">
        <f t="array" ref="P91">IFERROR(INDEX(PreparerInfo!B90:B102,MATCH($D91&amp;$C91,PreparerInfo!A90:A102&amp;PreparerInfo!C90:C102,0)),"")</f>
        <v/>
      </c>
      <c r="Q91" t="str">
        <f>IFERROR(INDEX(Source!B90:B98,MATCH('Case 4 solution'!E91,Source!A90:A98,0)),"")</f>
        <v/>
      </c>
    </row>
    <row r="92" spans="1:17" x14ac:dyDescent="0.3">
      <c r="A92" s="3">
        <v>2033565</v>
      </c>
      <c r="B92">
        <v>14260</v>
      </c>
      <c r="C92">
        <v>1</v>
      </c>
      <c r="D92" s="9">
        <v>101</v>
      </c>
      <c r="E92">
        <v>1002</v>
      </c>
      <c r="F92" s="1">
        <v>44004</v>
      </c>
      <c r="G92" t="s">
        <v>85</v>
      </c>
      <c r="H92" s="4">
        <v>223</v>
      </c>
      <c r="I92" s="4" t="s">
        <v>16</v>
      </c>
      <c r="J92" s="4">
        <v>223</v>
      </c>
      <c r="K92" t="str">
        <f>IFERROR(INDEX(BusinessUnits!$B:$B,MATCH($C92,BusinessUnits!$A:$A,0)),"")</f>
        <v>FOOD SERVICE</v>
      </c>
      <c r="L92" t="str">
        <f>IFERROR(INDEX(Table1[[#All],[Description]],MATCH($C92,BusinessUnits!$A:$A,0)),"")</f>
        <v xml:space="preserve">Transactions related to food and beverage service. Includes all guest transactions in the hotel restaurants, catering-related transactions and food service payroll. </v>
      </c>
      <c r="M92" t="str">
        <f>IFERROR(INDEX(ChartOfAccounts!B91:B176,MATCH($B92,ChartOfAccounts!A91:A176,0)),"")</f>
        <v/>
      </c>
      <c r="N92" t="str">
        <f>IFERROR(INDEX(ChartOfAccounts!D:D,MATCH($B92,ChartOfAccounts!A91:A176,0)),"")</f>
        <v/>
      </c>
      <c r="O92" t="str">
        <f>IFERROR(INDEX(ChartOfAccounts!F:F,MATCH($B92,ChartOfAccounts!A91:A176,0)),"")</f>
        <v/>
      </c>
      <c r="P92" t="str" cm="1">
        <f t="array" ref="P92">IFERROR(INDEX(PreparerInfo!B91:B103,MATCH($D92&amp;$C92,PreparerInfo!A91:A103&amp;PreparerInfo!C91:C103,0)),"")</f>
        <v/>
      </c>
      <c r="Q92" t="str">
        <f>IFERROR(INDEX(Source!B91:B99,MATCH('Case 4 solution'!E92,Source!A91:A99,0)),"")</f>
        <v/>
      </c>
    </row>
    <row r="93" spans="1:17" x14ac:dyDescent="0.3">
      <c r="A93" s="3">
        <v>2033565</v>
      </c>
      <c r="B93">
        <v>11845</v>
      </c>
      <c r="C93">
        <v>1</v>
      </c>
      <c r="D93" s="9">
        <v>101</v>
      </c>
      <c r="E93">
        <v>1002</v>
      </c>
      <c r="F93" s="1">
        <v>44004</v>
      </c>
      <c r="G93" t="s">
        <v>85</v>
      </c>
      <c r="H93" s="4" t="s">
        <v>16</v>
      </c>
      <c r="I93" s="4">
        <v>-223</v>
      </c>
      <c r="J93" s="4">
        <v>-223</v>
      </c>
      <c r="K93" t="str">
        <f>IFERROR(INDEX(BusinessUnits!$B:$B,MATCH($C93,BusinessUnits!$A:$A,0)),"")</f>
        <v>FOOD SERVICE</v>
      </c>
      <c r="L93" t="str">
        <f>IFERROR(INDEX(Table1[[#All],[Description]],MATCH($C93,BusinessUnits!$A:$A,0)),"")</f>
        <v xml:space="preserve">Transactions related to food and beverage service. Includes all guest transactions in the hotel restaurants, catering-related transactions and food service payroll. </v>
      </c>
      <c r="M93" t="str">
        <f>IFERROR(INDEX(ChartOfAccounts!B92:B177,MATCH($B93,ChartOfAccounts!A92:A177,0)),"")</f>
        <v/>
      </c>
      <c r="N93" t="str">
        <f>IFERROR(INDEX(ChartOfAccounts!D:D,MATCH($B93,ChartOfAccounts!A92:A177,0)),"")</f>
        <v/>
      </c>
      <c r="O93" t="str">
        <f>IFERROR(INDEX(ChartOfAccounts!F:F,MATCH($B93,ChartOfAccounts!A92:A177,0)),"")</f>
        <v/>
      </c>
      <c r="P93" t="str" cm="1">
        <f t="array" ref="P93">IFERROR(INDEX(PreparerInfo!B92:B104,MATCH($D93&amp;$C93,PreparerInfo!A92:A104&amp;PreparerInfo!C92:C104,0)),"")</f>
        <v/>
      </c>
      <c r="Q93" t="str">
        <f>IFERROR(INDEX(Source!B92:B100,MATCH('Case 4 solution'!E93,Source!A92:A100,0)),"")</f>
        <v/>
      </c>
    </row>
    <row r="94" spans="1:17" x14ac:dyDescent="0.3">
      <c r="A94" s="3">
        <v>2033566</v>
      </c>
      <c r="B94">
        <v>11845</v>
      </c>
      <c r="C94">
        <v>1</v>
      </c>
      <c r="D94" s="9">
        <v>102</v>
      </c>
      <c r="E94">
        <v>1003</v>
      </c>
      <c r="F94" s="1">
        <v>44004</v>
      </c>
      <c r="G94" t="s">
        <v>15</v>
      </c>
      <c r="H94" s="4">
        <v>228.59</v>
      </c>
      <c r="I94" s="4" t="s">
        <v>16</v>
      </c>
      <c r="J94" s="4">
        <v>228.59</v>
      </c>
      <c r="K94" t="str">
        <f>IFERROR(INDEX(BusinessUnits!$B:$B,MATCH($C94,BusinessUnits!$A:$A,0)),"")</f>
        <v>FOOD SERVICE</v>
      </c>
      <c r="L94" t="str">
        <f>IFERROR(INDEX(Table1[[#All],[Description]],MATCH($C94,BusinessUnits!$A:$A,0)),"")</f>
        <v xml:space="preserve">Transactions related to food and beverage service. Includes all guest transactions in the hotel restaurants, catering-related transactions and food service payroll. </v>
      </c>
      <c r="M94" t="str">
        <f>IFERROR(INDEX(ChartOfAccounts!B93:B178,MATCH($B94,ChartOfAccounts!A93:A178,0)),"")</f>
        <v/>
      </c>
      <c r="N94" t="str">
        <f>IFERROR(INDEX(ChartOfAccounts!D:D,MATCH($B94,ChartOfAccounts!A93:A178,0)),"")</f>
        <v/>
      </c>
      <c r="O94" t="str">
        <f>IFERROR(INDEX(ChartOfAccounts!F:F,MATCH($B94,ChartOfAccounts!A93:A178,0)),"")</f>
        <v/>
      </c>
      <c r="P94" t="str" cm="1">
        <f t="array" ref="P94">IFERROR(INDEX(PreparerInfo!B93:B105,MATCH($D94&amp;$C94,PreparerInfo!A93:A105&amp;PreparerInfo!C93:C105,0)),"")</f>
        <v/>
      </c>
      <c r="Q94" t="str">
        <f>IFERROR(INDEX(Source!B93:B101,MATCH('Case 4 solution'!E94,Source!A93:A101,0)),"")</f>
        <v/>
      </c>
    </row>
    <row r="95" spans="1:17" x14ac:dyDescent="0.3">
      <c r="A95" s="3">
        <v>2033566</v>
      </c>
      <c r="B95">
        <v>43310</v>
      </c>
      <c r="C95">
        <v>1</v>
      </c>
      <c r="D95" s="9">
        <v>102</v>
      </c>
      <c r="E95">
        <v>1003</v>
      </c>
      <c r="F95" s="1">
        <v>44004</v>
      </c>
      <c r="G95" t="s">
        <v>15</v>
      </c>
      <c r="H95" s="4" t="s">
        <v>16</v>
      </c>
      <c r="I95" s="4">
        <v>-228.59</v>
      </c>
      <c r="J95" s="4">
        <v>-228.59</v>
      </c>
      <c r="K95" t="str">
        <f>IFERROR(INDEX(BusinessUnits!$B:$B,MATCH($C95,BusinessUnits!$A:$A,0)),"")</f>
        <v>FOOD SERVICE</v>
      </c>
      <c r="L95" t="str">
        <f>IFERROR(INDEX(Table1[[#All],[Description]],MATCH($C95,BusinessUnits!$A:$A,0)),"")</f>
        <v xml:space="preserve">Transactions related to food and beverage service. Includes all guest transactions in the hotel restaurants, catering-related transactions and food service payroll. </v>
      </c>
      <c r="M95" t="str">
        <f>IFERROR(INDEX(ChartOfAccounts!B94:B179,MATCH($B95,ChartOfAccounts!A94:A179,0)),"")</f>
        <v/>
      </c>
      <c r="N95" t="str">
        <f>IFERROR(INDEX(ChartOfAccounts!D:D,MATCH($B95,ChartOfAccounts!A94:A179,0)),"")</f>
        <v/>
      </c>
      <c r="O95" t="str">
        <f>IFERROR(INDEX(ChartOfAccounts!F:F,MATCH($B95,ChartOfAccounts!A94:A179,0)),"")</f>
        <v/>
      </c>
      <c r="P95" t="str" cm="1">
        <f t="array" ref="P95">IFERROR(INDEX(PreparerInfo!B94:B106,MATCH($D95&amp;$C95,PreparerInfo!A94:A106&amp;PreparerInfo!C94:C106,0)),"")</f>
        <v/>
      </c>
      <c r="Q95" t="str">
        <f>IFERROR(INDEX(Source!B94:B102,MATCH('Case 4 solution'!E95,Source!A94:A102,0)),"")</f>
        <v/>
      </c>
    </row>
    <row r="96" spans="1:17" x14ac:dyDescent="0.3">
      <c r="A96" s="3">
        <v>2033567</v>
      </c>
      <c r="B96">
        <v>71400</v>
      </c>
      <c r="C96">
        <v>2</v>
      </c>
      <c r="D96" s="9">
        <v>101</v>
      </c>
      <c r="E96">
        <v>1002</v>
      </c>
      <c r="F96" s="1">
        <v>44004</v>
      </c>
      <c r="G96" t="s">
        <v>208</v>
      </c>
      <c r="H96" s="4">
        <v>240.73</v>
      </c>
      <c r="I96" s="4" t="s">
        <v>16</v>
      </c>
      <c r="J96" s="4">
        <v>240.73</v>
      </c>
      <c r="K96" t="str">
        <f>IFERROR(INDEX(BusinessUnits!$B:$B,MATCH($C96,BusinessUnits!$A:$A,0)),"")</f>
        <v>HOTEL</v>
      </c>
      <c r="L96" t="str">
        <f>IFERROR(INDEX(Table1[[#All],[Description]],MATCH($C96,BusinessUnits!$A:$A,0)),"")</f>
        <v xml:space="preserve">Transactions related to guest rooms and overall hotel operations. Includes payroll for administrative staff, clerks and interns. </v>
      </c>
      <c r="M96" t="str">
        <f>IFERROR(INDEX(ChartOfAccounts!B95:B180,MATCH($B96,ChartOfAccounts!A95:A180,0)),"")</f>
        <v/>
      </c>
      <c r="N96" t="str">
        <f>IFERROR(INDEX(ChartOfAccounts!D:D,MATCH($B96,ChartOfAccounts!A95:A180,0)),"")</f>
        <v/>
      </c>
      <c r="O96" t="str">
        <f>IFERROR(INDEX(ChartOfAccounts!F:F,MATCH($B96,ChartOfAccounts!A95:A180,0)),"")</f>
        <v/>
      </c>
      <c r="P96" t="str" cm="1">
        <f t="array" ref="P96">IFERROR(INDEX(PreparerInfo!B95:B107,MATCH($D96&amp;$C96,PreparerInfo!A95:A107&amp;PreparerInfo!C95:C107,0)),"")</f>
        <v/>
      </c>
      <c r="Q96" t="str">
        <f>IFERROR(INDEX(Source!B95:B103,MATCH('Case 4 solution'!E96,Source!A95:A103,0)),"")</f>
        <v/>
      </c>
    </row>
    <row r="97" spans="1:17" x14ac:dyDescent="0.3">
      <c r="A97" s="3">
        <v>2033567</v>
      </c>
      <c r="B97">
        <v>11845</v>
      </c>
      <c r="C97">
        <v>2</v>
      </c>
      <c r="D97" s="9">
        <v>101</v>
      </c>
      <c r="E97">
        <v>1002</v>
      </c>
      <c r="F97" s="1">
        <v>44004</v>
      </c>
      <c r="G97" t="s">
        <v>208</v>
      </c>
      <c r="H97" s="4" t="s">
        <v>16</v>
      </c>
      <c r="I97" s="4">
        <v>-240.73</v>
      </c>
      <c r="J97" s="4">
        <v>-240.73</v>
      </c>
      <c r="K97" t="str">
        <f>IFERROR(INDEX(BusinessUnits!$B:$B,MATCH($C97,BusinessUnits!$A:$A,0)),"")</f>
        <v>HOTEL</v>
      </c>
      <c r="L97" t="str">
        <f>IFERROR(INDEX(Table1[[#All],[Description]],MATCH($C97,BusinessUnits!$A:$A,0)),"")</f>
        <v xml:space="preserve">Transactions related to guest rooms and overall hotel operations. Includes payroll for administrative staff, clerks and interns. </v>
      </c>
      <c r="M97" t="str">
        <f>IFERROR(INDEX(ChartOfAccounts!B96:B181,MATCH($B97,ChartOfAccounts!A96:A181,0)),"")</f>
        <v/>
      </c>
      <c r="N97" t="str">
        <f>IFERROR(INDEX(ChartOfAccounts!D:D,MATCH($B97,ChartOfAccounts!A96:A181,0)),"")</f>
        <v/>
      </c>
      <c r="O97" t="str">
        <f>IFERROR(INDEX(ChartOfAccounts!F:F,MATCH($B97,ChartOfAccounts!A96:A181,0)),"")</f>
        <v/>
      </c>
      <c r="P97" t="str" cm="1">
        <f t="array" ref="P97">IFERROR(INDEX(PreparerInfo!B96:B108,MATCH($D97&amp;$C97,PreparerInfo!A96:A108&amp;PreparerInfo!C96:C108,0)),"")</f>
        <v/>
      </c>
      <c r="Q97" t="str">
        <f>IFERROR(INDEX(Source!B96:B104,MATCH('Case 4 solution'!E97,Source!A96:A104,0)),"")</f>
        <v/>
      </c>
    </row>
    <row r="98" spans="1:17" x14ac:dyDescent="0.3">
      <c r="A98" s="3">
        <v>2033568</v>
      </c>
      <c r="B98">
        <v>11845</v>
      </c>
      <c r="C98">
        <v>2</v>
      </c>
      <c r="D98" s="9">
        <v>104</v>
      </c>
      <c r="E98">
        <v>1003</v>
      </c>
      <c r="F98" s="1">
        <v>44004</v>
      </c>
      <c r="G98" t="s">
        <v>225</v>
      </c>
      <c r="H98" s="4">
        <v>258</v>
      </c>
      <c r="I98" s="4" t="s">
        <v>16</v>
      </c>
      <c r="J98" s="4">
        <v>258</v>
      </c>
      <c r="K98" t="str">
        <f>IFERROR(INDEX(BusinessUnits!$B:$B,MATCH($C98,BusinessUnits!$A:$A,0)),"")</f>
        <v>HOTEL</v>
      </c>
      <c r="L98" t="str">
        <f>IFERROR(INDEX(Table1[[#All],[Description]],MATCH($C98,BusinessUnits!$A:$A,0)),"")</f>
        <v xml:space="preserve">Transactions related to guest rooms and overall hotel operations. Includes payroll for administrative staff, clerks and interns. </v>
      </c>
      <c r="M98" t="str">
        <f>IFERROR(INDEX(ChartOfAccounts!B97:B182,MATCH($B98,ChartOfAccounts!A97:A182,0)),"")</f>
        <v/>
      </c>
      <c r="N98" t="str">
        <f>IFERROR(INDEX(ChartOfAccounts!D:D,MATCH($B98,ChartOfAccounts!A97:A182,0)),"")</f>
        <v/>
      </c>
      <c r="O98" t="str">
        <f>IFERROR(INDEX(ChartOfAccounts!F:F,MATCH($B98,ChartOfAccounts!A97:A182,0)),"")</f>
        <v/>
      </c>
      <c r="P98" t="str" cm="1">
        <f t="array" ref="P98">IFERROR(INDEX(PreparerInfo!B97:B109,MATCH($D98&amp;$C98,PreparerInfo!A97:A109&amp;PreparerInfo!C97:C109,0)),"")</f>
        <v/>
      </c>
      <c r="Q98" t="str">
        <f>IFERROR(INDEX(Source!B97:B105,MATCH('Case 4 solution'!E98,Source!A97:A105,0)),"")</f>
        <v/>
      </c>
    </row>
    <row r="99" spans="1:17" x14ac:dyDescent="0.3">
      <c r="A99" s="3">
        <v>2033568</v>
      </c>
      <c r="B99">
        <v>43180</v>
      </c>
      <c r="C99">
        <v>2</v>
      </c>
      <c r="D99" s="9">
        <v>104</v>
      </c>
      <c r="E99">
        <v>1003</v>
      </c>
      <c r="F99" s="1">
        <v>44004</v>
      </c>
      <c r="G99" t="s">
        <v>225</v>
      </c>
      <c r="H99" s="4" t="s">
        <v>16</v>
      </c>
      <c r="I99" s="4">
        <v>-258</v>
      </c>
      <c r="J99" s="4">
        <v>-258</v>
      </c>
      <c r="K99" t="str">
        <f>IFERROR(INDEX(BusinessUnits!$B:$B,MATCH($C99,BusinessUnits!$A:$A,0)),"")</f>
        <v>HOTEL</v>
      </c>
      <c r="L99" t="str">
        <f>IFERROR(INDEX(Table1[[#All],[Description]],MATCH($C99,BusinessUnits!$A:$A,0)),"")</f>
        <v xml:space="preserve">Transactions related to guest rooms and overall hotel operations. Includes payroll for administrative staff, clerks and interns. </v>
      </c>
      <c r="M99" t="str">
        <f>IFERROR(INDEX(ChartOfAccounts!B98:B183,MATCH($B99,ChartOfAccounts!A98:A183,0)),"")</f>
        <v/>
      </c>
      <c r="N99" t="str">
        <f>IFERROR(INDEX(ChartOfAccounts!D:D,MATCH($B99,ChartOfAccounts!A98:A183,0)),"")</f>
        <v/>
      </c>
      <c r="O99" t="str">
        <f>IFERROR(INDEX(ChartOfAccounts!F:F,MATCH($B99,ChartOfAccounts!A98:A183,0)),"")</f>
        <v/>
      </c>
      <c r="P99" t="str" cm="1">
        <f t="array" ref="P99">IFERROR(INDEX(PreparerInfo!B98:B110,MATCH($D99&amp;$C99,PreparerInfo!A98:A110&amp;PreparerInfo!C98:C110,0)),"")</f>
        <v/>
      </c>
      <c r="Q99" t="str">
        <f>IFERROR(INDEX(Source!B98:B106,MATCH('Case 4 solution'!E99,Source!A98:A106,0)),"")</f>
        <v/>
      </c>
    </row>
    <row r="100" spans="1:17" x14ac:dyDescent="0.3">
      <c r="A100" s="3">
        <v>2033569</v>
      </c>
      <c r="B100">
        <v>11845</v>
      </c>
      <c r="C100">
        <v>2</v>
      </c>
      <c r="D100" s="9">
        <v>104</v>
      </c>
      <c r="E100">
        <v>1003</v>
      </c>
      <c r="F100" s="1">
        <v>44004</v>
      </c>
      <c r="G100" t="s">
        <v>226</v>
      </c>
      <c r="H100" s="4">
        <v>258</v>
      </c>
      <c r="I100" s="4" t="s">
        <v>16</v>
      </c>
      <c r="J100" s="4">
        <v>258</v>
      </c>
      <c r="K100" t="str">
        <f>IFERROR(INDEX(BusinessUnits!$B:$B,MATCH($C100,BusinessUnits!$A:$A,0)),"")</f>
        <v>HOTEL</v>
      </c>
      <c r="L100" t="str">
        <f>IFERROR(INDEX(Table1[[#All],[Description]],MATCH($C100,BusinessUnits!$A:$A,0)),"")</f>
        <v xml:space="preserve">Transactions related to guest rooms and overall hotel operations. Includes payroll for administrative staff, clerks and interns. </v>
      </c>
      <c r="M100" t="str">
        <f>IFERROR(INDEX(ChartOfAccounts!B99:B184,MATCH($B100,ChartOfAccounts!A99:A184,0)),"")</f>
        <v/>
      </c>
      <c r="N100" t="str">
        <f>IFERROR(INDEX(ChartOfAccounts!D:D,MATCH($B100,ChartOfAccounts!A99:A184,0)),"")</f>
        <v/>
      </c>
      <c r="O100" t="str">
        <f>IFERROR(INDEX(ChartOfAccounts!F:F,MATCH($B100,ChartOfAccounts!A99:A184,0)),"")</f>
        <v/>
      </c>
      <c r="P100" t="str" cm="1">
        <f t="array" ref="P100">IFERROR(INDEX(PreparerInfo!B99:B111,MATCH($D100&amp;$C100,PreparerInfo!A99:A111&amp;PreparerInfo!C99:C111,0)),"")</f>
        <v/>
      </c>
      <c r="Q100" t="str">
        <f>IFERROR(INDEX(Source!B99:B107,MATCH('Case 4 solution'!E100,Source!A99:A107,0)),"")</f>
        <v/>
      </c>
    </row>
    <row r="101" spans="1:17" x14ac:dyDescent="0.3">
      <c r="A101" s="3">
        <v>2033569</v>
      </c>
      <c r="B101">
        <v>43180</v>
      </c>
      <c r="C101">
        <v>2</v>
      </c>
      <c r="D101" s="9">
        <v>104</v>
      </c>
      <c r="E101">
        <v>1003</v>
      </c>
      <c r="F101" s="1">
        <v>44004</v>
      </c>
      <c r="G101" t="s">
        <v>226</v>
      </c>
      <c r="H101" s="4" t="s">
        <v>16</v>
      </c>
      <c r="I101" s="4">
        <v>-258</v>
      </c>
      <c r="J101" s="4">
        <v>-258</v>
      </c>
      <c r="K101" t="str">
        <f>IFERROR(INDEX(BusinessUnits!$B:$B,MATCH($C101,BusinessUnits!$A:$A,0)),"")</f>
        <v>HOTEL</v>
      </c>
      <c r="L101" t="str">
        <f>IFERROR(INDEX(Table1[[#All],[Description]],MATCH($C101,BusinessUnits!$A:$A,0)),"")</f>
        <v xml:space="preserve">Transactions related to guest rooms and overall hotel operations. Includes payroll for administrative staff, clerks and interns. </v>
      </c>
      <c r="M101" t="str">
        <f>IFERROR(INDEX(ChartOfAccounts!B100:B185,MATCH($B101,ChartOfAccounts!A100:A185,0)),"")</f>
        <v/>
      </c>
      <c r="N101" t="str">
        <f>IFERROR(INDEX(ChartOfAccounts!D:D,MATCH($B101,ChartOfAccounts!A100:A185,0)),"")</f>
        <v/>
      </c>
      <c r="O101" t="str">
        <f>IFERROR(INDEX(ChartOfAccounts!F:F,MATCH($B101,ChartOfAccounts!A100:A185,0)),"")</f>
        <v/>
      </c>
      <c r="P101" t="str" cm="1">
        <f t="array" ref="P101">IFERROR(INDEX(PreparerInfo!B100:B112,MATCH($D101&amp;$C101,PreparerInfo!A100:A112&amp;PreparerInfo!C100:C112,0)),"")</f>
        <v/>
      </c>
      <c r="Q101" t="str">
        <f>IFERROR(INDEX(Source!B100:B108,MATCH('Case 4 solution'!E101,Source!A100:A108,0)),"")</f>
        <v/>
      </c>
    </row>
    <row r="102" spans="1:17" x14ac:dyDescent="0.3">
      <c r="A102" s="3">
        <v>2033570</v>
      </c>
      <c r="B102">
        <v>14260</v>
      </c>
      <c r="C102">
        <v>1</v>
      </c>
      <c r="D102" s="9">
        <v>101</v>
      </c>
      <c r="E102">
        <v>1002</v>
      </c>
      <c r="F102" s="1">
        <v>44004</v>
      </c>
      <c r="G102" t="s">
        <v>85</v>
      </c>
      <c r="H102" s="4">
        <v>268.39</v>
      </c>
      <c r="I102" s="4" t="s">
        <v>16</v>
      </c>
      <c r="J102" s="4">
        <v>268.39</v>
      </c>
      <c r="K102" t="str">
        <f>IFERROR(INDEX(BusinessUnits!$B:$B,MATCH($C102,BusinessUnits!$A:$A,0)),"")</f>
        <v>FOOD SERVICE</v>
      </c>
      <c r="L102" t="str">
        <f>IFERROR(INDEX(Table1[[#All],[Description]],MATCH($C102,BusinessUnits!$A:$A,0)),"")</f>
        <v xml:space="preserve">Transactions related to food and beverage service. Includes all guest transactions in the hotel restaurants, catering-related transactions and food service payroll. </v>
      </c>
      <c r="M102" t="str">
        <f>IFERROR(INDEX(ChartOfAccounts!B101:B186,MATCH($B102,ChartOfAccounts!A101:A186,0)),"")</f>
        <v/>
      </c>
      <c r="N102" t="str">
        <f>IFERROR(INDEX(ChartOfAccounts!D:D,MATCH($B102,ChartOfAccounts!A101:A186,0)),"")</f>
        <v/>
      </c>
      <c r="O102" t="str">
        <f>IFERROR(INDEX(ChartOfAccounts!F:F,MATCH($B102,ChartOfAccounts!A101:A186,0)),"")</f>
        <v/>
      </c>
      <c r="P102" t="str" cm="1">
        <f t="array" ref="P102">IFERROR(INDEX(PreparerInfo!B101:B113,MATCH($D102&amp;$C102,PreparerInfo!A101:A113&amp;PreparerInfo!C101:C113,0)),"")</f>
        <v/>
      </c>
      <c r="Q102" t="str">
        <f>IFERROR(INDEX(Source!B101:B109,MATCH('Case 4 solution'!E102,Source!A101:A109,0)),"")</f>
        <v/>
      </c>
    </row>
    <row r="103" spans="1:17" x14ac:dyDescent="0.3">
      <c r="A103" s="3">
        <v>2033570</v>
      </c>
      <c r="B103">
        <v>11845</v>
      </c>
      <c r="C103">
        <v>1</v>
      </c>
      <c r="D103" s="9">
        <v>101</v>
      </c>
      <c r="E103">
        <v>1002</v>
      </c>
      <c r="F103" s="1">
        <v>44004</v>
      </c>
      <c r="G103" t="s">
        <v>85</v>
      </c>
      <c r="H103" s="4" t="s">
        <v>16</v>
      </c>
      <c r="I103" s="4">
        <v>-268.39</v>
      </c>
      <c r="J103" s="4">
        <v>-268.39</v>
      </c>
      <c r="K103" t="str">
        <f>IFERROR(INDEX(BusinessUnits!$B:$B,MATCH($C103,BusinessUnits!$A:$A,0)),"")</f>
        <v>FOOD SERVICE</v>
      </c>
      <c r="L103" t="str">
        <f>IFERROR(INDEX(Table1[[#All],[Description]],MATCH($C103,BusinessUnits!$A:$A,0)),"")</f>
        <v xml:space="preserve">Transactions related to food and beverage service. Includes all guest transactions in the hotel restaurants, catering-related transactions and food service payroll. </v>
      </c>
      <c r="M103" t="str">
        <f>IFERROR(INDEX(ChartOfAccounts!B102:B187,MATCH($B103,ChartOfAccounts!A102:A187,0)),"")</f>
        <v/>
      </c>
      <c r="N103" t="str">
        <f>IFERROR(INDEX(ChartOfAccounts!D:D,MATCH($B103,ChartOfAccounts!A102:A187,0)),"")</f>
        <v/>
      </c>
      <c r="O103" t="str">
        <f>IFERROR(INDEX(ChartOfAccounts!F:F,MATCH($B103,ChartOfAccounts!A102:A187,0)),"")</f>
        <v/>
      </c>
      <c r="P103" t="str" cm="1">
        <f t="array" ref="P103">IFERROR(INDEX(PreparerInfo!B102:B114,MATCH($D103&amp;$C103,PreparerInfo!A102:A114&amp;PreparerInfo!C102:C114,0)),"")</f>
        <v/>
      </c>
      <c r="Q103" t="str">
        <f>IFERROR(INDEX(Source!B102:B110,MATCH('Case 4 solution'!E103,Source!A102:A110,0)),"")</f>
        <v/>
      </c>
    </row>
    <row r="104" spans="1:17" x14ac:dyDescent="0.3">
      <c r="A104" s="3">
        <v>2033571</v>
      </c>
      <c r="B104">
        <v>71900</v>
      </c>
      <c r="C104">
        <v>1</v>
      </c>
      <c r="D104" s="9">
        <v>102</v>
      </c>
      <c r="E104">
        <v>1002</v>
      </c>
      <c r="F104" s="1">
        <v>44004</v>
      </c>
      <c r="G104" t="s">
        <v>36</v>
      </c>
      <c r="H104" s="4">
        <v>308.2</v>
      </c>
      <c r="I104" s="4" t="s">
        <v>16</v>
      </c>
      <c r="J104" s="4">
        <v>308.2</v>
      </c>
      <c r="K104" t="str">
        <f>IFERROR(INDEX(BusinessUnits!$B:$B,MATCH($C104,BusinessUnits!$A:$A,0)),"")</f>
        <v>FOOD SERVICE</v>
      </c>
      <c r="L104" t="str">
        <f>IFERROR(INDEX(Table1[[#All],[Description]],MATCH($C104,BusinessUnits!$A:$A,0)),"")</f>
        <v xml:space="preserve">Transactions related to food and beverage service. Includes all guest transactions in the hotel restaurants, catering-related transactions and food service payroll. </v>
      </c>
      <c r="M104" t="str">
        <f>IFERROR(INDEX(ChartOfAccounts!B103:B188,MATCH($B104,ChartOfAccounts!A103:A188,0)),"")</f>
        <v/>
      </c>
      <c r="N104" t="str">
        <f>IFERROR(INDEX(ChartOfAccounts!D:D,MATCH($B104,ChartOfAccounts!A103:A188,0)),"")</f>
        <v/>
      </c>
      <c r="O104" t="str">
        <f>IFERROR(INDEX(ChartOfAccounts!F:F,MATCH($B104,ChartOfAccounts!A103:A188,0)),"")</f>
        <v/>
      </c>
      <c r="P104" t="str" cm="1">
        <f t="array" ref="P104">IFERROR(INDEX(PreparerInfo!B103:B115,MATCH($D104&amp;$C104,PreparerInfo!A103:A115&amp;PreparerInfo!C103:C115,0)),"")</f>
        <v/>
      </c>
      <c r="Q104" t="str">
        <f>IFERROR(INDEX(Source!B103:B111,MATCH('Case 4 solution'!E104,Source!A103:A111,0)),"")</f>
        <v/>
      </c>
    </row>
    <row r="105" spans="1:17" x14ac:dyDescent="0.3">
      <c r="A105" s="3">
        <v>2033571</v>
      </c>
      <c r="B105">
        <v>11845</v>
      </c>
      <c r="C105">
        <v>1</v>
      </c>
      <c r="D105" s="9">
        <v>102</v>
      </c>
      <c r="E105">
        <v>1002</v>
      </c>
      <c r="F105" s="1">
        <v>44004</v>
      </c>
      <c r="G105" t="s">
        <v>36</v>
      </c>
      <c r="H105" s="4" t="s">
        <v>16</v>
      </c>
      <c r="I105" s="4">
        <v>-308.2</v>
      </c>
      <c r="J105" s="4">
        <v>-308.2</v>
      </c>
      <c r="K105" t="str">
        <f>IFERROR(INDEX(BusinessUnits!$B:$B,MATCH($C105,BusinessUnits!$A:$A,0)),"")</f>
        <v>FOOD SERVICE</v>
      </c>
      <c r="L105" t="str">
        <f>IFERROR(INDEX(Table1[[#All],[Description]],MATCH($C105,BusinessUnits!$A:$A,0)),"")</f>
        <v xml:space="preserve">Transactions related to food and beverage service. Includes all guest transactions in the hotel restaurants, catering-related transactions and food service payroll. </v>
      </c>
      <c r="M105" t="str">
        <f>IFERROR(INDEX(ChartOfAccounts!B104:B189,MATCH($B105,ChartOfAccounts!A104:A189,0)),"")</f>
        <v/>
      </c>
      <c r="N105" t="str">
        <f>IFERROR(INDEX(ChartOfAccounts!D:D,MATCH($B105,ChartOfAccounts!A104:A189,0)),"")</f>
        <v/>
      </c>
      <c r="O105" t="str">
        <f>IFERROR(INDEX(ChartOfAccounts!F:F,MATCH($B105,ChartOfAccounts!A104:A189,0)),"")</f>
        <v/>
      </c>
      <c r="P105" t="str" cm="1">
        <f t="array" ref="P105">IFERROR(INDEX(PreparerInfo!B104:B116,MATCH($D105&amp;$C105,PreparerInfo!A104:A116&amp;PreparerInfo!C104:C116,0)),"")</f>
        <v/>
      </c>
      <c r="Q105" t="str">
        <f>IFERROR(INDEX(Source!B104:B112,MATCH('Case 4 solution'!E105,Source!A104:A112,0)),"")</f>
        <v/>
      </c>
    </row>
    <row r="106" spans="1:17" x14ac:dyDescent="0.3">
      <c r="A106" s="3">
        <v>2033572</v>
      </c>
      <c r="B106">
        <v>11845</v>
      </c>
      <c r="C106">
        <v>1</v>
      </c>
      <c r="D106" s="9">
        <v>106</v>
      </c>
      <c r="E106">
        <v>1003</v>
      </c>
      <c r="F106" s="1">
        <v>44004</v>
      </c>
      <c r="G106" t="s">
        <v>80</v>
      </c>
      <c r="H106" s="4">
        <v>386</v>
      </c>
      <c r="I106" s="4" t="s">
        <v>16</v>
      </c>
      <c r="J106" s="4">
        <v>386</v>
      </c>
      <c r="K106" t="str">
        <f>IFERROR(INDEX(BusinessUnits!$B:$B,MATCH($C106,BusinessUnits!$A:$A,0)),"")</f>
        <v>FOOD SERVICE</v>
      </c>
      <c r="L106" t="str">
        <f>IFERROR(INDEX(Table1[[#All],[Description]],MATCH($C106,BusinessUnits!$A:$A,0)),"")</f>
        <v xml:space="preserve">Transactions related to food and beverage service. Includes all guest transactions in the hotel restaurants, catering-related transactions and food service payroll. </v>
      </c>
      <c r="M106" t="str">
        <f>IFERROR(INDEX(ChartOfAccounts!B105:B190,MATCH($B106,ChartOfAccounts!A105:A190,0)),"")</f>
        <v/>
      </c>
      <c r="N106" t="str">
        <f>IFERROR(INDEX(ChartOfAccounts!D:D,MATCH($B106,ChartOfAccounts!A105:A190,0)),"")</f>
        <v/>
      </c>
      <c r="O106" t="str">
        <f>IFERROR(INDEX(ChartOfAccounts!F:F,MATCH($B106,ChartOfAccounts!A105:A190,0)),"")</f>
        <v/>
      </c>
      <c r="P106" t="str" cm="1">
        <f t="array" ref="P106">IFERROR(INDEX(PreparerInfo!B105:B117,MATCH($D106&amp;$C106,PreparerInfo!A105:A117&amp;PreparerInfo!C105:C117,0)),"")</f>
        <v/>
      </c>
      <c r="Q106" t="str">
        <f>IFERROR(INDEX(Source!B105:B113,MATCH('Case 4 solution'!E106,Source!A105:A113,0)),"")</f>
        <v/>
      </c>
    </row>
    <row r="107" spans="1:17" x14ac:dyDescent="0.3">
      <c r="A107" s="3">
        <v>2033572</v>
      </c>
      <c r="B107">
        <v>43440</v>
      </c>
      <c r="C107">
        <v>1</v>
      </c>
      <c r="D107" s="9">
        <v>106</v>
      </c>
      <c r="E107">
        <v>1003</v>
      </c>
      <c r="F107" s="1">
        <v>44004</v>
      </c>
      <c r="G107" t="s">
        <v>80</v>
      </c>
      <c r="H107" s="4" t="s">
        <v>16</v>
      </c>
      <c r="I107" s="4">
        <v>-386</v>
      </c>
      <c r="J107" s="4">
        <v>-386</v>
      </c>
      <c r="K107" t="str">
        <f>IFERROR(INDEX(BusinessUnits!$B:$B,MATCH($C107,BusinessUnits!$A:$A,0)),"")</f>
        <v>FOOD SERVICE</v>
      </c>
      <c r="L107" t="str">
        <f>IFERROR(INDEX(Table1[[#All],[Description]],MATCH($C107,BusinessUnits!$A:$A,0)),"")</f>
        <v xml:space="preserve">Transactions related to food and beverage service. Includes all guest transactions in the hotel restaurants, catering-related transactions and food service payroll. </v>
      </c>
      <c r="M107" t="str">
        <f>IFERROR(INDEX(ChartOfAccounts!B106:B191,MATCH($B107,ChartOfAccounts!A106:A191,0)),"")</f>
        <v/>
      </c>
      <c r="N107" t="str">
        <f>IFERROR(INDEX(ChartOfAccounts!D:D,MATCH($B107,ChartOfAccounts!A106:A191,0)),"")</f>
        <v/>
      </c>
      <c r="O107" t="str">
        <f>IFERROR(INDEX(ChartOfAccounts!F:F,MATCH($B107,ChartOfAccounts!A106:A191,0)),"")</f>
        <v/>
      </c>
      <c r="P107" t="str" cm="1">
        <f t="array" ref="P107">IFERROR(INDEX(PreparerInfo!B106:B118,MATCH($D107&amp;$C107,PreparerInfo!A106:A118&amp;PreparerInfo!C106:C118,0)),"")</f>
        <v/>
      </c>
      <c r="Q107" t="str">
        <f>IFERROR(INDEX(Source!B106:B114,MATCH('Case 4 solution'!E107,Source!A106:A114,0)),"")</f>
        <v/>
      </c>
    </row>
    <row r="108" spans="1:17" x14ac:dyDescent="0.3">
      <c r="A108" s="3">
        <v>2033573</v>
      </c>
      <c r="B108">
        <v>11845</v>
      </c>
      <c r="C108">
        <v>1</v>
      </c>
      <c r="D108" s="9">
        <v>106</v>
      </c>
      <c r="E108">
        <v>1003</v>
      </c>
      <c r="F108" s="1">
        <v>44004</v>
      </c>
      <c r="G108" t="s">
        <v>80</v>
      </c>
      <c r="H108" s="4">
        <v>393.24</v>
      </c>
      <c r="I108" s="4" t="s">
        <v>16</v>
      </c>
      <c r="J108" s="4">
        <v>393.24</v>
      </c>
      <c r="K108" t="str">
        <f>IFERROR(INDEX(BusinessUnits!$B:$B,MATCH($C108,BusinessUnits!$A:$A,0)),"")</f>
        <v>FOOD SERVICE</v>
      </c>
      <c r="L108" t="str">
        <f>IFERROR(INDEX(Table1[[#All],[Description]],MATCH($C108,BusinessUnits!$A:$A,0)),"")</f>
        <v xml:space="preserve">Transactions related to food and beverage service. Includes all guest transactions in the hotel restaurants, catering-related transactions and food service payroll. </v>
      </c>
      <c r="M108" t="str">
        <f>IFERROR(INDEX(ChartOfAccounts!B107:B192,MATCH($B108,ChartOfAccounts!A107:A192,0)),"")</f>
        <v/>
      </c>
      <c r="N108" t="str">
        <f>IFERROR(INDEX(ChartOfAccounts!D:D,MATCH($B108,ChartOfAccounts!A107:A192,0)),"")</f>
        <v/>
      </c>
      <c r="O108" t="str">
        <f>IFERROR(INDEX(ChartOfAccounts!F:F,MATCH($B108,ChartOfAccounts!A107:A192,0)),"")</f>
        <v/>
      </c>
      <c r="P108" t="str" cm="1">
        <f t="array" ref="P108">IFERROR(INDEX(PreparerInfo!B107:B119,MATCH($D108&amp;$C108,PreparerInfo!A107:A119&amp;PreparerInfo!C107:C119,0)),"")</f>
        <v/>
      </c>
      <c r="Q108" t="str">
        <f>IFERROR(INDEX(Source!B107:B115,MATCH('Case 4 solution'!E108,Source!A107:A115,0)),"")</f>
        <v/>
      </c>
    </row>
    <row r="109" spans="1:17" x14ac:dyDescent="0.3">
      <c r="A109" s="3">
        <v>2033573</v>
      </c>
      <c r="B109">
        <v>43310</v>
      </c>
      <c r="C109">
        <v>1</v>
      </c>
      <c r="D109" s="9">
        <v>106</v>
      </c>
      <c r="E109">
        <v>1003</v>
      </c>
      <c r="F109" s="1">
        <v>44004</v>
      </c>
      <c r="G109" t="s">
        <v>80</v>
      </c>
      <c r="H109" s="4" t="s">
        <v>16</v>
      </c>
      <c r="I109" s="4">
        <v>-393.24</v>
      </c>
      <c r="J109" s="4">
        <v>-393.24</v>
      </c>
      <c r="K109" t="str">
        <f>IFERROR(INDEX(BusinessUnits!$B:$B,MATCH($C109,BusinessUnits!$A:$A,0)),"")</f>
        <v>FOOD SERVICE</v>
      </c>
      <c r="L109" t="str">
        <f>IFERROR(INDEX(Table1[[#All],[Description]],MATCH($C109,BusinessUnits!$A:$A,0)),"")</f>
        <v xml:space="preserve">Transactions related to food and beverage service. Includes all guest transactions in the hotel restaurants, catering-related transactions and food service payroll. </v>
      </c>
      <c r="M109" t="str">
        <f>IFERROR(INDEX(ChartOfAccounts!B108:B193,MATCH($B109,ChartOfAccounts!A108:A193,0)),"")</f>
        <v/>
      </c>
      <c r="N109" t="str">
        <f>IFERROR(INDEX(ChartOfAccounts!D:D,MATCH($B109,ChartOfAccounts!A108:A193,0)),"")</f>
        <v/>
      </c>
      <c r="O109" t="str">
        <f>IFERROR(INDEX(ChartOfAccounts!F:F,MATCH($B109,ChartOfAccounts!A108:A193,0)),"")</f>
        <v/>
      </c>
      <c r="P109" t="str" cm="1">
        <f t="array" ref="P109">IFERROR(INDEX(PreparerInfo!B108:B120,MATCH($D109&amp;$C109,PreparerInfo!A108:A120&amp;PreparerInfo!C108:C120,0)),"")</f>
        <v/>
      </c>
      <c r="Q109" t="str">
        <f>IFERROR(INDEX(Source!B108:B116,MATCH('Case 4 solution'!E109,Source!A108:A116,0)),"")</f>
        <v/>
      </c>
    </row>
    <row r="110" spans="1:17" x14ac:dyDescent="0.3">
      <c r="A110" s="3">
        <v>2033574</v>
      </c>
      <c r="B110">
        <v>11845</v>
      </c>
      <c r="C110">
        <v>1</v>
      </c>
      <c r="D110" s="9">
        <v>106</v>
      </c>
      <c r="E110">
        <v>1003</v>
      </c>
      <c r="F110" s="1">
        <v>44004</v>
      </c>
      <c r="G110" t="s">
        <v>80</v>
      </c>
      <c r="H110" s="4">
        <v>566.70000000000005</v>
      </c>
      <c r="I110" s="4" t="s">
        <v>16</v>
      </c>
      <c r="J110" s="4">
        <v>566.70000000000005</v>
      </c>
      <c r="K110" t="str">
        <f>IFERROR(INDEX(BusinessUnits!$B:$B,MATCH($C110,BusinessUnits!$A:$A,0)),"")</f>
        <v>FOOD SERVICE</v>
      </c>
      <c r="L110" t="str">
        <f>IFERROR(INDEX(Table1[[#All],[Description]],MATCH($C110,BusinessUnits!$A:$A,0)),"")</f>
        <v xml:space="preserve">Transactions related to food and beverage service. Includes all guest transactions in the hotel restaurants, catering-related transactions and food service payroll. </v>
      </c>
      <c r="M110" t="str">
        <f>IFERROR(INDEX(ChartOfAccounts!B109:B194,MATCH($B110,ChartOfAccounts!A109:A194,0)),"")</f>
        <v/>
      </c>
      <c r="N110" t="str">
        <f>IFERROR(INDEX(ChartOfAccounts!D:D,MATCH($B110,ChartOfAccounts!A109:A194,0)),"")</f>
        <v/>
      </c>
      <c r="O110" t="str">
        <f>IFERROR(INDEX(ChartOfAccounts!F:F,MATCH($B110,ChartOfAccounts!A109:A194,0)),"")</f>
        <v/>
      </c>
      <c r="P110" t="str" cm="1">
        <f t="array" ref="P110">IFERROR(INDEX(PreparerInfo!B109:B121,MATCH($D110&amp;$C110,PreparerInfo!A109:A121&amp;PreparerInfo!C109:C121,0)),"")</f>
        <v/>
      </c>
      <c r="Q110" t="str">
        <f>IFERROR(INDEX(Source!B109:B117,MATCH('Case 4 solution'!E110,Source!A109:A117,0)),"")</f>
        <v/>
      </c>
    </row>
    <row r="111" spans="1:17" x14ac:dyDescent="0.3">
      <c r="A111" s="3">
        <v>2033574</v>
      </c>
      <c r="B111">
        <v>43310</v>
      </c>
      <c r="C111">
        <v>1</v>
      </c>
      <c r="D111" s="9">
        <v>106</v>
      </c>
      <c r="E111">
        <v>1003</v>
      </c>
      <c r="F111" s="1">
        <v>44004</v>
      </c>
      <c r="G111" t="s">
        <v>80</v>
      </c>
      <c r="H111" s="4" t="s">
        <v>16</v>
      </c>
      <c r="I111" s="4">
        <v>-566.70000000000005</v>
      </c>
      <c r="J111" s="4">
        <v>-566.70000000000005</v>
      </c>
      <c r="K111" t="str">
        <f>IFERROR(INDEX(BusinessUnits!$B:$B,MATCH($C111,BusinessUnits!$A:$A,0)),"")</f>
        <v>FOOD SERVICE</v>
      </c>
      <c r="L111" t="str">
        <f>IFERROR(INDEX(Table1[[#All],[Description]],MATCH($C111,BusinessUnits!$A:$A,0)),"")</f>
        <v xml:space="preserve">Transactions related to food and beverage service. Includes all guest transactions in the hotel restaurants, catering-related transactions and food service payroll. </v>
      </c>
      <c r="M111" t="str">
        <f>IFERROR(INDEX(ChartOfAccounts!B110:B195,MATCH($B111,ChartOfAccounts!A110:A195,0)),"")</f>
        <v/>
      </c>
      <c r="N111" t="str">
        <f>IFERROR(INDEX(ChartOfAccounts!D:D,MATCH($B111,ChartOfAccounts!A110:A195,0)),"")</f>
        <v/>
      </c>
      <c r="O111" t="str">
        <f>IFERROR(INDEX(ChartOfAccounts!F:F,MATCH($B111,ChartOfAccounts!A110:A195,0)),"")</f>
        <v/>
      </c>
      <c r="P111" t="str" cm="1">
        <f t="array" ref="P111">IFERROR(INDEX(PreparerInfo!B110:B122,MATCH($D111&amp;$C111,PreparerInfo!A110:A122&amp;PreparerInfo!C110:C122,0)),"")</f>
        <v/>
      </c>
      <c r="Q111" t="str">
        <f>IFERROR(INDEX(Source!B110:B118,MATCH('Case 4 solution'!E111,Source!A110:A118,0)),"")</f>
        <v/>
      </c>
    </row>
    <row r="112" spans="1:17" x14ac:dyDescent="0.3">
      <c r="A112" s="3">
        <v>2033575</v>
      </c>
      <c r="B112">
        <v>71740</v>
      </c>
      <c r="C112">
        <v>1</v>
      </c>
      <c r="D112" s="9">
        <v>101</v>
      </c>
      <c r="E112">
        <v>1002</v>
      </c>
      <c r="F112" s="1">
        <v>44004</v>
      </c>
      <c r="G112" t="s">
        <v>82</v>
      </c>
      <c r="H112" s="4">
        <v>579.15</v>
      </c>
      <c r="I112" s="4" t="s">
        <v>16</v>
      </c>
      <c r="J112" s="4">
        <v>579.15</v>
      </c>
      <c r="K112" t="str">
        <f>IFERROR(INDEX(BusinessUnits!$B:$B,MATCH($C112,BusinessUnits!$A:$A,0)),"")</f>
        <v>FOOD SERVICE</v>
      </c>
      <c r="L112" t="str">
        <f>IFERROR(INDEX(Table1[[#All],[Description]],MATCH($C112,BusinessUnits!$A:$A,0)),"")</f>
        <v xml:space="preserve">Transactions related to food and beverage service. Includes all guest transactions in the hotel restaurants, catering-related transactions and food service payroll. </v>
      </c>
      <c r="M112" t="str">
        <f>IFERROR(INDEX(ChartOfAccounts!B111:B196,MATCH($B112,ChartOfAccounts!A111:A196,0)),"")</f>
        <v/>
      </c>
      <c r="N112" t="str">
        <f>IFERROR(INDEX(ChartOfAccounts!D:D,MATCH($B112,ChartOfAccounts!A111:A196,0)),"")</f>
        <v/>
      </c>
      <c r="O112" t="str">
        <f>IFERROR(INDEX(ChartOfAccounts!F:F,MATCH($B112,ChartOfAccounts!A111:A196,0)),"")</f>
        <v/>
      </c>
      <c r="P112" t="str" cm="1">
        <f t="array" ref="P112">IFERROR(INDEX(PreparerInfo!B111:B123,MATCH($D112&amp;$C112,PreparerInfo!A111:A123&amp;PreparerInfo!C111:C123,0)),"")</f>
        <v/>
      </c>
      <c r="Q112" t="str">
        <f>IFERROR(INDEX(Source!B111:B119,MATCH('Case 4 solution'!E112,Source!A111:A119,0)),"")</f>
        <v/>
      </c>
    </row>
    <row r="113" spans="1:17" x14ac:dyDescent="0.3">
      <c r="A113" s="3">
        <v>2033575</v>
      </c>
      <c r="B113">
        <v>11845</v>
      </c>
      <c r="C113">
        <v>1</v>
      </c>
      <c r="D113" s="9">
        <v>101</v>
      </c>
      <c r="E113">
        <v>1002</v>
      </c>
      <c r="F113" s="1">
        <v>44004</v>
      </c>
      <c r="G113" t="s">
        <v>82</v>
      </c>
      <c r="H113" s="4" t="s">
        <v>16</v>
      </c>
      <c r="I113" s="4">
        <v>-579.15</v>
      </c>
      <c r="J113" s="4">
        <v>-579.15</v>
      </c>
      <c r="K113" t="str">
        <f>IFERROR(INDEX(BusinessUnits!$B:$B,MATCH($C113,BusinessUnits!$A:$A,0)),"")</f>
        <v>FOOD SERVICE</v>
      </c>
      <c r="L113" t="str">
        <f>IFERROR(INDEX(Table1[[#All],[Description]],MATCH($C113,BusinessUnits!$A:$A,0)),"")</f>
        <v xml:space="preserve">Transactions related to food and beverage service. Includes all guest transactions in the hotel restaurants, catering-related transactions and food service payroll. </v>
      </c>
      <c r="M113" t="str">
        <f>IFERROR(INDEX(ChartOfAccounts!B112:B197,MATCH($B113,ChartOfAccounts!A112:A197,0)),"")</f>
        <v/>
      </c>
      <c r="N113" t="str">
        <f>IFERROR(INDEX(ChartOfAccounts!D:D,MATCH($B113,ChartOfAccounts!A112:A197,0)),"")</f>
        <v/>
      </c>
      <c r="O113" t="str">
        <f>IFERROR(INDEX(ChartOfAccounts!F:F,MATCH($B113,ChartOfAccounts!A112:A197,0)),"")</f>
        <v/>
      </c>
      <c r="P113" t="str" cm="1">
        <f t="array" ref="P113">IFERROR(INDEX(PreparerInfo!B112:B124,MATCH($D113&amp;$C113,PreparerInfo!A112:A124&amp;PreparerInfo!C112:C124,0)),"")</f>
        <v/>
      </c>
      <c r="Q113" t="str">
        <f>IFERROR(INDEX(Source!B112:B120,MATCH('Case 4 solution'!E113,Source!A112:A120,0)),"")</f>
        <v/>
      </c>
    </row>
    <row r="114" spans="1:17" x14ac:dyDescent="0.3">
      <c r="A114" s="3">
        <v>2033576</v>
      </c>
      <c r="B114">
        <v>72725</v>
      </c>
      <c r="C114">
        <v>1</v>
      </c>
      <c r="D114" s="9">
        <v>101</v>
      </c>
      <c r="E114">
        <v>1002</v>
      </c>
      <c r="F114" s="1">
        <v>44004</v>
      </c>
      <c r="G114" t="s">
        <v>177</v>
      </c>
      <c r="H114" s="4">
        <v>695</v>
      </c>
      <c r="I114" s="4" t="s">
        <v>16</v>
      </c>
      <c r="J114" s="4">
        <v>695</v>
      </c>
      <c r="K114" t="str">
        <f>IFERROR(INDEX(BusinessUnits!$B:$B,MATCH($C114,BusinessUnits!$A:$A,0)),"")</f>
        <v>FOOD SERVICE</v>
      </c>
      <c r="L114" t="str">
        <f>IFERROR(INDEX(Table1[[#All],[Description]],MATCH($C114,BusinessUnits!$A:$A,0)),"")</f>
        <v xml:space="preserve">Transactions related to food and beverage service. Includes all guest transactions in the hotel restaurants, catering-related transactions and food service payroll. </v>
      </c>
      <c r="M114" t="str">
        <f>IFERROR(INDEX(ChartOfAccounts!B113:B198,MATCH($B114,ChartOfAccounts!A113:A198,0)),"")</f>
        <v/>
      </c>
      <c r="N114" t="str">
        <f>IFERROR(INDEX(ChartOfAccounts!D:D,MATCH($B114,ChartOfAccounts!A113:A198,0)),"")</f>
        <v/>
      </c>
      <c r="O114" t="str">
        <f>IFERROR(INDEX(ChartOfAccounts!F:F,MATCH($B114,ChartOfAccounts!A113:A198,0)),"")</f>
        <v/>
      </c>
      <c r="P114" t="str" cm="1">
        <f t="array" ref="P114">IFERROR(INDEX(PreparerInfo!B113:B125,MATCH($D114&amp;$C114,PreparerInfo!A113:A125&amp;PreparerInfo!C113:C125,0)),"")</f>
        <v/>
      </c>
      <c r="Q114" t="str">
        <f>IFERROR(INDEX(Source!B113:B121,MATCH('Case 4 solution'!E114,Source!A113:A121,0)),"")</f>
        <v/>
      </c>
    </row>
    <row r="115" spans="1:17" x14ac:dyDescent="0.3">
      <c r="A115" s="3">
        <v>2033576</v>
      </c>
      <c r="B115">
        <v>11845</v>
      </c>
      <c r="C115">
        <v>1</v>
      </c>
      <c r="D115" s="9">
        <v>101</v>
      </c>
      <c r="E115">
        <v>1002</v>
      </c>
      <c r="F115" s="1">
        <v>44004</v>
      </c>
      <c r="G115" t="s">
        <v>177</v>
      </c>
      <c r="H115" s="4" t="s">
        <v>16</v>
      </c>
      <c r="I115" s="4">
        <v>-695</v>
      </c>
      <c r="J115" s="4">
        <v>-695</v>
      </c>
      <c r="K115" t="str">
        <f>IFERROR(INDEX(BusinessUnits!$B:$B,MATCH($C115,BusinessUnits!$A:$A,0)),"")</f>
        <v>FOOD SERVICE</v>
      </c>
      <c r="L115" t="str">
        <f>IFERROR(INDEX(Table1[[#All],[Description]],MATCH($C115,BusinessUnits!$A:$A,0)),"")</f>
        <v xml:space="preserve">Transactions related to food and beverage service. Includes all guest transactions in the hotel restaurants, catering-related transactions and food service payroll. </v>
      </c>
      <c r="M115" t="str">
        <f>IFERROR(INDEX(ChartOfAccounts!B114:B199,MATCH($B115,ChartOfAccounts!A114:A199,0)),"")</f>
        <v/>
      </c>
      <c r="N115" t="str">
        <f>IFERROR(INDEX(ChartOfAccounts!D:D,MATCH($B115,ChartOfAccounts!A114:A199,0)),"")</f>
        <v/>
      </c>
      <c r="O115" t="str">
        <f>IFERROR(INDEX(ChartOfAccounts!F:F,MATCH($B115,ChartOfAccounts!A114:A199,0)),"")</f>
        <v/>
      </c>
      <c r="P115" t="str" cm="1">
        <f t="array" ref="P115">IFERROR(INDEX(PreparerInfo!B114:B126,MATCH($D115&amp;$C115,PreparerInfo!A114:A126&amp;PreparerInfo!C114:C126,0)),"")</f>
        <v/>
      </c>
      <c r="Q115" t="str">
        <f>IFERROR(INDEX(Source!B114:B122,MATCH('Case 4 solution'!E115,Source!A114:A122,0)),"")</f>
        <v/>
      </c>
    </row>
    <row r="116" spans="1:17" x14ac:dyDescent="0.3">
      <c r="A116" s="3">
        <v>2033577</v>
      </c>
      <c r="B116">
        <v>11845</v>
      </c>
      <c r="C116">
        <v>1</v>
      </c>
      <c r="D116" s="9">
        <v>102</v>
      </c>
      <c r="E116">
        <v>1001</v>
      </c>
      <c r="F116" s="1">
        <v>44004</v>
      </c>
      <c r="G116" t="s">
        <v>41</v>
      </c>
      <c r="H116" s="4">
        <v>714.13</v>
      </c>
      <c r="I116" s="4" t="s">
        <v>16</v>
      </c>
      <c r="J116" s="4">
        <v>714.13</v>
      </c>
      <c r="K116" t="str">
        <f>IFERROR(INDEX(BusinessUnits!$B:$B,MATCH($C116,BusinessUnits!$A:$A,0)),"")</f>
        <v>FOOD SERVICE</v>
      </c>
      <c r="L116" t="str">
        <f>IFERROR(INDEX(Table1[[#All],[Description]],MATCH($C116,BusinessUnits!$A:$A,0)),"")</f>
        <v xml:space="preserve">Transactions related to food and beverage service. Includes all guest transactions in the hotel restaurants, catering-related transactions and food service payroll. </v>
      </c>
      <c r="M116" t="str">
        <f>IFERROR(INDEX(ChartOfAccounts!B115:B200,MATCH($B116,ChartOfAccounts!A115:A200,0)),"")</f>
        <v/>
      </c>
      <c r="N116" t="str">
        <f>IFERROR(INDEX(ChartOfAccounts!D:D,MATCH($B116,ChartOfAccounts!A115:A200,0)),"")</f>
        <v/>
      </c>
      <c r="O116" t="str">
        <f>IFERROR(INDEX(ChartOfAccounts!F:F,MATCH($B116,ChartOfAccounts!A115:A200,0)),"")</f>
        <v/>
      </c>
      <c r="P116" t="str" cm="1">
        <f t="array" ref="P116">IFERROR(INDEX(PreparerInfo!B115:B127,MATCH($D116&amp;$C116,PreparerInfo!A115:A127&amp;PreparerInfo!C115:C127,0)),"")</f>
        <v/>
      </c>
      <c r="Q116" t="str">
        <f>IFERROR(INDEX(Source!B115:B123,MATCH('Case 4 solution'!E116,Source!A115:A123,0)),"")</f>
        <v/>
      </c>
    </row>
    <row r="117" spans="1:17" x14ac:dyDescent="0.3">
      <c r="A117" s="3">
        <v>2033577</v>
      </c>
      <c r="B117">
        <v>43310</v>
      </c>
      <c r="C117">
        <v>1</v>
      </c>
      <c r="D117" s="9">
        <v>102</v>
      </c>
      <c r="E117">
        <v>1001</v>
      </c>
      <c r="F117" s="1">
        <v>44004</v>
      </c>
      <c r="G117" t="s">
        <v>41</v>
      </c>
      <c r="H117" s="4" t="s">
        <v>16</v>
      </c>
      <c r="I117" s="4">
        <v>-714.13</v>
      </c>
      <c r="J117" s="4">
        <v>-714.13</v>
      </c>
      <c r="K117" t="str">
        <f>IFERROR(INDEX(BusinessUnits!$B:$B,MATCH($C117,BusinessUnits!$A:$A,0)),"")</f>
        <v>FOOD SERVICE</v>
      </c>
      <c r="L117" t="str">
        <f>IFERROR(INDEX(Table1[[#All],[Description]],MATCH($C117,BusinessUnits!$A:$A,0)),"")</f>
        <v xml:space="preserve">Transactions related to food and beverage service. Includes all guest transactions in the hotel restaurants, catering-related transactions and food service payroll. </v>
      </c>
      <c r="M117" t="str">
        <f>IFERROR(INDEX(ChartOfAccounts!B116:B201,MATCH($B117,ChartOfAccounts!A116:A201,0)),"")</f>
        <v/>
      </c>
      <c r="N117" t="str">
        <f>IFERROR(INDEX(ChartOfAccounts!D:D,MATCH($B117,ChartOfAccounts!A116:A201,0)),"")</f>
        <v/>
      </c>
      <c r="O117" t="str">
        <f>IFERROR(INDEX(ChartOfAccounts!F:F,MATCH($B117,ChartOfAccounts!A116:A201,0)),"")</f>
        <v/>
      </c>
      <c r="P117" t="str" cm="1">
        <f t="array" ref="P117">IFERROR(INDEX(PreparerInfo!B116:B128,MATCH($D117&amp;$C117,PreparerInfo!A116:A128&amp;PreparerInfo!C116:C128,0)),"")</f>
        <v/>
      </c>
      <c r="Q117" t="str">
        <f>IFERROR(INDEX(Source!B116:B124,MATCH('Case 4 solution'!E117,Source!A116:A124,0)),"")</f>
        <v/>
      </c>
    </row>
    <row r="118" spans="1:17" x14ac:dyDescent="0.3">
      <c r="A118" s="3">
        <v>2033578</v>
      </c>
      <c r="B118">
        <v>71500</v>
      </c>
      <c r="C118">
        <v>6</v>
      </c>
      <c r="D118" s="9">
        <v>101</v>
      </c>
      <c r="E118">
        <v>1002</v>
      </c>
      <c r="F118" s="1">
        <v>44004</v>
      </c>
      <c r="G118" t="s">
        <v>187</v>
      </c>
      <c r="H118" s="4">
        <v>740</v>
      </c>
      <c r="I118" s="4" t="s">
        <v>16</v>
      </c>
      <c r="J118" s="4">
        <v>740</v>
      </c>
      <c r="K118" t="str">
        <f>IFERROR(INDEX(BusinessUnits!$B:$B,MATCH($C118,BusinessUnits!$A:$A,0)),"")</f>
        <v>MAINTENANCE</v>
      </c>
      <c r="L118" t="str">
        <f>IFERROR(INDEX(Table1[[#All],[Description]],MATCH($C118,BusinessUnits!$A:$A,0)),"")</f>
        <v>Transactions related to the hotel Maintenance Department. Primarily includes payroll for maintenance, grounds keepers and related supplies.</v>
      </c>
      <c r="M118" t="str">
        <f>IFERROR(INDEX(ChartOfAccounts!B117:B202,MATCH($B118,ChartOfAccounts!A117:A202,0)),"")</f>
        <v/>
      </c>
      <c r="N118" t="str">
        <f>IFERROR(INDEX(ChartOfAccounts!D:D,MATCH($B118,ChartOfAccounts!A117:A202,0)),"")</f>
        <v/>
      </c>
      <c r="O118" t="str">
        <f>IFERROR(INDEX(ChartOfAccounts!F:F,MATCH($B118,ChartOfAccounts!A117:A202,0)),"")</f>
        <v/>
      </c>
      <c r="P118" t="str" cm="1">
        <f t="array" ref="P118">IFERROR(INDEX(PreparerInfo!B117:B129,MATCH($D118&amp;$C118,PreparerInfo!A117:A129&amp;PreparerInfo!C117:C129,0)),"")</f>
        <v/>
      </c>
      <c r="Q118" t="str">
        <f>IFERROR(INDEX(Source!B117:B125,MATCH('Case 4 solution'!E118,Source!A117:A125,0)),"")</f>
        <v/>
      </c>
    </row>
    <row r="119" spans="1:17" x14ac:dyDescent="0.3">
      <c r="A119" s="3">
        <v>2033578</v>
      </c>
      <c r="B119">
        <v>11845</v>
      </c>
      <c r="C119">
        <v>6</v>
      </c>
      <c r="D119" s="9">
        <v>101</v>
      </c>
      <c r="E119">
        <v>1002</v>
      </c>
      <c r="F119" s="1">
        <v>44004</v>
      </c>
      <c r="G119" t="s">
        <v>187</v>
      </c>
      <c r="H119" s="4" t="s">
        <v>16</v>
      </c>
      <c r="I119" s="4">
        <v>-740</v>
      </c>
      <c r="J119" s="4">
        <v>-740</v>
      </c>
      <c r="K119" t="str">
        <f>IFERROR(INDEX(BusinessUnits!$B:$B,MATCH($C119,BusinessUnits!$A:$A,0)),"")</f>
        <v>MAINTENANCE</v>
      </c>
      <c r="L119" t="str">
        <f>IFERROR(INDEX(Table1[[#All],[Description]],MATCH($C119,BusinessUnits!$A:$A,0)),"")</f>
        <v>Transactions related to the hotel Maintenance Department. Primarily includes payroll for maintenance, grounds keepers and related supplies.</v>
      </c>
      <c r="M119" t="str">
        <f>IFERROR(INDEX(ChartOfAccounts!B118:B203,MATCH($B119,ChartOfAccounts!A118:A203,0)),"")</f>
        <v/>
      </c>
      <c r="N119" t="str">
        <f>IFERROR(INDEX(ChartOfAccounts!D:D,MATCH($B119,ChartOfAccounts!A118:A203,0)),"")</f>
        <v/>
      </c>
      <c r="O119" t="str">
        <f>IFERROR(INDEX(ChartOfAccounts!F:F,MATCH($B119,ChartOfAccounts!A118:A203,0)),"")</f>
        <v/>
      </c>
      <c r="P119" t="str" cm="1">
        <f t="array" ref="P119">IFERROR(INDEX(PreparerInfo!B118:B130,MATCH($D119&amp;$C119,PreparerInfo!A118:A130&amp;PreparerInfo!C118:C130,0)),"")</f>
        <v/>
      </c>
      <c r="Q119" t="str">
        <f>IFERROR(INDEX(Source!B118:B126,MATCH('Case 4 solution'!E119,Source!A118:A126,0)),"")</f>
        <v/>
      </c>
    </row>
    <row r="120" spans="1:17" x14ac:dyDescent="0.3">
      <c r="A120" s="3">
        <v>2033579</v>
      </c>
      <c r="B120">
        <v>11845</v>
      </c>
      <c r="C120">
        <v>2</v>
      </c>
      <c r="D120" s="9">
        <v>104</v>
      </c>
      <c r="E120">
        <v>1003</v>
      </c>
      <c r="F120" s="1">
        <v>44004</v>
      </c>
      <c r="G120" t="s">
        <v>227</v>
      </c>
      <c r="H120" s="4">
        <v>774</v>
      </c>
      <c r="I120" s="4" t="s">
        <v>16</v>
      </c>
      <c r="J120" s="4">
        <v>774</v>
      </c>
      <c r="K120" t="str">
        <f>IFERROR(INDEX(BusinessUnits!$B:$B,MATCH($C120,BusinessUnits!$A:$A,0)),"")</f>
        <v>HOTEL</v>
      </c>
      <c r="L120" t="str">
        <f>IFERROR(INDEX(Table1[[#All],[Description]],MATCH($C120,BusinessUnits!$A:$A,0)),"")</f>
        <v xml:space="preserve">Transactions related to guest rooms and overall hotel operations. Includes payroll for administrative staff, clerks and interns. </v>
      </c>
      <c r="M120" t="str">
        <f>IFERROR(INDEX(ChartOfAccounts!B119:B204,MATCH($B120,ChartOfAccounts!A119:A204,0)),"")</f>
        <v/>
      </c>
      <c r="N120" t="str">
        <f>IFERROR(INDEX(ChartOfAccounts!D:D,MATCH($B120,ChartOfAccounts!A119:A204,0)),"")</f>
        <v/>
      </c>
      <c r="O120" t="str">
        <f>IFERROR(INDEX(ChartOfAccounts!F:F,MATCH($B120,ChartOfAccounts!A119:A204,0)),"")</f>
        <v/>
      </c>
      <c r="P120" t="str" cm="1">
        <f t="array" ref="P120">IFERROR(INDEX(PreparerInfo!B119:B131,MATCH($D120&amp;$C120,PreparerInfo!A119:A131&amp;PreparerInfo!C119:C131,0)),"")</f>
        <v/>
      </c>
      <c r="Q120" t="str">
        <f>IFERROR(INDEX(Source!B119:B127,MATCH('Case 4 solution'!E120,Source!A119:A127,0)),"")</f>
        <v/>
      </c>
    </row>
    <row r="121" spans="1:17" x14ac:dyDescent="0.3">
      <c r="A121" s="3">
        <v>2033579</v>
      </c>
      <c r="B121">
        <v>43180</v>
      </c>
      <c r="C121">
        <v>2</v>
      </c>
      <c r="D121" s="9">
        <v>104</v>
      </c>
      <c r="E121">
        <v>1003</v>
      </c>
      <c r="F121" s="1">
        <v>44004</v>
      </c>
      <c r="G121" t="s">
        <v>227</v>
      </c>
      <c r="H121" s="4" t="s">
        <v>16</v>
      </c>
      <c r="I121" s="4">
        <v>-774</v>
      </c>
      <c r="J121" s="4">
        <v>-774</v>
      </c>
      <c r="K121" t="str">
        <f>IFERROR(INDEX(BusinessUnits!$B:$B,MATCH($C121,BusinessUnits!$A:$A,0)),"")</f>
        <v>HOTEL</v>
      </c>
      <c r="L121" t="str">
        <f>IFERROR(INDEX(Table1[[#All],[Description]],MATCH($C121,BusinessUnits!$A:$A,0)),"")</f>
        <v xml:space="preserve">Transactions related to guest rooms and overall hotel operations. Includes payroll for administrative staff, clerks and interns. </v>
      </c>
      <c r="M121" t="str">
        <f>IFERROR(INDEX(ChartOfAccounts!B120:B205,MATCH($B121,ChartOfAccounts!A120:A205,0)),"")</f>
        <v/>
      </c>
      <c r="N121" t="str">
        <f>IFERROR(INDEX(ChartOfAccounts!D:D,MATCH($B121,ChartOfAccounts!A120:A205,0)),"")</f>
        <v/>
      </c>
      <c r="O121" t="str">
        <f>IFERROR(INDEX(ChartOfAccounts!F:F,MATCH($B121,ChartOfAccounts!A120:A205,0)),"")</f>
        <v/>
      </c>
      <c r="P121" t="str" cm="1">
        <f t="array" ref="P121">IFERROR(INDEX(PreparerInfo!B120:B132,MATCH($D121&amp;$C121,PreparerInfo!A120:A132&amp;PreparerInfo!C120:C132,0)),"")</f>
        <v/>
      </c>
      <c r="Q121" t="str">
        <f>IFERROR(INDEX(Source!B120:B128,MATCH('Case 4 solution'!E121,Source!A120:A128,0)),"")</f>
        <v/>
      </c>
    </row>
    <row r="122" spans="1:17" x14ac:dyDescent="0.3">
      <c r="A122" s="3">
        <v>2033580</v>
      </c>
      <c r="B122">
        <v>72760</v>
      </c>
      <c r="C122">
        <v>1</v>
      </c>
      <c r="D122" s="9">
        <v>101</v>
      </c>
      <c r="E122">
        <v>1002</v>
      </c>
      <c r="F122" s="1">
        <v>44004</v>
      </c>
      <c r="G122" t="s">
        <v>164</v>
      </c>
      <c r="H122" s="4">
        <v>900</v>
      </c>
      <c r="I122" s="4" t="s">
        <v>16</v>
      </c>
      <c r="J122" s="4">
        <v>900</v>
      </c>
      <c r="K122" t="str">
        <f>IFERROR(INDEX(BusinessUnits!$B:$B,MATCH($C122,BusinessUnits!$A:$A,0)),"")</f>
        <v>FOOD SERVICE</v>
      </c>
      <c r="L122" t="str">
        <f>IFERROR(INDEX(Table1[[#All],[Description]],MATCH($C122,BusinessUnits!$A:$A,0)),"")</f>
        <v xml:space="preserve">Transactions related to food and beverage service. Includes all guest transactions in the hotel restaurants, catering-related transactions and food service payroll. </v>
      </c>
      <c r="M122" t="str">
        <f>IFERROR(INDEX(ChartOfAccounts!B121:B206,MATCH($B122,ChartOfAccounts!A121:A206,0)),"")</f>
        <v/>
      </c>
      <c r="N122" t="str">
        <f>IFERROR(INDEX(ChartOfAccounts!D:D,MATCH($B122,ChartOfAccounts!A121:A206,0)),"")</f>
        <v/>
      </c>
      <c r="O122" t="str">
        <f>IFERROR(INDEX(ChartOfAccounts!F:F,MATCH($B122,ChartOfAccounts!A121:A206,0)),"")</f>
        <v/>
      </c>
      <c r="P122" t="str" cm="1">
        <f t="array" ref="P122">IFERROR(INDEX(PreparerInfo!B121:B133,MATCH($D122&amp;$C122,PreparerInfo!A121:A133&amp;PreparerInfo!C121:C133,0)),"")</f>
        <v/>
      </c>
      <c r="Q122" t="str">
        <f>IFERROR(INDEX(Source!B121:B129,MATCH('Case 4 solution'!E122,Source!A121:A129,0)),"")</f>
        <v/>
      </c>
    </row>
    <row r="123" spans="1:17" x14ac:dyDescent="0.3">
      <c r="A123" s="3">
        <v>2033580</v>
      </c>
      <c r="B123">
        <v>11845</v>
      </c>
      <c r="C123">
        <v>1</v>
      </c>
      <c r="D123" s="9">
        <v>101</v>
      </c>
      <c r="E123">
        <v>1002</v>
      </c>
      <c r="F123" s="1">
        <v>44004</v>
      </c>
      <c r="G123" t="s">
        <v>164</v>
      </c>
      <c r="H123" s="4" t="s">
        <v>16</v>
      </c>
      <c r="I123" s="4">
        <v>-900</v>
      </c>
      <c r="J123" s="4">
        <v>-900</v>
      </c>
      <c r="K123" t="str">
        <f>IFERROR(INDEX(BusinessUnits!$B:$B,MATCH($C123,BusinessUnits!$A:$A,0)),"")</f>
        <v>FOOD SERVICE</v>
      </c>
      <c r="L123" t="str">
        <f>IFERROR(INDEX(Table1[[#All],[Description]],MATCH($C123,BusinessUnits!$A:$A,0)),"")</f>
        <v xml:space="preserve">Transactions related to food and beverage service. Includes all guest transactions in the hotel restaurants, catering-related transactions and food service payroll. </v>
      </c>
      <c r="M123" t="str">
        <f>IFERROR(INDEX(ChartOfAccounts!B122:B207,MATCH($B123,ChartOfAccounts!A122:A207,0)),"")</f>
        <v/>
      </c>
      <c r="N123" t="str">
        <f>IFERROR(INDEX(ChartOfAccounts!D:D,MATCH($B123,ChartOfAccounts!A122:A207,0)),"")</f>
        <v/>
      </c>
      <c r="O123" t="str">
        <f>IFERROR(INDEX(ChartOfAccounts!F:F,MATCH($B123,ChartOfAccounts!A122:A207,0)),"")</f>
        <v/>
      </c>
      <c r="P123" t="str" cm="1">
        <f t="array" ref="P123">IFERROR(INDEX(PreparerInfo!B122:B134,MATCH($D123&amp;$C123,PreparerInfo!A122:A134&amp;PreparerInfo!C122:C134,0)),"")</f>
        <v/>
      </c>
      <c r="Q123" t="str">
        <f>IFERROR(INDEX(Source!B122:B130,MATCH('Case 4 solution'!E123,Source!A122:A130,0)),"")</f>
        <v/>
      </c>
    </row>
    <row r="124" spans="1:17" x14ac:dyDescent="0.3">
      <c r="A124" s="3">
        <v>2033581</v>
      </c>
      <c r="B124">
        <v>11845</v>
      </c>
      <c r="C124">
        <v>1</v>
      </c>
      <c r="D124" s="9">
        <v>106</v>
      </c>
      <c r="E124">
        <v>1003</v>
      </c>
      <c r="F124" s="1">
        <v>44004</v>
      </c>
      <c r="G124" t="s">
        <v>80</v>
      </c>
      <c r="H124" s="4">
        <v>1408.75</v>
      </c>
      <c r="I124" s="4" t="s">
        <v>16</v>
      </c>
      <c r="J124" s="4">
        <v>1408.75</v>
      </c>
      <c r="K124" t="str">
        <f>IFERROR(INDEX(BusinessUnits!$B:$B,MATCH($C124,BusinessUnits!$A:$A,0)),"")</f>
        <v>FOOD SERVICE</v>
      </c>
      <c r="L124" t="str">
        <f>IFERROR(INDEX(Table1[[#All],[Description]],MATCH($C124,BusinessUnits!$A:$A,0)),"")</f>
        <v xml:space="preserve">Transactions related to food and beverage service. Includes all guest transactions in the hotel restaurants, catering-related transactions and food service payroll. </v>
      </c>
      <c r="M124" t="str">
        <f>IFERROR(INDEX(ChartOfAccounts!B123:B208,MATCH($B124,ChartOfAccounts!A123:A208,0)),"")</f>
        <v/>
      </c>
      <c r="N124" t="str">
        <f>IFERROR(INDEX(ChartOfAccounts!D:D,MATCH($B124,ChartOfAccounts!A123:A208,0)),"")</f>
        <v/>
      </c>
      <c r="O124" t="str">
        <f>IFERROR(INDEX(ChartOfAccounts!F:F,MATCH($B124,ChartOfAccounts!A123:A208,0)),"")</f>
        <v/>
      </c>
      <c r="P124" t="str" cm="1">
        <f t="array" ref="P124">IFERROR(INDEX(PreparerInfo!B123:B135,MATCH($D124&amp;$C124,PreparerInfo!A123:A135&amp;PreparerInfo!C123:C135,0)),"")</f>
        <v/>
      </c>
      <c r="Q124" t="str">
        <f>IFERROR(INDEX(Source!B123:B131,MATCH('Case 4 solution'!E124,Source!A123:A131,0)),"")</f>
        <v/>
      </c>
    </row>
    <row r="125" spans="1:17" x14ac:dyDescent="0.3">
      <c r="A125" s="3">
        <v>2033581</v>
      </c>
      <c r="B125">
        <v>43440</v>
      </c>
      <c r="C125">
        <v>1</v>
      </c>
      <c r="D125" s="9">
        <v>106</v>
      </c>
      <c r="E125">
        <v>1003</v>
      </c>
      <c r="F125" s="1">
        <v>44004</v>
      </c>
      <c r="G125" t="s">
        <v>80</v>
      </c>
      <c r="H125" s="4" t="s">
        <v>16</v>
      </c>
      <c r="I125" s="4">
        <v>-1408.75</v>
      </c>
      <c r="J125" s="4">
        <v>-1408.75</v>
      </c>
      <c r="K125" t="str">
        <f>IFERROR(INDEX(BusinessUnits!$B:$B,MATCH($C125,BusinessUnits!$A:$A,0)),"")</f>
        <v>FOOD SERVICE</v>
      </c>
      <c r="L125" t="str">
        <f>IFERROR(INDEX(Table1[[#All],[Description]],MATCH($C125,BusinessUnits!$A:$A,0)),"")</f>
        <v xml:space="preserve">Transactions related to food and beverage service. Includes all guest transactions in the hotel restaurants, catering-related transactions and food service payroll. </v>
      </c>
      <c r="M125" t="str">
        <f>IFERROR(INDEX(ChartOfAccounts!B124:B209,MATCH($B125,ChartOfAccounts!A124:A209,0)),"")</f>
        <v/>
      </c>
      <c r="N125" t="str">
        <f>IFERROR(INDEX(ChartOfAccounts!D:D,MATCH($B125,ChartOfAccounts!A124:A209,0)),"")</f>
        <v/>
      </c>
      <c r="O125" t="str">
        <f>IFERROR(INDEX(ChartOfAccounts!F:F,MATCH($B125,ChartOfAccounts!A124:A209,0)),"")</f>
        <v/>
      </c>
      <c r="P125" t="str" cm="1">
        <f t="array" ref="P125">IFERROR(INDEX(PreparerInfo!B124:B136,MATCH($D125&amp;$C125,PreparerInfo!A124:A136&amp;PreparerInfo!C124:C136,0)),"")</f>
        <v/>
      </c>
      <c r="Q125" t="str">
        <f>IFERROR(INDEX(Source!B124:B132,MATCH('Case 4 solution'!E125,Source!A124:A132,0)),"")</f>
        <v/>
      </c>
    </row>
    <row r="126" spans="1:17" x14ac:dyDescent="0.3">
      <c r="A126" s="3">
        <v>2033582</v>
      </c>
      <c r="B126">
        <v>11845</v>
      </c>
      <c r="C126">
        <v>2</v>
      </c>
      <c r="D126" s="9">
        <v>106</v>
      </c>
      <c r="E126">
        <v>1003</v>
      </c>
      <c r="F126" s="1">
        <v>44004</v>
      </c>
      <c r="G126" t="s">
        <v>81</v>
      </c>
      <c r="H126" s="4">
        <v>1785</v>
      </c>
      <c r="I126" s="4" t="s">
        <v>16</v>
      </c>
      <c r="J126" s="4">
        <v>1785</v>
      </c>
      <c r="K126" t="str">
        <f>IFERROR(INDEX(BusinessUnits!$B:$B,MATCH($C126,BusinessUnits!$A:$A,0)),"")</f>
        <v>HOTEL</v>
      </c>
      <c r="L126" t="str">
        <f>IFERROR(INDEX(Table1[[#All],[Description]],MATCH($C126,BusinessUnits!$A:$A,0)),"")</f>
        <v xml:space="preserve">Transactions related to guest rooms and overall hotel operations. Includes payroll for administrative staff, clerks and interns. </v>
      </c>
      <c r="M126" t="str">
        <f>IFERROR(INDEX(ChartOfAccounts!B125:B210,MATCH($B126,ChartOfAccounts!A125:A210,0)),"")</f>
        <v/>
      </c>
      <c r="N126" t="str">
        <f>IFERROR(INDEX(ChartOfAccounts!D:D,MATCH($B126,ChartOfAccounts!A125:A210,0)),"")</f>
        <v/>
      </c>
      <c r="O126" t="str">
        <f>IFERROR(INDEX(ChartOfAccounts!F:F,MATCH($B126,ChartOfAccounts!A125:A210,0)),"")</f>
        <v/>
      </c>
      <c r="P126" t="str" cm="1">
        <f t="array" ref="P126">IFERROR(INDEX(PreparerInfo!B125:B137,MATCH($D126&amp;$C126,PreparerInfo!A125:A137&amp;PreparerInfo!C125:C137,0)),"")</f>
        <v/>
      </c>
      <c r="Q126" t="str">
        <f>IFERROR(INDEX(Source!B125:B133,MATCH('Case 4 solution'!E126,Source!A125:A133,0)),"")</f>
        <v/>
      </c>
    </row>
    <row r="127" spans="1:17" x14ac:dyDescent="0.3">
      <c r="A127" s="3">
        <v>2033582</v>
      </c>
      <c r="B127">
        <v>43180</v>
      </c>
      <c r="C127">
        <v>2</v>
      </c>
      <c r="D127" s="9">
        <v>106</v>
      </c>
      <c r="E127">
        <v>1003</v>
      </c>
      <c r="F127" s="1">
        <v>44004</v>
      </c>
      <c r="G127" t="s">
        <v>81</v>
      </c>
      <c r="H127" s="4" t="s">
        <v>16</v>
      </c>
      <c r="I127" s="4">
        <v>-1785</v>
      </c>
      <c r="J127" s="4">
        <v>-1785</v>
      </c>
      <c r="K127" t="str">
        <f>IFERROR(INDEX(BusinessUnits!$B:$B,MATCH($C127,BusinessUnits!$A:$A,0)),"")</f>
        <v>HOTEL</v>
      </c>
      <c r="L127" t="str">
        <f>IFERROR(INDEX(Table1[[#All],[Description]],MATCH($C127,BusinessUnits!$A:$A,0)),"")</f>
        <v xml:space="preserve">Transactions related to guest rooms and overall hotel operations. Includes payroll for administrative staff, clerks and interns. </v>
      </c>
      <c r="M127" t="str">
        <f>IFERROR(INDEX(ChartOfAccounts!B126:B211,MATCH($B127,ChartOfAccounts!A126:A211,0)),"")</f>
        <v/>
      </c>
      <c r="N127" t="str">
        <f>IFERROR(INDEX(ChartOfAccounts!D:D,MATCH($B127,ChartOfAccounts!A126:A211,0)),"")</f>
        <v/>
      </c>
      <c r="O127" t="str">
        <f>IFERROR(INDEX(ChartOfAccounts!F:F,MATCH($B127,ChartOfAccounts!A126:A211,0)),"")</f>
        <v/>
      </c>
      <c r="P127" t="str" cm="1">
        <f t="array" ref="P127">IFERROR(INDEX(PreparerInfo!B126:B138,MATCH($D127&amp;$C127,PreparerInfo!A126:A138&amp;PreparerInfo!C126:C138,0)),"")</f>
        <v/>
      </c>
      <c r="Q127" t="str">
        <f>IFERROR(INDEX(Source!B126:B134,MATCH('Case 4 solution'!E127,Source!A126:A134,0)),"")</f>
        <v/>
      </c>
    </row>
    <row r="128" spans="1:17" x14ac:dyDescent="0.3">
      <c r="A128" s="3">
        <v>2033583</v>
      </c>
      <c r="B128">
        <v>11845</v>
      </c>
      <c r="C128">
        <v>1</v>
      </c>
      <c r="D128" s="9">
        <v>102</v>
      </c>
      <c r="E128">
        <v>1003</v>
      </c>
      <c r="F128" s="1">
        <v>44004</v>
      </c>
      <c r="G128" t="s">
        <v>15</v>
      </c>
      <c r="H128" s="4">
        <v>1875</v>
      </c>
      <c r="I128" s="4" t="s">
        <v>16</v>
      </c>
      <c r="J128" s="4">
        <v>1875</v>
      </c>
      <c r="K128" t="str">
        <f>IFERROR(INDEX(BusinessUnits!$B:$B,MATCH($C128,BusinessUnits!$A:$A,0)),"")</f>
        <v>FOOD SERVICE</v>
      </c>
      <c r="L128" t="str">
        <f>IFERROR(INDEX(Table1[[#All],[Description]],MATCH($C128,BusinessUnits!$A:$A,0)),"")</f>
        <v xml:space="preserve">Transactions related to food and beverage service. Includes all guest transactions in the hotel restaurants, catering-related transactions and food service payroll. </v>
      </c>
      <c r="M128" t="str">
        <f>IFERROR(INDEX(ChartOfAccounts!B127:B212,MATCH($B128,ChartOfAccounts!A127:A212,0)),"")</f>
        <v/>
      </c>
      <c r="N128" t="str">
        <f>IFERROR(INDEX(ChartOfAccounts!D:D,MATCH($B128,ChartOfAccounts!A127:A212,0)),"")</f>
        <v/>
      </c>
      <c r="O128" t="str">
        <f>IFERROR(INDEX(ChartOfAccounts!F:F,MATCH($B128,ChartOfAccounts!A127:A212,0)),"")</f>
        <v/>
      </c>
      <c r="P128" t="str" cm="1">
        <f t="array" ref="P128">IFERROR(INDEX(PreparerInfo!B127:B139,MATCH($D128&amp;$C128,PreparerInfo!A127:A139&amp;PreparerInfo!C127:C139,0)),"")</f>
        <v/>
      </c>
      <c r="Q128" t="str">
        <f>IFERROR(INDEX(Source!B127:B135,MATCH('Case 4 solution'!E128,Source!A127:A135,0)),"")</f>
        <v/>
      </c>
    </row>
    <row r="129" spans="1:17" x14ac:dyDescent="0.3">
      <c r="A129" s="3">
        <v>2033583</v>
      </c>
      <c r="B129">
        <v>43310</v>
      </c>
      <c r="C129">
        <v>1</v>
      </c>
      <c r="D129" s="9">
        <v>102</v>
      </c>
      <c r="E129">
        <v>1003</v>
      </c>
      <c r="F129" s="1">
        <v>44004</v>
      </c>
      <c r="G129" t="s">
        <v>15</v>
      </c>
      <c r="H129" s="4" t="s">
        <v>16</v>
      </c>
      <c r="I129" s="4">
        <v>-1875</v>
      </c>
      <c r="J129" s="4">
        <v>-1875</v>
      </c>
      <c r="K129" t="str">
        <f>IFERROR(INDEX(BusinessUnits!$B:$B,MATCH($C129,BusinessUnits!$A:$A,0)),"")</f>
        <v>FOOD SERVICE</v>
      </c>
      <c r="L129" t="str">
        <f>IFERROR(INDEX(Table1[[#All],[Description]],MATCH($C129,BusinessUnits!$A:$A,0)),"")</f>
        <v xml:space="preserve">Transactions related to food and beverage service. Includes all guest transactions in the hotel restaurants, catering-related transactions and food service payroll. </v>
      </c>
      <c r="M129" t="str">
        <f>IFERROR(INDEX(ChartOfAccounts!B128:B213,MATCH($B129,ChartOfAccounts!A128:A213,0)),"")</f>
        <v/>
      </c>
      <c r="N129" t="str">
        <f>IFERROR(INDEX(ChartOfAccounts!D:D,MATCH($B129,ChartOfAccounts!A128:A213,0)),"")</f>
        <v/>
      </c>
      <c r="O129" t="str">
        <f>IFERROR(INDEX(ChartOfAccounts!F:F,MATCH($B129,ChartOfAccounts!A128:A213,0)),"")</f>
        <v/>
      </c>
      <c r="P129" t="str" cm="1">
        <f t="array" ref="P129">IFERROR(INDEX(PreparerInfo!B128:B140,MATCH($D129&amp;$C129,PreparerInfo!A128:A140&amp;PreparerInfo!C128:C140,0)),"")</f>
        <v/>
      </c>
      <c r="Q129" t="str">
        <f>IFERROR(INDEX(Source!B128:B136,MATCH('Case 4 solution'!E129,Source!A128:A136,0)),"")</f>
        <v/>
      </c>
    </row>
    <row r="130" spans="1:17" x14ac:dyDescent="0.3">
      <c r="A130" s="3">
        <v>2033584</v>
      </c>
      <c r="B130">
        <v>11845</v>
      </c>
      <c r="C130">
        <v>1</v>
      </c>
      <c r="D130" s="9">
        <v>102</v>
      </c>
      <c r="E130">
        <v>1003</v>
      </c>
      <c r="F130" s="1">
        <v>44004</v>
      </c>
      <c r="G130" t="s">
        <v>15</v>
      </c>
      <c r="H130" s="4">
        <v>2134.79</v>
      </c>
      <c r="I130" s="4" t="s">
        <v>16</v>
      </c>
      <c r="J130" s="4">
        <v>2134.79</v>
      </c>
      <c r="K130" t="str">
        <f>IFERROR(INDEX(BusinessUnits!$B:$B,MATCH($C130,BusinessUnits!$A:$A,0)),"")</f>
        <v>FOOD SERVICE</v>
      </c>
      <c r="L130" t="str">
        <f>IFERROR(INDEX(Table1[[#All],[Description]],MATCH($C130,BusinessUnits!$A:$A,0)),"")</f>
        <v xml:space="preserve">Transactions related to food and beverage service. Includes all guest transactions in the hotel restaurants, catering-related transactions and food service payroll. </v>
      </c>
      <c r="M130" t="str">
        <f>IFERROR(INDEX(ChartOfAccounts!B129:B214,MATCH($B130,ChartOfAccounts!A129:A214,0)),"")</f>
        <v/>
      </c>
      <c r="N130" t="str">
        <f>IFERROR(INDEX(ChartOfAccounts!D:D,MATCH($B130,ChartOfAccounts!A129:A214,0)),"")</f>
        <v/>
      </c>
      <c r="O130" t="str">
        <f>IFERROR(INDEX(ChartOfAccounts!F:F,MATCH($B130,ChartOfAccounts!A129:A214,0)),"")</f>
        <v/>
      </c>
      <c r="P130" t="str" cm="1">
        <f t="array" ref="P130">IFERROR(INDEX(PreparerInfo!B129:B141,MATCH($D130&amp;$C130,PreparerInfo!A129:A141&amp;PreparerInfo!C129:C141,0)),"")</f>
        <v/>
      </c>
      <c r="Q130" t="str">
        <f>IFERROR(INDEX(Source!B129:B137,MATCH('Case 4 solution'!E130,Source!A129:A137,0)),"")</f>
        <v/>
      </c>
    </row>
    <row r="131" spans="1:17" x14ac:dyDescent="0.3">
      <c r="A131" s="3">
        <v>2033584</v>
      </c>
      <c r="B131">
        <v>43310</v>
      </c>
      <c r="C131">
        <v>1</v>
      </c>
      <c r="D131" s="9">
        <v>102</v>
      </c>
      <c r="E131">
        <v>1003</v>
      </c>
      <c r="F131" s="1">
        <v>44004</v>
      </c>
      <c r="G131" t="s">
        <v>15</v>
      </c>
      <c r="H131" s="4" t="s">
        <v>16</v>
      </c>
      <c r="I131" s="4">
        <v>-2134.79</v>
      </c>
      <c r="J131" s="4">
        <v>-2134.79</v>
      </c>
      <c r="K131" t="str">
        <f>IFERROR(INDEX(BusinessUnits!$B:$B,MATCH($C131,BusinessUnits!$A:$A,0)),"")</f>
        <v>FOOD SERVICE</v>
      </c>
      <c r="L131" t="str">
        <f>IFERROR(INDEX(Table1[[#All],[Description]],MATCH($C131,BusinessUnits!$A:$A,0)),"")</f>
        <v xml:space="preserve">Transactions related to food and beverage service. Includes all guest transactions in the hotel restaurants, catering-related transactions and food service payroll. </v>
      </c>
      <c r="M131" t="str">
        <f>IFERROR(INDEX(ChartOfAccounts!B130:B215,MATCH($B131,ChartOfAccounts!A130:A215,0)),"")</f>
        <v/>
      </c>
      <c r="N131" t="str">
        <f>IFERROR(INDEX(ChartOfAccounts!D:D,MATCH($B131,ChartOfAccounts!A130:A215,0)),"")</f>
        <v/>
      </c>
      <c r="O131" t="str">
        <f>IFERROR(INDEX(ChartOfAccounts!F:F,MATCH($B131,ChartOfAccounts!A130:A215,0)),"")</f>
        <v/>
      </c>
      <c r="P131" t="str" cm="1">
        <f t="array" ref="P131">IFERROR(INDEX(PreparerInfo!B130:B142,MATCH($D131&amp;$C131,PreparerInfo!A130:A142&amp;PreparerInfo!C130:C142,0)),"")</f>
        <v/>
      </c>
      <c r="Q131" t="str">
        <f>IFERROR(INDEX(Source!B130:B138,MATCH('Case 4 solution'!E131,Source!A130:A138,0)),"")</f>
        <v/>
      </c>
    </row>
    <row r="132" spans="1:17" x14ac:dyDescent="0.3">
      <c r="A132" s="3">
        <v>2033585</v>
      </c>
      <c r="B132">
        <v>11845</v>
      </c>
      <c r="C132">
        <v>2</v>
      </c>
      <c r="D132" s="9">
        <v>104</v>
      </c>
      <c r="E132">
        <v>1003</v>
      </c>
      <c r="F132" s="1">
        <v>44004</v>
      </c>
      <c r="G132" t="s">
        <v>41</v>
      </c>
      <c r="H132" s="4">
        <v>2663.75</v>
      </c>
      <c r="I132" s="4" t="s">
        <v>16</v>
      </c>
      <c r="J132" s="4">
        <v>2663.75</v>
      </c>
      <c r="K132" t="str">
        <f>IFERROR(INDEX(BusinessUnits!$B:$B,MATCH($C132,BusinessUnits!$A:$A,0)),"")</f>
        <v>HOTEL</v>
      </c>
      <c r="L132" t="str">
        <f>IFERROR(INDEX(Table1[[#All],[Description]],MATCH($C132,BusinessUnits!$A:$A,0)),"")</f>
        <v xml:space="preserve">Transactions related to guest rooms and overall hotel operations. Includes payroll for administrative staff, clerks and interns. </v>
      </c>
      <c r="M132" t="str">
        <f>IFERROR(INDEX(ChartOfAccounts!B131:B216,MATCH($B132,ChartOfAccounts!A131:A216,0)),"")</f>
        <v/>
      </c>
      <c r="N132" t="str">
        <f>IFERROR(INDEX(ChartOfAccounts!D:D,MATCH($B132,ChartOfAccounts!A131:A216,0)),"")</f>
        <v/>
      </c>
      <c r="O132" t="str">
        <f>IFERROR(INDEX(ChartOfAccounts!F:F,MATCH($B132,ChartOfAccounts!A131:A216,0)),"")</f>
        <v/>
      </c>
      <c r="P132" t="str" cm="1">
        <f t="array" ref="P132">IFERROR(INDEX(PreparerInfo!B131:B143,MATCH($D132&amp;$C132,PreparerInfo!A131:A143&amp;PreparerInfo!C131:C143,0)),"")</f>
        <v/>
      </c>
      <c r="Q132" t="str">
        <f>IFERROR(INDEX(Source!B131:B139,MATCH('Case 4 solution'!E132,Source!A131:A139,0)),"")</f>
        <v/>
      </c>
    </row>
    <row r="133" spans="1:17" x14ac:dyDescent="0.3">
      <c r="A133" s="3">
        <v>2033585</v>
      </c>
      <c r="B133">
        <v>43180</v>
      </c>
      <c r="C133">
        <v>2</v>
      </c>
      <c r="D133" s="9">
        <v>104</v>
      </c>
      <c r="E133">
        <v>1003</v>
      </c>
      <c r="F133" s="1">
        <v>44004</v>
      </c>
      <c r="G133" t="s">
        <v>41</v>
      </c>
      <c r="H133" s="4" t="s">
        <v>16</v>
      </c>
      <c r="I133" s="4">
        <v>-2663.75</v>
      </c>
      <c r="J133" s="4">
        <v>-2663.75</v>
      </c>
      <c r="K133" t="str">
        <f>IFERROR(INDEX(BusinessUnits!$B:$B,MATCH($C133,BusinessUnits!$A:$A,0)),"")</f>
        <v>HOTEL</v>
      </c>
      <c r="L133" t="str">
        <f>IFERROR(INDEX(Table1[[#All],[Description]],MATCH($C133,BusinessUnits!$A:$A,0)),"")</f>
        <v xml:space="preserve">Transactions related to guest rooms and overall hotel operations. Includes payroll for administrative staff, clerks and interns. </v>
      </c>
      <c r="M133" t="str">
        <f>IFERROR(INDEX(ChartOfAccounts!B132:B217,MATCH($B133,ChartOfAccounts!A132:A217,0)),"")</f>
        <v/>
      </c>
      <c r="N133" t="str">
        <f>IFERROR(INDEX(ChartOfAccounts!D:D,MATCH($B133,ChartOfAccounts!A132:A217,0)),"")</f>
        <v/>
      </c>
      <c r="O133" t="str">
        <f>IFERROR(INDEX(ChartOfAccounts!F:F,MATCH($B133,ChartOfAccounts!A132:A217,0)),"")</f>
        <v/>
      </c>
      <c r="P133" t="str" cm="1">
        <f t="array" ref="P133">IFERROR(INDEX(PreparerInfo!B132:B144,MATCH($D133&amp;$C133,PreparerInfo!A132:A144&amp;PreparerInfo!C132:C144,0)),"")</f>
        <v/>
      </c>
      <c r="Q133" t="str">
        <f>IFERROR(INDEX(Source!B132:B140,MATCH('Case 4 solution'!E133,Source!A132:A140,0)),"")</f>
        <v/>
      </c>
    </row>
    <row r="134" spans="1:17" x14ac:dyDescent="0.3">
      <c r="A134" s="3">
        <v>2033586</v>
      </c>
      <c r="B134">
        <v>72725</v>
      </c>
      <c r="C134">
        <v>1</v>
      </c>
      <c r="D134" s="9">
        <v>101</v>
      </c>
      <c r="E134">
        <v>1002</v>
      </c>
      <c r="F134" s="1">
        <v>44004</v>
      </c>
      <c r="G134" t="s">
        <v>177</v>
      </c>
      <c r="H134" s="4">
        <v>2780</v>
      </c>
      <c r="I134" s="4" t="s">
        <v>16</v>
      </c>
      <c r="J134" s="4">
        <v>2780</v>
      </c>
      <c r="K134" t="str">
        <f>IFERROR(INDEX(BusinessUnits!$B:$B,MATCH($C134,BusinessUnits!$A:$A,0)),"")</f>
        <v>FOOD SERVICE</v>
      </c>
      <c r="L134" t="str">
        <f>IFERROR(INDEX(Table1[[#All],[Description]],MATCH($C134,BusinessUnits!$A:$A,0)),"")</f>
        <v xml:space="preserve">Transactions related to food and beverage service. Includes all guest transactions in the hotel restaurants, catering-related transactions and food service payroll. </v>
      </c>
      <c r="M134" t="str">
        <f>IFERROR(INDEX(ChartOfAccounts!B133:B218,MATCH($B134,ChartOfAccounts!A133:A218,0)),"")</f>
        <v/>
      </c>
      <c r="N134" t="str">
        <f>IFERROR(INDEX(ChartOfAccounts!D:D,MATCH($B134,ChartOfAccounts!A133:A218,0)),"")</f>
        <v/>
      </c>
      <c r="O134" t="str">
        <f>IFERROR(INDEX(ChartOfAccounts!F:F,MATCH($B134,ChartOfAccounts!A133:A218,0)),"")</f>
        <v/>
      </c>
      <c r="P134" t="str" cm="1">
        <f t="array" ref="P134">IFERROR(INDEX(PreparerInfo!B133:B145,MATCH($D134&amp;$C134,PreparerInfo!A133:A145&amp;PreparerInfo!C133:C145,0)),"")</f>
        <v/>
      </c>
      <c r="Q134" t="str">
        <f>IFERROR(INDEX(Source!B133:B141,MATCH('Case 4 solution'!E134,Source!A133:A141,0)),"")</f>
        <v/>
      </c>
    </row>
    <row r="135" spans="1:17" x14ac:dyDescent="0.3">
      <c r="A135" s="3">
        <v>2033586</v>
      </c>
      <c r="B135">
        <v>11845</v>
      </c>
      <c r="C135">
        <v>1</v>
      </c>
      <c r="D135" s="9">
        <v>101</v>
      </c>
      <c r="E135">
        <v>1002</v>
      </c>
      <c r="F135" s="1">
        <v>44004</v>
      </c>
      <c r="G135" t="s">
        <v>177</v>
      </c>
      <c r="H135" s="4" t="s">
        <v>16</v>
      </c>
      <c r="I135" s="4">
        <v>-2780</v>
      </c>
      <c r="J135" s="4">
        <v>-2780</v>
      </c>
      <c r="K135" t="str">
        <f>IFERROR(INDEX(BusinessUnits!$B:$B,MATCH($C135,BusinessUnits!$A:$A,0)),"")</f>
        <v>FOOD SERVICE</v>
      </c>
      <c r="L135" t="str">
        <f>IFERROR(INDEX(Table1[[#All],[Description]],MATCH($C135,BusinessUnits!$A:$A,0)),"")</f>
        <v xml:space="preserve">Transactions related to food and beverage service. Includes all guest transactions in the hotel restaurants, catering-related transactions and food service payroll. </v>
      </c>
      <c r="M135" t="str">
        <f>IFERROR(INDEX(ChartOfAccounts!B134:B219,MATCH($B135,ChartOfAccounts!A134:A219,0)),"")</f>
        <v/>
      </c>
      <c r="N135" t="str">
        <f>IFERROR(INDEX(ChartOfAccounts!D:D,MATCH($B135,ChartOfAccounts!A134:A219,0)),"")</f>
        <v/>
      </c>
      <c r="O135" t="str">
        <f>IFERROR(INDEX(ChartOfAccounts!F:F,MATCH($B135,ChartOfAccounts!A134:A219,0)),"")</f>
        <v/>
      </c>
      <c r="P135" t="str" cm="1">
        <f t="array" ref="P135">IFERROR(INDEX(PreparerInfo!B134:B146,MATCH($D135&amp;$C135,PreparerInfo!A134:A146&amp;PreparerInfo!C134:C146,0)),"")</f>
        <v/>
      </c>
      <c r="Q135" t="str">
        <f>IFERROR(INDEX(Source!B134:B142,MATCH('Case 4 solution'!E135,Source!A134:A142,0)),"")</f>
        <v/>
      </c>
    </row>
    <row r="136" spans="1:17" x14ac:dyDescent="0.3">
      <c r="A136" s="3">
        <v>2033587</v>
      </c>
      <c r="B136">
        <v>11845</v>
      </c>
      <c r="C136">
        <v>2</v>
      </c>
      <c r="D136" s="9">
        <v>106</v>
      </c>
      <c r="E136">
        <v>1003</v>
      </c>
      <c r="F136" s="1">
        <v>44004</v>
      </c>
      <c r="G136" t="s">
        <v>81</v>
      </c>
      <c r="H136" s="4">
        <v>6438</v>
      </c>
      <c r="I136" s="4" t="s">
        <v>16</v>
      </c>
      <c r="J136" s="4">
        <v>6438</v>
      </c>
      <c r="K136" t="str">
        <f>IFERROR(INDEX(BusinessUnits!$B:$B,MATCH($C136,BusinessUnits!$A:$A,0)),"")</f>
        <v>HOTEL</v>
      </c>
      <c r="L136" t="str">
        <f>IFERROR(INDEX(Table1[[#All],[Description]],MATCH($C136,BusinessUnits!$A:$A,0)),"")</f>
        <v xml:space="preserve">Transactions related to guest rooms and overall hotel operations. Includes payroll for administrative staff, clerks and interns. </v>
      </c>
      <c r="M136" t="str">
        <f>IFERROR(INDEX(ChartOfAccounts!B135:B220,MATCH($B136,ChartOfAccounts!A135:A220,0)),"")</f>
        <v/>
      </c>
      <c r="N136" t="str">
        <f>IFERROR(INDEX(ChartOfAccounts!D:D,MATCH($B136,ChartOfAccounts!A135:A220,0)),"")</f>
        <v/>
      </c>
      <c r="O136" t="str">
        <f>IFERROR(INDEX(ChartOfAccounts!F:F,MATCH($B136,ChartOfAccounts!A135:A220,0)),"")</f>
        <v/>
      </c>
      <c r="P136" t="str" cm="1">
        <f t="array" ref="P136">IFERROR(INDEX(PreparerInfo!B135:B147,MATCH($D136&amp;$C136,PreparerInfo!A135:A147&amp;PreparerInfo!C135:C147,0)),"")</f>
        <v/>
      </c>
      <c r="Q136" t="str">
        <f>IFERROR(INDEX(Source!B135:B143,MATCH('Case 4 solution'!E136,Source!A135:A143,0)),"")</f>
        <v/>
      </c>
    </row>
    <row r="137" spans="1:17" x14ac:dyDescent="0.3">
      <c r="A137" s="3">
        <v>2033587</v>
      </c>
      <c r="B137">
        <v>43180</v>
      </c>
      <c r="C137">
        <v>2</v>
      </c>
      <c r="D137" s="9">
        <v>106</v>
      </c>
      <c r="E137">
        <v>1003</v>
      </c>
      <c r="F137" s="1">
        <v>44004</v>
      </c>
      <c r="G137" t="s">
        <v>81</v>
      </c>
      <c r="H137" s="4" t="s">
        <v>16</v>
      </c>
      <c r="I137" s="4">
        <v>-6438</v>
      </c>
      <c r="J137" s="4">
        <v>-6438</v>
      </c>
      <c r="K137" t="str">
        <f>IFERROR(INDEX(BusinessUnits!$B:$B,MATCH($C137,BusinessUnits!$A:$A,0)),"")</f>
        <v>HOTEL</v>
      </c>
      <c r="L137" t="str">
        <f>IFERROR(INDEX(Table1[[#All],[Description]],MATCH($C137,BusinessUnits!$A:$A,0)),"")</f>
        <v xml:space="preserve">Transactions related to guest rooms and overall hotel operations. Includes payroll for administrative staff, clerks and interns. </v>
      </c>
      <c r="M137" t="str">
        <f>IFERROR(INDEX(ChartOfAccounts!B136:B221,MATCH($B137,ChartOfAccounts!A136:A221,0)),"")</f>
        <v/>
      </c>
      <c r="N137" t="str">
        <f>IFERROR(INDEX(ChartOfAccounts!D:D,MATCH($B137,ChartOfAccounts!A136:A221,0)),"")</f>
        <v/>
      </c>
      <c r="O137" t="str">
        <f>IFERROR(INDEX(ChartOfAccounts!F:F,MATCH($B137,ChartOfAccounts!A136:A221,0)),"")</f>
        <v/>
      </c>
      <c r="P137" t="str" cm="1">
        <f t="array" ref="P137">IFERROR(INDEX(PreparerInfo!B136:B148,MATCH($D137&amp;$C137,PreparerInfo!A136:A148&amp;PreparerInfo!C136:C148,0)),"")</f>
        <v/>
      </c>
      <c r="Q137" t="str">
        <f>IFERROR(INDEX(Source!B136:B144,MATCH('Case 4 solution'!E137,Source!A136:A144,0)),"")</f>
        <v/>
      </c>
    </row>
    <row r="138" spans="1:17" x14ac:dyDescent="0.3">
      <c r="A138" s="3">
        <v>2033588</v>
      </c>
      <c r="B138">
        <v>11845</v>
      </c>
      <c r="C138">
        <v>2</v>
      </c>
      <c r="D138" s="9">
        <v>104</v>
      </c>
      <c r="E138">
        <v>1003</v>
      </c>
      <c r="F138" s="1">
        <v>44004</v>
      </c>
      <c r="G138" t="s">
        <v>15</v>
      </c>
      <c r="H138" s="4">
        <v>7550</v>
      </c>
      <c r="I138" s="4" t="s">
        <v>16</v>
      </c>
      <c r="J138" s="4">
        <v>7550</v>
      </c>
      <c r="K138" t="str">
        <f>IFERROR(INDEX(BusinessUnits!$B:$B,MATCH($C138,BusinessUnits!$A:$A,0)),"")</f>
        <v>HOTEL</v>
      </c>
      <c r="L138" t="str">
        <f>IFERROR(INDEX(Table1[[#All],[Description]],MATCH($C138,BusinessUnits!$A:$A,0)),"")</f>
        <v xml:space="preserve">Transactions related to guest rooms and overall hotel operations. Includes payroll for administrative staff, clerks and interns. </v>
      </c>
      <c r="M138" t="str">
        <f>IFERROR(INDEX(ChartOfAccounts!B137:B222,MATCH($B138,ChartOfAccounts!A137:A222,0)),"")</f>
        <v/>
      </c>
      <c r="N138" t="str">
        <f>IFERROR(INDEX(ChartOfAccounts!D:D,MATCH($B138,ChartOfAccounts!A137:A222,0)),"")</f>
        <v/>
      </c>
      <c r="O138" t="str">
        <f>IFERROR(INDEX(ChartOfAccounts!F:F,MATCH($B138,ChartOfAccounts!A137:A222,0)),"")</f>
        <v/>
      </c>
      <c r="P138" t="str" cm="1">
        <f t="array" ref="P138">IFERROR(INDEX(PreparerInfo!B137:B149,MATCH($D138&amp;$C138,PreparerInfo!A137:A149&amp;PreparerInfo!C137:C149,0)),"")</f>
        <v/>
      </c>
      <c r="Q138" t="str">
        <f>IFERROR(INDEX(Source!B137:B145,MATCH('Case 4 solution'!E138,Source!A137:A145,0)),"")</f>
        <v/>
      </c>
    </row>
    <row r="139" spans="1:17" x14ac:dyDescent="0.3">
      <c r="A139" s="3">
        <v>2033588</v>
      </c>
      <c r="B139">
        <v>43180</v>
      </c>
      <c r="C139">
        <v>2</v>
      </c>
      <c r="D139" s="9">
        <v>104</v>
      </c>
      <c r="E139">
        <v>1003</v>
      </c>
      <c r="F139" s="1">
        <v>44004</v>
      </c>
      <c r="G139" t="s">
        <v>15</v>
      </c>
      <c r="H139" s="4" t="s">
        <v>16</v>
      </c>
      <c r="I139" s="4">
        <v>-7550</v>
      </c>
      <c r="J139" s="4">
        <v>-7550</v>
      </c>
      <c r="K139" t="str">
        <f>IFERROR(INDEX(BusinessUnits!$B:$B,MATCH($C139,BusinessUnits!$A:$A,0)),"")</f>
        <v>HOTEL</v>
      </c>
      <c r="L139" t="str">
        <f>IFERROR(INDEX(Table1[[#All],[Description]],MATCH($C139,BusinessUnits!$A:$A,0)),"")</f>
        <v xml:space="preserve">Transactions related to guest rooms and overall hotel operations. Includes payroll for administrative staff, clerks and interns. </v>
      </c>
      <c r="M139" t="str">
        <f>IFERROR(INDEX(ChartOfAccounts!B138:B223,MATCH($B139,ChartOfAccounts!A138:A223,0)),"")</f>
        <v/>
      </c>
      <c r="N139" t="str">
        <f>IFERROR(INDEX(ChartOfAccounts!D:D,MATCH($B139,ChartOfAccounts!A138:A223,0)),"")</f>
        <v/>
      </c>
      <c r="O139" t="str">
        <f>IFERROR(INDEX(ChartOfAccounts!F:F,MATCH($B139,ChartOfAccounts!A138:A223,0)),"")</f>
        <v/>
      </c>
      <c r="P139" t="str" cm="1">
        <f t="array" ref="P139">IFERROR(INDEX(PreparerInfo!B138:B150,MATCH($D139&amp;$C139,PreparerInfo!A138:A150&amp;PreparerInfo!C138:C150,0)),"")</f>
        <v/>
      </c>
      <c r="Q139" t="str">
        <f>IFERROR(INDEX(Source!B138:B146,MATCH('Case 4 solution'!E139,Source!A138:A146,0)),"")</f>
        <v/>
      </c>
    </row>
    <row r="140" spans="1:17" x14ac:dyDescent="0.3">
      <c r="A140" s="3">
        <v>2033589</v>
      </c>
      <c r="B140">
        <v>11845</v>
      </c>
      <c r="C140">
        <v>1</v>
      </c>
      <c r="D140" s="9">
        <v>106</v>
      </c>
      <c r="E140">
        <v>1003</v>
      </c>
      <c r="F140" s="1">
        <v>44004</v>
      </c>
      <c r="G140" t="s">
        <v>80</v>
      </c>
      <c r="H140" s="4">
        <v>11410.75</v>
      </c>
      <c r="I140" s="4" t="s">
        <v>16</v>
      </c>
      <c r="J140" s="4">
        <v>11410.75</v>
      </c>
      <c r="K140" t="str">
        <f>IFERROR(INDEX(BusinessUnits!$B:$B,MATCH($C140,BusinessUnits!$A:$A,0)),"")</f>
        <v>FOOD SERVICE</v>
      </c>
      <c r="L140" t="str">
        <f>IFERROR(INDEX(Table1[[#All],[Description]],MATCH($C140,BusinessUnits!$A:$A,0)),"")</f>
        <v xml:space="preserve">Transactions related to food and beverage service. Includes all guest transactions in the hotel restaurants, catering-related transactions and food service payroll. </v>
      </c>
      <c r="M140" t="str">
        <f>IFERROR(INDEX(ChartOfAccounts!B139:B224,MATCH($B140,ChartOfAccounts!A139:A224,0)),"")</f>
        <v/>
      </c>
      <c r="N140" t="str">
        <f>IFERROR(INDEX(ChartOfAccounts!D:D,MATCH($B140,ChartOfAccounts!A139:A224,0)),"")</f>
        <v/>
      </c>
      <c r="O140" t="str">
        <f>IFERROR(INDEX(ChartOfAccounts!F:F,MATCH($B140,ChartOfAccounts!A139:A224,0)),"")</f>
        <v/>
      </c>
      <c r="P140" t="str" cm="1">
        <f t="array" ref="P140">IFERROR(INDEX(PreparerInfo!B139:B151,MATCH($D140&amp;$C140,PreparerInfo!A139:A151&amp;PreparerInfo!C139:C151,0)),"")</f>
        <v/>
      </c>
      <c r="Q140" t="str">
        <f>IFERROR(INDEX(Source!B139:B147,MATCH('Case 4 solution'!E140,Source!A139:A147,0)),"")</f>
        <v/>
      </c>
    </row>
    <row r="141" spans="1:17" x14ac:dyDescent="0.3">
      <c r="A141" s="3">
        <v>2033589</v>
      </c>
      <c r="B141">
        <v>43310</v>
      </c>
      <c r="C141">
        <v>1</v>
      </c>
      <c r="D141" s="9">
        <v>106</v>
      </c>
      <c r="E141">
        <v>1003</v>
      </c>
      <c r="F141" s="1">
        <v>44004</v>
      </c>
      <c r="G141" t="s">
        <v>80</v>
      </c>
      <c r="H141" s="4" t="s">
        <v>16</v>
      </c>
      <c r="I141" s="4">
        <v>-11410.75</v>
      </c>
      <c r="J141" s="4">
        <v>-11410.75</v>
      </c>
      <c r="K141" t="str">
        <f>IFERROR(INDEX(BusinessUnits!$B:$B,MATCH($C141,BusinessUnits!$A:$A,0)),"")</f>
        <v>FOOD SERVICE</v>
      </c>
      <c r="L141" t="str">
        <f>IFERROR(INDEX(Table1[[#All],[Description]],MATCH($C141,BusinessUnits!$A:$A,0)),"")</f>
        <v xml:space="preserve">Transactions related to food and beverage service. Includes all guest transactions in the hotel restaurants, catering-related transactions and food service payroll. </v>
      </c>
      <c r="M141" t="str">
        <f>IFERROR(INDEX(ChartOfAccounts!B140:B225,MATCH($B141,ChartOfAccounts!A140:A225,0)),"")</f>
        <v/>
      </c>
      <c r="N141" t="str">
        <f>IFERROR(INDEX(ChartOfAccounts!D:D,MATCH($B141,ChartOfAccounts!A140:A225,0)),"")</f>
        <v/>
      </c>
      <c r="O141" t="str">
        <f>IFERROR(INDEX(ChartOfAccounts!F:F,MATCH($B141,ChartOfAccounts!A140:A225,0)),"")</f>
        <v/>
      </c>
      <c r="P141" t="str" cm="1">
        <f t="array" ref="P141">IFERROR(INDEX(PreparerInfo!B140:B152,MATCH($D141&amp;$C141,PreparerInfo!A140:A152&amp;PreparerInfo!C140:C152,0)),"")</f>
        <v/>
      </c>
      <c r="Q141" t="str">
        <f>IFERROR(INDEX(Source!B140:B148,MATCH('Case 4 solution'!E141,Source!A140:A148,0)),"")</f>
        <v/>
      </c>
    </row>
    <row r="142" spans="1:17" x14ac:dyDescent="0.3">
      <c r="A142" s="3">
        <v>2033590</v>
      </c>
      <c r="B142">
        <v>11845</v>
      </c>
      <c r="C142">
        <v>1</v>
      </c>
      <c r="D142" s="9">
        <v>106</v>
      </c>
      <c r="E142">
        <v>1003</v>
      </c>
      <c r="F142" s="1">
        <v>44004</v>
      </c>
      <c r="G142" t="s">
        <v>80</v>
      </c>
      <c r="H142" s="4">
        <v>23600.86</v>
      </c>
      <c r="I142" s="4" t="s">
        <v>16</v>
      </c>
      <c r="J142" s="4">
        <v>23600.86</v>
      </c>
      <c r="K142" t="str">
        <f>IFERROR(INDEX(BusinessUnits!$B:$B,MATCH($C142,BusinessUnits!$A:$A,0)),"")</f>
        <v>FOOD SERVICE</v>
      </c>
      <c r="L142" t="str">
        <f>IFERROR(INDEX(Table1[[#All],[Description]],MATCH($C142,BusinessUnits!$A:$A,0)),"")</f>
        <v xml:space="preserve">Transactions related to food and beverage service. Includes all guest transactions in the hotel restaurants, catering-related transactions and food service payroll. </v>
      </c>
      <c r="M142" t="str">
        <f>IFERROR(INDEX(ChartOfAccounts!B141:B226,MATCH($B142,ChartOfAccounts!A141:A226,0)),"")</f>
        <v/>
      </c>
      <c r="N142" t="str">
        <f>IFERROR(INDEX(ChartOfAccounts!D:D,MATCH($B142,ChartOfAccounts!A141:A226,0)),"")</f>
        <v/>
      </c>
      <c r="O142" t="str">
        <f>IFERROR(INDEX(ChartOfAccounts!F:F,MATCH($B142,ChartOfAccounts!A141:A226,0)),"")</f>
        <v/>
      </c>
      <c r="P142" t="str" cm="1">
        <f t="array" ref="P142">IFERROR(INDEX(PreparerInfo!B141:B153,MATCH($D142&amp;$C142,PreparerInfo!A141:A153&amp;PreparerInfo!C141:C153,0)),"")</f>
        <v/>
      </c>
      <c r="Q142" t="str">
        <f>IFERROR(INDEX(Source!B141:B149,MATCH('Case 4 solution'!E142,Source!A141:A149,0)),"")</f>
        <v/>
      </c>
    </row>
    <row r="143" spans="1:17" x14ac:dyDescent="0.3">
      <c r="A143" s="3">
        <v>2033590</v>
      </c>
      <c r="B143">
        <v>43310</v>
      </c>
      <c r="C143">
        <v>1</v>
      </c>
      <c r="D143" s="9">
        <v>106</v>
      </c>
      <c r="E143">
        <v>1003</v>
      </c>
      <c r="F143" s="1">
        <v>44004</v>
      </c>
      <c r="G143" t="s">
        <v>80</v>
      </c>
      <c r="H143" s="4" t="s">
        <v>16</v>
      </c>
      <c r="I143" s="4">
        <v>-23600.86</v>
      </c>
      <c r="J143" s="4">
        <v>-23600.86</v>
      </c>
      <c r="K143" t="str">
        <f>IFERROR(INDEX(BusinessUnits!$B:$B,MATCH($C143,BusinessUnits!$A:$A,0)),"")</f>
        <v>FOOD SERVICE</v>
      </c>
      <c r="L143" t="str">
        <f>IFERROR(INDEX(Table1[[#All],[Description]],MATCH($C143,BusinessUnits!$A:$A,0)),"")</f>
        <v xml:space="preserve">Transactions related to food and beverage service. Includes all guest transactions in the hotel restaurants, catering-related transactions and food service payroll. </v>
      </c>
      <c r="M143" t="str">
        <f>IFERROR(INDEX(ChartOfAccounts!B142:B227,MATCH($B143,ChartOfAccounts!A142:A227,0)),"")</f>
        <v/>
      </c>
      <c r="N143" t="str">
        <f>IFERROR(INDEX(ChartOfAccounts!D:D,MATCH($B143,ChartOfAccounts!A142:A227,0)),"")</f>
        <v/>
      </c>
      <c r="O143" t="str">
        <f>IFERROR(INDEX(ChartOfAccounts!F:F,MATCH($B143,ChartOfAccounts!A142:A227,0)),"")</f>
        <v/>
      </c>
      <c r="P143" t="str" cm="1">
        <f t="array" ref="P143">IFERROR(INDEX(PreparerInfo!B142:B154,MATCH($D143&amp;$C143,PreparerInfo!A142:A154&amp;PreparerInfo!C142:C154,0)),"")</f>
        <v/>
      </c>
      <c r="Q143" t="str">
        <f>IFERROR(INDEX(Source!B142:B150,MATCH('Case 4 solution'!E143,Source!A142:A150,0)),"")</f>
        <v/>
      </c>
    </row>
    <row r="144" spans="1:17" x14ac:dyDescent="0.3">
      <c r="A144" s="3">
        <v>2033591</v>
      </c>
      <c r="B144">
        <v>11845</v>
      </c>
      <c r="C144">
        <v>2</v>
      </c>
      <c r="D144" s="9">
        <v>104</v>
      </c>
      <c r="E144">
        <v>1003</v>
      </c>
      <c r="F144" s="1">
        <v>44004</v>
      </c>
      <c r="G144" t="s">
        <v>15</v>
      </c>
      <c r="H144" s="4">
        <v>122671</v>
      </c>
      <c r="I144" s="4" t="s">
        <v>16</v>
      </c>
      <c r="J144" s="4">
        <v>122671</v>
      </c>
      <c r="K144" t="str">
        <f>IFERROR(INDEX(BusinessUnits!$B:$B,MATCH($C144,BusinessUnits!$A:$A,0)),"")</f>
        <v>HOTEL</v>
      </c>
      <c r="L144" t="str">
        <f>IFERROR(INDEX(Table1[[#All],[Description]],MATCH($C144,BusinessUnits!$A:$A,0)),"")</f>
        <v xml:space="preserve">Transactions related to guest rooms and overall hotel operations. Includes payroll for administrative staff, clerks and interns. </v>
      </c>
      <c r="M144" t="str">
        <f>IFERROR(INDEX(ChartOfAccounts!B143:B228,MATCH($B144,ChartOfAccounts!A143:A228,0)),"")</f>
        <v/>
      </c>
      <c r="N144" t="str">
        <f>IFERROR(INDEX(ChartOfAccounts!D:D,MATCH($B144,ChartOfAccounts!A143:A228,0)),"")</f>
        <v/>
      </c>
      <c r="O144" t="str">
        <f>IFERROR(INDEX(ChartOfAccounts!F:F,MATCH($B144,ChartOfAccounts!A143:A228,0)),"")</f>
        <v/>
      </c>
      <c r="P144" t="str" cm="1">
        <f t="array" ref="P144">IFERROR(INDEX(PreparerInfo!B143:B155,MATCH($D144&amp;$C144,PreparerInfo!A143:A155&amp;PreparerInfo!C143:C155,0)),"")</f>
        <v/>
      </c>
      <c r="Q144" t="str">
        <f>IFERROR(INDEX(Source!B143:B151,MATCH('Case 4 solution'!E144,Source!A143:A151,0)),"")</f>
        <v/>
      </c>
    </row>
    <row r="145" spans="1:17" x14ac:dyDescent="0.3">
      <c r="A145" s="3">
        <v>2033591</v>
      </c>
      <c r="B145">
        <v>43180</v>
      </c>
      <c r="C145">
        <v>2</v>
      </c>
      <c r="D145" s="9">
        <v>104</v>
      </c>
      <c r="E145">
        <v>1003</v>
      </c>
      <c r="F145" s="1">
        <v>44004</v>
      </c>
      <c r="G145" t="s">
        <v>15</v>
      </c>
      <c r="H145" s="4" t="s">
        <v>16</v>
      </c>
      <c r="I145" s="4">
        <v>-122671</v>
      </c>
      <c r="J145" s="4">
        <v>-122671</v>
      </c>
      <c r="K145" t="str">
        <f>IFERROR(INDEX(BusinessUnits!$B:$B,MATCH($C145,BusinessUnits!$A:$A,0)),"")</f>
        <v>HOTEL</v>
      </c>
      <c r="L145" t="str">
        <f>IFERROR(INDEX(Table1[[#All],[Description]],MATCH($C145,BusinessUnits!$A:$A,0)),"")</f>
        <v xml:space="preserve">Transactions related to guest rooms and overall hotel operations. Includes payroll for administrative staff, clerks and interns. </v>
      </c>
      <c r="M145" t="str">
        <f>IFERROR(INDEX(ChartOfAccounts!B144:B229,MATCH($B145,ChartOfAccounts!A144:A229,0)),"")</f>
        <v/>
      </c>
      <c r="N145" t="str">
        <f>IFERROR(INDEX(ChartOfAccounts!D:D,MATCH($B145,ChartOfAccounts!A144:A229,0)),"")</f>
        <v/>
      </c>
      <c r="O145" t="str">
        <f>IFERROR(INDEX(ChartOfAccounts!F:F,MATCH($B145,ChartOfAccounts!A144:A229,0)),"")</f>
        <v/>
      </c>
      <c r="P145" t="str" cm="1">
        <f t="array" ref="P145">IFERROR(INDEX(PreparerInfo!B144:B156,MATCH($D145&amp;$C145,PreparerInfo!A144:A156&amp;PreparerInfo!C144:C156,0)),"")</f>
        <v/>
      </c>
      <c r="Q145" t="str">
        <f>IFERROR(INDEX(Source!B144:B152,MATCH('Case 4 solution'!E145,Source!A144:A152,0)),"")</f>
        <v/>
      </c>
    </row>
    <row r="146" spans="1:17" x14ac:dyDescent="0.3">
      <c r="A146" s="3">
        <v>2033592</v>
      </c>
      <c r="B146">
        <v>16200</v>
      </c>
      <c r="C146">
        <v>2</v>
      </c>
      <c r="D146" s="9">
        <v>102</v>
      </c>
      <c r="E146">
        <v>1002</v>
      </c>
      <c r="F146" s="1">
        <v>44004</v>
      </c>
      <c r="G146" t="s">
        <v>283</v>
      </c>
      <c r="H146" s="4">
        <v>9515.5400000000009</v>
      </c>
      <c r="I146" s="4"/>
      <c r="J146" s="4">
        <v>9515.5400000000009</v>
      </c>
      <c r="K146" t="str">
        <f>IFERROR(INDEX(BusinessUnits!$B:$B,MATCH($C146,BusinessUnits!$A:$A,0)),"")</f>
        <v>HOTEL</v>
      </c>
      <c r="L146" t="str">
        <f>IFERROR(INDEX(Table1[[#All],[Description]],MATCH($C146,BusinessUnits!$A:$A,0)),"")</f>
        <v xml:space="preserve">Transactions related to guest rooms and overall hotel operations. Includes payroll for administrative staff, clerks and interns. </v>
      </c>
      <c r="M146" t="str">
        <f>IFERROR(INDEX(ChartOfAccounts!B145:B230,MATCH($B146,ChartOfAccounts!A145:A230,0)),"")</f>
        <v/>
      </c>
      <c r="N146" t="str">
        <f>IFERROR(INDEX(ChartOfAccounts!D:D,MATCH($B146,ChartOfAccounts!A145:A230,0)),"")</f>
        <v/>
      </c>
      <c r="O146" t="str">
        <f>IFERROR(INDEX(ChartOfAccounts!F:F,MATCH($B146,ChartOfAccounts!A145:A230,0)),"")</f>
        <v/>
      </c>
      <c r="P146" t="str" cm="1">
        <f t="array" ref="P146">IFERROR(INDEX(PreparerInfo!B145:B157,MATCH($D146&amp;$C146,PreparerInfo!A145:A157&amp;PreparerInfo!C145:C157,0)),"")</f>
        <v/>
      </c>
      <c r="Q146" t="str">
        <f>IFERROR(INDEX(Source!B145:B153,MATCH('Case 4 solution'!E146,Source!A145:A153,0)),"")</f>
        <v/>
      </c>
    </row>
    <row r="147" spans="1:17" x14ac:dyDescent="0.3">
      <c r="A147" s="3">
        <v>2033592</v>
      </c>
      <c r="B147" s="2">
        <v>11845</v>
      </c>
      <c r="C147">
        <v>2</v>
      </c>
      <c r="D147" s="9">
        <v>102</v>
      </c>
      <c r="E147">
        <v>1002</v>
      </c>
      <c r="F147" s="1">
        <v>44004</v>
      </c>
      <c r="G147" t="s">
        <v>283</v>
      </c>
      <c r="H147" s="4"/>
      <c r="I147" s="4">
        <v>-9515.5400000000009</v>
      </c>
      <c r="J147" s="4">
        <v>-9515.5400000000009</v>
      </c>
      <c r="K147" t="str">
        <f>IFERROR(INDEX(BusinessUnits!$B:$B,MATCH($C147,BusinessUnits!$A:$A,0)),"")</f>
        <v>HOTEL</v>
      </c>
      <c r="L147" t="str">
        <f>IFERROR(INDEX(Table1[[#All],[Description]],MATCH($C147,BusinessUnits!$A:$A,0)),"")</f>
        <v xml:space="preserve">Transactions related to guest rooms and overall hotel operations. Includes payroll for administrative staff, clerks and interns. </v>
      </c>
      <c r="M147" t="str">
        <f>IFERROR(INDEX(ChartOfAccounts!B146:B231,MATCH($B147,ChartOfAccounts!A146:A231,0)),"")</f>
        <v/>
      </c>
      <c r="N147" t="str">
        <f>IFERROR(INDEX(ChartOfAccounts!D:D,MATCH($B147,ChartOfAccounts!A146:A231,0)),"")</f>
        <v/>
      </c>
      <c r="O147" t="str">
        <f>IFERROR(INDEX(ChartOfAccounts!F:F,MATCH($B147,ChartOfAccounts!A146:A231,0)),"")</f>
        <v/>
      </c>
      <c r="P147" t="str" cm="1">
        <f t="array" ref="P147">IFERROR(INDEX(PreparerInfo!B146:B158,MATCH($D147&amp;$C147,PreparerInfo!A146:A158&amp;PreparerInfo!C146:C158,0)),"")</f>
        <v/>
      </c>
      <c r="Q147" t="str">
        <f>IFERROR(INDEX(Source!B146:B154,MATCH('Case 4 solution'!E147,Source!A146:A154,0)),"")</f>
        <v/>
      </c>
    </row>
    <row r="148" spans="1:17" x14ac:dyDescent="0.3">
      <c r="A148" s="3">
        <v>2033593</v>
      </c>
      <c r="B148">
        <v>11845</v>
      </c>
      <c r="C148">
        <v>2</v>
      </c>
      <c r="D148" s="9">
        <v>104</v>
      </c>
      <c r="E148">
        <v>1003</v>
      </c>
      <c r="F148" s="1">
        <v>44005</v>
      </c>
      <c r="G148" t="s">
        <v>41</v>
      </c>
      <c r="H148" s="4">
        <v>5</v>
      </c>
      <c r="I148" s="4" t="s">
        <v>16</v>
      </c>
      <c r="J148" s="4">
        <v>5</v>
      </c>
      <c r="K148" t="str">
        <f>IFERROR(INDEX(BusinessUnits!$B:$B,MATCH($C148,BusinessUnits!$A:$A,0)),"")</f>
        <v>HOTEL</v>
      </c>
      <c r="L148" t="str">
        <f>IFERROR(INDEX(Table1[[#All],[Description]],MATCH($C148,BusinessUnits!$A:$A,0)),"")</f>
        <v xml:space="preserve">Transactions related to guest rooms and overall hotel operations. Includes payroll for administrative staff, clerks and interns. </v>
      </c>
      <c r="M148" t="str">
        <f>IFERROR(INDEX(ChartOfAccounts!B147:B232,MATCH($B148,ChartOfAccounts!A147:A232,0)),"")</f>
        <v/>
      </c>
      <c r="N148" t="str">
        <f>IFERROR(INDEX(ChartOfAccounts!D:D,MATCH($B148,ChartOfAccounts!A147:A232,0)),"")</f>
        <v/>
      </c>
      <c r="O148" t="str">
        <f>IFERROR(INDEX(ChartOfAccounts!F:F,MATCH($B148,ChartOfAccounts!A147:A232,0)),"")</f>
        <v/>
      </c>
      <c r="P148" t="str" cm="1">
        <f t="array" ref="P148">IFERROR(INDEX(PreparerInfo!B147:B159,MATCH($D148&amp;$C148,PreparerInfo!A147:A159&amp;PreparerInfo!C147:C159,0)),"")</f>
        <v/>
      </c>
      <c r="Q148" t="str">
        <f>IFERROR(INDEX(Source!B147:B155,MATCH('Case 4 solution'!E148,Source!A147:A155,0)),"")</f>
        <v/>
      </c>
    </row>
    <row r="149" spans="1:17" x14ac:dyDescent="0.3">
      <c r="A149" s="3">
        <v>2033593</v>
      </c>
      <c r="B149">
        <v>43180</v>
      </c>
      <c r="C149">
        <v>2</v>
      </c>
      <c r="D149" s="9">
        <v>104</v>
      </c>
      <c r="E149">
        <v>1003</v>
      </c>
      <c r="F149" s="1">
        <v>44005</v>
      </c>
      <c r="G149" t="s">
        <v>41</v>
      </c>
      <c r="H149" s="4" t="s">
        <v>16</v>
      </c>
      <c r="I149" s="4">
        <v>-5</v>
      </c>
      <c r="J149" s="4">
        <v>-5</v>
      </c>
      <c r="K149" t="str">
        <f>IFERROR(INDEX(BusinessUnits!$B:$B,MATCH($C149,BusinessUnits!$A:$A,0)),"")</f>
        <v>HOTEL</v>
      </c>
      <c r="L149" t="str">
        <f>IFERROR(INDEX(Table1[[#All],[Description]],MATCH($C149,BusinessUnits!$A:$A,0)),"")</f>
        <v xml:space="preserve">Transactions related to guest rooms and overall hotel operations. Includes payroll for administrative staff, clerks and interns. </v>
      </c>
      <c r="M149" t="str">
        <f>IFERROR(INDEX(ChartOfAccounts!B148:B233,MATCH($B149,ChartOfAccounts!A148:A233,0)),"")</f>
        <v/>
      </c>
      <c r="N149" t="str">
        <f>IFERROR(INDEX(ChartOfAccounts!D:D,MATCH($B149,ChartOfAccounts!A148:A233,0)),"")</f>
        <v/>
      </c>
      <c r="O149" t="str">
        <f>IFERROR(INDEX(ChartOfAccounts!F:F,MATCH($B149,ChartOfAccounts!A148:A233,0)),"")</f>
        <v/>
      </c>
      <c r="P149" t="str" cm="1">
        <f t="array" ref="P149">IFERROR(INDEX(PreparerInfo!B148:B160,MATCH($D149&amp;$C149,PreparerInfo!A148:A160&amp;PreparerInfo!C148:C160,0)),"")</f>
        <v/>
      </c>
      <c r="Q149" t="str">
        <f>IFERROR(INDEX(Source!B148:B156,MATCH('Case 4 solution'!E149,Source!A148:A156,0)),"")</f>
        <v/>
      </c>
    </row>
    <row r="150" spans="1:17" x14ac:dyDescent="0.3">
      <c r="A150" s="3">
        <v>2033594</v>
      </c>
      <c r="B150">
        <v>11845</v>
      </c>
      <c r="C150">
        <v>3</v>
      </c>
      <c r="D150" s="9">
        <v>102</v>
      </c>
      <c r="E150">
        <v>1001</v>
      </c>
      <c r="F150" s="1">
        <v>44005</v>
      </c>
      <c r="G150" t="s">
        <v>41</v>
      </c>
      <c r="H150" s="4">
        <v>15.25</v>
      </c>
      <c r="I150" s="4" t="s">
        <v>16</v>
      </c>
      <c r="J150" s="4">
        <v>15.25</v>
      </c>
      <c r="K150" t="str">
        <f>IFERROR(INDEX(BusinessUnits!$B:$B,MATCH($C150,BusinessUnits!$A:$A,0)),"")</f>
        <v>HOTEL PANTRY</v>
      </c>
      <c r="L150" t="str">
        <f>IFERROR(INDEX(Table1[[#All],[Description]],MATCH($C150,BusinessUnits!$A:$A,0)),"")</f>
        <v>Transactions related to the hotel convenience store, including some food and beverage costs.</v>
      </c>
      <c r="M150" t="str">
        <f>IFERROR(INDEX(ChartOfAccounts!B149:B234,MATCH($B150,ChartOfAccounts!A149:A234,0)),"")</f>
        <v/>
      </c>
      <c r="N150" t="str">
        <f>IFERROR(INDEX(ChartOfAccounts!D:D,MATCH($B150,ChartOfAccounts!A149:A234,0)),"")</f>
        <v/>
      </c>
      <c r="O150" t="str">
        <f>IFERROR(INDEX(ChartOfAccounts!F:F,MATCH($B150,ChartOfAccounts!A149:A234,0)),"")</f>
        <v/>
      </c>
      <c r="P150" t="str" cm="1">
        <f t="array" ref="P150">IFERROR(INDEX(PreparerInfo!B149:B161,MATCH($D150&amp;$C150,PreparerInfo!A149:A161&amp;PreparerInfo!C149:C161,0)),"")</f>
        <v/>
      </c>
      <c r="Q150" t="str">
        <f>IFERROR(INDEX(Source!B149:B157,MATCH('Case 4 solution'!E150,Source!A149:A157,0)),"")</f>
        <v/>
      </c>
    </row>
    <row r="151" spans="1:17" x14ac:dyDescent="0.3">
      <c r="A151" s="3">
        <v>2033594</v>
      </c>
      <c r="B151">
        <v>43440</v>
      </c>
      <c r="C151">
        <v>3</v>
      </c>
      <c r="D151" s="9">
        <v>102</v>
      </c>
      <c r="E151">
        <v>1001</v>
      </c>
      <c r="F151" s="1">
        <v>44005</v>
      </c>
      <c r="G151" t="s">
        <v>41</v>
      </c>
      <c r="H151" s="4" t="s">
        <v>16</v>
      </c>
      <c r="I151" s="4">
        <v>-15.25</v>
      </c>
      <c r="J151" s="4">
        <v>-15.25</v>
      </c>
      <c r="K151" t="str">
        <f>IFERROR(INDEX(BusinessUnits!$B:$B,MATCH($C151,BusinessUnits!$A:$A,0)),"")</f>
        <v>HOTEL PANTRY</v>
      </c>
      <c r="L151" t="str">
        <f>IFERROR(INDEX(Table1[[#All],[Description]],MATCH($C151,BusinessUnits!$A:$A,0)),"")</f>
        <v>Transactions related to the hotel convenience store, including some food and beverage costs.</v>
      </c>
      <c r="M151" t="str">
        <f>IFERROR(INDEX(ChartOfAccounts!B150:B235,MATCH($B151,ChartOfAccounts!A150:A235,0)),"")</f>
        <v/>
      </c>
      <c r="N151" t="str">
        <f>IFERROR(INDEX(ChartOfAccounts!D:D,MATCH($B151,ChartOfAccounts!A150:A235,0)),"")</f>
        <v/>
      </c>
      <c r="O151" t="str">
        <f>IFERROR(INDEX(ChartOfAccounts!F:F,MATCH($B151,ChartOfAccounts!A150:A235,0)),"")</f>
        <v/>
      </c>
      <c r="P151" t="str" cm="1">
        <f t="array" ref="P151">IFERROR(INDEX(PreparerInfo!B150:B162,MATCH($D151&amp;$C151,PreparerInfo!A150:A162&amp;PreparerInfo!C150:C162,0)),"")</f>
        <v/>
      </c>
      <c r="Q151" t="str">
        <f>IFERROR(INDEX(Source!B150:B158,MATCH('Case 4 solution'!E151,Source!A150:A158,0)),"")</f>
        <v/>
      </c>
    </row>
    <row r="152" spans="1:17" x14ac:dyDescent="0.3">
      <c r="A152" s="3">
        <v>2033595</v>
      </c>
      <c r="B152">
        <v>51610</v>
      </c>
      <c r="C152">
        <v>2</v>
      </c>
      <c r="D152" s="9">
        <v>105</v>
      </c>
      <c r="E152">
        <v>1006</v>
      </c>
      <c r="F152" s="1">
        <v>44005</v>
      </c>
      <c r="G152" t="s">
        <v>53</v>
      </c>
      <c r="H152" s="4">
        <v>20</v>
      </c>
      <c r="I152" s="4" t="s">
        <v>16</v>
      </c>
      <c r="J152" s="4">
        <v>20</v>
      </c>
      <c r="K152" t="str">
        <f>IFERROR(INDEX(BusinessUnits!$B:$B,MATCH($C152,BusinessUnits!$A:$A,0)),"")</f>
        <v>HOTEL</v>
      </c>
      <c r="L152" t="str">
        <f>IFERROR(INDEX(Table1[[#All],[Description]],MATCH($C152,BusinessUnits!$A:$A,0)),"")</f>
        <v xml:space="preserve">Transactions related to guest rooms and overall hotel operations. Includes payroll for administrative staff, clerks and interns. </v>
      </c>
      <c r="M152" t="str">
        <f>IFERROR(INDEX(ChartOfAccounts!B151:B236,MATCH($B152,ChartOfAccounts!A151:A236,0)),"")</f>
        <v/>
      </c>
      <c r="N152" t="str">
        <f>IFERROR(INDEX(ChartOfAccounts!D:D,MATCH($B152,ChartOfAccounts!A151:A236,0)),"")</f>
        <v/>
      </c>
      <c r="O152" t="str">
        <f>IFERROR(INDEX(ChartOfAccounts!F:F,MATCH($B152,ChartOfAccounts!A151:A236,0)),"")</f>
        <v/>
      </c>
      <c r="P152" t="str" cm="1">
        <f t="array" ref="P152">IFERROR(INDEX(PreparerInfo!B151:B163,MATCH($D152&amp;$C152,PreparerInfo!A151:A163&amp;PreparerInfo!C151:C163,0)),"")</f>
        <v/>
      </c>
      <c r="Q152" t="str">
        <f>IFERROR(INDEX(Source!B151:B159,MATCH('Case 4 solution'!E152,Source!A151:A159,0)),"")</f>
        <v/>
      </c>
    </row>
    <row r="153" spans="1:17" x14ac:dyDescent="0.3">
      <c r="A153" s="3">
        <v>2033595</v>
      </c>
      <c r="B153">
        <v>22110</v>
      </c>
      <c r="C153">
        <v>2</v>
      </c>
      <c r="D153" s="9">
        <v>105</v>
      </c>
      <c r="E153">
        <v>1006</v>
      </c>
      <c r="F153" s="1">
        <v>44005</v>
      </c>
      <c r="G153" t="s">
        <v>53</v>
      </c>
      <c r="H153" s="4" t="s">
        <v>16</v>
      </c>
      <c r="I153" s="4">
        <v>-20</v>
      </c>
      <c r="J153" s="4">
        <v>-20</v>
      </c>
      <c r="K153" t="str">
        <f>IFERROR(INDEX(BusinessUnits!$B:$B,MATCH($C153,BusinessUnits!$A:$A,0)),"")</f>
        <v>HOTEL</v>
      </c>
      <c r="L153" t="str">
        <f>IFERROR(INDEX(Table1[[#All],[Description]],MATCH($C153,BusinessUnits!$A:$A,0)),"")</f>
        <v xml:space="preserve">Transactions related to guest rooms and overall hotel operations. Includes payroll for administrative staff, clerks and interns. </v>
      </c>
      <c r="M153" t="str">
        <f>IFERROR(INDEX(ChartOfAccounts!B152:B237,MATCH($B153,ChartOfAccounts!A152:A237,0)),"")</f>
        <v/>
      </c>
      <c r="N153" t="str">
        <f>IFERROR(INDEX(ChartOfAccounts!D:D,MATCH($B153,ChartOfAccounts!A152:A237,0)),"")</f>
        <v/>
      </c>
      <c r="O153" t="str">
        <f>IFERROR(INDEX(ChartOfAccounts!F:F,MATCH($B153,ChartOfAccounts!A152:A237,0)),"")</f>
        <v/>
      </c>
      <c r="P153" t="str" cm="1">
        <f t="array" ref="P153">IFERROR(INDEX(PreparerInfo!B152:B164,MATCH($D153&amp;$C153,PreparerInfo!A152:A164&amp;PreparerInfo!C152:C164,0)),"")</f>
        <v/>
      </c>
      <c r="Q153" t="str">
        <f>IFERROR(INDEX(Source!B152:B160,MATCH('Case 4 solution'!E153,Source!A152:A160,0)),"")</f>
        <v/>
      </c>
    </row>
    <row r="154" spans="1:17" x14ac:dyDescent="0.3">
      <c r="A154" s="3">
        <v>2033596</v>
      </c>
      <c r="B154">
        <v>11845</v>
      </c>
      <c r="C154">
        <v>1</v>
      </c>
      <c r="D154" s="9">
        <v>106</v>
      </c>
      <c r="E154">
        <v>1003</v>
      </c>
      <c r="F154" s="1">
        <v>44005</v>
      </c>
      <c r="G154" t="s">
        <v>80</v>
      </c>
      <c r="H154" s="4">
        <v>25</v>
      </c>
      <c r="I154" s="4" t="s">
        <v>16</v>
      </c>
      <c r="J154" s="4">
        <v>25</v>
      </c>
      <c r="K154" t="str">
        <f>IFERROR(INDEX(BusinessUnits!$B:$B,MATCH($C154,BusinessUnits!$A:$A,0)),"")</f>
        <v>FOOD SERVICE</v>
      </c>
      <c r="L154" t="str">
        <f>IFERROR(INDEX(Table1[[#All],[Description]],MATCH($C154,BusinessUnits!$A:$A,0)),"")</f>
        <v xml:space="preserve">Transactions related to food and beverage service. Includes all guest transactions in the hotel restaurants, catering-related transactions and food service payroll. </v>
      </c>
      <c r="M154" t="str">
        <f>IFERROR(INDEX(ChartOfAccounts!B153:B238,MATCH($B154,ChartOfAccounts!A153:A238,0)),"")</f>
        <v/>
      </c>
      <c r="N154" t="str">
        <f>IFERROR(INDEX(ChartOfAccounts!D:D,MATCH($B154,ChartOfAccounts!A153:A238,0)),"")</f>
        <v/>
      </c>
      <c r="O154" t="str">
        <f>IFERROR(INDEX(ChartOfAccounts!F:F,MATCH($B154,ChartOfAccounts!A153:A238,0)),"")</f>
        <v/>
      </c>
      <c r="P154" t="str" cm="1">
        <f t="array" ref="P154">IFERROR(INDEX(PreparerInfo!B153:B165,MATCH($D154&amp;$C154,PreparerInfo!A153:A165&amp;PreparerInfo!C153:C165,0)),"")</f>
        <v/>
      </c>
      <c r="Q154" t="str">
        <f>IFERROR(INDEX(Source!B153:B161,MATCH('Case 4 solution'!E154,Source!A153:A161,0)),"")</f>
        <v/>
      </c>
    </row>
    <row r="155" spans="1:17" x14ac:dyDescent="0.3">
      <c r="A155" s="3">
        <v>2033596</v>
      </c>
      <c r="B155">
        <v>43440</v>
      </c>
      <c r="C155">
        <v>1</v>
      </c>
      <c r="D155" s="9">
        <v>106</v>
      </c>
      <c r="E155">
        <v>1003</v>
      </c>
      <c r="F155" s="1">
        <v>44005</v>
      </c>
      <c r="G155" t="s">
        <v>80</v>
      </c>
      <c r="H155" s="4" t="s">
        <v>16</v>
      </c>
      <c r="I155" s="4">
        <v>-25</v>
      </c>
      <c r="J155" s="4">
        <v>-25</v>
      </c>
      <c r="K155" t="str">
        <f>IFERROR(INDEX(BusinessUnits!$B:$B,MATCH($C155,BusinessUnits!$A:$A,0)),"")</f>
        <v>FOOD SERVICE</v>
      </c>
      <c r="L155" t="str">
        <f>IFERROR(INDEX(Table1[[#All],[Description]],MATCH($C155,BusinessUnits!$A:$A,0)),"")</f>
        <v xml:space="preserve">Transactions related to food and beverage service. Includes all guest transactions in the hotel restaurants, catering-related transactions and food service payroll. </v>
      </c>
      <c r="M155" t="str">
        <f>IFERROR(INDEX(ChartOfAccounts!B154:B239,MATCH($B155,ChartOfAccounts!A154:A239,0)),"")</f>
        <v/>
      </c>
      <c r="N155" t="str">
        <f>IFERROR(INDEX(ChartOfAccounts!D:D,MATCH($B155,ChartOfAccounts!A154:A239,0)),"")</f>
        <v/>
      </c>
      <c r="O155" t="str">
        <f>IFERROR(INDEX(ChartOfAccounts!F:F,MATCH($B155,ChartOfAccounts!A154:A239,0)),"")</f>
        <v/>
      </c>
      <c r="P155" t="str" cm="1">
        <f t="array" ref="P155">IFERROR(INDEX(PreparerInfo!B154:B166,MATCH($D155&amp;$C155,PreparerInfo!A154:A166&amp;PreparerInfo!C154:C166,0)),"")</f>
        <v/>
      </c>
      <c r="Q155" t="str">
        <f>IFERROR(INDEX(Source!B154:B162,MATCH('Case 4 solution'!E155,Source!A154:A162,0)),"")</f>
        <v/>
      </c>
    </row>
    <row r="156" spans="1:17" x14ac:dyDescent="0.3">
      <c r="A156" s="3">
        <v>2033597</v>
      </c>
      <c r="B156">
        <v>51402</v>
      </c>
      <c r="C156">
        <v>6</v>
      </c>
      <c r="D156" s="9">
        <v>105</v>
      </c>
      <c r="E156">
        <v>1006</v>
      </c>
      <c r="F156" s="1">
        <v>44005</v>
      </c>
      <c r="G156" t="s">
        <v>55</v>
      </c>
      <c r="H156" s="4">
        <v>25.8</v>
      </c>
      <c r="I156" s="4" t="s">
        <v>16</v>
      </c>
      <c r="J156" s="4">
        <v>25.8</v>
      </c>
      <c r="K156" t="str">
        <f>IFERROR(INDEX(BusinessUnits!$B:$B,MATCH($C156,BusinessUnits!$A:$A,0)),"")</f>
        <v>MAINTENANCE</v>
      </c>
      <c r="L156" t="str">
        <f>IFERROR(INDEX(Table1[[#All],[Description]],MATCH($C156,BusinessUnits!$A:$A,0)),"")</f>
        <v>Transactions related to the hotel Maintenance Department. Primarily includes payroll for maintenance, grounds keepers and related supplies.</v>
      </c>
      <c r="M156" t="str">
        <f>IFERROR(INDEX(ChartOfAccounts!B155:B240,MATCH($B156,ChartOfAccounts!A155:A240,0)),"")</f>
        <v/>
      </c>
      <c r="N156" t="str">
        <f>IFERROR(INDEX(ChartOfAccounts!D:D,MATCH($B156,ChartOfAccounts!A155:A240,0)),"")</f>
        <v/>
      </c>
      <c r="O156" t="str">
        <f>IFERROR(INDEX(ChartOfAccounts!F:F,MATCH($B156,ChartOfAccounts!A155:A240,0)),"")</f>
        <v/>
      </c>
      <c r="P156" t="str" cm="1">
        <f t="array" ref="P156">IFERROR(INDEX(PreparerInfo!B155:B167,MATCH($D156&amp;$C156,PreparerInfo!A155:A167&amp;PreparerInfo!C155:C167,0)),"")</f>
        <v/>
      </c>
      <c r="Q156" t="str">
        <f>IFERROR(INDEX(Source!B155:B163,MATCH('Case 4 solution'!E156,Source!A155:A163,0)),"")</f>
        <v/>
      </c>
    </row>
    <row r="157" spans="1:17" x14ac:dyDescent="0.3">
      <c r="A157" s="3">
        <v>2033597</v>
      </c>
      <c r="B157">
        <v>22110</v>
      </c>
      <c r="C157">
        <v>6</v>
      </c>
      <c r="D157" s="9">
        <v>105</v>
      </c>
      <c r="E157">
        <v>1006</v>
      </c>
      <c r="F157" s="1">
        <v>44005</v>
      </c>
      <c r="G157" t="s">
        <v>55</v>
      </c>
      <c r="H157" s="4" t="s">
        <v>16</v>
      </c>
      <c r="I157" s="4">
        <v>-25.8</v>
      </c>
      <c r="J157" s="4">
        <v>-25.8</v>
      </c>
      <c r="K157" t="str">
        <f>IFERROR(INDEX(BusinessUnits!$B:$B,MATCH($C157,BusinessUnits!$A:$A,0)),"")</f>
        <v>MAINTENANCE</v>
      </c>
      <c r="L157" t="str">
        <f>IFERROR(INDEX(Table1[[#All],[Description]],MATCH($C157,BusinessUnits!$A:$A,0)),"")</f>
        <v>Transactions related to the hotel Maintenance Department. Primarily includes payroll for maintenance, grounds keepers and related supplies.</v>
      </c>
      <c r="M157" t="str">
        <f>IFERROR(INDEX(ChartOfAccounts!B156:B241,MATCH($B157,ChartOfAccounts!A156:A241,0)),"")</f>
        <v/>
      </c>
      <c r="N157" t="str">
        <f>IFERROR(INDEX(ChartOfAccounts!D:D,MATCH($B157,ChartOfAccounts!A156:A241,0)),"")</f>
        <v/>
      </c>
      <c r="O157" t="str">
        <f>IFERROR(INDEX(ChartOfAccounts!F:F,MATCH($B157,ChartOfAccounts!A156:A241,0)),"")</f>
        <v/>
      </c>
      <c r="P157" t="str" cm="1">
        <f t="array" ref="P157">IFERROR(INDEX(PreparerInfo!B156:B168,MATCH($D157&amp;$C157,PreparerInfo!A156:A168&amp;PreparerInfo!C156:C168,0)),"")</f>
        <v/>
      </c>
      <c r="Q157" t="str">
        <f>IFERROR(INDEX(Source!B156:B164,MATCH('Case 4 solution'!E157,Source!A156:A164,0)),"")</f>
        <v/>
      </c>
    </row>
    <row r="158" spans="1:17" x14ac:dyDescent="0.3">
      <c r="A158" s="3">
        <v>2033598</v>
      </c>
      <c r="B158">
        <v>11845</v>
      </c>
      <c r="C158">
        <v>3</v>
      </c>
      <c r="D158" s="9">
        <v>102</v>
      </c>
      <c r="E158">
        <v>1003</v>
      </c>
      <c r="F158" s="1">
        <v>44005</v>
      </c>
      <c r="G158" t="s">
        <v>15</v>
      </c>
      <c r="H158" s="4">
        <v>30.03</v>
      </c>
      <c r="I158" s="4" t="s">
        <v>16</v>
      </c>
      <c r="J158" s="4">
        <v>30.03</v>
      </c>
      <c r="K158" t="str">
        <f>IFERROR(INDEX(BusinessUnits!$B:$B,MATCH($C158,BusinessUnits!$A:$A,0)),"")</f>
        <v>HOTEL PANTRY</v>
      </c>
      <c r="L158" t="str">
        <f>IFERROR(INDEX(Table1[[#All],[Description]],MATCH($C158,BusinessUnits!$A:$A,0)),"")</f>
        <v>Transactions related to the hotel convenience store, including some food and beverage costs.</v>
      </c>
      <c r="M158" t="str">
        <f>IFERROR(INDEX(ChartOfAccounts!B157:B242,MATCH($B158,ChartOfAccounts!A157:A242,0)),"")</f>
        <v/>
      </c>
      <c r="N158" t="str">
        <f>IFERROR(INDEX(ChartOfAccounts!D:D,MATCH($B158,ChartOfAccounts!A157:A242,0)),"")</f>
        <v/>
      </c>
      <c r="O158" t="str">
        <f>IFERROR(INDEX(ChartOfAccounts!F:F,MATCH($B158,ChartOfAccounts!A157:A242,0)),"")</f>
        <v/>
      </c>
      <c r="P158" t="str" cm="1">
        <f t="array" ref="P158">IFERROR(INDEX(PreparerInfo!B157:B169,MATCH($D158&amp;$C158,PreparerInfo!A157:A169&amp;PreparerInfo!C157:C169,0)),"")</f>
        <v/>
      </c>
      <c r="Q158" t="str">
        <f>IFERROR(INDEX(Source!B157:B165,MATCH('Case 4 solution'!E158,Source!A157:A165,0)),"")</f>
        <v/>
      </c>
    </row>
    <row r="159" spans="1:17" x14ac:dyDescent="0.3">
      <c r="A159" s="3">
        <v>2033598</v>
      </c>
      <c r="B159">
        <v>43440</v>
      </c>
      <c r="C159">
        <v>3</v>
      </c>
      <c r="D159" s="9">
        <v>102</v>
      </c>
      <c r="E159">
        <v>1003</v>
      </c>
      <c r="F159" s="1">
        <v>44005</v>
      </c>
      <c r="G159" t="s">
        <v>15</v>
      </c>
      <c r="H159" s="4" t="s">
        <v>16</v>
      </c>
      <c r="I159" s="4">
        <v>-30.03</v>
      </c>
      <c r="J159" s="4">
        <v>-30.03</v>
      </c>
      <c r="K159" t="str">
        <f>IFERROR(INDEX(BusinessUnits!$B:$B,MATCH($C159,BusinessUnits!$A:$A,0)),"")</f>
        <v>HOTEL PANTRY</v>
      </c>
      <c r="L159" t="str">
        <f>IFERROR(INDEX(Table1[[#All],[Description]],MATCH($C159,BusinessUnits!$A:$A,0)),"")</f>
        <v>Transactions related to the hotel convenience store, including some food and beverage costs.</v>
      </c>
      <c r="M159" t="str">
        <f>IFERROR(INDEX(ChartOfAccounts!B158:B243,MATCH($B159,ChartOfAccounts!A158:A243,0)),"")</f>
        <v/>
      </c>
      <c r="N159" t="str">
        <f>IFERROR(INDEX(ChartOfAccounts!D:D,MATCH($B159,ChartOfAccounts!A158:A243,0)),"")</f>
        <v/>
      </c>
      <c r="O159" t="str">
        <f>IFERROR(INDEX(ChartOfAccounts!F:F,MATCH($B159,ChartOfAccounts!A158:A243,0)),"")</f>
        <v/>
      </c>
      <c r="P159" t="str" cm="1">
        <f t="array" ref="P159">IFERROR(INDEX(PreparerInfo!B158:B170,MATCH($D159&amp;$C159,PreparerInfo!A158:A170&amp;PreparerInfo!C158:C170,0)),"")</f>
        <v/>
      </c>
      <c r="Q159" t="str">
        <f>IFERROR(INDEX(Source!B158:B166,MATCH('Case 4 solution'!E159,Source!A158:A166,0)),"")</f>
        <v/>
      </c>
    </row>
    <row r="160" spans="1:17" x14ac:dyDescent="0.3">
      <c r="A160" s="3">
        <v>2033599</v>
      </c>
      <c r="B160">
        <v>51610</v>
      </c>
      <c r="C160">
        <v>4</v>
      </c>
      <c r="D160" s="9">
        <v>105</v>
      </c>
      <c r="E160">
        <v>1006</v>
      </c>
      <c r="F160" s="1">
        <v>44005</v>
      </c>
      <c r="G160" t="s">
        <v>53</v>
      </c>
      <c r="H160" s="4">
        <v>45</v>
      </c>
      <c r="I160" s="4" t="s">
        <v>16</v>
      </c>
      <c r="J160" s="4">
        <v>45</v>
      </c>
      <c r="K160" t="str">
        <f>IFERROR(INDEX(BusinessUnits!$B:$B,MATCH($C160,BusinessUnits!$A:$A,0)),"")</f>
        <v>HOUSEKEEPING</v>
      </c>
      <c r="L160" t="str">
        <f>IFERROR(INDEX(Table1[[#All],[Description]],MATCH($C160,BusinessUnits!$A:$A,0)),"")</f>
        <v xml:space="preserve">Transactions related to the Housekeeping Department. Primarily includes payroll for housekeepers and housekeeping supplies. </v>
      </c>
      <c r="M160" t="str">
        <f>IFERROR(INDEX(ChartOfAccounts!B159:B244,MATCH($B160,ChartOfAccounts!A159:A244,0)),"")</f>
        <v/>
      </c>
      <c r="N160" t="str">
        <f>IFERROR(INDEX(ChartOfAccounts!D:D,MATCH($B160,ChartOfAccounts!A159:A244,0)),"")</f>
        <v/>
      </c>
      <c r="O160" t="str">
        <f>IFERROR(INDEX(ChartOfAccounts!F:F,MATCH($B160,ChartOfAccounts!A159:A244,0)),"")</f>
        <v/>
      </c>
      <c r="P160" t="str" cm="1">
        <f t="array" ref="P160">IFERROR(INDEX(PreparerInfo!B159:B171,MATCH($D160&amp;$C160,PreparerInfo!A159:A171&amp;PreparerInfo!C159:C171,0)),"")</f>
        <v/>
      </c>
      <c r="Q160" t="str">
        <f>IFERROR(INDEX(Source!B159:B167,MATCH('Case 4 solution'!E160,Source!A159:A167,0)),"")</f>
        <v/>
      </c>
    </row>
    <row r="161" spans="1:17" x14ac:dyDescent="0.3">
      <c r="A161" s="3">
        <v>2033599</v>
      </c>
      <c r="B161">
        <v>22110</v>
      </c>
      <c r="C161">
        <v>4</v>
      </c>
      <c r="D161" s="9">
        <v>105</v>
      </c>
      <c r="E161">
        <v>1006</v>
      </c>
      <c r="F161" s="1">
        <v>44005</v>
      </c>
      <c r="G161" t="s">
        <v>53</v>
      </c>
      <c r="H161" s="4" t="s">
        <v>16</v>
      </c>
      <c r="I161" s="4">
        <v>-45</v>
      </c>
      <c r="J161" s="4">
        <v>-45</v>
      </c>
      <c r="K161" t="str">
        <f>IFERROR(INDEX(BusinessUnits!$B:$B,MATCH($C161,BusinessUnits!$A:$A,0)),"")</f>
        <v>HOUSEKEEPING</v>
      </c>
      <c r="L161" t="str">
        <f>IFERROR(INDEX(Table1[[#All],[Description]],MATCH($C161,BusinessUnits!$A:$A,0)),"")</f>
        <v xml:space="preserve">Transactions related to the Housekeeping Department. Primarily includes payroll for housekeepers and housekeeping supplies. </v>
      </c>
      <c r="M161" t="str">
        <f>IFERROR(INDEX(ChartOfAccounts!B160:B245,MATCH($B161,ChartOfAccounts!A160:A245,0)),"")</f>
        <v/>
      </c>
      <c r="N161" t="str">
        <f>IFERROR(INDEX(ChartOfAccounts!D:D,MATCH($B161,ChartOfAccounts!A160:A245,0)),"")</f>
        <v/>
      </c>
      <c r="O161" t="str">
        <f>IFERROR(INDEX(ChartOfAccounts!F:F,MATCH($B161,ChartOfAccounts!A160:A245,0)),"")</f>
        <v/>
      </c>
      <c r="P161" t="str" cm="1">
        <f t="array" ref="P161">IFERROR(INDEX(PreparerInfo!B160:B172,MATCH($D161&amp;$C161,PreparerInfo!A160:A172&amp;PreparerInfo!C160:C172,0)),"")</f>
        <v/>
      </c>
      <c r="Q161" t="str">
        <f>IFERROR(INDEX(Source!B160:B168,MATCH('Case 4 solution'!E161,Source!A160:A168,0)),"")</f>
        <v/>
      </c>
    </row>
    <row r="162" spans="1:17" x14ac:dyDescent="0.3">
      <c r="A162" s="3">
        <v>2033600</v>
      </c>
      <c r="B162">
        <v>11845</v>
      </c>
      <c r="C162">
        <v>3</v>
      </c>
      <c r="D162" s="9">
        <v>102</v>
      </c>
      <c r="E162">
        <v>1003</v>
      </c>
      <c r="F162" s="1">
        <v>44005</v>
      </c>
      <c r="G162" t="s">
        <v>15</v>
      </c>
      <c r="H162" s="4">
        <v>47.42</v>
      </c>
      <c r="I162" s="4" t="s">
        <v>16</v>
      </c>
      <c r="J162" s="4">
        <v>47.42</v>
      </c>
      <c r="K162" t="str">
        <f>IFERROR(INDEX(BusinessUnits!$B:$B,MATCH($C162,BusinessUnits!$A:$A,0)),"")</f>
        <v>HOTEL PANTRY</v>
      </c>
      <c r="L162" t="str">
        <f>IFERROR(INDEX(Table1[[#All],[Description]],MATCH($C162,BusinessUnits!$A:$A,0)),"")</f>
        <v>Transactions related to the hotel convenience store, including some food and beverage costs.</v>
      </c>
      <c r="M162" t="str">
        <f>IFERROR(INDEX(ChartOfAccounts!B161:B246,MATCH($B162,ChartOfAccounts!A161:A246,0)),"")</f>
        <v/>
      </c>
      <c r="N162" t="str">
        <f>IFERROR(INDEX(ChartOfAccounts!D:D,MATCH($B162,ChartOfAccounts!A161:A246,0)),"")</f>
        <v/>
      </c>
      <c r="O162" t="str">
        <f>IFERROR(INDEX(ChartOfAccounts!F:F,MATCH($B162,ChartOfAccounts!A161:A246,0)),"")</f>
        <v/>
      </c>
      <c r="P162" t="str" cm="1">
        <f t="array" ref="P162">IFERROR(INDEX(PreparerInfo!B161:B173,MATCH($D162&amp;$C162,PreparerInfo!A161:A173&amp;PreparerInfo!C161:C173,0)),"")</f>
        <v/>
      </c>
      <c r="Q162" t="str">
        <f>IFERROR(INDEX(Source!B161:B169,MATCH('Case 4 solution'!E162,Source!A161:A169,0)),"")</f>
        <v/>
      </c>
    </row>
    <row r="163" spans="1:17" x14ac:dyDescent="0.3">
      <c r="A163" s="3">
        <v>2033600</v>
      </c>
      <c r="B163">
        <v>43440</v>
      </c>
      <c r="C163">
        <v>3</v>
      </c>
      <c r="D163" s="9">
        <v>102</v>
      </c>
      <c r="E163">
        <v>1003</v>
      </c>
      <c r="F163" s="1">
        <v>44005</v>
      </c>
      <c r="G163" t="s">
        <v>15</v>
      </c>
      <c r="H163" s="4" t="s">
        <v>16</v>
      </c>
      <c r="I163" s="4">
        <v>-47.42</v>
      </c>
      <c r="J163" s="4">
        <v>-47.42</v>
      </c>
      <c r="K163" t="str">
        <f>IFERROR(INDEX(BusinessUnits!$B:$B,MATCH($C163,BusinessUnits!$A:$A,0)),"")</f>
        <v>HOTEL PANTRY</v>
      </c>
      <c r="L163" t="str">
        <f>IFERROR(INDEX(Table1[[#All],[Description]],MATCH($C163,BusinessUnits!$A:$A,0)),"")</f>
        <v>Transactions related to the hotel convenience store, including some food and beverage costs.</v>
      </c>
      <c r="M163" t="str">
        <f>IFERROR(INDEX(ChartOfAccounts!B162:B247,MATCH($B163,ChartOfAccounts!A162:A247,0)),"")</f>
        <v/>
      </c>
      <c r="N163" t="str">
        <f>IFERROR(INDEX(ChartOfAccounts!D:D,MATCH($B163,ChartOfAccounts!A162:A247,0)),"")</f>
        <v/>
      </c>
      <c r="O163" t="str">
        <f>IFERROR(INDEX(ChartOfAccounts!F:F,MATCH($B163,ChartOfAccounts!A162:A247,0)),"")</f>
        <v/>
      </c>
      <c r="P163" t="str" cm="1">
        <f t="array" ref="P163">IFERROR(INDEX(PreparerInfo!B162:B174,MATCH($D163&amp;$C163,PreparerInfo!A162:A174&amp;PreparerInfo!C162:C174,0)),"")</f>
        <v/>
      </c>
      <c r="Q163" t="str">
        <f>IFERROR(INDEX(Source!B162:B170,MATCH('Case 4 solution'!E163,Source!A162:A170,0)),"")</f>
        <v/>
      </c>
    </row>
    <row r="164" spans="1:17" x14ac:dyDescent="0.3">
      <c r="A164" s="3">
        <v>2033601</v>
      </c>
      <c r="B164">
        <v>51402</v>
      </c>
      <c r="C164">
        <v>2</v>
      </c>
      <c r="D164" s="9">
        <v>105</v>
      </c>
      <c r="E164">
        <v>1006</v>
      </c>
      <c r="F164" s="1">
        <v>44005</v>
      </c>
      <c r="G164" t="s">
        <v>55</v>
      </c>
      <c r="H164" s="4">
        <v>48.27</v>
      </c>
      <c r="I164" s="4" t="s">
        <v>16</v>
      </c>
      <c r="J164" s="4">
        <v>48.27</v>
      </c>
      <c r="K164" t="str">
        <f>IFERROR(INDEX(BusinessUnits!$B:$B,MATCH($C164,BusinessUnits!$A:$A,0)),"")</f>
        <v>HOTEL</v>
      </c>
      <c r="L164" t="str">
        <f>IFERROR(INDEX(Table1[[#All],[Description]],MATCH($C164,BusinessUnits!$A:$A,0)),"")</f>
        <v xml:space="preserve">Transactions related to guest rooms and overall hotel operations. Includes payroll for administrative staff, clerks and interns. </v>
      </c>
      <c r="M164" t="str">
        <f>IFERROR(INDEX(ChartOfAccounts!B163:B248,MATCH($B164,ChartOfAccounts!A163:A248,0)),"")</f>
        <v/>
      </c>
      <c r="N164" t="str">
        <f>IFERROR(INDEX(ChartOfAccounts!D:D,MATCH($B164,ChartOfAccounts!A163:A248,0)),"")</f>
        <v/>
      </c>
      <c r="O164" t="str">
        <f>IFERROR(INDEX(ChartOfAccounts!F:F,MATCH($B164,ChartOfAccounts!A163:A248,0)),"")</f>
        <v/>
      </c>
      <c r="P164" t="str" cm="1">
        <f t="array" ref="P164">IFERROR(INDEX(PreparerInfo!B163:B175,MATCH($D164&amp;$C164,PreparerInfo!A163:A175&amp;PreparerInfo!C163:C175,0)),"")</f>
        <v/>
      </c>
      <c r="Q164" t="str">
        <f>IFERROR(INDEX(Source!B163:B171,MATCH('Case 4 solution'!E164,Source!A163:A171,0)),"")</f>
        <v/>
      </c>
    </row>
    <row r="165" spans="1:17" x14ac:dyDescent="0.3">
      <c r="A165" s="3">
        <v>2033601</v>
      </c>
      <c r="B165">
        <v>22110</v>
      </c>
      <c r="C165">
        <v>2</v>
      </c>
      <c r="D165" s="9">
        <v>105</v>
      </c>
      <c r="E165">
        <v>1006</v>
      </c>
      <c r="F165" s="1">
        <v>44005</v>
      </c>
      <c r="G165" t="s">
        <v>55</v>
      </c>
      <c r="H165" s="4" t="s">
        <v>16</v>
      </c>
      <c r="I165" s="4">
        <v>-48.27</v>
      </c>
      <c r="J165" s="4">
        <v>-48.27</v>
      </c>
      <c r="K165" t="str">
        <f>IFERROR(INDEX(BusinessUnits!$B:$B,MATCH($C165,BusinessUnits!$A:$A,0)),"")</f>
        <v>HOTEL</v>
      </c>
      <c r="L165" t="str">
        <f>IFERROR(INDEX(Table1[[#All],[Description]],MATCH($C165,BusinessUnits!$A:$A,0)),"")</f>
        <v xml:space="preserve">Transactions related to guest rooms and overall hotel operations. Includes payroll for administrative staff, clerks and interns. </v>
      </c>
      <c r="M165" t="str">
        <f>IFERROR(INDEX(ChartOfAccounts!B164:B249,MATCH($B165,ChartOfAccounts!A164:A249,0)),"")</f>
        <v/>
      </c>
      <c r="N165" t="str">
        <f>IFERROR(INDEX(ChartOfAccounts!D:D,MATCH($B165,ChartOfAccounts!A164:A249,0)),"")</f>
        <v/>
      </c>
      <c r="O165" t="str">
        <f>IFERROR(INDEX(ChartOfAccounts!F:F,MATCH($B165,ChartOfAccounts!A164:A249,0)),"")</f>
        <v/>
      </c>
      <c r="P165" t="str" cm="1">
        <f t="array" ref="P165">IFERROR(INDEX(PreparerInfo!B164:B176,MATCH($D165&amp;$C165,PreparerInfo!A164:A176&amp;PreparerInfo!C164:C176,0)),"")</f>
        <v/>
      </c>
      <c r="Q165" t="str">
        <f>IFERROR(INDEX(Source!B164:B172,MATCH('Case 4 solution'!E165,Source!A164:A172,0)),"")</f>
        <v/>
      </c>
    </row>
    <row r="166" spans="1:17" x14ac:dyDescent="0.3">
      <c r="A166" s="3">
        <v>2033602</v>
      </c>
      <c r="B166">
        <v>11845</v>
      </c>
      <c r="C166">
        <v>3</v>
      </c>
      <c r="D166" s="9">
        <v>102</v>
      </c>
      <c r="E166">
        <v>1001</v>
      </c>
      <c r="F166" s="1">
        <v>44005</v>
      </c>
      <c r="G166" t="s">
        <v>41</v>
      </c>
      <c r="H166" s="4">
        <v>52.31</v>
      </c>
      <c r="I166" s="4" t="s">
        <v>16</v>
      </c>
      <c r="J166" s="4">
        <v>52.31</v>
      </c>
      <c r="K166" t="str">
        <f>IFERROR(INDEX(BusinessUnits!$B:$B,MATCH($C166,BusinessUnits!$A:$A,0)),"")</f>
        <v>HOTEL PANTRY</v>
      </c>
      <c r="L166" t="str">
        <f>IFERROR(INDEX(Table1[[#All],[Description]],MATCH($C166,BusinessUnits!$A:$A,0)),"")</f>
        <v>Transactions related to the hotel convenience store, including some food and beverage costs.</v>
      </c>
      <c r="M166" t="str">
        <f>IFERROR(INDEX(ChartOfAccounts!B165:B250,MATCH($B166,ChartOfAccounts!A165:A250,0)),"")</f>
        <v/>
      </c>
      <c r="N166" t="str">
        <f>IFERROR(INDEX(ChartOfAccounts!D:D,MATCH($B166,ChartOfAccounts!A165:A250,0)),"")</f>
        <v/>
      </c>
      <c r="O166" t="str">
        <f>IFERROR(INDEX(ChartOfAccounts!F:F,MATCH($B166,ChartOfAccounts!A165:A250,0)),"")</f>
        <v/>
      </c>
      <c r="P166" t="str" cm="1">
        <f t="array" ref="P166">IFERROR(INDEX(PreparerInfo!B165:B177,MATCH($D166&amp;$C166,PreparerInfo!A165:A177&amp;PreparerInfo!C165:C177,0)),"")</f>
        <v/>
      </c>
      <c r="Q166" t="str">
        <f>IFERROR(INDEX(Source!B165:B173,MATCH('Case 4 solution'!E166,Source!A165:A173,0)),"")</f>
        <v/>
      </c>
    </row>
    <row r="167" spans="1:17" x14ac:dyDescent="0.3">
      <c r="A167" s="3">
        <v>2033602</v>
      </c>
      <c r="B167">
        <v>43440</v>
      </c>
      <c r="C167">
        <v>3</v>
      </c>
      <c r="D167" s="9">
        <v>102</v>
      </c>
      <c r="E167">
        <v>1001</v>
      </c>
      <c r="F167" s="1">
        <v>44005</v>
      </c>
      <c r="G167" t="s">
        <v>41</v>
      </c>
      <c r="H167" s="4" t="s">
        <v>16</v>
      </c>
      <c r="I167" s="4">
        <v>-52.31</v>
      </c>
      <c r="J167" s="4">
        <v>-52.31</v>
      </c>
      <c r="K167" t="str">
        <f>IFERROR(INDEX(BusinessUnits!$B:$B,MATCH($C167,BusinessUnits!$A:$A,0)),"")</f>
        <v>HOTEL PANTRY</v>
      </c>
      <c r="L167" t="str">
        <f>IFERROR(INDEX(Table1[[#All],[Description]],MATCH($C167,BusinessUnits!$A:$A,0)),"")</f>
        <v>Transactions related to the hotel convenience store, including some food and beverage costs.</v>
      </c>
      <c r="M167" t="str">
        <f>IFERROR(INDEX(ChartOfAccounts!B166:B251,MATCH($B167,ChartOfAccounts!A166:A251,0)),"")</f>
        <v/>
      </c>
      <c r="N167" t="str">
        <f>IFERROR(INDEX(ChartOfAccounts!D:D,MATCH($B167,ChartOfAccounts!A166:A251,0)),"")</f>
        <v/>
      </c>
      <c r="O167" t="str">
        <f>IFERROR(INDEX(ChartOfAccounts!F:F,MATCH($B167,ChartOfAccounts!A166:A251,0)),"")</f>
        <v/>
      </c>
      <c r="P167" t="str" cm="1">
        <f t="array" ref="P167">IFERROR(INDEX(PreparerInfo!B166:B178,MATCH($D167&amp;$C167,PreparerInfo!A166:A178&amp;PreparerInfo!C166:C178,0)),"")</f>
        <v/>
      </c>
      <c r="Q167" t="str">
        <f>IFERROR(INDEX(Source!B166:B174,MATCH('Case 4 solution'!E167,Source!A166:A174,0)),"")</f>
        <v/>
      </c>
    </row>
    <row r="168" spans="1:17" x14ac:dyDescent="0.3">
      <c r="A168" s="3">
        <v>2033603</v>
      </c>
      <c r="B168">
        <v>51610</v>
      </c>
      <c r="C168">
        <v>1</v>
      </c>
      <c r="D168" s="9">
        <v>105</v>
      </c>
      <c r="E168">
        <v>1006</v>
      </c>
      <c r="F168" s="1">
        <v>44005</v>
      </c>
      <c r="G168" t="s">
        <v>53</v>
      </c>
      <c r="H168" s="4">
        <v>75</v>
      </c>
      <c r="I168" s="4" t="s">
        <v>16</v>
      </c>
      <c r="J168" s="4">
        <v>75</v>
      </c>
      <c r="K168" t="str">
        <f>IFERROR(INDEX(BusinessUnits!$B:$B,MATCH($C168,BusinessUnits!$A:$A,0)),"")</f>
        <v>FOOD SERVICE</v>
      </c>
      <c r="L168" t="str">
        <f>IFERROR(INDEX(Table1[[#All],[Description]],MATCH($C168,BusinessUnits!$A:$A,0)),"")</f>
        <v xml:space="preserve">Transactions related to food and beverage service. Includes all guest transactions in the hotel restaurants, catering-related transactions and food service payroll. </v>
      </c>
      <c r="M168" t="str">
        <f>IFERROR(INDEX(ChartOfAccounts!B167:B252,MATCH($B168,ChartOfAccounts!A167:A252,0)),"")</f>
        <v/>
      </c>
      <c r="N168" t="str">
        <f>IFERROR(INDEX(ChartOfAccounts!D:D,MATCH($B168,ChartOfAccounts!A167:A252,0)),"")</f>
        <v/>
      </c>
      <c r="O168" t="str">
        <f>IFERROR(INDEX(ChartOfAccounts!F:F,MATCH($B168,ChartOfAccounts!A167:A252,0)),"")</f>
        <v/>
      </c>
      <c r="P168" t="str" cm="1">
        <f t="array" ref="P168">IFERROR(INDEX(PreparerInfo!B167:B179,MATCH($D168&amp;$C168,PreparerInfo!A167:A179&amp;PreparerInfo!C167:C179,0)),"")</f>
        <v/>
      </c>
      <c r="Q168" t="str">
        <f>IFERROR(INDEX(Source!B167:B175,MATCH('Case 4 solution'!E168,Source!A167:A175,0)),"")</f>
        <v/>
      </c>
    </row>
    <row r="169" spans="1:17" x14ac:dyDescent="0.3">
      <c r="A169" s="3">
        <v>2033603</v>
      </c>
      <c r="B169">
        <v>22110</v>
      </c>
      <c r="C169">
        <v>1</v>
      </c>
      <c r="D169" s="9">
        <v>105</v>
      </c>
      <c r="E169">
        <v>1006</v>
      </c>
      <c r="F169" s="1">
        <v>44005</v>
      </c>
      <c r="G169" t="s">
        <v>53</v>
      </c>
      <c r="H169" s="4" t="s">
        <v>16</v>
      </c>
      <c r="I169" s="4">
        <v>-75</v>
      </c>
      <c r="J169" s="4">
        <v>-75</v>
      </c>
      <c r="K169" t="str">
        <f>IFERROR(INDEX(BusinessUnits!$B:$B,MATCH($C169,BusinessUnits!$A:$A,0)),"")</f>
        <v>FOOD SERVICE</v>
      </c>
      <c r="L169" t="str">
        <f>IFERROR(INDEX(Table1[[#All],[Description]],MATCH($C169,BusinessUnits!$A:$A,0)),"")</f>
        <v xml:space="preserve">Transactions related to food and beverage service. Includes all guest transactions in the hotel restaurants, catering-related transactions and food service payroll. </v>
      </c>
      <c r="M169" t="str">
        <f>IFERROR(INDEX(ChartOfAccounts!B168:B253,MATCH($B169,ChartOfAccounts!A168:A253,0)),"")</f>
        <v/>
      </c>
      <c r="N169" t="str">
        <f>IFERROR(INDEX(ChartOfAccounts!D:D,MATCH($B169,ChartOfAccounts!A168:A253,0)),"")</f>
        <v/>
      </c>
      <c r="O169" t="str">
        <f>IFERROR(INDEX(ChartOfAccounts!F:F,MATCH($B169,ChartOfAccounts!A168:A253,0)),"")</f>
        <v/>
      </c>
      <c r="P169" t="str" cm="1">
        <f t="array" ref="P169">IFERROR(INDEX(PreparerInfo!B168:B180,MATCH($D169&amp;$C169,PreparerInfo!A168:A180&amp;PreparerInfo!C168:C180,0)),"")</f>
        <v/>
      </c>
      <c r="Q169" t="str">
        <f>IFERROR(INDEX(Source!B168:B176,MATCH('Case 4 solution'!E169,Source!A168:A176,0)),"")</f>
        <v/>
      </c>
    </row>
    <row r="170" spans="1:17" x14ac:dyDescent="0.3">
      <c r="A170" s="3">
        <v>2033604</v>
      </c>
      <c r="B170">
        <v>11845</v>
      </c>
      <c r="C170">
        <v>2</v>
      </c>
      <c r="D170" s="9">
        <v>104</v>
      </c>
      <c r="E170">
        <v>1003</v>
      </c>
      <c r="F170" s="1">
        <v>44005</v>
      </c>
      <c r="G170" t="s">
        <v>41</v>
      </c>
      <c r="H170" s="4">
        <v>99</v>
      </c>
      <c r="I170" s="4" t="s">
        <v>16</v>
      </c>
      <c r="J170" s="4">
        <v>99</v>
      </c>
      <c r="K170" t="str">
        <f>IFERROR(INDEX(BusinessUnits!$B:$B,MATCH($C170,BusinessUnits!$A:$A,0)),"")</f>
        <v>HOTEL</v>
      </c>
      <c r="L170" t="str">
        <f>IFERROR(INDEX(Table1[[#All],[Description]],MATCH($C170,BusinessUnits!$A:$A,0)),"")</f>
        <v xml:space="preserve">Transactions related to guest rooms and overall hotel operations. Includes payroll for administrative staff, clerks and interns. </v>
      </c>
      <c r="M170" t="str">
        <f>IFERROR(INDEX(ChartOfAccounts!B169:B254,MATCH($B170,ChartOfAccounts!A169:A254,0)),"")</f>
        <v/>
      </c>
      <c r="N170" t="str">
        <f>IFERROR(INDEX(ChartOfAccounts!D:D,MATCH($B170,ChartOfAccounts!A169:A254,0)),"")</f>
        <v/>
      </c>
      <c r="O170" t="str">
        <f>IFERROR(INDEX(ChartOfAccounts!F:F,MATCH($B170,ChartOfAccounts!A169:A254,0)),"")</f>
        <v/>
      </c>
      <c r="P170" t="str" cm="1">
        <f t="array" ref="P170">IFERROR(INDEX(PreparerInfo!B169:B181,MATCH($D170&amp;$C170,PreparerInfo!A169:A181&amp;PreparerInfo!C169:C181,0)),"")</f>
        <v/>
      </c>
      <c r="Q170" t="str">
        <f>IFERROR(INDEX(Source!B169:B177,MATCH('Case 4 solution'!E170,Source!A169:A177,0)),"")</f>
        <v/>
      </c>
    </row>
    <row r="171" spans="1:17" x14ac:dyDescent="0.3">
      <c r="A171" s="3">
        <v>2033604</v>
      </c>
      <c r="B171">
        <v>43180</v>
      </c>
      <c r="C171">
        <v>2</v>
      </c>
      <c r="D171" s="9">
        <v>104</v>
      </c>
      <c r="E171">
        <v>1003</v>
      </c>
      <c r="F171" s="1">
        <v>44005</v>
      </c>
      <c r="G171" t="s">
        <v>41</v>
      </c>
      <c r="H171" s="4" t="s">
        <v>16</v>
      </c>
      <c r="I171" s="4">
        <v>-99</v>
      </c>
      <c r="J171" s="4">
        <v>-99</v>
      </c>
      <c r="K171" t="str">
        <f>IFERROR(INDEX(BusinessUnits!$B:$B,MATCH($C171,BusinessUnits!$A:$A,0)),"")</f>
        <v>HOTEL</v>
      </c>
      <c r="L171" t="str">
        <f>IFERROR(INDEX(Table1[[#All],[Description]],MATCH($C171,BusinessUnits!$A:$A,0)),"")</f>
        <v xml:space="preserve">Transactions related to guest rooms and overall hotel operations. Includes payroll for administrative staff, clerks and interns. </v>
      </c>
      <c r="M171" t="str">
        <f>IFERROR(INDEX(ChartOfAccounts!B170:B255,MATCH($B171,ChartOfAccounts!A170:A255,0)),"")</f>
        <v/>
      </c>
      <c r="N171" t="str">
        <f>IFERROR(INDEX(ChartOfAccounts!D:D,MATCH($B171,ChartOfAccounts!A170:A255,0)),"")</f>
        <v/>
      </c>
      <c r="O171" t="str">
        <f>IFERROR(INDEX(ChartOfAccounts!F:F,MATCH($B171,ChartOfAccounts!A170:A255,0)),"")</f>
        <v/>
      </c>
      <c r="P171" t="str" cm="1">
        <f t="array" ref="P171">IFERROR(INDEX(PreparerInfo!B170:B182,MATCH($D171&amp;$C171,PreparerInfo!A170:A182&amp;PreparerInfo!C170:C182,0)),"")</f>
        <v/>
      </c>
      <c r="Q171" t="str">
        <f>IFERROR(INDEX(Source!B170:B178,MATCH('Case 4 solution'!E171,Source!A170:A178,0)),"")</f>
        <v/>
      </c>
    </row>
    <row r="172" spans="1:17" x14ac:dyDescent="0.3">
      <c r="A172" s="3">
        <v>2033605</v>
      </c>
      <c r="B172">
        <v>71400</v>
      </c>
      <c r="C172">
        <v>1</v>
      </c>
      <c r="D172" s="9">
        <v>101</v>
      </c>
      <c r="E172">
        <v>1002</v>
      </c>
      <c r="F172" s="1">
        <v>44005</v>
      </c>
      <c r="G172" t="s">
        <v>228</v>
      </c>
      <c r="H172" s="4">
        <v>100</v>
      </c>
      <c r="I172" s="4" t="s">
        <v>16</v>
      </c>
      <c r="J172" s="4">
        <v>100</v>
      </c>
      <c r="K172" t="str">
        <f>IFERROR(INDEX(BusinessUnits!$B:$B,MATCH($C172,BusinessUnits!$A:$A,0)),"")</f>
        <v>FOOD SERVICE</v>
      </c>
      <c r="L172" t="str">
        <f>IFERROR(INDEX(Table1[[#All],[Description]],MATCH($C172,BusinessUnits!$A:$A,0)),"")</f>
        <v xml:space="preserve">Transactions related to food and beverage service. Includes all guest transactions in the hotel restaurants, catering-related transactions and food service payroll. </v>
      </c>
      <c r="M172" t="str">
        <f>IFERROR(INDEX(ChartOfAccounts!B171:B256,MATCH($B172,ChartOfAccounts!A171:A256,0)),"")</f>
        <v/>
      </c>
      <c r="N172" t="str">
        <f>IFERROR(INDEX(ChartOfAccounts!D:D,MATCH($B172,ChartOfAccounts!A171:A256,0)),"")</f>
        <v/>
      </c>
      <c r="O172" t="str">
        <f>IFERROR(INDEX(ChartOfAccounts!F:F,MATCH($B172,ChartOfAccounts!A171:A256,0)),"")</f>
        <v/>
      </c>
      <c r="P172" t="str" cm="1">
        <f t="array" ref="P172">IFERROR(INDEX(PreparerInfo!B171:B183,MATCH($D172&amp;$C172,PreparerInfo!A171:A183&amp;PreparerInfo!C171:C183,0)),"")</f>
        <v/>
      </c>
      <c r="Q172" t="str">
        <f>IFERROR(INDEX(Source!B171:B179,MATCH('Case 4 solution'!E172,Source!A171:A179,0)),"")</f>
        <v/>
      </c>
    </row>
    <row r="173" spans="1:17" x14ac:dyDescent="0.3">
      <c r="A173" s="3">
        <v>2033605</v>
      </c>
      <c r="B173">
        <v>11845</v>
      </c>
      <c r="C173">
        <v>1</v>
      </c>
      <c r="D173" s="9">
        <v>101</v>
      </c>
      <c r="E173">
        <v>1002</v>
      </c>
      <c r="F173" s="1">
        <v>44005</v>
      </c>
      <c r="G173" t="s">
        <v>228</v>
      </c>
      <c r="H173" s="4" t="s">
        <v>16</v>
      </c>
      <c r="I173" s="4">
        <v>-100</v>
      </c>
      <c r="J173" s="4">
        <v>-100</v>
      </c>
      <c r="K173" t="str">
        <f>IFERROR(INDEX(BusinessUnits!$B:$B,MATCH($C173,BusinessUnits!$A:$A,0)),"")</f>
        <v>FOOD SERVICE</v>
      </c>
      <c r="L173" t="str">
        <f>IFERROR(INDEX(Table1[[#All],[Description]],MATCH($C173,BusinessUnits!$A:$A,0)),"")</f>
        <v xml:space="preserve">Transactions related to food and beverage service. Includes all guest transactions in the hotel restaurants, catering-related transactions and food service payroll. </v>
      </c>
      <c r="M173" t="str">
        <f>IFERROR(INDEX(ChartOfAccounts!B172:B257,MATCH($B173,ChartOfAccounts!A172:A257,0)),"")</f>
        <v/>
      </c>
      <c r="N173" t="str">
        <f>IFERROR(INDEX(ChartOfAccounts!D:D,MATCH($B173,ChartOfAccounts!A172:A257,0)),"")</f>
        <v/>
      </c>
      <c r="O173" t="str">
        <f>IFERROR(INDEX(ChartOfAccounts!F:F,MATCH($B173,ChartOfAccounts!A172:A257,0)),"")</f>
        <v/>
      </c>
      <c r="P173" t="str" cm="1">
        <f t="array" ref="P173">IFERROR(INDEX(PreparerInfo!B172:B184,MATCH($D173&amp;$C173,PreparerInfo!A172:A184&amp;PreparerInfo!C172:C184,0)),"")</f>
        <v/>
      </c>
      <c r="Q173" t="str">
        <f>IFERROR(INDEX(Source!B172:B180,MATCH('Case 4 solution'!E173,Source!A172:A180,0)),"")</f>
        <v/>
      </c>
    </row>
    <row r="174" spans="1:17" x14ac:dyDescent="0.3">
      <c r="A174" s="3">
        <v>2033606</v>
      </c>
      <c r="B174">
        <v>51400</v>
      </c>
      <c r="C174">
        <v>6</v>
      </c>
      <c r="D174" s="9">
        <v>105</v>
      </c>
      <c r="E174">
        <v>1006</v>
      </c>
      <c r="F174" s="1">
        <v>44005</v>
      </c>
      <c r="G174" t="s">
        <v>55</v>
      </c>
      <c r="H174" s="4">
        <v>110.32</v>
      </c>
      <c r="I174" s="4" t="s">
        <v>16</v>
      </c>
      <c r="J174" s="4">
        <v>110.32</v>
      </c>
      <c r="K174" t="str">
        <f>IFERROR(INDEX(BusinessUnits!$B:$B,MATCH($C174,BusinessUnits!$A:$A,0)),"")</f>
        <v>MAINTENANCE</v>
      </c>
      <c r="L174" t="str">
        <f>IFERROR(INDEX(Table1[[#All],[Description]],MATCH($C174,BusinessUnits!$A:$A,0)),"")</f>
        <v>Transactions related to the hotel Maintenance Department. Primarily includes payroll for maintenance, grounds keepers and related supplies.</v>
      </c>
      <c r="M174" t="str">
        <f>IFERROR(INDEX(ChartOfAccounts!B173:B258,MATCH($B174,ChartOfAccounts!A173:A258,0)),"")</f>
        <v/>
      </c>
      <c r="N174" t="str">
        <f>IFERROR(INDEX(ChartOfAccounts!D:D,MATCH($B174,ChartOfAccounts!A173:A258,0)),"")</f>
        <v/>
      </c>
      <c r="O174" t="str">
        <f>IFERROR(INDEX(ChartOfAccounts!F:F,MATCH($B174,ChartOfAccounts!A173:A258,0)),"")</f>
        <v/>
      </c>
      <c r="P174" t="str" cm="1">
        <f t="array" ref="P174">IFERROR(INDEX(PreparerInfo!B173:B185,MATCH($D174&amp;$C174,PreparerInfo!A173:A185&amp;PreparerInfo!C173:C185,0)),"")</f>
        <v/>
      </c>
      <c r="Q174" t="str">
        <f>IFERROR(INDEX(Source!B173:B181,MATCH('Case 4 solution'!E174,Source!A173:A181,0)),"")</f>
        <v/>
      </c>
    </row>
    <row r="175" spans="1:17" x14ac:dyDescent="0.3">
      <c r="A175" s="3">
        <v>2033606</v>
      </c>
      <c r="B175">
        <v>22110</v>
      </c>
      <c r="C175">
        <v>6</v>
      </c>
      <c r="D175" s="9">
        <v>105</v>
      </c>
      <c r="E175">
        <v>1006</v>
      </c>
      <c r="F175" s="1">
        <v>44005</v>
      </c>
      <c r="G175" t="s">
        <v>55</v>
      </c>
      <c r="H175" s="4" t="s">
        <v>16</v>
      </c>
      <c r="I175" s="4">
        <v>-110.32</v>
      </c>
      <c r="J175" s="4">
        <v>-110.32</v>
      </c>
      <c r="K175" t="str">
        <f>IFERROR(INDEX(BusinessUnits!$B:$B,MATCH($C175,BusinessUnits!$A:$A,0)),"")</f>
        <v>MAINTENANCE</v>
      </c>
      <c r="L175" t="str">
        <f>IFERROR(INDEX(Table1[[#All],[Description]],MATCH($C175,BusinessUnits!$A:$A,0)),"")</f>
        <v>Transactions related to the hotel Maintenance Department. Primarily includes payroll for maintenance, grounds keepers and related supplies.</v>
      </c>
      <c r="M175" t="str">
        <f>IFERROR(INDEX(ChartOfAccounts!B174:B259,MATCH($B175,ChartOfAccounts!A174:A259,0)),"")</f>
        <v/>
      </c>
      <c r="N175" t="str">
        <f>IFERROR(INDEX(ChartOfAccounts!D:D,MATCH($B175,ChartOfAccounts!A174:A259,0)),"")</f>
        <v/>
      </c>
      <c r="O175" t="str">
        <f>IFERROR(INDEX(ChartOfAccounts!F:F,MATCH($B175,ChartOfAccounts!A174:A259,0)),"")</f>
        <v/>
      </c>
      <c r="P175" t="str" cm="1">
        <f t="array" ref="P175">IFERROR(INDEX(PreparerInfo!B174:B186,MATCH($D175&amp;$C175,PreparerInfo!A174:A186&amp;PreparerInfo!C174:C186,0)),"")</f>
        <v/>
      </c>
      <c r="Q175" t="str">
        <f>IFERROR(INDEX(Source!B174:B182,MATCH('Case 4 solution'!E175,Source!A174:A182,0)),"")</f>
        <v/>
      </c>
    </row>
    <row r="176" spans="1:17" x14ac:dyDescent="0.3">
      <c r="A176" s="3">
        <v>2033607</v>
      </c>
      <c r="B176">
        <v>51140</v>
      </c>
      <c r="C176">
        <v>6</v>
      </c>
      <c r="D176" s="9">
        <v>105</v>
      </c>
      <c r="E176">
        <v>1004</v>
      </c>
      <c r="F176" s="1">
        <v>44005</v>
      </c>
      <c r="G176" t="s">
        <v>54</v>
      </c>
      <c r="H176" s="4">
        <v>120.69</v>
      </c>
      <c r="I176" s="4" t="s">
        <v>16</v>
      </c>
      <c r="J176" s="4">
        <v>120.69</v>
      </c>
      <c r="K176" t="str">
        <f>IFERROR(INDEX(BusinessUnits!$B:$B,MATCH($C176,BusinessUnits!$A:$A,0)),"")</f>
        <v>MAINTENANCE</v>
      </c>
      <c r="L176" t="str">
        <f>IFERROR(INDEX(Table1[[#All],[Description]],MATCH($C176,BusinessUnits!$A:$A,0)),"")</f>
        <v>Transactions related to the hotel Maintenance Department. Primarily includes payroll for maintenance, grounds keepers and related supplies.</v>
      </c>
      <c r="M176" t="str">
        <f>IFERROR(INDEX(ChartOfAccounts!B175:B260,MATCH($B176,ChartOfAccounts!A175:A260,0)),"")</f>
        <v/>
      </c>
      <c r="N176" t="str">
        <f>IFERROR(INDEX(ChartOfAccounts!D:D,MATCH($B176,ChartOfAccounts!A175:A260,0)),"")</f>
        <v/>
      </c>
      <c r="O176" t="str">
        <f>IFERROR(INDEX(ChartOfAccounts!F:F,MATCH($B176,ChartOfAccounts!A175:A260,0)),"")</f>
        <v/>
      </c>
      <c r="P176" t="str" cm="1">
        <f t="array" ref="P176">IFERROR(INDEX(PreparerInfo!B175:B187,MATCH($D176&amp;$C176,PreparerInfo!A175:A187&amp;PreparerInfo!C175:C187,0)),"")</f>
        <v/>
      </c>
      <c r="Q176" t="str">
        <f>IFERROR(INDEX(Source!B175:B183,MATCH('Case 4 solution'!E176,Source!A175:A183,0)),"")</f>
        <v/>
      </c>
    </row>
    <row r="177" spans="1:17" x14ac:dyDescent="0.3">
      <c r="A177" s="3">
        <v>2033607</v>
      </c>
      <c r="B177">
        <v>11845</v>
      </c>
      <c r="C177">
        <v>6</v>
      </c>
      <c r="D177" s="9">
        <v>105</v>
      </c>
      <c r="E177">
        <v>1004</v>
      </c>
      <c r="F177" s="1">
        <v>44005</v>
      </c>
      <c r="G177" t="s">
        <v>54</v>
      </c>
      <c r="H177" s="4" t="s">
        <v>16</v>
      </c>
      <c r="I177" s="4">
        <v>-120.69</v>
      </c>
      <c r="J177" s="4">
        <v>-120.69</v>
      </c>
      <c r="K177" t="str">
        <f>IFERROR(INDEX(BusinessUnits!$B:$B,MATCH($C177,BusinessUnits!$A:$A,0)),"")</f>
        <v>MAINTENANCE</v>
      </c>
      <c r="L177" t="str">
        <f>IFERROR(INDEX(Table1[[#All],[Description]],MATCH($C177,BusinessUnits!$A:$A,0)),"")</f>
        <v>Transactions related to the hotel Maintenance Department. Primarily includes payroll for maintenance, grounds keepers and related supplies.</v>
      </c>
      <c r="M177" t="str">
        <f>IFERROR(INDEX(ChartOfAccounts!B176:B261,MATCH($B177,ChartOfAccounts!A176:A261,0)),"")</f>
        <v/>
      </c>
      <c r="N177" t="str">
        <f>IFERROR(INDEX(ChartOfAccounts!D:D,MATCH($B177,ChartOfAccounts!A176:A261,0)),"")</f>
        <v/>
      </c>
      <c r="O177" t="str">
        <f>IFERROR(INDEX(ChartOfAccounts!F:F,MATCH($B177,ChartOfAccounts!A176:A261,0)),"")</f>
        <v/>
      </c>
      <c r="P177" t="str" cm="1">
        <f t="array" ref="P177">IFERROR(INDEX(PreparerInfo!B176:B188,MATCH($D177&amp;$C177,PreparerInfo!A176:A188&amp;PreparerInfo!C176:C188,0)),"")</f>
        <v/>
      </c>
      <c r="Q177" t="str">
        <f>IFERROR(INDEX(Source!B176:B184,MATCH('Case 4 solution'!E177,Source!A176:A184,0)),"")</f>
        <v/>
      </c>
    </row>
    <row r="178" spans="1:17" x14ac:dyDescent="0.3">
      <c r="A178" s="3">
        <v>2033608</v>
      </c>
      <c r="B178">
        <v>51402</v>
      </c>
      <c r="C178">
        <v>4</v>
      </c>
      <c r="D178" s="9">
        <v>105</v>
      </c>
      <c r="E178">
        <v>1006</v>
      </c>
      <c r="F178" s="1">
        <v>44005</v>
      </c>
      <c r="G178" t="s">
        <v>55</v>
      </c>
      <c r="H178" s="4">
        <v>121.22</v>
      </c>
      <c r="I178" s="4" t="s">
        <v>16</v>
      </c>
      <c r="J178" s="4">
        <v>121.22</v>
      </c>
      <c r="K178" t="str">
        <f>IFERROR(INDEX(BusinessUnits!$B:$B,MATCH($C178,BusinessUnits!$A:$A,0)),"")</f>
        <v>HOUSEKEEPING</v>
      </c>
      <c r="L178" t="str">
        <f>IFERROR(INDEX(Table1[[#All],[Description]],MATCH($C178,BusinessUnits!$A:$A,0)),"")</f>
        <v xml:space="preserve">Transactions related to the Housekeeping Department. Primarily includes payroll for housekeepers and housekeeping supplies. </v>
      </c>
      <c r="M178" t="str">
        <f>IFERROR(INDEX(ChartOfAccounts!B177:B262,MATCH($B178,ChartOfAccounts!A177:A262,0)),"")</f>
        <v/>
      </c>
      <c r="N178" t="str">
        <f>IFERROR(INDEX(ChartOfAccounts!D:D,MATCH($B178,ChartOfAccounts!A177:A262,0)),"")</f>
        <v/>
      </c>
      <c r="O178" t="str">
        <f>IFERROR(INDEX(ChartOfAccounts!F:F,MATCH($B178,ChartOfAccounts!A177:A262,0)),"")</f>
        <v/>
      </c>
      <c r="P178" t="str" cm="1">
        <f t="array" ref="P178">IFERROR(INDEX(PreparerInfo!B177:B189,MATCH($D178&amp;$C178,PreparerInfo!A177:A189&amp;PreparerInfo!C177:C189,0)),"")</f>
        <v/>
      </c>
      <c r="Q178" t="str">
        <f>IFERROR(INDEX(Source!B177:B185,MATCH('Case 4 solution'!E178,Source!A177:A185,0)),"")</f>
        <v/>
      </c>
    </row>
    <row r="179" spans="1:17" x14ac:dyDescent="0.3">
      <c r="A179" s="3">
        <v>2033608</v>
      </c>
      <c r="B179">
        <v>22110</v>
      </c>
      <c r="C179">
        <v>4</v>
      </c>
      <c r="D179" s="9">
        <v>105</v>
      </c>
      <c r="E179">
        <v>1006</v>
      </c>
      <c r="F179" s="1">
        <v>44005</v>
      </c>
      <c r="G179" t="s">
        <v>55</v>
      </c>
      <c r="H179" s="4" t="s">
        <v>16</v>
      </c>
      <c r="I179" s="4">
        <v>-121.22</v>
      </c>
      <c r="J179" s="4">
        <v>-121.22</v>
      </c>
      <c r="K179" t="str">
        <f>IFERROR(INDEX(BusinessUnits!$B:$B,MATCH($C179,BusinessUnits!$A:$A,0)),"")</f>
        <v>HOUSEKEEPING</v>
      </c>
      <c r="L179" t="str">
        <f>IFERROR(INDEX(Table1[[#All],[Description]],MATCH($C179,BusinessUnits!$A:$A,0)),"")</f>
        <v xml:space="preserve">Transactions related to the Housekeeping Department. Primarily includes payroll for housekeepers and housekeeping supplies. </v>
      </c>
      <c r="M179" t="str">
        <f>IFERROR(INDEX(ChartOfAccounts!B178:B263,MATCH($B179,ChartOfAccounts!A178:A263,0)),"")</f>
        <v/>
      </c>
      <c r="N179" t="str">
        <f>IFERROR(INDEX(ChartOfAccounts!D:D,MATCH($B179,ChartOfAccounts!A178:A263,0)),"")</f>
        <v/>
      </c>
      <c r="O179" t="str">
        <f>IFERROR(INDEX(ChartOfAccounts!F:F,MATCH($B179,ChartOfAccounts!A178:A263,0)),"")</f>
        <v/>
      </c>
      <c r="P179" t="str" cm="1">
        <f t="array" ref="P179">IFERROR(INDEX(PreparerInfo!B178:B190,MATCH($D179&amp;$C179,PreparerInfo!A178:A190&amp;PreparerInfo!C178:C190,0)),"")</f>
        <v/>
      </c>
      <c r="Q179" t="str">
        <f>IFERROR(INDEX(Source!B178:B186,MATCH('Case 4 solution'!E179,Source!A178:A186,0)),"")</f>
        <v/>
      </c>
    </row>
    <row r="180" spans="1:17" x14ac:dyDescent="0.3">
      <c r="A180" s="3">
        <v>2033609</v>
      </c>
      <c r="B180">
        <v>51610</v>
      </c>
      <c r="C180">
        <v>2</v>
      </c>
      <c r="D180" s="9">
        <v>105</v>
      </c>
      <c r="E180">
        <v>1006</v>
      </c>
      <c r="F180" s="1">
        <v>44005</v>
      </c>
      <c r="G180" t="s">
        <v>75</v>
      </c>
      <c r="H180" s="4">
        <v>195.5</v>
      </c>
      <c r="I180" s="4" t="s">
        <v>16</v>
      </c>
      <c r="J180" s="4">
        <v>195.5</v>
      </c>
      <c r="K180" t="str">
        <f>IFERROR(INDEX(BusinessUnits!$B:$B,MATCH($C180,BusinessUnits!$A:$A,0)),"")</f>
        <v>HOTEL</v>
      </c>
      <c r="L180" t="str">
        <f>IFERROR(INDEX(Table1[[#All],[Description]],MATCH($C180,BusinessUnits!$A:$A,0)),"")</f>
        <v xml:space="preserve">Transactions related to guest rooms and overall hotel operations. Includes payroll for administrative staff, clerks and interns. </v>
      </c>
      <c r="M180" t="str">
        <f>IFERROR(INDEX(ChartOfAccounts!B179:B264,MATCH($B180,ChartOfAccounts!A179:A264,0)),"")</f>
        <v/>
      </c>
      <c r="N180" t="str">
        <f>IFERROR(INDEX(ChartOfAccounts!D:D,MATCH($B180,ChartOfAccounts!A179:A264,0)),"")</f>
        <v/>
      </c>
      <c r="O180" t="str">
        <f>IFERROR(INDEX(ChartOfAccounts!F:F,MATCH($B180,ChartOfAccounts!A179:A264,0)),"")</f>
        <v/>
      </c>
      <c r="P180" t="str" cm="1">
        <f t="array" ref="P180">IFERROR(INDEX(PreparerInfo!B179:B191,MATCH($D180&amp;$C180,PreparerInfo!A179:A191&amp;PreparerInfo!C179:C191,0)),"")</f>
        <v/>
      </c>
      <c r="Q180" t="str">
        <f>IFERROR(INDEX(Source!B179:B187,MATCH('Case 4 solution'!E180,Source!A179:A187,0)),"")</f>
        <v/>
      </c>
    </row>
    <row r="181" spans="1:17" x14ac:dyDescent="0.3">
      <c r="A181" s="3">
        <v>2033609</v>
      </c>
      <c r="B181">
        <v>22110</v>
      </c>
      <c r="C181">
        <v>2</v>
      </c>
      <c r="D181" s="9">
        <v>105</v>
      </c>
      <c r="E181">
        <v>1006</v>
      </c>
      <c r="F181" s="1">
        <v>44005</v>
      </c>
      <c r="G181" t="s">
        <v>75</v>
      </c>
      <c r="H181" s="4" t="s">
        <v>16</v>
      </c>
      <c r="I181" s="4">
        <v>-195.5</v>
      </c>
      <c r="J181" s="4">
        <v>-195.5</v>
      </c>
      <c r="K181" t="str">
        <f>IFERROR(INDEX(BusinessUnits!$B:$B,MATCH($C181,BusinessUnits!$A:$A,0)),"")</f>
        <v>HOTEL</v>
      </c>
      <c r="L181" t="str">
        <f>IFERROR(INDEX(Table1[[#All],[Description]],MATCH($C181,BusinessUnits!$A:$A,0)),"")</f>
        <v xml:space="preserve">Transactions related to guest rooms and overall hotel operations. Includes payroll for administrative staff, clerks and interns. </v>
      </c>
      <c r="M181" t="str">
        <f>IFERROR(INDEX(ChartOfAccounts!B180:B265,MATCH($B181,ChartOfAccounts!A180:A265,0)),"")</f>
        <v/>
      </c>
      <c r="N181" t="str">
        <f>IFERROR(INDEX(ChartOfAccounts!D:D,MATCH($B181,ChartOfAccounts!A180:A265,0)),"")</f>
        <v/>
      </c>
      <c r="O181" t="str">
        <f>IFERROR(INDEX(ChartOfAccounts!F:F,MATCH($B181,ChartOfAccounts!A180:A265,0)),"")</f>
        <v/>
      </c>
      <c r="P181" t="str" cm="1">
        <f t="array" ref="P181">IFERROR(INDEX(PreparerInfo!B180:B192,MATCH($D181&amp;$C181,PreparerInfo!A180:A192&amp;PreparerInfo!C180:C192,0)),"")</f>
        <v/>
      </c>
      <c r="Q181" t="str">
        <f>IFERROR(INDEX(Source!B180:B188,MATCH('Case 4 solution'!E181,Source!A180:A188,0)),"")</f>
        <v/>
      </c>
    </row>
    <row r="182" spans="1:17" x14ac:dyDescent="0.3">
      <c r="A182" s="3">
        <v>2033610</v>
      </c>
      <c r="B182">
        <v>11845</v>
      </c>
      <c r="C182">
        <v>2</v>
      </c>
      <c r="D182" s="9">
        <v>104</v>
      </c>
      <c r="E182">
        <v>1003</v>
      </c>
      <c r="F182" s="1">
        <v>44005</v>
      </c>
      <c r="G182" t="s">
        <v>229</v>
      </c>
      <c r="H182" s="4">
        <v>198</v>
      </c>
      <c r="I182" s="4" t="s">
        <v>16</v>
      </c>
      <c r="J182" s="4">
        <v>198</v>
      </c>
      <c r="K182" t="str">
        <f>IFERROR(INDEX(BusinessUnits!$B:$B,MATCH($C182,BusinessUnits!$A:$A,0)),"")</f>
        <v>HOTEL</v>
      </c>
      <c r="L182" t="str">
        <f>IFERROR(INDEX(Table1[[#All],[Description]],MATCH($C182,BusinessUnits!$A:$A,0)),"")</f>
        <v xml:space="preserve">Transactions related to guest rooms and overall hotel operations. Includes payroll for administrative staff, clerks and interns. </v>
      </c>
      <c r="M182" t="str">
        <f>IFERROR(INDEX(ChartOfAccounts!B181:B266,MATCH($B182,ChartOfAccounts!A181:A266,0)),"")</f>
        <v/>
      </c>
      <c r="N182" t="str">
        <f>IFERROR(INDEX(ChartOfAccounts!D:D,MATCH($B182,ChartOfAccounts!A181:A266,0)),"")</f>
        <v/>
      </c>
      <c r="O182" t="str">
        <f>IFERROR(INDEX(ChartOfAccounts!F:F,MATCH($B182,ChartOfAccounts!A181:A266,0)),"")</f>
        <v/>
      </c>
      <c r="P182" t="str" cm="1">
        <f t="array" ref="P182">IFERROR(INDEX(PreparerInfo!B181:B193,MATCH($D182&amp;$C182,PreparerInfo!A181:A193&amp;PreparerInfo!C181:C193,0)),"")</f>
        <v/>
      </c>
      <c r="Q182" t="str">
        <f>IFERROR(INDEX(Source!B181:B189,MATCH('Case 4 solution'!E182,Source!A181:A189,0)),"")</f>
        <v/>
      </c>
    </row>
    <row r="183" spans="1:17" x14ac:dyDescent="0.3">
      <c r="A183" s="3">
        <v>2033610</v>
      </c>
      <c r="B183">
        <v>43180</v>
      </c>
      <c r="C183">
        <v>2</v>
      </c>
      <c r="D183" s="9">
        <v>104</v>
      </c>
      <c r="E183">
        <v>1003</v>
      </c>
      <c r="F183" s="1">
        <v>44005</v>
      </c>
      <c r="G183" t="s">
        <v>229</v>
      </c>
      <c r="H183" s="4" t="s">
        <v>16</v>
      </c>
      <c r="I183" s="4">
        <v>-198</v>
      </c>
      <c r="J183" s="4">
        <v>-198</v>
      </c>
      <c r="K183" t="str">
        <f>IFERROR(INDEX(BusinessUnits!$B:$B,MATCH($C183,BusinessUnits!$A:$A,0)),"")</f>
        <v>HOTEL</v>
      </c>
      <c r="L183" t="str">
        <f>IFERROR(INDEX(Table1[[#All],[Description]],MATCH($C183,BusinessUnits!$A:$A,0)),"")</f>
        <v xml:space="preserve">Transactions related to guest rooms and overall hotel operations. Includes payroll for administrative staff, clerks and interns. </v>
      </c>
      <c r="M183" t="str">
        <f>IFERROR(INDEX(ChartOfAccounts!B182:B267,MATCH($B183,ChartOfAccounts!A182:A267,0)),"")</f>
        <v/>
      </c>
      <c r="N183" t="str">
        <f>IFERROR(INDEX(ChartOfAccounts!D:D,MATCH($B183,ChartOfAccounts!A182:A267,0)),"")</f>
        <v/>
      </c>
      <c r="O183" t="str">
        <f>IFERROR(INDEX(ChartOfAccounts!F:F,MATCH($B183,ChartOfAccounts!A182:A267,0)),"")</f>
        <v/>
      </c>
      <c r="P183" t="str" cm="1">
        <f t="array" ref="P183">IFERROR(INDEX(PreparerInfo!B182:B194,MATCH($D183&amp;$C183,PreparerInfo!A182:A194&amp;PreparerInfo!C182:C194,0)),"")</f>
        <v/>
      </c>
      <c r="Q183" t="str">
        <f>IFERROR(INDEX(Source!B182:B190,MATCH('Case 4 solution'!E183,Source!A182:A190,0)),"")</f>
        <v/>
      </c>
    </row>
    <row r="184" spans="1:17" x14ac:dyDescent="0.3">
      <c r="A184" s="3">
        <v>2033611</v>
      </c>
      <c r="B184">
        <v>51400</v>
      </c>
      <c r="C184">
        <v>2</v>
      </c>
      <c r="D184" s="9">
        <v>105</v>
      </c>
      <c r="E184">
        <v>1006</v>
      </c>
      <c r="F184" s="1">
        <v>44005</v>
      </c>
      <c r="G184" t="s">
        <v>55</v>
      </c>
      <c r="H184" s="4">
        <v>206.41</v>
      </c>
      <c r="I184" s="4" t="s">
        <v>16</v>
      </c>
      <c r="J184" s="4">
        <v>206.41</v>
      </c>
      <c r="K184" t="str">
        <f>IFERROR(INDEX(BusinessUnits!$B:$B,MATCH($C184,BusinessUnits!$A:$A,0)),"")</f>
        <v>HOTEL</v>
      </c>
      <c r="L184" t="str">
        <f>IFERROR(INDEX(Table1[[#All],[Description]],MATCH($C184,BusinessUnits!$A:$A,0)),"")</f>
        <v xml:space="preserve">Transactions related to guest rooms and overall hotel operations. Includes payroll for administrative staff, clerks and interns. </v>
      </c>
      <c r="M184" t="str">
        <f>IFERROR(INDEX(ChartOfAccounts!B183:B268,MATCH($B184,ChartOfAccounts!A183:A268,0)),"")</f>
        <v/>
      </c>
      <c r="N184" t="str">
        <f>IFERROR(INDEX(ChartOfAccounts!D:D,MATCH($B184,ChartOfAccounts!A183:A268,0)),"")</f>
        <v/>
      </c>
      <c r="O184" t="str">
        <f>IFERROR(INDEX(ChartOfAccounts!F:F,MATCH($B184,ChartOfAccounts!A183:A268,0)),"")</f>
        <v/>
      </c>
      <c r="P184" t="str" cm="1">
        <f t="array" ref="P184">IFERROR(INDEX(PreparerInfo!B183:B195,MATCH($D184&amp;$C184,PreparerInfo!A183:A195&amp;PreparerInfo!C183:C195,0)),"")</f>
        <v/>
      </c>
      <c r="Q184" t="str">
        <f>IFERROR(INDEX(Source!B183:B191,MATCH('Case 4 solution'!E184,Source!A183:A191,0)),"")</f>
        <v/>
      </c>
    </row>
    <row r="185" spans="1:17" x14ac:dyDescent="0.3">
      <c r="A185" s="3">
        <v>2033611</v>
      </c>
      <c r="B185">
        <v>22110</v>
      </c>
      <c r="C185">
        <v>2</v>
      </c>
      <c r="D185" s="9">
        <v>105</v>
      </c>
      <c r="E185">
        <v>1006</v>
      </c>
      <c r="F185" s="1">
        <v>44005</v>
      </c>
      <c r="G185" t="s">
        <v>55</v>
      </c>
      <c r="H185" s="4" t="s">
        <v>16</v>
      </c>
      <c r="I185" s="4">
        <v>-206.41</v>
      </c>
      <c r="J185" s="4">
        <v>-206.41</v>
      </c>
      <c r="K185" t="str">
        <f>IFERROR(INDEX(BusinessUnits!$B:$B,MATCH($C185,BusinessUnits!$A:$A,0)),"")</f>
        <v>HOTEL</v>
      </c>
      <c r="L185" t="str">
        <f>IFERROR(INDEX(Table1[[#All],[Description]],MATCH($C185,BusinessUnits!$A:$A,0)),"")</f>
        <v xml:space="preserve">Transactions related to guest rooms and overall hotel operations. Includes payroll for administrative staff, clerks and interns. </v>
      </c>
      <c r="M185" t="str">
        <f>IFERROR(INDEX(ChartOfAccounts!B184:B269,MATCH($B185,ChartOfAccounts!A184:A269,0)),"")</f>
        <v/>
      </c>
      <c r="N185" t="str">
        <f>IFERROR(INDEX(ChartOfAccounts!D:D,MATCH($B185,ChartOfAccounts!A184:A269,0)),"")</f>
        <v/>
      </c>
      <c r="O185" t="str">
        <f>IFERROR(INDEX(ChartOfAccounts!F:F,MATCH($B185,ChartOfAccounts!A184:A269,0)),"")</f>
        <v/>
      </c>
      <c r="P185" t="str" cm="1">
        <f t="array" ref="P185">IFERROR(INDEX(PreparerInfo!B184:B196,MATCH($D185&amp;$C185,PreparerInfo!A184:A196&amp;PreparerInfo!C184:C196,0)),"")</f>
        <v/>
      </c>
      <c r="Q185" t="str">
        <f>IFERROR(INDEX(Source!B184:B192,MATCH('Case 4 solution'!E185,Source!A184:A192,0)),"")</f>
        <v/>
      </c>
    </row>
    <row r="186" spans="1:17" x14ac:dyDescent="0.3">
      <c r="A186" s="3">
        <v>2033612</v>
      </c>
      <c r="B186">
        <v>11845</v>
      </c>
      <c r="C186">
        <v>1</v>
      </c>
      <c r="D186" s="9">
        <v>102</v>
      </c>
      <c r="E186">
        <v>1001</v>
      </c>
      <c r="F186" s="1">
        <v>44005</v>
      </c>
      <c r="G186" t="s">
        <v>41</v>
      </c>
      <c r="H186" s="4">
        <v>207.83</v>
      </c>
      <c r="I186" s="4" t="s">
        <v>16</v>
      </c>
      <c r="J186" s="4">
        <v>207.83</v>
      </c>
      <c r="K186" t="str">
        <f>IFERROR(INDEX(BusinessUnits!$B:$B,MATCH($C186,BusinessUnits!$A:$A,0)),"")</f>
        <v>FOOD SERVICE</v>
      </c>
      <c r="L186" t="str">
        <f>IFERROR(INDEX(Table1[[#All],[Description]],MATCH($C186,BusinessUnits!$A:$A,0)),"")</f>
        <v xml:space="preserve">Transactions related to food and beverage service. Includes all guest transactions in the hotel restaurants, catering-related transactions and food service payroll. </v>
      </c>
      <c r="M186" t="str">
        <f>IFERROR(INDEX(ChartOfAccounts!B185:B270,MATCH($B186,ChartOfAccounts!A185:A270,0)),"")</f>
        <v/>
      </c>
      <c r="N186" t="str">
        <f>IFERROR(INDEX(ChartOfAccounts!D:D,MATCH($B186,ChartOfAccounts!A185:A270,0)),"")</f>
        <v/>
      </c>
      <c r="O186" t="str">
        <f>IFERROR(INDEX(ChartOfAccounts!F:F,MATCH($B186,ChartOfAccounts!A185:A270,0)),"")</f>
        <v/>
      </c>
      <c r="P186" t="str" cm="1">
        <f t="array" ref="P186">IFERROR(INDEX(PreparerInfo!B185:B197,MATCH($D186&amp;$C186,PreparerInfo!A185:A197&amp;PreparerInfo!C185:C197,0)),"")</f>
        <v/>
      </c>
      <c r="Q186" t="str">
        <f>IFERROR(INDEX(Source!B185:B193,MATCH('Case 4 solution'!E186,Source!A185:A193,0)),"")</f>
        <v/>
      </c>
    </row>
    <row r="187" spans="1:17" x14ac:dyDescent="0.3">
      <c r="A187" s="3">
        <v>2033612</v>
      </c>
      <c r="B187">
        <v>43310</v>
      </c>
      <c r="C187">
        <v>1</v>
      </c>
      <c r="D187" s="9">
        <v>102</v>
      </c>
      <c r="E187">
        <v>1001</v>
      </c>
      <c r="F187" s="1">
        <v>44005</v>
      </c>
      <c r="G187" t="s">
        <v>41</v>
      </c>
      <c r="H187" s="4" t="s">
        <v>16</v>
      </c>
      <c r="I187" s="4">
        <v>-207.83</v>
      </c>
      <c r="J187" s="4">
        <v>-207.83</v>
      </c>
      <c r="K187" t="str">
        <f>IFERROR(INDEX(BusinessUnits!$B:$B,MATCH($C187,BusinessUnits!$A:$A,0)),"")</f>
        <v>FOOD SERVICE</v>
      </c>
      <c r="L187" t="str">
        <f>IFERROR(INDEX(Table1[[#All],[Description]],MATCH($C187,BusinessUnits!$A:$A,0)),"")</f>
        <v xml:space="preserve">Transactions related to food and beverage service. Includes all guest transactions in the hotel restaurants, catering-related transactions and food service payroll. </v>
      </c>
      <c r="M187" t="str">
        <f>IFERROR(INDEX(ChartOfAccounts!B186:B271,MATCH($B187,ChartOfAccounts!A186:A271,0)),"")</f>
        <v/>
      </c>
      <c r="N187" t="str">
        <f>IFERROR(INDEX(ChartOfAccounts!D:D,MATCH($B187,ChartOfAccounts!A186:A271,0)),"")</f>
        <v/>
      </c>
      <c r="O187" t="str">
        <f>IFERROR(INDEX(ChartOfAccounts!F:F,MATCH($B187,ChartOfAccounts!A186:A271,0)),"")</f>
        <v/>
      </c>
      <c r="P187" t="str" cm="1">
        <f t="array" ref="P187">IFERROR(INDEX(PreparerInfo!B186:B198,MATCH($D187&amp;$C187,PreparerInfo!A186:A198&amp;PreparerInfo!C186:C198,0)),"")</f>
        <v/>
      </c>
      <c r="Q187" t="str">
        <f>IFERROR(INDEX(Source!B186:B194,MATCH('Case 4 solution'!E187,Source!A186:A194,0)),"")</f>
        <v/>
      </c>
    </row>
    <row r="188" spans="1:17" x14ac:dyDescent="0.3">
      <c r="A188" s="3">
        <v>2033613</v>
      </c>
      <c r="B188">
        <v>51402</v>
      </c>
      <c r="C188">
        <v>1</v>
      </c>
      <c r="D188" s="9">
        <v>105</v>
      </c>
      <c r="E188">
        <v>1006</v>
      </c>
      <c r="F188" s="1">
        <v>44005</v>
      </c>
      <c r="G188" t="s">
        <v>55</v>
      </c>
      <c r="H188" s="4">
        <v>238.54</v>
      </c>
      <c r="I188" s="4" t="s">
        <v>16</v>
      </c>
      <c r="J188" s="4">
        <v>238.54</v>
      </c>
      <c r="K188" t="str">
        <f>IFERROR(INDEX(BusinessUnits!$B:$B,MATCH($C188,BusinessUnits!$A:$A,0)),"")</f>
        <v>FOOD SERVICE</v>
      </c>
      <c r="L188" t="str">
        <f>IFERROR(INDEX(Table1[[#All],[Description]],MATCH($C188,BusinessUnits!$A:$A,0)),"")</f>
        <v xml:space="preserve">Transactions related to food and beverage service. Includes all guest transactions in the hotel restaurants, catering-related transactions and food service payroll. </v>
      </c>
      <c r="M188" t="str">
        <f>IFERROR(INDEX(ChartOfAccounts!B187:B272,MATCH($B188,ChartOfAccounts!A187:A272,0)),"")</f>
        <v/>
      </c>
      <c r="N188" t="str">
        <f>IFERROR(INDEX(ChartOfAccounts!D:D,MATCH($B188,ChartOfAccounts!A187:A272,0)),"")</f>
        <v/>
      </c>
      <c r="O188" t="str">
        <f>IFERROR(INDEX(ChartOfAccounts!F:F,MATCH($B188,ChartOfAccounts!A187:A272,0)),"")</f>
        <v/>
      </c>
      <c r="P188" t="str" cm="1">
        <f t="array" ref="P188">IFERROR(INDEX(PreparerInfo!B187:B199,MATCH($D188&amp;$C188,PreparerInfo!A187:A199&amp;PreparerInfo!C187:C199,0)),"")</f>
        <v/>
      </c>
      <c r="Q188" t="str">
        <f>IFERROR(INDEX(Source!B187:B195,MATCH('Case 4 solution'!E188,Source!A187:A195,0)),"")</f>
        <v/>
      </c>
    </row>
    <row r="189" spans="1:17" x14ac:dyDescent="0.3">
      <c r="A189" s="3">
        <v>2033613</v>
      </c>
      <c r="B189">
        <v>22110</v>
      </c>
      <c r="C189">
        <v>1</v>
      </c>
      <c r="D189" s="9">
        <v>105</v>
      </c>
      <c r="E189">
        <v>1006</v>
      </c>
      <c r="F189" s="1">
        <v>44005</v>
      </c>
      <c r="G189" t="s">
        <v>55</v>
      </c>
      <c r="H189" s="4" t="s">
        <v>16</v>
      </c>
      <c r="I189" s="4">
        <v>-238.54</v>
      </c>
      <c r="J189" s="4">
        <v>-238.54</v>
      </c>
      <c r="K189" t="str">
        <f>IFERROR(INDEX(BusinessUnits!$B:$B,MATCH($C189,BusinessUnits!$A:$A,0)),"")</f>
        <v>FOOD SERVICE</v>
      </c>
      <c r="L189" t="str">
        <f>IFERROR(INDEX(Table1[[#All],[Description]],MATCH($C189,BusinessUnits!$A:$A,0)),"")</f>
        <v xml:space="preserve">Transactions related to food and beverage service. Includes all guest transactions in the hotel restaurants, catering-related transactions and food service payroll. </v>
      </c>
      <c r="M189" t="str">
        <f>IFERROR(INDEX(ChartOfAccounts!B188:B273,MATCH($B189,ChartOfAccounts!A188:A273,0)),"")</f>
        <v/>
      </c>
      <c r="N189" t="str">
        <f>IFERROR(INDEX(ChartOfAccounts!D:D,MATCH($B189,ChartOfAccounts!A188:A273,0)),"")</f>
        <v/>
      </c>
      <c r="O189" t="str">
        <f>IFERROR(INDEX(ChartOfAccounts!F:F,MATCH($B189,ChartOfAccounts!A188:A273,0)),"")</f>
        <v/>
      </c>
      <c r="P189" t="str" cm="1">
        <f t="array" ref="P189">IFERROR(INDEX(PreparerInfo!B188:B200,MATCH($D189&amp;$C189,PreparerInfo!A188:A200&amp;PreparerInfo!C188:C200,0)),"")</f>
        <v/>
      </c>
      <c r="Q189" t="str">
        <f>IFERROR(INDEX(Source!B188:B196,MATCH('Case 4 solution'!E189,Source!A188:A196,0)),"")</f>
        <v/>
      </c>
    </row>
    <row r="190" spans="1:17" x14ac:dyDescent="0.3">
      <c r="A190" s="3">
        <v>2033614</v>
      </c>
      <c r="B190">
        <v>11845</v>
      </c>
      <c r="C190">
        <v>2</v>
      </c>
      <c r="D190" s="9">
        <v>104</v>
      </c>
      <c r="E190">
        <v>1003</v>
      </c>
      <c r="F190" s="1">
        <v>44005</v>
      </c>
      <c r="G190" t="s">
        <v>230</v>
      </c>
      <c r="H190" s="4">
        <v>258</v>
      </c>
      <c r="I190" s="4" t="s">
        <v>16</v>
      </c>
      <c r="J190" s="4">
        <v>258</v>
      </c>
      <c r="K190" t="str">
        <f>IFERROR(INDEX(BusinessUnits!$B:$B,MATCH($C190,BusinessUnits!$A:$A,0)),"")</f>
        <v>HOTEL</v>
      </c>
      <c r="L190" t="str">
        <f>IFERROR(INDEX(Table1[[#All],[Description]],MATCH($C190,BusinessUnits!$A:$A,0)),"")</f>
        <v xml:space="preserve">Transactions related to guest rooms and overall hotel operations. Includes payroll for administrative staff, clerks and interns. </v>
      </c>
      <c r="M190" t="str">
        <f>IFERROR(INDEX(ChartOfAccounts!B189:B274,MATCH($B190,ChartOfAccounts!A189:A274,0)),"")</f>
        <v/>
      </c>
      <c r="N190" t="str">
        <f>IFERROR(INDEX(ChartOfAccounts!D:D,MATCH($B190,ChartOfAccounts!A189:A274,0)),"")</f>
        <v/>
      </c>
      <c r="O190" t="str">
        <f>IFERROR(INDEX(ChartOfAccounts!F:F,MATCH($B190,ChartOfAccounts!A189:A274,0)),"")</f>
        <v/>
      </c>
      <c r="P190" t="str" cm="1">
        <f t="array" ref="P190">IFERROR(INDEX(PreparerInfo!B189:B201,MATCH($D190&amp;$C190,PreparerInfo!A189:A201&amp;PreparerInfo!C189:C201,0)),"")</f>
        <v/>
      </c>
      <c r="Q190" t="str">
        <f>IFERROR(INDEX(Source!B189:B197,MATCH('Case 4 solution'!E190,Source!A189:A197,0)),"")</f>
        <v/>
      </c>
    </row>
    <row r="191" spans="1:17" x14ac:dyDescent="0.3">
      <c r="A191" s="3">
        <v>2033614</v>
      </c>
      <c r="B191">
        <v>43180</v>
      </c>
      <c r="C191">
        <v>2</v>
      </c>
      <c r="D191" s="9">
        <v>104</v>
      </c>
      <c r="E191">
        <v>1003</v>
      </c>
      <c r="F191" s="1">
        <v>44005</v>
      </c>
      <c r="G191" t="s">
        <v>230</v>
      </c>
      <c r="H191" s="4" t="s">
        <v>16</v>
      </c>
      <c r="I191" s="4">
        <v>-258</v>
      </c>
      <c r="J191" s="4">
        <v>-258</v>
      </c>
      <c r="K191" t="str">
        <f>IFERROR(INDEX(BusinessUnits!$B:$B,MATCH($C191,BusinessUnits!$A:$A,0)),"")</f>
        <v>HOTEL</v>
      </c>
      <c r="L191" t="str">
        <f>IFERROR(INDEX(Table1[[#All],[Description]],MATCH($C191,BusinessUnits!$A:$A,0)),"")</f>
        <v xml:space="preserve">Transactions related to guest rooms and overall hotel operations. Includes payroll for administrative staff, clerks and interns. </v>
      </c>
      <c r="M191" t="str">
        <f>IFERROR(INDEX(ChartOfAccounts!B190:B275,MATCH($B191,ChartOfAccounts!A190:A275,0)),"")</f>
        <v/>
      </c>
      <c r="N191" t="str">
        <f>IFERROR(INDEX(ChartOfAccounts!D:D,MATCH($B191,ChartOfAccounts!A190:A275,0)),"")</f>
        <v/>
      </c>
      <c r="O191" t="str">
        <f>IFERROR(INDEX(ChartOfAccounts!F:F,MATCH($B191,ChartOfAccounts!A190:A275,0)),"")</f>
        <v/>
      </c>
      <c r="P191" t="str" cm="1">
        <f t="array" ref="P191">IFERROR(INDEX(PreparerInfo!B190:B202,MATCH($D191&amp;$C191,PreparerInfo!A190:A202&amp;PreparerInfo!C190:C202,0)),"")</f>
        <v/>
      </c>
      <c r="Q191" t="str">
        <f>IFERROR(INDEX(Source!B190:B198,MATCH('Case 4 solution'!E191,Source!A190:A198,0)),"")</f>
        <v/>
      </c>
    </row>
    <row r="192" spans="1:17" x14ac:dyDescent="0.3">
      <c r="A192" s="3">
        <v>2033615</v>
      </c>
      <c r="B192">
        <v>51610</v>
      </c>
      <c r="C192">
        <v>1</v>
      </c>
      <c r="D192" s="9">
        <v>105</v>
      </c>
      <c r="E192">
        <v>1006</v>
      </c>
      <c r="F192" s="1">
        <v>44005</v>
      </c>
      <c r="G192" t="s">
        <v>65</v>
      </c>
      <c r="H192" s="4">
        <v>293.83</v>
      </c>
      <c r="I192" s="4" t="s">
        <v>16</v>
      </c>
      <c r="J192" s="4">
        <v>293.83</v>
      </c>
      <c r="K192" t="str">
        <f>IFERROR(INDEX(BusinessUnits!$B:$B,MATCH($C192,BusinessUnits!$A:$A,0)),"")</f>
        <v>FOOD SERVICE</v>
      </c>
      <c r="L192" t="str">
        <f>IFERROR(INDEX(Table1[[#All],[Description]],MATCH($C192,BusinessUnits!$A:$A,0)),"")</f>
        <v xml:space="preserve">Transactions related to food and beverage service. Includes all guest transactions in the hotel restaurants, catering-related transactions and food service payroll. </v>
      </c>
      <c r="M192" t="str">
        <f>IFERROR(INDEX(ChartOfAccounts!B191:B276,MATCH($B192,ChartOfAccounts!A191:A276,0)),"")</f>
        <v/>
      </c>
      <c r="N192" t="str">
        <f>IFERROR(INDEX(ChartOfAccounts!D:D,MATCH($B192,ChartOfAccounts!A191:A276,0)),"")</f>
        <v/>
      </c>
      <c r="O192" t="str">
        <f>IFERROR(INDEX(ChartOfAccounts!F:F,MATCH($B192,ChartOfAccounts!A191:A276,0)),"")</f>
        <v/>
      </c>
      <c r="P192" t="str" cm="1">
        <f t="array" ref="P192">IFERROR(INDEX(PreparerInfo!B191:B203,MATCH($D192&amp;$C192,PreparerInfo!A191:A203&amp;PreparerInfo!C191:C203,0)),"")</f>
        <v/>
      </c>
      <c r="Q192" t="str">
        <f>IFERROR(INDEX(Source!B191:B199,MATCH('Case 4 solution'!E192,Source!A191:A199,0)),"")</f>
        <v/>
      </c>
    </row>
    <row r="193" spans="1:17" x14ac:dyDescent="0.3">
      <c r="A193" s="3">
        <v>2033615</v>
      </c>
      <c r="B193">
        <v>22110</v>
      </c>
      <c r="C193">
        <v>1</v>
      </c>
      <c r="D193" s="9">
        <v>105</v>
      </c>
      <c r="E193">
        <v>1006</v>
      </c>
      <c r="F193" s="1">
        <v>44005</v>
      </c>
      <c r="G193" t="s">
        <v>65</v>
      </c>
      <c r="H193" s="4" t="s">
        <v>16</v>
      </c>
      <c r="I193" s="4">
        <v>-293.83</v>
      </c>
      <c r="J193" s="4">
        <v>-293.83</v>
      </c>
      <c r="K193" t="str">
        <f>IFERROR(INDEX(BusinessUnits!$B:$B,MATCH($C193,BusinessUnits!$A:$A,0)),"")</f>
        <v>FOOD SERVICE</v>
      </c>
      <c r="L193" t="str">
        <f>IFERROR(INDEX(Table1[[#All],[Description]],MATCH($C193,BusinessUnits!$A:$A,0)),"")</f>
        <v xml:space="preserve">Transactions related to food and beverage service. Includes all guest transactions in the hotel restaurants, catering-related transactions and food service payroll. </v>
      </c>
      <c r="M193" t="str">
        <f>IFERROR(INDEX(ChartOfAccounts!B192:B277,MATCH($B193,ChartOfAccounts!A192:A277,0)),"")</f>
        <v/>
      </c>
      <c r="N193" t="str">
        <f>IFERROR(INDEX(ChartOfAccounts!D:D,MATCH($B193,ChartOfAccounts!A192:A277,0)),"")</f>
        <v/>
      </c>
      <c r="O193" t="str">
        <f>IFERROR(INDEX(ChartOfAccounts!F:F,MATCH($B193,ChartOfAccounts!A192:A277,0)),"")</f>
        <v/>
      </c>
      <c r="P193" t="str" cm="1">
        <f t="array" ref="P193">IFERROR(INDEX(PreparerInfo!B192:B204,MATCH($D193&amp;$C193,PreparerInfo!A192:A204&amp;PreparerInfo!C192:C204,0)),"")</f>
        <v/>
      </c>
      <c r="Q193" t="str">
        <f>IFERROR(INDEX(Source!B192:B200,MATCH('Case 4 solution'!E193,Source!A192:A200,0)),"")</f>
        <v/>
      </c>
    </row>
    <row r="194" spans="1:17" x14ac:dyDescent="0.3">
      <c r="A194" s="3">
        <v>2033616</v>
      </c>
      <c r="B194">
        <v>51510</v>
      </c>
      <c r="C194">
        <v>6</v>
      </c>
      <c r="D194" s="9">
        <v>105</v>
      </c>
      <c r="E194">
        <v>1006</v>
      </c>
      <c r="F194" s="1">
        <v>44005</v>
      </c>
      <c r="G194" t="s">
        <v>62</v>
      </c>
      <c r="H194" s="4">
        <v>312.14</v>
      </c>
      <c r="I194" s="4" t="s">
        <v>16</v>
      </c>
      <c r="J194" s="4">
        <v>312.14</v>
      </c>
      <c r="K194" t="str">
        <f>IFERROR(INDEX(BusinessUnits!$B:$B,MATCH($C194,BusinessUnits!$A:$A,0)),"")</f>
        <v>MAINTENANCE</v>
      </c>
      <c r="L194" t="str">
        <f>IFERROR(INDEX(Table1[[#All],[Description]],MATCH($C194,BusinessUnits!$A:$A,0)),"")</f>
        <v>Transactions related to the hotel Maintenance Department. Primarily includes payroll for maintenance, grounds keepers and related supplies.</v>
      </c>
      <c r="M194" t="str">
        <f>IFERROR(INDEX(ChartOfAccounts!B193:B278,MATCH($B194,ChartOfAccounts!A193:A278,0)),"")</f>
        <v/>
      </c>
      <c r="N194" t="str">
        <f>IFERROR(INDEX(ChartOfAccounts!D:D,MATCH($B194,ChartOfAccounts!A193:A278,0)),"")</f>
        <v/>
      </c>
      <c r="O194" t="str">
        <f>IFERROR(INDEX(ChartOfAccounts!F:F,MATCH($B194,ChartOfAccounts!A193:A278,0)),"")</f>
        <v/>
      </c>
      <c r="P194" t="str" cm="1">
        <f t="array" ref="P194">IFERROR(INDEX(PreparerInfo!B193:B205,MATCH($D194&amp;$C194,PreparerInfo!A193:A205&amp;PreparerInfo!C193:C205,0)),"")</f>
        <v/>
      </c>
      <c r="Q194" t="str">
        <f>IFERROR(INDEX(Source!B193:B201,MATCH('Case 4 solution'!E194,Source!A193:A201,0)),"")</f>
        <v/>
      </c>
    </row>
    <row r="195" spans="1:17" x14ac:dyDescent="0.3">
      <c r="A195" s="3">
        <v>2033616</v>
      </c>
      <c r="B195">
        <v>22110</v>
      </c>
      <c r="C195">
        <v>6</v>
      </c>
      <c r="D195" s="9">
        <v>105</v>
      </c>
      <c r="E195">
        <v>1006</v>
      </c>
      <c r="F195" s="1">
        <v>44005</v>
      </c>
      <c r="G195" t="s">
        <v>62</v>
      </c>
      <c r="H195" s="4" t="s">
        <v>16</v>
      </c>
      <c r="I195" s="4">
        <v>-312.14</v>
      </c>
      <c r="J195" s="4">
        <v>-312.14</v>
      </c>
      <c r="K195" t="str">
        <f>IFERROR(INDEX(BusinessUnits!$B:$B,MATCH($C195,BusinessUnits!$A:$A,0)),"")</f>
        <v>MAINTENANCE</v>
      </c>
      <c r="L195" t="str">
        <f>IFERROR(INDEX(Table1[[#All],[Description]],MATCH($C195,BusinessUnits!$A:$A,0)),"")</f>
        <v>Transactions related to the hotel Maintenance Department. Primarily includes payroll for maintenance, grounds keepers and related supplies.</v>
      </c>
      <c r="M195" t="str">
        <f>IFERROR(INDEX(ChartOfAccounts!B194:B279,MATCH($B195,ChartOfAccounts!A194:A279,0)),"")</f>
        <v/>
      </c>
      <c r="N195" t="str">
        <f>IFERROR(INDEX(ChartOfAccounts!D:D,MATCH($B195,ChartOfAccounts!A194:A279,0)),"")</f>
        <v/>
      </c>
      <c r="O195" t="str">
        <f>IFERROR(INDEX(ChartOfAccounts!F:F,MATCH($B195,ChartOfAccounts!A194:A279,0)),"")</f>
        <v/>
      </c>
      <c r="P195" t="str" cm="1">
        <f t="array" ref="P195">IFERROR(INDEX(PreparerInfo!B194:B206,MATCH($D195&amp;$C195,PreparerInfo!A194:A206&amp;PreparerInfo!C194:C206,0)),"")</f>
        <v/>
      </c>
      <c r="Q195" t="str">
        <f>IFERROR(INDEX(Source!B194:B202,MATCH('Case 4 solution'!E195,Source!A194:A202,0)),"")</f>
        <v/>
      </c>
    </row>
    <row r="196" spans="1:17" x14ac:dyDescent="0.3">
      <c r="A196" s="3">
        <v>2033617</v>
      </c>
      <c r="B196">
        <v>11845</v>
      </c>
      <c r="C196">
        <v>1</v>
      </c>
      <c r="D196" s="9">
        <v>102</v>
      </c>
      <c r="E196">
        <v>1003</v>
      </c>
      <c r="F196" s="1">
        <v>44005</v>
      </c>
      <c r="G196" t="s">
        <v>15</v>
      </c>
      <c r="H196" s="4">
        <v>339.08</v>
      </c>
      <c r="I196" s="4" t="s">
        <v>16</v>
      </c>
      <c r="J196" s="4">
        <v>339.08</v>
      </c>
      <c r="K196" t="str">
        <f>IFERROR(INDEX(BusinessUnits!$B:$B,MATCH($C196,BusinessUnits!$A:$A,0)),"")</f>
        <v>FOOD SERVICE</v>
      </c>
      <c r="L196" t="str">
        <f>IFERROR(INDEX(Table1[[#All],[Description]],MATCH($C196,BusinessUnits!$A:$A,0)),"")</f>
        <v xml:space="preserve">Transactions related to food and beverage service. Includes all guest transactions in the hotel restaurants, catering-related transactions and food service payroll. </v>
      </c>
      <c r="M196" t="str">
        <f>IFERROR(INDEX(ChartOfAccounts!B195:B280,MATCH($B196,ChartOfAccounts!A195:A280,0)),"")</f>
        <v/>
      </c>
      <c r="N196" t="str">
        <f>IFERROR(INDEX(ChartOfAccounts!D:D,MATCH($B196,ChartOfAccounts!A195:A280,0)),"")</f>
        <v/>
      </c>
      <c r="O196" t="str">
        <f>IFERROR(INDEX(ChartOfAccounts!F:F,MATCH($B196,ChartOfAccounts!A195:A280,0)),"")</f>
        <v/>
      </c>
      <c r="P196" t="str" cm="1">
        <f t="array" ref="P196">IFERROR(INDEX(PreparerInfo!B195:B207,MATCH($D196&amp;$C196,PreparerInfo!A195:A207&amp;PreparerInfo!C195:C207,0)),"")</f>
        <v/>
      </c>
      <c r="Q196" t="str">
        <f>IFERROR(INDEX(Source!B195:B203,MATCH('Case 4 solution'!E196,Source!A195:A203,0)),"")</f>
        <v/>
      </c>
    </row>
    <row r="197" spans="1:17" x14ac:dyDescent="0.3">
      <c r="A197" s="3">
        <v>2033617</v>
      </c>
      <c r="B197">
        <v>43310</v>
      </c>
      <c r="C197">
        <v>1</v>
      </c>
      <c r="D197" s="9">
        <v>102</v>
      </c>
      <c r="E197">
        <v>1003</v>
      </c>
      <c r="F197" s="1">
        <v>44005</v>
      </c>
      <c r="G197" t="s">
        <v>15</v>
      </c>
      <c r="H197" s="4" t="s">
        <v>16</v>
      </c>
      <c r="I197" s="4">
        <v>-339.08</v>
      </c>
      <c r="J197" s="4">
        <v>-339.08</v>
      </c>
      <c r="K197" t="str">
        <f>IFERROR(INDEX(BusinessUnits!$B:$B,MATCH($C197,BusinessUnits!$A:$A,0)),"")</f>
        <v>FOOD SERVICE</v>
      </c>
      <c r="L197" t="str">
        <f>IFERROR(INDEX(Table1[[#All],[Description]],MATCH($C197,BusinessUnits!$A:$A,0)),"")</f>
        <v xml:space="preserve">Transactions related to food and beverage service. Includes all guest transactions in the hotel restaurants, catering-related transactions and food service payroll. </v>
      </c>
      <c r="M197" t="str">
        <f>IFERROR(INDEX(ChartOfAccounts!B196:B281,MATCH($B197,ChartOfAccounts!A196:A281,0)),"")</f>
        <v/>
      </c>
      <c r="N197" t="str">
        <f>IFERROR(INDEX(ChartOfAccounts!D:D,MATCH($B197,ChartOfAccounts!A196:A281,0)),"")</f>
        <v/>
      </c>
      <c r="O197" t="str">
        <f>IFERROR(INDEX(ChartOfAccounts!F:F,MATCH($B197,ChartOfAccounts!A196:A281,0)),"")</f>
        <v/>
      </c>
      <c r="P197" t="str" cm="1">
        <f t="array" ref="P197">IFERROR(INDEX(PreparerInfo!B196:B208,MATCH($D197&amp;$C197,PreparerInfo!A196:A208&amp;PreparerInfo!C196:C208,0)),"")</f>
        <v/>
      </c>
      <c r="Q197" t="str">
        <f>IFERROR(INDEX(Source!B196:B204,MATCH('Case 4 solution'!E197,Source!A196:A204,0)),"")</f>
        <v/>
      </c>
    </row>
    <row r="198" spans="1:17" x14ac:dyDescent="0.3">
      <c r="A198" s="3">
        <v>2033618</v>
      </c>
      <c r="B198">
        <v>71400</v>
      </c>
      <c r="C198">
        <v>2</v>
      </c>
      <c r="D198" s="9">
        <v>101</v>
      </c>
      <c r="E198">
        <v>1002</v>
      </c>
      <c r="F198" s="1">
        <v>44005</v>
      </c>
      <c r="G198" t="s">
        <v>231</v>
      </c>
      <c r="H198" s="4">
        <v>375</v>
      </c>
      <c r="I198" s="4" t="s">
        <v>16</v>
      </c>
      <c r="J198" s="4">
        <v>375</v>
      </c>
      <c r="K198" t="str">
        <f>IFERROR(INDEX(BusinessUnits!$B:$B,MATCH($C198,BusinessUnits!$A:$A,0)),"")</f>
        <v>HOTEL</v>
      </c>
      <c r="L198" t="str">
        <f>IFERROR(INDEX(Table1[[#All],[Description]],MATCH($C198,BusinessUnits!$A:$A,0)),"")</f>
        <v xml:space="preserve">Transactions related to guest rooms and overall hotel operations. Includes payroll for administrative staff, clerks and interns. </v>
      </c>
      <c r="M198" t="str">
        <f>IFERROR(INDEX(ChartOfAccounts!B197:B282,MATCH($B198,ChartOfAccounts!A197:A282,0)),"")</f>
        <v/>
      </c>
      <c r="N198" t="str">
        <f>IFERROR(INDEX(ChartOfAccounts!D:D,MATCH($B198,ChartOfAccounts!A197:A282,0)),"")</f>
        <v/>
      </c>
      <c r="O198" t="str">
        <f>IFERROR(INDEX(ChartOfAccounts!F:F,MATCH($B198,ChartOfAccounts!A197:A282,0)),"")</f>
        <v/>
      </c>
      <c r="P198" t="str" cm="1">
        <f t="array" ref="P198">IFERROR(INDEX(PreparerInfo!B197:B209,MATCH($D198&amp;$C198,PreparerInfo!A197:A209&amp;PreparerInfo!C197:C209,0)),"")</f>
        <v/>
      </c>
      <c r="Q198" t="str">
        <f>IFERROR(INDEX(Source!B197:B205,MATCH('Case 4 solution'!E198,Source!A197:A205,0)),"")</f>
        <v/>
      </c>
    </row>
    <row r="199" spans="1:17" x14ac:dyDescent="0.3">
      <c r="A199" s="3">
        <v>2033618</v>
      </c>
      <c r="B199">
        <v>11845</v>
      </c>
      <c r="C199">
        <v>2</v>
      </c>
      <c r="D199" s="9">
        <v>101</v>
      </c>
      <c r="E199">
        <v>1002</v>
      </c>
      <c r="F199" s="1">
        <v>44005</v>
      </c>
      <c r="G199" t="s">
        <v>231</v>
      </c>
      <c r="H199" s="4" t="s">
        <v>16</v>
      </c>
      <c r="I199" s="4">
        <v>-375</v>
      </c>
      <c r="J199" s="4">
        <v>-375</v>
      </c>
      <c r="K199" t="str">
        <f>IFERROR(INDEX(BusinessUnits!$B:$B,MATCH($C199,BusinessUnits!$A:$A,0)),"")</f>
        <v>HOTEL</v>
      </c>
      <c r="L199" t="str">
        <f>IFERROR(INDEX(Table1[[#All],[Description]],MATCH($C199,BusinessUnits!$A:$A,0)),"")</f>
        <v xml:space="preserve">Transactions related to guest rooms and overall hotel operations. Includes payroll for administrative staff, clerks and interns. </v>
      </c>
      <c r="M199" t="str">
        <f>IFERROR(INDEX(ChartOfAccounts!B198:B283,MATCH($B199,ChartOfAccounts!A198:A283,0)),"")</f>
        <v/>
      </c>
      <c r="N199" t="str">
        <f>IFERROR(INDEX(ChartOfAccounts!D:D,MATCH($B199,ChartOfAccounts!A198:A283,0)),"")</f>
        <v/>
      </c>
      <c r="O199" t="str">
        <f>IFERROR(INDEX(ChartOfAccounts!F:F,MATCH($B199,ChartOfAccounts!A198:A283,0)),"")</f>
        <v/>
      </c>
      <c r="P199" t="str" cm="1">
        <f t="array" ref="P199">IFERROR(INDEX(PreparerInfo!B198:B210,MATCH($D199&amp;$C199,PreparerInfo!A198:A210&amp;PreparerInfo!C198:C210,0)),"")</f>
        <v/>
      </c>
      <c r="Q199" t="str">
        <f>IFERROR(INDEX(Source!B198:B206,MATCH('Case 4 solution'!E199,Source!A198:A206,0)),"")</f>
        <v/>
      </c>
    </row>
    <row r="200" spans="1:17" x14ac:dyDescent="0.3">
      <c r="A200" s="3">
        <v>2033619</v>
      </c>
      <c r="B200">
        <v>71400</v>
      </c>
      <c r="C200">
        <v>2</v>
      </c>
      <c r="D200" s="9">
        <v>101</v>
      </c>
      <c r="E200">
        <v>1002</v>
      </c>
      <c r="F200" s="1">
        <v>44005</v>
      </c>
      <c r="G200" t="s">
        <v>232</v>
      </c>
      <c r="H200" s="4">
        <v>388.5</v>
      </c>
      <c r="I200" s="4" t="s">
        <v>16</v>
      </c>
      <c r="J200" s="4">
        <v>388.5</v>
      </c>
      <c r="K200" t="str">
        <f>IFERROR(INDEX(BusinessUnits!$B:$B,MATCH($C200,BusinessUnits!$A:$A,0)),"")</f>
        <v>HOTEL</v>
      </c>
      <c r="L200" t="str">
        <f>IFERROR(INDEX(Table1[[#All],[Description]],MATCH($C200,BusinessUnits!$A:$A,0)),"")</f>
        <v xml:space="preserve">Transactions related to guest rooms and overall hotel operations. Includes payroll for administrative staff, clerks and interns. </v>
      </c>
      <c r="M200" t="str">
        <f>IFERROR(INDEX(ChartOfAccounts!B199:B284,MATCH($B200,ChartOfAccounts!A199:A284,0)),"")</f>
        <v/>
      </c>
      <c r="N200" t="str">
        <f>IFERROR(INDEX(ChartOfAccounts!D:D,MATCH($B200,ChartOfAccounts!A199:A284,0)),"")</f>
        <v/>
      </c>
      <c r="O200" t="str">
        <f>IFERROR(INDEX(ChartOfAccounts!F:F,MATCH($B200,ChartOfAccounts!A199:A284,0)),"")</f>
        <v/>
      </c>
      <c r="P200" t="str" cm="1">
        <f t="array" ref="P200">IFERROR(INDEX(PreparerInfo!B199:B211,MATCH($D200&amp;$C200,PreparerInfo!A199:A211&amp;PreparerInfo!C199:C211,0)),"")</f>
        <v/>
      </c>
      <c r="Q200" t="str">
        <f>IFERROR(INDEX(Source!B199:B207,MATCH('Case 4 solution'!E200,Source!A199:A207,0)),"")</f>
        <v/>
      </c>
    </row>
    <row r="201" spans="1:17" x14ac:dyDescent="0.3">
      <c r="A201" s="3">
        <v>2033619</v>
      </c>
      <c r="B201">
        <v>11845</v>
      </c>
      <c r="C201">
        <v>2</v>
      </c>
      <c r="D201" s="9">
        <v>101</v>
      </c>
      <c r="E201">
        <v>1002</v>
      </c>
      <c r="F201" s="1">
        <v>44005</v>
      </c>
      <c r="G201" t="s">
        <v>232</v>
      </c>
      <c r="H201" s="4" t="s">
        <v>16</v>
      </c>
      <c r="I201" s="4">
        <v>-388.5</v>
      </c>
      <c r="J201" s="4">
        <v>-388.5</v>
      </c>
      <c r="K201" t="str">
        <f>IFERROR(INDEX(BusinessUnits!$B:$B,MATCH($C201,BusinessUnits!$A:$A,0)),"")</f>
        <v>HOTEL</v>
      </c>
      <c r="L201" t="str">
        <f>IFERROR(INDEX(Table1[[#All],[Description]],MATCH($C201,BusinessUnits!$A:$A,0)),"")</f>
        <v xml:space="preserve">Transactions related to guest rooms and overall hotel operations. Includes payroll for administrative staff, clerks and interns. </v>
      </c>
      <c r="M201" t="str">
        <f>IFERROR(INDEX(ChartOfAccounts!B200:B285,MATCH($B201,ChartOfAccounts!A200:A285,0)),"")</f>
        <v/>
      </c>
      <c r="N201" t="str">
        <f>IFERROR(INDEX(ChartOfAccounts!D:D,MATCH($B201,ChartOfAccounts!A200:A285,0)),"")</f>
        <v/>
      </c>
      <c r="O201" t="str">
        <f>IFERROR(INDEX(ChartOfAccounts!F:F,MATCH($B201,ChartOfAccounts!A200:A285,0)),"")</f>
        <v/>
      </c>
      <c r="P201" t="str" cm="1">
        <f t="array" ref="P201">IFERROR(INDEX(PreparerInfo!B200:B212,MATCH($D201&amp;$C201,PreparerInfo!A200:A212&amp;PreparerInfo!C200:C212,0)),"")</f>
        <v/>
      </c>
      <c r="Q201" t="str">
        <f>IFERROR(INDEX(Source!B200:B208,MATCH('Case 4 solution'!E201,Source!A200:A208,0)),"")</f>
        <v/>
      </c>
    </row>
    <row r="202" spans="1:17" x14ac:dyDescent="0.3">
      <c r="A202" s="3">
        <v>2033620</v>
      </c>
      <c r="B202">
        <v>51510</v>
      </c>
      <c r="C202">
        <v>2</v>
      </c>
      <c r="D202" s="9">
        <v>105</v>
      </c>
      <c r="E202">
        <v>1006</v>
      </c>
      <c r="F202" s="1">
        <v>44005</v>
      </c>
      <c r="G202" t="s">
        <v>62</v>
      </c>
      <c r="H202" s="4">
        <v>414.06</v>
      </c>
      <c r="I202" s="4" t="s">
        <v>16</v>
      </c>
      <c r="J202" s="4">
        <v>414.06</v>
      </c>
      <c r="K202" t="str">
        <f>IFERROR(INDEX(BusinessUnits!$B:$B,MATCH($C202,BusinessUnits!$A:$A,0)),"")</f>
        <v>HOTEL</v>
      </c>
      <c r="L202" t="str">
        <f>IFERROR(INDEX(Table1[[#All],[Description]],MATCH($C202,BusinessUnits!$A:$A,0)),"")</f>
        <v xml:space="preserve">Transactions related to guest rooms and overall hotel operations. Includes payroll for administrative staff, clerks and interns. </v>
      </c>
      <c r="M202" t="str">
        <f>IFERROR(INDEX(ChartOfAccounts!B201:B286,MATCH($B202,ChartOfAccounts!A201:A286,0)),"")</f>
        <v/>
      </c>
      <c r="N202" t="str">
        <f>IFERROR(INDEX(ChartOfAccounts!D:D,MATCH($B202,ChartOfAccounts!A201:A286,0)),"")</f>
        <v/>
      </c>
      <c r="O202" t="str">
        <f>IFERROR(INDEX(ChartOfAccounts!F:F,MATCH($B202,ChartOfAccounts!A201:A286,0)),"")</f>
        <v/>
      </c>
      <c r="P202" t="str" cm="1">
        <f t="array" ref="P202">IFERROR(INDEX(PreparerInfo!B201:B213,MATCH($D202&amp;$C202,PreparerInfo!A201:A213&amp;PreparerInfo!C201:C213,0)),"")</f>
        <v/>
      </c>
      <c r="Q202" t="str">
        <f>IFERROR(INDEX(Source!B201:B209,MATCH('Case 4 solution'!E202,Source!A201:A209,0)),"")</f>
        <v/>
      </c>
    </row>
    <row r="203" spans="1:17" x14ac:dyDescent="0.3">
      <c r="A203" s="3">
        <v>2033620</v>
      </c>
      <c r="B203">
        <v>22110</v>
      </c>
      <c r="C203">
        <v>2</v>
      </c>
      <c r="D203" s="9">
        <v>105</v>
      </c>
      <c r="E203">
        <v>1006</v>
      </c>
      <c r="F203" s="1">
        <v>44005</v>
      </c>
      <c r="G203" t="s">
        <v>62</v>
      </c>
      <c r="H203" s="4" t="s">
        <v>16</v>
      </c>
      <c r="I203" s="4">
        <v>-414.06</v>
      </c>
      <c r="J203" s="4">
        <v>-414.06</v>
      </c>
      <c r="K203" t="str">
        <f>IFERROR(INDEX(BusinessUnits!$B:$B,MATCH($C203,BusinessUnits!$A:$A,0)),"")</f>
        <v>HOTEL</v>
      </c>
      <c r="L203" t="str">
        <f>IFERROR(INDEX(Table1[[#All],[Description]],MATCH($C203,BusinessUnits!$A:$A,0)),"")</f>
        <v xml:space="preserve">Transactions related to guest rooms and overall hotel operations. Includes payroll for administrative staff, clerks and interns. </v>
      </c>
      <c r="M203" t="str">
        <f>IFERROR(INDEX(ChartOfAccounts!B202:B287,MATCH($B203,ChartOfAccounts!A202:A287,0)),"")</f>
        <v/>
      </c>
      <c r="N203" t="str">
        <f>IFERROR(INDEX(ChartOfAccounts!D:D,MATCH($B203,ChartOfAccounts!A202:A287,0)),"")</f>
        <v/>
      </c>
      <c r="O203" t="str">
        <f>IFERROR(INDEX(ChartOfAccounts!F:F,MATCH($B203,ChartOfAccounts!A202:A287,0)),"")</f>
        <v/>
      </c>
      <c r="P203" t="str" cm="1">
        <f t="array" ref="P203">IFERROR(INDEX(PreparerInfo!B202:B214,MATCH($D203&amp;$C203,PreparerInfo!A202:A214&amp;PreparerInfo!C202:C214,0)),"")</f>
        <v/>
      </c>
      <c r="Q203" t="str">
        <f>IFERROR(INDEX(Source!B202:B210,MATCH('Case 4 solution'!E203,Source!A202:A210,0)),"")</f>
        <v/>
      </c>
    </row>
    <row r="204" spans="1:17" x14ac:dyDescent="0.3">
      <c r="A204" s="3">
        <v>2033621</v>
      </c>
      <c r="B204">
        <v>51400</v>
      </c>
      <c r="C204">
        <v>4</v>
      </c>
      <c r="D204" s="9">
        <v>105</v>
      </c>
      <c r="E204">
        <v>1006</v>
      </c>
      <c r="F204" s="1">
        <v>44005</v>
      </c>
      <c r="G204" t="s">
        <v>55</v>
      </c>
      <c r="H204" s="4">
        <v>518.32000000000005</v>
      </c>
      <c r="I204" s="4" t="s">
        <v>16</v>
      </c>
      <c r="J204" s="4">
        <v>518.32000000000005</v>
      </c>
      <c r="K204" t="str">
        <f>IFERROR(INDEX(BusinessUnits!$B:$B,MATCH($C204,BusinessUnits!$A:$A,0)),"")</f>
        <v>HOUSEKEEPING</v>
      </c>
      <c r="L204" t="str">
        <f>IFERROR(INDEX(Table1[[#All],[Description]],MATCH($C204,BusinessUnits!$A:$A,0)),"")</f>
        <v xml:space="preserve">Transactions related to the Housekeeping Department. Primarily includes payroll for housekeepers and housekeeping supplies. </v>
      </c>
      <c r="M204" t="str">
        <f>IFERROR(INDEX(ChartOfAccounts!B203:B288,MATCH($B204,ChartOfAccounts!A203:A288,0)),"")</f>
        <v/>
      </c>
      <c r="N204" t="str">
        <f>IFERROR(INDEX(ChartOfAccounts!D:D,MATCH($B204,ChartOfAccounts!A203:A288,0)),"")</f>
        <v/>
      </c>
      <c r="O204" t="str">
        <f>IFERROR(INDEX(ChartOfAccounts!F:F,MATCH($B204,ChartOfAccounts!A203:A288,0)),"")</f>
        <v/>
      </c>
      <c r="P204" t="str" cm="1">
        <f t="array" ref="P204">IFERROR(INDEX(PreparerInfo!B203:B215,MATCH($D204&amp;$C204,PreparerInfo!A203:A215&amp;PreparerInfo!C203:C215,0)),"")</f>
        <v/>
      </c>
      <c r="Q204" t="str">
        <f>IFERROR(INDEX(Source!B203:B211,MATCH('Case 4 solution'!E204,Source!A203:A211,0)),"")</f>
        <v/>
      </c>
    </row>
    <row r="205" spans="1:17" x14ac:dyDescent="0.3">
      <c r="A205" s="3">
        <v>2033621</v>
      </c>
      <c r="B205">
        <v>22110</v>
      </c>
      <c r="C205">
        <v>4</v>
      </c>
      <c r="D205" s="9">
        <v>105</v>
      </c>
      <c r="E205">
        <v>1006</v>
      </c>
      <c r="F205" s="1">
        <v>44005</v>
      </c>
      <c r="G205" t="s">
        <v>55</v>
      </c>
      <c r="H205" s="4" t="s">
        <v>16</v>
      </c>
      <c r="I205" s="4">
        <v>-518.32000000000005</v>
      </c>
      <c r="J205" s="4">
        <v>-518.32000000000005</v>
      </c>
      <c r="K205" t="str">
        <f>IFERROR(INDEX(BusinessUnits!$B:$B,MATCH($C205,BusinessUnits!$A:$A,0)),"")</f>
        <v>HOUSEKEEPING</v>
      </c>
      <c r="L205" t="str">
        <f>IFERROR(INDEX(Table1[[#All],[Description]],MATCH($C205,BusinessUnits!$A:$A,0)),"")</f>
        <v xml:space="preserve">Transactions related to the Housekeeping Department. Primarily includes payroll for housekeepers and housekeeping supplies. </v>
      </c>
      <c r="M205" t="str">
        <f>IFERROR(INDEX(ChartOfAccounts!B204:B289,MATCH($B205,ChartOfAccounts!A204:A289,0)),"")</f>
        <v/>
      </c>
      <c r="N205" t="str">
        <f>IFERROR(INDEX(ChartOfAccounts!D:D,MATCH($B205,ChartOfAccounts!A204:A289,0)),"")</f>
        <v/>
      </c>
      <c r="O205" t="str">
        <f>IFERROR(INDEX(ChartOfAccounts!F:F,MATCH($B205,ChartOfAccounts!A204:A289,0)),"")</f>
        <v/>
      </c>
      <c r="P205" t="str" cm="1">
        <f t="array" ref="P205">IFERROR(INDEX(PreparerInfo!B204:B216,MATCH($D205&amp;$C205,PreparerInfo!A204:A216&amp;PreparerInfo!C204:C216,0)),"")</f>
        <v/>
      </c>
      <c r="Q205" t="str">
        <f>IFERROR(INDEX(Source!B204:B212,MATCH('Case 4 solution'!E205,Source!A204:A212,0)),"")</f>
        <v/>
      </c>
    </row>
    <row r="206" spans="1:17" x14ac:dyDescent="0.3">
      <c r="A206" s="3">
        <v>2033622</v>
      </c>
      <c r="B206">
        <v>51610</v>
      </c>
      <c r="C206">
        <v>2</v>
      </c>
      <c r="D206" s="9">
        <v>105</v>
      </c>
      <c r="E206">
        <v>1006</v>
      </c>
      <c r="F206" s="1">
        <v>44005</v>
      </c>
      <c r="G206" t="s">
        <v>66</v>
      </c>
      <c r="H206" s="4">
        <v>581</v>
      </c>
      <c r="I206" s="4" t="s">
        <v>16</v>
      </c>
      <c r="J206" s="4">
        <v>581</v>
      </c>
      <c r="K206" t="str">
        <f>IFERROR(INDEX(BusinessUnits!$B:$B,MATCH($C206,BusinessUnits!$A:$A,0)),"")</f>
        <v>HOTEL</v>
      </c>
      <c r="L206" t="str">
        <f>IFERROR(INDEX(Table1[[#All],[Description]],MATCH($C206,BusinessUnits!$A:$A,0)),"")</f>
        <v xml:space="preserve">Transactions related to guest rooms and overall hotel operations. Includes payroll for administrative staff, clerks and interns. </v>
      </c>
      <c r="M206" t="str">
        <f>IFERROR(INDEX(ChartOfAccounts!B205:B290,MATCH($B206,ChartOfAccounts!A205:A290,0)),"")</f>
        <v/>
      </c>
      <c r="N206" t="str">
        <f>IFERROR(INDEX(ChartOfAccounts!D:D,MATCH($B206,ChartOfAccounts!A205:A290,0)),"")</f>
        <v/>
      </c>
      <c r="O206" t="str">
        <f>IFERROR(INDEX(ChartOfAccounts!F:F,MATCH($B206,ChartOfAccounts!A205:A290,0)),"")</f>
        <v/>
      </c>
      <c r="P206" t="str" cm="1">
        <f t="array" ref="P206">IFERROR(INDEX(PreparerInfo!B205:B217,MATCH($D206&amp;$C206,PreparerInfo!A205:A217&amp;PreparerInfo!C205:C217,0)),"")</f>
        <v/>
      </c>
      <c r="Q206" t="str">
        <f>IFERROR(INDEX(Source!B205:B213,MATCH('Case 4 solution'!E206,Source!A205:A213,0)),"")</f>
        <v/>
      </c>
    </row>
    <row r="207" spans="1:17" x14ac:dyDescent="0.3">
      <c r="A207" s="3">
        <v>2033622</v>
      </c>
      <c r="B207">
        <v>22110</v>
      </c>
      <c r="C207">
        <v>2</v>
      </c>
      <c r="D207" s="9">
        <v>105</v>
      </c>
      <c r="E207">
        <v>1006</v>
      </c>
      <c r="F207" s="1">
        <v>44005</v>
      </c>
      <c r="G207" t="s">
        <v>66</v>
      </c>
      <c r="H207" s="4" t="s">
        <v>16</v>
      </c>
      <c r="I207" s="4">
        <v>-581</v>
      </c>
      <c r="J207" s="4">
        <v>-581</v>
      </c>
      <c r="K207" t="str">
        <f>IFERROR(INDEX(BusinessUnits!$B:$B,MATCH($C207,BusinessUnits!$A:$A,0)),"")</f>
        <v>HOTEL</v>
      </c>
      <c r="L207" t="str">
        <f>IFERROR(INDEX(Table1[[#All],[Description]],MATCH($C207,BusinessUnits!$A:$A,0)),"")</f>
        <v xml:space="preserve">Transactions related to guest rooms and overall hotel operations. Includes payroll for administrative staff, clerks and interns. </v>
      </c>
      <c r="M207" t="str">
        <f>IFERROR(INDEX(ChartOfAccounts!B206:B291,MATCH($B207,ChartOfAccounts!A206:A291,0)),"")</f>
        <v/>
      </c>
      <c r="N207" t="str">
        <f>IFERROR(INDEX(ChartOfAccounts!D:D,MATCH($B207,ChartOfAccounts!A206:A291,0)),"")</f>
        <v/>
      </c>
      <c r="O207" t="str">
        <f>IFERROR(INDEX(ChartOfAccounts!F:F,MATCH($B207,ChartOfAccounts!A206:A291,0)),"")</f>
        <v/>
      </c>
      <c r="P207" t="str" cm="1">
        <f t="array" ref="P207">IFERROR(INDEX(PreparerInfo!B206:B218,MATCH($D207&amp;$C207,PreparerInfo!A206:A218&amp;PreparerInfo!C206:C218,0)),"")</f>
        <v/>
      </c>
      <c r="Q207" t="str">
        <f>IFERROR(INDEX(Source!B206:B214,MATCH('Case 4 solution'!E207,Source!A206:A214,0)),"")</f>
        <v/>
      </c>
    </row>
    <row r="208" spans="1:17" x14ac:dyDescent="0.3">
      <c r="A208" s="3">
        <v>2033623</v>
      </c>
      <c r="B208">
        <v>51610</v>
      </c>
      <c r="C208">
        <v>4</v>
      </c>
      <c r="D208" s="9">
        <v>105</v>
      </c>
      <c r="E208">
        <v>1006</v>
      </c>
      <c r="F208" s="1">
        <v>44005</v>
      </c>
      <c r="G208" t="s">
        <v>68</v>
      </c>
      <c r="H208" s="4">
        <v>594</v>
      </c>
      <c r="I208" s="4" t="s">
        <v>16</v>
      </c>
      <c r="J208" s="4">
        <v>594</v>
      </c>
      <c r="K208" t="str">
        <f>IFERROR(INDEX(BusinessUnits!$B:$B,MATCH($C208,BusinessUnits!$A:$A,0)),"")</f>
        <v>HOUSEKEEPING</v>
      </c>
      <c r="L208" t="str">
        <f>IFERROR(INDEX(Table1[[#All],[Description]],MATCH($C208,BusinessUnits!$A:$A,0)),"")</f>
        <v xml:space="preserve">Transactions related to the Housekeeping Department. Primarily includes payroll for housekeepers and housekeeping supplies. </v>
      </c>
      <c r="M208" t="str">
        <f>IFERROR(INDEX(ChartOfAccounts!B207:B292,MATCH($B208,ChartOfAccounts!A207:A292,0)),"")</f>
        <v/>
      </c>
      <c r="N208" t="str">
        <f>IFERROR(INDEX(ChartOfAccounts!D:D,MATCH($B208,ChartOfAccounts!A207:A292,0)),"")</f>
        <v/>
      </c>
      <c r="O208" t="str">
        <f>IFERROR(INDEX(ChartOfAccounts!F:F,MATCH($B208,ChartOfAccounts!A207:A292,0)),"")</f>
        <v/>
      </c>
      <c r="P208" t="str" cm="1">
        <f t="array" ref="P208">IFERROR(INDEX(PreparerInfo!B207:B219,MATCH($D208&amp;$C208,PreparerInfo!A207:A219&amp;PreparerInfo!C207:C219,0)),"")</f>
        <v/>
      </c>
      <c r="Q208" t="str">
        <f>IFERROR(INDEX(Source!B207:B215,MATCH('Case 4 solution'!E208,Source!A207:A215,0)),"")</f>
        <v/>
      </c>
    </row>
    <row r="209" spans="1:17" x14ac:dyDescent="0.3">
      <c r="A209" s="3">
        <v>2033623</v>
      </c>
      <c r="B209">
        <v>22110</v>
      </c>
      <c r="C209">
        <v>4</v>
      </c>
      <c r="D209" s="9">
        <v>105</v>
      </c>
      <c r="E209">
        <v>1006</v>
      </c>
      <c r="F209" s="1">
        <v>44005</v>
      </c>
      <c r="G209" t="s">
        <v>68</v>
      </c>
      <c r="H209" s="4" t="s">
        <v>16</v>
      </c>
      <c r="I209" s="4">
        <v>-594</v>
      </c>
      <c r="J209" s="4">
        <v>-594</v>
      </c>
      <c r="K209" t="str">
        <f>IFERROR(INDEX(BusinessUnits!$B:$B,MATCH($C209,BusinessUnits!$A:$A,0)),"")</f>
        <v>HOUSEKEEPING</v>
      </c>
      <c r="L209" t="str">
        <f>IFERROR(INDEX(Table1[[#All],[Description]],MATCH($C209,BusinessUnits!$A:$A,0)),"")</f>
        <v xml:space="preserve">Transactions related to the Housekeeping Department. Primarily includes payroll for housekeepers and housekeeping supplies. </v>
      </c>
      <c r="M209" t="str">
        <f>IFERROR(INDEX(ChartOfAccounts!B208:B293,MATCH($B209,ChartOfAccounts!A208:A293,0)),"")</f>
        <v/>
      </c>
      <c r="N209" t="str">
        <f>IFERROR(INDEX(ChartOfAccounts!D:D,MATCH($B209,ChartOfAccounts!A208:A293,0)),"")</f>
        <v/>
      </c>
      <c r="O209" t="str">
        <f>IFERROR(INDEX(ChartOfAccounts!F:F,MATCH($B209,ChartOfAccounts!A208:A293,0)),"")</f>
        <v/>
      </c>
      <c r="P209" t="str" cm="1">
        <f t="array" ref="P209">IFERROR(INDEX(PreparerInfo!B208:B220,MATCH($D209&amp;$C209,PreparerInfo!A208:A220&amp;PreparerInfo!C208:C220,0)),"")</f>
        <v/>
      </c>
      <c r="Q209" t="str">
        <f>IFERROR(INDEX(Source!B208:B216,MATCH('Case 4 solution'!E209,Source!A208:A216,0)),"")</f>
        <v/>
      </c>
    </row>
    <row r="210" spans="1:17" x14ac:dyDescent="0.3">
      <c r="A210" s="3">
        <v>2033624</v>
      </c>
      <c r="B210">
        <v>51140</v>
      </c>
      <c r="C210">
        <v>2</v>
      </c>
      <c r="D210" s="9">
        <v>105</v>
      </c>
      <c r="E210">
        <v>1004</v>
      </c>
      <c r="F210" s="1">
        <v>44005</v>
      </c>
      <c r="G210" t="s">
        <v>54</v>
      </c>
      <c r="H210" s="4">
        <v>770.35</v>
      </c>
      <c r="I210" s="4" t="s">
        <v>16</v>
      </c>
      <c r="J210" s="4">
        <v>770.35</v>
      </c>
      <c r="K210" t="str">
        <f>IFERROR(INDEX(BusinessUnits!$B:$B,MATCH($C210,BusinessUnits!$A:$A,0)),"")</f>
        <v>HOTEL</v>
      </c>
      <c r="L210" t="str">
        <f>IFERROR(INDEX(Table1[[#All],[Description]],MATCH($C210,BusinessUnits!$A:$A,0)),"")</f>
        <v xml:space="preserve">Transactions related to guest rooms and overall hotel operations. Includes payroll for administrative staff, clerks and interns. </v>
      </c>
      <c r="M210" t="str">
        <f>IFERROR(INDEX(ChartOfAccounts!B209:B294,MATCH($B210,ChartOfAccounts!A209:A294,0)),"")</f>
        <v/>
      </c>
      <c r="N210" t="str">
        <f>IFERROR(INDEX(ChartOfAccounts!D:D,MATCH($B210,ChartOfAccounts!A209:A294,0)),"")</f>
        <v/>
      </c>
      <c r="O210" t="str">
        <f>IFERROR(INDEX(ChartOfAccounts!F:F,MATCH($B210,ChartOfAccounts!A209:A294,0)),"")</f>
        <v/>
      </c>
      <c r="P210" t="str" cm="1">
        <f t="array" ref="P210">IFERROR(INDEX(PreparerInfo!B209:B221,MATCH($D210&amp;$C210,PreparerInfo!A209:A221&amp;PreparerInfo!C209:C221,0)),"")</f>
        <v/>
      </c>
      <c r="Q210" t="str">
        <f>IFERROR(INDEX(Source!B209:B217,MATCH('Case 4 solution'!E210,Source!A209:A217,0)),"")</f>
        <v/>
      </c>
    </row>
    <row r="211" spans="1:17" x14ac:dyDescent="0.3">
      <c r="A211" s="3">
        <v>2033624</v>
      </c>
      <c r="B211">
        <v>11845</v>
      </c>
      <c r="C211">
        <v>2</v>
      </c>
      <c r="D211" s="9">
        <v>105</v>
      </c>
      <c r="E211">
        <v>1004</v>
      </c>
      <c r="F211" s="1">
        <v>44005</v>
      </c>
      <c r="G211" t="s">
        <v>54</v>
      </c>
      <c r="H211" s="4" t="s">
        <v>16</v>
      </c>
      <c r="I211" s="4">
        <v>-770.35</v>
      </c>
      <c r="J211" s="4">
        <v>-770.35</v>
      </c>
      <c r="K211" t="str">
        <f>IFERROR(INDEX(BusinessUnits!$B:$B,MATCH($C211,BusinessUnits!$A:$A,0)),"")</f>
        <v>HOTEL</v>
      </c>
      <c r="L211" t="str">
        <f>IFERROR(INDEX(Table1[[#All],[Description]],MATCH($C211,BusinessUnits!$A:$A,0)),"")</f>
        <v xml:space="preserve">Transactions related to guest rooms and overall hotel operations. Includes payroll for administrative staff, clerks and interns. </v>
      </c>
      <c r="M211" t="str">
        <f>IFERROR(INDEX(ChartOfAccounts!B210:B295,MATCH($B211,ChartOfAccounts!A210:A295,0)),"")</f>
        <v/>
      </c>
      <c r="N211" t="str">
        <f>IFERROR(INDEX(ChartOfAccounts!D:D,MATCH($B211,ChartOfAccounts!A210:A295,0)),"")</f>
        <v/>
      </c>
      <c r="O211" t="str">
        <f>IFERROR(INDEX(ChartOfAccounts!F:F,MATCH($B211,ChartOfAccounts!A210:A295,0)),"")</f>
        <v/>
      </c>
      <c r="P211" t="str" cm="1">
        <f t="array" ref="P211">IFERROR(INDEX(PreparerInfo!B210:B222,MATCH($D211&amp;$C211,PreparerInfo!A210:A222&amp;PreparerInfo!C210:C222,0)),"")</f>
        <v/>
      </c>
      <c r="Q211" t="str">
        <f>IFERROR(INDEX(Source!B210:B218,MATCH('Case 4 solution'!E211,Source!A210:A218,0)),"")</f>
        <v/>
      </c>
    </row>
    <row r="212" spans="1:17" x14ac:dyDescent="0.3">
      <c r="A212" s="3">
        <v>2033625</v>
      </c>
      <c r="B212">
        <v>51610</v>
      </c>
      <c r="C212">
        <v>6</v>
      </c>
      <c r="D212" s="9">
        <v>105</v>
      </c>
      <c r="E212">
        <v>1006</v>
      </c>
      <c r="F212" s="1">
        <v>44005</v>
      </c>
      <c r="G212" t="s">
        <v>68</v>
      </c>
      <c r="H212" s="4">
        <v>773</v>
      </c>
      <c r="I212" s="4" t="s">
        <v>16</v>
      </c>
      <c r="J212" s="4">
        <v>773</v>
      </c>
      <c r="K212" t="str">
        <f>IFERROR(INDEX(BusinessUnits!$B:$B,MATCH($C212,BusinessUnits!$A:$A,0)),"")</f>
        <v>MAINTENANCE</v>
      </c>
      <c r="L212" t="str">
        <f>IFERROR(INDEX(Table1[[#All],[Description]],MATCH($C212,BusinessUnits!$A:$A,0)),"")</f>
        <v>Transactions related to the hotel Maintenance Department. Primarily includes payroll for maintenance, grounds keepers and related supplies.</v>
      </c>
      <c r="M212" t="str">
        <f>IFERROR(INDEX(ChartOfAccounts!B211:B296,MATCH($B212,ChartOfAccounts!A211:A296,0)),"")</f>
        <v/>
      </c>
      <c r="N212" t="str">
        <f>IFERROR(INDEX(ChartOfAccounts!D:D,MATCH($B212,ChartOfAccounts!A211:A296,0)),"")</f>
        <v/>
      </c>
      <c r="O212" t="str">
        <f>IFERROR(INDEX(ChartOfAccounts!F:F,MATCH($B212,ChartOfAccounts!A211:A296,0)),"")</f>
        <v/>
      </c>
      <c r="P212" t="str" cm="1">
        <f t="array" ref="P212">IFERROR(INDEX(PreparerInfo!B211:B223,MATCH($D212&amp;$C212,PreparerInfo!A211:A223&amp;PreparerInfo!C211:C223,0)),"")</f>
        <v/>
      </c>
      <c r="Q212" t="str">
        <f>IFERROR(INDEX(Source!B211:B219,MATCH('Case 4 solution'!E212,Source!A211:A219,0)),"")</f>
        <v/>
      </c>
    </row>
    <row r="213" spans="1:17" x14ac:dyDescent="0.3">
      <c r="A213" s="3">
        <v>2033625</v>
      </c>
      <c r="B213">
        <v>22110</v>
      </c>
      <c r="C213">
        <v>6</v>
      </c>
      <c r="D213" s="9">
        <v>105</v>
      </c>
      <c r="E213">
        <v>1006</v>
      </c>
      <c r="F213" s="1">
        <v>44005</v>
      </c>
      <c r="G213" t="s">
        <v>68</v>
      </c>
      <c r="H213" s="4" t="s">
        <v>16</v>
      </c>
      <c r="I213" s="4">
        <v>-773</v>
      </c>
      <c r="J213" s="4">
        <v>-773</v>
      </c>
      <c r="K213" t="str">
        <f>IFERROR(INDEX(BusinessUnits!$B:$B,MATCH($C213,BusinessUnits!$A:$A,0)),"")</f>
        <v>MAINTENANCE</v>
      </c>
      <c r="L213" t="str">
        <f>IFERROR(INDEX(Table1[[#All],[Description]],MATCH($C213,BusinessUnits!$A:$A,0)),"")</f>
        <v>Transactions related to the hotel Maintenance Department. Primarily includes payroll for maintenance, grounds keepers and related supplies.</v>
      </c>
      <c r="M213" t="str">
        <f>IFERROR(INDEX(ChartOfAccounts!B212:B297,MATCH($B213,ChartOfAccounts!A212:A297,0)),"")</f>
        <v/>
      </c>
      <c r="N213" t="str">
        <f>IFERROR(INDEX(ChartOfAccounts!D:D,MATCH($B213,ChartOfAccounts!A212:A297,0)),"")</f>
        <v/>
      </c>
      <c r="O213" t="str">
        <f>IFERROR(INDEX(ChartOfAccounts!F:F,MATCH($B213,ChartOfAccounts!A212:A297,0)),"")</f>
        <v/>
      </c>
      <c r="P213" t="str" cm="1">
        <f t="array" ref="P213">IFERROR(INDEX(PreparerInfo!B212:B224,MATCH($D213&amp;$C213,PreparerInfo!A212:A224&amp;PreparerInfo!C212:C224,0)),"")</f>
        <v/>
      </c>
      <c r="Q213" t="str">
        <f>IFERROR(INDEX(Source!B212:B220,MATCH('Case 4 solution'!E213,Source!A212:A220,0)),"")</f>
        <v/>
      </c>
    </row>
    <row r="214" spans="1:17" x14ac:dyDescent="0.3">
      <c r="A214" s="3">
        <v>2033626</v>
      </c>
      <c r="B214">
        <v>11845</v>
      </c>
      <c r="C214">
        <v>1</v>
      </c>
      <c r="D214" s="9">
        <v>102</v>
      </c>
      <c r="E214">
        <v>1001</v>
      </c>
      <c r="F214" s="1">
        <v>44005</v>
      </c>
      <c r="G214" t="s">
        <v>41</v>
      </c>
      <c r="H214" s="4">
        <v>795.55</v>
      </c>
      <c r="I214" s="4" t="s">
        <v>16</v>
      </c>
      <c r="J214" s="4">
        <v>795.55</v>
      </c>
      <c r="K214" t="str">
        <f>IFERROR(INDEX(BusinessUnits!$B:$B,MATCH($C214,BusinessUnits!$A:$A,0)),"")</f>
        <v>FOOD SERVICE</v>
      </c>
      <c r="L214" t="str">
        <f>IFERROR(INDEX(Table1[[#All],[Description]],MATCH($C214,BusinessUnits!$A:$A,0)),"")</f>
        <v xml:space="preserve">Transactions related to food and beverage service. Includes all guest transactions in the hotel restaurants, catering-related transactions and food service payroll. </v>
      </c>
      <c r="M214" t="str">
        <f>IFERROR(INDEX(ChartOfAccounts!B213:B298,MATCH($B214,ChartOfAccounts!A213:A298,0)),"")</f>
        <v/>
      </c>
      <c r="N214" t="str">
        <f>IFERROR(INDEX(ChartOfAccounts!D:D,MATCH($B214,ChartOfAccounts!A213:A298,0)),"")</f>
        <v/>
      </c>
      <c r="O214" t="str">
        <f>IFERROR(INDEX(ChartOfAccounts!F:F,MATCH($B214,ChartOfAccounts!A213:A298,0)),"")</f>
        <v/>
      </c>
      <c r="P214" t="str" cm="1">
        <f t="array" ref="P214">IFERROR(INDEX(PreparerInfo!B213:B225,MATCH($D214&amp;$C214,PreparerInfo!A213:A225&amp;PreparerInfo!C213:C225,0)),"")</f>
        <v/>
      </c>
      <c r="Q214" t="str">
        <f>IFERROR(INDEX(Source!B213:B221,MATCH('Case 4 solution'!E214,Source!A213:A221,0)),"")</f>
        <v/>
      </c>
    </row>
    <row r="215" spans="1:17" x14ac:dyDescent="0.3">
      <c r="A215" s="3">
        <v>2033626</v>
      </c>
      <c r="B215">
        <v>43310</v>
      </c>
      <c r="C215">
        <v>1</v>
      </c>
      <c r="D215" s="9">
        <v>102</v>
      </c>
      <c r="E215">
        <v>1001</v>
      </c>
      <c r="F215" s="1">
        <v>44005</v>
      </c>
      <c r="G215" t="s">
        <v>41</v>
      </c>
      <c r="H215" s="4" t="s">
        <v>16</v>
      </c>
      <c r="I215" s="4">
        <v>-795.55</v>
      </c>
      <c r="J215" s="4">
        <v>-795.55</v>
      </c>
      <c r="K215" t="str">
        <f>IFERROR(INDEX(BusinessUnits!$B:$B,MATCH($C215,BusinessUnits!$A:$A,0)),"")</f>
        <v>FOOD SERVICE</v>
      </c>
      <c r="L215" t="str">
        <f>IFERROR(INDEX(Table1[[#All],[Description]],MATCH($C215,BusinessUnits!$A:$A,0)),"")</f>
        <v xml:space="preserve">Transactions related to food and beverage service. Includes all guest transactions in the hotel restaurants, catering-related transactions and food service payroll. </v>
      </c>
      <c r="M215" t="str">
        <f>IFERROR(INDEX(ChartOfAccounts!B214:B299,MATCH($B215,ChartOfAccounts!A214:A299,0)),"")</f>
        <v/>
      </c>
      <c r="N215" t="str">
        <f>IFERROR(INDEX(ChartOfAccounts!D:D,MATCH($B215,ChartOfAccounts!A214:A299,0)),"")</f>
        <v/>
      </c>
      <c r="O215" t="str">
        <f>IFERROR(INDEX(ChartOfAccounts!F:F,MATCH($B215,ChartOfAccounts!A214:A299,0)),"")</f>
        <v/>
      </c>
      <c r="P215" t="str" cm="1">
        <f t="array" ref="P215">IFERROR(INDEX(PreparerInfo!B214:B226,MATCH($D215&amp;$C215,PreparerInfo!A214:A226&amp;PreparerInfo!C214:C226,0)),"")</f>
        <v/>
      </c>
      <c r="Q215" t="str">
        <f>IFERROR(INDEX(Source!B214:B222,MATCH('Case 4 solution'!E215,Source!A214:A222,0)),"")</f>
        <v/>
      </c>
    </row>
    <row r="216" spans="1:17" x14ac:dyDescent="0.3">
      <c r="A216" s="3">
        <v>2033627</v>
      </c>
      <c r="B216">
        <v>51610</v>
      </c>
      <c r="C216">
        <v>4</v>
      </c>
      <c r="D216" s="9">
        <v>105</v>
      </c>
      <c r="E216">
        <v>1006</v>
      </c>
      <c r="F216" s="1">
        <v>44005</v>
      </c>
      <c r="G216" t="s">
        <v>66</v>
      </c>
      <c r="H216" s="4">
        <v>800</v>
      </c>
      <c r="I216" s="4" t="s">
        <v>16</v>
      </c>
      <c r="J216" s="4">
        <v>800</v>
      </c>
      <c r="K216" t="str">
        <f>IFERROR(INDEX(BusinessUnits!$B:$B,MATCH($C216,BusinessUnits!$A:$A,0)),"")</f>
        <v>HOUSEKEEPING</v>
      </c>
      <c r="L216" t="str">
        <f>IFERROR(INDEX(Table1[[#All],[Description]],MATCH($C216,BusinessUnits!$A:$A,0)),"")</f>
        <v xml:space="preserve">Transactions related to the Housekeeping Department. Primarily includes payroll for housekeepers and housekeeping supplies. </v>
      </c>
      <c r="M216" t="str">
        <f>IFERROR(INDEX(ChartOfAccounts!B215:B300,MATCH($B216,ChartOfAccounts!A215:A300,0)),"")</f>
        <v/>
      </c>
      <c r="N216" t="str">
        <f>IFERROR(INDEX(ChartOfAccounts!D:D,MATCH($B216,ChartOfAccounts!A215:A300,0)),"")</f>
        <v/>
      </c>
      <c r="O216" t="str">
        <f>IFERROR(INDEX(ChartOfAccounts!F:F,MATCH($B216,ChartOfAccounts!A215:A300,0)),"")</f>
        <v/>
      </c>
      <c r="P216" t="str" cm="1">
        <f t="array" ref="P216">IFERROR(INDEX(PreparerInfo!B215:B227,MATCH($D216&amp;$C216,PreparerInfo!A215:A227&amp;PreparerInfo!C215:C227,0)),"")</f>
        <v/>
      </c>
      <c r="Q216" t="str">
        <f>IFERROR(INDEX(Source!B215:B223,MATCH('Case 4 solution'!E216,Source!A215:A223,0)),"")</f>
        <v/>
      </c>
    </row>
    <row r="217" spans="1:17" x14ac:dyDescent="0.3">
      <c r="A217" s="3">
        <v>2033627</v>
      </c>
      <c r="B217">
        <v>22110</v>
      </c>
      <c r="C217">
        <v>4</v>
      </c>
      <c r="D217" s="9">
        <v>105</v>
      </c>
      <c r="E217">
        <v>1006</v>
      </c>
      <c r="F217" s="1">
        <v>44005</v>
      </c>
      <c r="G217" t="s">
        <v>66</v>
      </c>
      <c r="H217" s="4" t="s">
        <v>16</v>
      </c>
      <c r="I217" s="4">
        <v>-800</v>
      </c>
      <c r="J217" s="4">
        <v>-800</v>
      </c>
      <c r="K217" t="str">
        <f>IFERROR(INDEX(BusinessUnits!$B:$B,MATCH($C217,BusinessUnits!$A:$A,0)),"")</f>
        <v>HOUSEKEEPING</v>
      </c>
      <c r="L217" t="str">
        <f>IFERROR(INDEX(Table1[[#All],[Description]],MATCH($C217,BusinessUnits!$A:$A,0)),"")</f>
        <v xml:space="preserve">Transactions related to the Housekeeping Department. Primarily includes payroll for housekeepers and housekeeping supplies. </v>
      </c>
      <c r="M217" t="str">
        <f>IFERROR(INDEX(ChartOfAccounts!B216:B301,MATCH($B217,ChartOfAccounts!A216:A301,0)),"")</f>
        <v/>
      </c>
      <c r="N217" t="str">
        <f>IFERROR(INDEX(ChartOfAccounts!D:D,MATCH($B217,ChartOfAccounts!A216:A301,0)),"")</f>
        <v/>
      </c>
      <c r="O217" t="str">
        <f>IFERROR(INDEX(ChartOfAccounts!F:F,MATCH($B217,ChartOfAccounts!A216:A301,0)),"")</f>
        <v/>
      </c>
      <c r="P217" t="str" cm="1">
        <f t="array" ref="P217">IFERROR(INDEX(PreparerInfo!B216:B228,MATCH($D217&amp;$C217,PreparerInfo!A216:A228&amp;PreparerInfo!C216:C228,0)),"")</f>
        <v/>
      </c>
      <c r="Q217" t="str">
        <f>IFERROR(INDEX(Source!B216:B224,MATCH('Case 4 solution'!E217,Source!A216:A224,0)),"")</f>
        <v/>
      </c>
    </row>
    <row r="218" spans="1:17" x14ac:dyDescent="0.3">
      <c r="A218" s="3">
        <v>2033628</v>
      </c>
      <c r="B218">
        <v>51610</v>
      </c>
      <c r="C218">
        <v>1</v>
      </c>
      <c r="D218" s="9">
        <v>105</v>
      </c>
      <c r="E218">
        <v>1006</v>
      </c>
      <c r="F218" s="1">
        <v>44005</v>
      </c>
      <c r="G218" t="s">
        <v>68</v>
      </c>
      <c r="H218" s="4">
        <v>812.5</v>
      </c>
      <c r="I218" s="4" t="s">
        <v>16</v>
      </c>
      <c r="J218" s="4">
        <v>812.5</v>
      </c>
      <c r="K218" t="str">
        <f>IFERROR(INDEX(BusinessUnits!$B:$B,MATCH($C218,BusinessUnits!$A:$A,0)),"")</f>
        <v>FOOD SERVICE</v>
      </c>
      <c r="L218" t="str">
        <f>IFERROR(INDEX(Table1[[#All],[Description]],MATCH($C218,BusinessUnits!$A:$A,0)),"")</f>
        <v xml:space="preserve">Transactions related to food and beverage service. Includes all guest transactions in the hotel restaurants, catering-related transactions and food service payroll. </v>
      </c>
      <c r="M218" t="str">
        <f>IFERROR(INDEX(ChartOfAccounts!B217:B302,MATCH($B218,ChartOfAccounts!A217:A302,0)),"")</f>
        <v/>
      </c>
      <c r="N218" t="str">
        <f>IFERROR(INDEX(ChartOfAccounts!D:D,MATCH($B218,ChartOfAccounts!A217:A302,0)),"")</f>
        <v/>
      </c>
      <c r="O218" t="str">
        <f>IFERROR(INDEX(ChartOfAccounts!F:F,MATCH($B218,ChartOfAccounts!A217:A302,0)),"")</f>
        <v/>
      </c>
      <c r="P218" t="str" cm="1">
        <f t="array" ref="P218">IFERROR(INDEX(PreparerInfo!B217:B229,MATCH($D218&amp;$C218,PreparerInfo!A217:A229&amp;PreparerInfo!C217:C229,0)),"")</f>
        <v/>
      </c>
      <c r="Q218" t="str">
        <f>IFERROR(INDEX(Source!B217:B225,MATCH('Case 4 solution'!E218,Source!A217:A225,0)),"")</f>
        <v/>
      </c>
    </row>
    <row r="219" spans="1:17" x14ac:dyDescent="0.3">
      <c r="A219" s="3">
        <v>2033628</v>
      </c>
      <c r="B219">
        <v>22110</v>
      </c>
      <c r="C219">
        <v>1</v>
      </c>
      <c r="D219" s="9">
        <v>105</v>
      </c>
      <c r="E219">
        <v>1006</v>
      </c>
      <c r="F219" s="1">
        <v>44005</v>
      </c>
      <c r="G219" t="s">
        <v>68</v>
      </c>
      <c r="H219" s="4" t="s">
        <v>16</v>
      </c>
      <c r="I219" s="4">
        <v>-812.5</v>
      </c>
      <c r="J219" s="4">
        <v>-812.5</v>
      </c>
      <c r="K219" t="str">
        <f>IFERROR(INDEX(BusinessUnits!$B:$B,MATCH($C219,BusinessUnits!$A:$A,0)),"")</f>
        <v>FOOD SERVICE</v>
      </c>
      <c r="L219" t="str">
        <f>IFERROR(INDEX(Table1[[#All],[Description]],MATCH($C219,BusinessUnits!$A:$A,0)),"")</f>
        <v xml:space="preserve">Transactions related to food and beverage service. Includes all guest transactions in the hotel restaurants, catering-related transactions and food service payroll. </v>
      </c>
      <c r="M219" t="str">
        <f>IFERROR(INDEX(ChartOfAccounts!B218:B303,MATCH($B219,ChartOfAccounts!A218:A303,0)),"")</f>
        <v/>
      </c>
      <c r="N219" t="str">
        <f>IFERROR(INDEX(ChartOfAccounts!D:D,MATCH($B219,ChartOfAccounts!A218:A303,0)),"")</f>
        <v/>
      </c>
      <c r="O219" t="str">
        <f>IFERROR(INDEX(ChartOfAccounts!F:F,MATCH($B219,ChartOfAccounts!A218:A303,0)),"")</f>
        <v/>
      </c>
      <c r="P219" t="str" cm="1">
        <f t="array" ref="P219">IFERROR(INDEX(PreparerInfo!B218:B230,MATCH($D219&amp;$C219,PreparerInfo!A218:A230&amp;PreparerInfo!C218:C230,0)),"")</f>
        <v/>
      </c>
      <c r="Q219" t="str">
        <f>IFERROR(INDEX(Source!B218:B226,MATCH('Case 4 solution'!E219,Source!A218:A226,0)),"")</f>
        <v/>
      </c>
    </row>
    <row r="220" spans="1:17" x14ac:dyDescent="0.3">
      <c r="A220" s="3">
        <v>2033629</v>
      </c>
      <c r="B220">
        <v>51140</v>
      </c>
      <c r="C220">
        <v>1</v>
      </c>
      <c r="D220" s="9">
        <v>105</v>
      </c>
      <c r="E220">
        <v>1004</v>
      </c>
      <c r="F220" s="1">
        <v>44005</v>
      </c>
      <c r="G220" t="s">
        <v>54</v>
      </c>
      <c r="H220" s="4">
        <v>989.67</v>
      </c>
      <c r="I220" s="4" t="s">
        <v>16</v>
      </c>
      <c r="J220" s="4">
        <v>989.67</v>
      </c>
      <c r="K220" t="str">
        <f>IFERROR(INDEX(BusinessUnits!$B:$B,MATCH($C220,BusinessUnits!$A:$A,0)),"")</f>
        <v>FOOD SERVICE</v>
      </c>
      <c r="L220" t="str">
        <f>IFERROR(INDEX(Table1[[#All],[Description]],MATCH($C220,BusinessUnits!$A:$A,0)),"")</f>
        <v xml:space="preserve">Transactions related to food and beverage service. Includes all guest transactions in the hotel restaurants, catering-related transactions and food service payroll. </v>
      </c>
      <c r="M220" t="str">
        <f>IFERROR(INDEX(ChartOfAccounts!B219:B304,MATCH($B220,ChartOfAccounts!A219:A304,0)),"")</f>
        <v/>
      </c>
      <c r="N220" t="str">
        <f>IFERROR(INDEX(ChartOfAccounts!D:D,MATCH($B220,ChartOfAccounts!A219:A304,0)),"")</f>
        <v/>
      </c>
      <c r="O220" t="str">
        <f>IFERROR(INDEX(ChartOfAccounts!F:F,MATCH($B220,ChartOfAccounts!A219:A304,0)),"")</f>
        <v/>
      </c>
      <c r="P220" t="str" cm="1">
        <f t="array" ref="P220">IFERROR(INDEX(PreparerInfo!B219:B231,MATCH($D220&amp;$C220,PreparerInfo!A219:A231&amp;PreparerInfo!C219:C231,0)),"")</f>
        <v/>
      </c>
      <c r="Q220" t="str">
        <f>IFERROR(INDEX(Source!B219:B227,MATCH('Case 4 solution'!E220,Source!A219:A227,0)),"")</f>
        <v/>
      </c>
    </row>
    <row r="221" spans="1:17" x14ac:dyDescent="0.3">
      <c r="A221" s="3">
        <v>2033629</v>
      </c>
      <c r="B221">
        <v>11845</v>
      </c>
      <c r="C221">
        <v>1</v>
      </c>
      <c r="D221" s="9">
        <v>105</v>
      </c>
      <c r="E221">
        <v>1004</v>
      </c>
      <c r="F221" s="1">
        <v>44005</v>
      </c>
      <c r="G221" t="s">
        <v>54</v>
      </c>
      <c r="H221" s="4" t="s">
        <v>16</v>
      </c>
      <c r="I221" s="4">
        <v>-989.67</v>
      </c>
      <c r="J221" s="4">
        <v>-989.67</v>
      </c>
      <c r="K221" t="str">
        <f>IFERROR(INDEX(BusinessUnits!$B:$B,MATCH($C221,BusinessUnits!$A:$A,0)),"")</f>
        <v>FOOD SERVICE</v>
      </c>
      <c r="L221" t="str">
        <f>IFERROR(INDEX(Table1[[#All],[Description]],MATCH($C221,BusinessUnits!$A:$A,0)),"")</f>
        <v xml:space="preserve">Transactions related to food and beverage service. Includes all guest transactions in the hotel restaurants, catering-related transactions and food service payroll. </v>
      </c>
      <c r="M221" t="str">
        <f>IFERROR(INDEX(ChartOfAccounts!B220:B305,MATCH($B221,ChartOfAccounts!A220:A305,0)),"")</f>
        <v/>
      </c>
      <c r="N221" t="str">
        <f>IFERROR(INDEX(ChartOfAccounts!D:D,MATCH($B221,ChartOfAccounts!A220:A305,0)),"")</f>
        <v/>
      </c>
      <c r="O221" t="str">
        <f>IFERROR(INDEX(ChartOfAccounts!F:F,MATCH($B221,ChartOfAccounts!A220:A305,0)),"")</f>
        <v/>
      </c>
      <c r="P221" t="str" cm="1">
        <f t="array" ref="P221">IFERROR(INDEX(PreparerInfo!B220:B232,MATCH($D221&amp;$C221,PreparerInfo!A220:A232&amp;PreparerInfo!C220:C232,0)),"")</f>
        <v/>
      </c>
      <c r="Q221" t="str">
        <f>IFERROR(INDEX(Source!B220:B228,MATCH('Case 4 solution'!E221,Source!A220:A228,0)),"")</f>
        <v/>
      </c>
    </row>
    <row r="222" spans="1:17" x14ac:dyDescent="0.3">
      <c r="A222" s="3">
        <v>2033630</v>
      </c>
      <c r="B222">
        <v>51610</v>
      </c>
      <c r="C222">
        <v>1</v>
      </c>
      <c r="D222" s="9">
        <v>105</v>
      </c>
      <c r="E222">
        <v>1006</v>
      </c>
      <c r="F222" s="1">
        <v>44005</v>
      </c>
      <c r="G222" t="s">
        <v>75</v>
      </c>
      <c r="H222" s="4">
        <v>997.5</v>
      </c>
      <c r="I222" s="4" t="s">
        <v>16</v>
      </c>
      <c r="J222" s="4">
        <v>997.5</v>
      </c>
      <c r="K222" t="str">
        <f>IFERROR(INDEX(BusinessUnits!$B:$B,MATCH($C222,BusinessUnits!$A:$A,0)),"")</f>
        <v>FOOD SERVICE</v>
      </c>
      <c r="L222" t="str">
        <f>IFERROR(INDEX(Table1[[#All],[Description]],MATCH($C222,BusinessUnits!$A:$A,0)),"")</f>
        <v xml:space="preserve">Transactions related to food and beverage service. Includes all guest transactions in the hotel restaurants, catering-related transactions and food service payroll. </v>
      </c>
      <c r="M222" t="str">
        <f>IFERROR(INDEX(ChartOfAccounts!B221:B306,MATCH($B222,ChartOfAccounts!A221:A306,0)),"")</f>
        <v/>
      </c>
      <c r="N222" t="str">
        <f>IFERROR(INDEX(ChartOfAccounts!D:D,MATCH($B222,ChartOfAccounts!A221:A306,0)),"")</f>
        <v/>
      </c>
      <c r="O222" t="str">
        <f>IFERROR(INDEX(ChartOfAccounts!F:F,MATCH($B222,ChartOfAccounts!A221:A306,0)),"")</f>
        <v/>
      </c>
      <c r="P222" t="str" cm="1">
        <f t="array" ref="P222">IFERROR(INDEX(PreparerInfo!B221:B233,MATCH($D222&amp;$C222,PreparerInfo!A221:A233&amp;PreparerInfo!C221:C233,0)),"")</f>
        <v/>
      </c>
      <c r="Q222" t="str">
        <f>IFERROR(INDEX(Source!B221:B229,MATCH('Case 4 solution'!E222,Source!A221:A229,0)),"")</f>
        <v/>
      </c>
    </row>
    <row r="223" spans="1:17" x14ac:dyDescent="0.3">
      <c r="A223" s="3">
        <v>2033630</v>
      </c>
      <c r="B223">
        <v>22110</v>
      </c>
      <c r="C223">
        <v>1</v>
      </c>
      <c r="D223" s="9">
        <v>105</v>
      </c>
      <c r="E223">
        <v>1006</v>
      </c>
      <c r="F223" s="1">
        <v>44005</v>
      </c>
      <c r="G223" t="s">
        <v>75</v>
      </c>
      <c r="H223" s="4" t="s">
        <v>16</v>
      </c>
      <c r="I223" s="4">
        <v>-997.5</v>
      </c>
      <c r="J223" s="4">
        <v>-997.5</v>
      </c>
      <c r="K223" t="str">
        <f>IFERROR(INDEX(BusinessUnits!$B:$B,MATCH($C223,BusinessUnits!$A:$A,0)),"")</f>
        <v>FOOD SERVICE</v>
      </c>
      <c r="L223" t="str">
        <f>IFERROR(INDEX(Table1[[#All],[Description]],MATCH($C223,BusinessUnits!$A:$A,0)),"")</f>
        <v xml:space="preserve">Transactions related to food and beverage service. Includes all guest transactions in the hotel restaurants, catering-related transactions and food service payroll. </v>
      </c>
      <c r="M223" t="str">
        <f>IFERROR(INDEX(ChartOfAccounts!B222:B307,MATCH($B223,ChartOfAccounts!A222:A307,0)),"")</f>
        <v/>
      </c>
      <c r="N223" t="str">
        <f>IFERROR(INDEX(ChartOfAccounts!D:D,MATCH($B223,ChartOfAccounts!A222:A307,0)),"")</f>
        <v/>
      </c>
      <c r="O223" t="str">
        <f>IFERROR(INDEX(ChartOfAccounts!F:F,MATCH($B223,ChartOfAccounts!A222:A307,0)),"")</f>
        <v/>
      </c>
      <c r="P223" t="str" cm="1">
        <f t="array" ref="P223">IFERROR(INDEX(PreparerInfo!B222:B234,MATCH($D223&amp;$C223,PreparerInfo!A222:A234&amp;PreparerInfo!C222:C234,0)),"")</f>
        <v/>
      </c>
      <c r="Q223" t="str">
        <f>IFERROR(INDEX(Source!B222:B230,MATCH('Case 4 solution'!E223,Source!A222:A230,0)),"")</f>
        <v/>
      </c>
    </row>
    <row r="224" spans="1:17" x14ac:dyDescent="0.3">
      <c r="A224" s="3">
        <v>2033631</v>
      </c>
      <c r="B224">
        <v>51400</v>
      </c>
      <c r="C224">
        <v>1</v>
      </c>
      <c r="D224" s="9">
        <v>105</v>
      </c>
      <c r="E224">
        <v>1006</v>
      </c>
      <c r="F224" s="1">
        <v>44005</v>
      </c>
      <c r="G224" t="s">
        <v>55</v>
      </c>
      <c r="H224" s="4">
        <v>1019.94</v>
      </c>
      <c r="I224" s="4" t="s">
        <v>16</v>
      </c>
      <c r="J224" s="4">
        <v>1019.94</v>
      </c>
      <c r="K224" t="str">
        <f>IFERROR(INDEX(BusinessUnits!$B:$B,MATCH($C224,BusinessUnits!$A:$A,0)),"")</f>
        <v>FOOD SERVICE</v>
      </c>
      <c r="L224" t="str">
        <f>IFERROR(INDEX(Table1[[#All],[Description]],MATCH($C224,BusinessUnits!$A:$A,0)),"")</f>
        <v xml:space="preserve">Transactions related to food and beverage service. Includes all guest transactions in the hotel restaurants, catering-related transactions and food service payroll. </v>
      </c>
      <c r="M224" t="str">
        <f>IFERROR(INDEX(ChartOfAccounts!B223:B308,MATCH($B224,ChartOfAccounts!A223:A308,0)),"")</f>
        <v/>
      </c>
      <c r="N224" t="str">
        <f>IFERROR(INDEX(ChartOfAccounts!D:D,MATCH($B224,ChartOfAccounts!A223:A308,0)),"")</f>
        <v/>
      </c>
      <c r="O224" t="str">
        <f>IFERROR(INDEX(ChartOfAccounts!F:F,MATCH($B224,ChartOfAccounts!A223:A308,0)),"")</f>
        <v/>
      </c>
      <c r="P224" t="str" cm="1">
        <f t="array" ref="P224">IFERROR(INDEX(PreparerInfo!B223:B235,MATCH($D224&amp;$C224,PreparerInfo!A223:A235&amp;PreparerInfo!C223:C235,0)),"")</f>
        <v/>
      </c>
      <c r="Q224" t="str">
        <f>IFERROR(INDEX(Source!B223:B231,MATCH('Case 4 solution'!E224,Source!A223:A231,0)),"")</f>
        <v/>
      </c>
    </row>
    <row r="225" spans="1:17" x14ac:dyDescent="0.3">
      <c r="A225" s="3">
        <v>2033631</v>
      </c>
      <c r="B225">
        <v>22110</v>
      </c>
      <c r="C225">
        <v>1</v>
      </c>
      <c r="D225" s="9">
        <v>105</v>
      </c>
      <c r="E225">
        <v>1006</v>
      </c>
      <c r="F225" s="1">
        <v>44005</v>
      </c>
      <c r="G225" t="s">
        <v>55</v>
      </c>
      <c r="H225" s="4" t="s">
        <v>16</v>
      </c>
      <c r="I225" s="4">
        <v>-1019.94</v>
      </c>
      <c r="J225" s="4">
        <v>-1019.94</v>
      </c>
      <c r="K225" t="str">
        <f>IFERROR(INDEX(BusinessUnits!$B:$B,MATCH($C225,BusinessUnits!$A:$A,0)),"")</f>
        <v>FOOD SERVICE</v>
      </c>
      <c r="L225" t="str">
        <f>IFERROR(INDEX(Table1[[#All],[Description]],MATCH($C225,BusinessUnits!$A:$A,0)),"")</f>
        <v xml:space="preserve">Transactions related to food and beverage service. Includes all guest transactions in the hotel restaurants, catering-related transactions and food service payroll. </v>
      </c>
      <c r="M225" t="str">
        <f>IFERROR(INDEX(ChartOfAccounts!B224:B309,MATCH($B225,ChartOfAccounts!A224:A309,0)),"")</f>
        <v/>
      </c>
      <c r="N225" t="str">
        <f>IFERROR(INDEX(ChartOfAccounts!D:D,MATCH($B225,ChartOfAccounts!A224:A309,0)),"")</f>
        <v/>
      </c>
      <c r="O225" t="str">
        <f>IFERROR(INDEX(ChartOfAccounts!F:F,MATCH($B225,ChartOfAccounts!A224:A309,0)),"")</f>
        <v/>
      </c>
      <c r="P225" t="str" cm="1">
        <f t="array" ref="P225">IFERROR(INDEX(PreparerInfo!B224:B236,MATCH($D225&amp;$C225,PreparerInfo!A224:A236&amp;PreparerInfo!C224:C236,0)),"")</f>
        <v/>
      </c>
      <c r="Q225" t="str">
        <f>IFERROR(INDEX(Source!B224:B232,MATCH('Case 4 solution'!E225,Source!A224:A232,0)),"")</f>
        <v/>
      </c>
    </row>
    <row r="226" spans="1:17" x14ac:dyDescent="0.3">
      <c r="A226" s="3">
        <v>2033632</v>
      </c>
      <c r="B226">
        <v>51510</v>
      </c>
      <c r="C226">
        <v>4</v>
      </c>
      <c r="D226" s="9">
        <v>105</v>
      </c>
      <c r="E226">
        <v>1006</v>
      </c>
      <c r="F226" s="1">
        <v>44005</v>
      </c>
      <c r="G226" t="s">
        <v>62</v>
      </c>
      <c r="H226" s="4">
        <v>1051.7</v>
      </c>
      <c r="I226" s="4" t="s">
        <v>16</v>
      </c>
      <c r="J226" s="4">
        <v>1051.7</v>
      </c>
      <c r="K226" t="str">
        <f>IFERROR(INDEX(BusinessUnits!$B:$B,MATCH($C226,BusinessUnits!$A:$A,0)),"")</f>
        <v>HOUSEKEEPING</v>
      </c>
      <c r="L226" t="str">
        <f>IFERROR(INDEX(Table1[[#All],[Description]],MATCH($C226,BusinessUnits!$A:$A,0)),"")</f>
        <v xml:space="preserve">Transactions related to the Housekeeping Department. Primarily includes payroll for housekeepers and housekeeping supplies. </v>
      </c>
      <c r="M226" t="str">
        <f>IFERROR(INDEX(ChartOfAccounts!B225:B310,MATCH($B226,ChartOfAccounts!A225:A310,0)),"")</f>
        <v/>
      </c>
      <c r="N226" t="str">
        <f>IFERROR(INDEX(ChartOfAccounts!D:D,MATCH($B226,ChartOfAccounts!A225:A310,0)),"")</f>
        <v/>
      </c>
      <c r="O226" t="str">
        <f>IFERROR(INDEX(ChartOfAccounts!F:F,MATCH($B226,ChartOfAccounts!A225:A310,0)),"")</f>
        <v/>
      </c>
      <c r="P226" t="str" cm="1">
        <f t="array" ref="P226">IFERROR(INDEX(PreparerInfo!B225:B237,MATCH($D226&amp;$C226,PreparerInfo!A225:A237&amp;PreparerInfo!C225:C237,0)),"")</f>
        <v/>
      </c>
      <c r="Q226" t="str">
        <f>IFERROR(INDEX(Source!B225:B233,MATCH('Case 4 solution'!E226,Source!A225:A233,0)),"")</f>
        <v/>
      </c>
    </row>
    <row r="227" spans="1:17" x14ac:dyDescent="0.3">
      <c r="A227" s="3">
        <v>2033632</v>
      </c>
      <c r="B227">
        <v>22110</v>
      </c>
      <c r="C227">
        <v>4</v>
      </c>
      <c r="D227" s="9">
        <v>105</v>
      </c>
      <c r="E227">
        <v>1006</v>
      </c>
      <c r="F227" s="1">
        <v>44005</v>
      </c>
      <c r="G227" t="s">
        <v>62</v>
      </c>
      <c r="H227" s="4" t="s">
        <v>16</v>
      </c>
      <c r="I227" s="4">
        <v>-1051.7</v>
      </c>
      <c r="J227" s="4">
        <v>-1051.7</v>
      </c>
      <c r="K227" t="str">
        <f>IFERROR(INDEX(BusinessUnits!$B:$B,MATCH($C227,BusinessUnits!$A:$A,0)),"")</f>
        <v>HOUSEKEEPING</v>
      </c>
      <c r="L227" t="str">
        <f>IFERROR(INDEX(Table1[[#All],[Description]],MATCH($C227,BusinessUnits!$A:$A,0)),"")</f>
        <v xml:space="preserve">Transactions related to the Housekeeping Department. Primarily includes payroll for housekeepers and housekeeping supplies. </v>
      </c>
      <c r="M227" t="str">
        <f>IFERROR(INDEX(ChartOfAccounts!B226:B311,MATCH($B227,ChartOfAccounts!A226:A311,0)),"")</f>
        <v/>
      </c>
      <c r="N227" t="str">
        <f>IFERROR(INDEX(ChartOfAccounts!D:D,MATCH($B227,ChartOfAccounts!A226:A311,0)),"")</f>
        <v/>
      </c>
      <c r="O227" t="str">
        <f>IFERROR(INDEX(ChartOfAccounts!F:F,MATCH($B227,ChartOfAccounts!A226:A311,0)),"")</f>
        <v/>
      </c>
      <c r="P227" t="str" cm="1">
        <f t="array" ref="P227">IFERROR(INDEX(PreparerInfo!B226:B238,MATCH($D227&amp;$C227,PreparerInfo!A226:A238&amp;PreparerInfo!C226:C238,0)),"")</f>
        <v/>
      </c>
      <c r="Q227" t="str">
        <f>IFERROR(INDEX(Source!B226:B234,MATCH('Case 4 solution'!E227,Source!A226:A234,0)),"")</f>
        <v/>
      </c>
    </row>
    <row r="228" spans="1:17" x14ac:dyDescent="0.3">
      <c r="A228" s="3">
        <v>2033633</v>
      </c>
      <c r="B228">
        <v>51610</v>
      </c>
      <c r="C228">
        <v>1</v>
      </c>
      <c r="D228" s="9">
        <v>105</v>
      </c>
      <c r="E228">
        <v>1006</v>
      </c>
      <c r="F228" s="1">
        <v>44005</v>
      </c>
      <c r="G228" t="s">
        <v>66</v>
      </c>
      <c r="H228" s="4">
        <v>1200</v>
      </c>
      <c r="I228" s="4" t="s">
        <v>16</v>
      </c>
      <c r="J228" s="4">
        <v>1200</v>
      </c>
      <c r="K228" t="str">
        <f>IFERROR(INDEX(BusinessUnits!$B:$B,MATCH($C228,BusinessUnits!$A:$A,0)),"")</f>
        <v>FOOD SERVICE</v>
      </c>
      <c r="L228" t="str">
        <f>IFERROR(INDEX(Table1[[#All],[Description]],MATCH($C228,BusinessUnits!$A:$A,0)),"")</f>
        <v xml:space="preserve">Transactions related to food and beverage service. Includes all guest transactions in the hotel restaurants, catering-related transactions and food service payroll. </v>
      </c>
      <c r="M228" t="str">
        <f>IFERROR(INDEX(ChartOfAccounts!B227:B312,MATCH($B228,ChartOfAccounts!A227:A312,0)),"")</f>
        <v/>
      </c>
      <c r="N228" t="str">
        <f>IFERROR(INDEX(ChartOfAccounts!D:D,MATCH($B228,ChartOfAccounts!A227:A312,0)),"")</f>
        <v/>
      </c>
      <c r="O228" t="str">
        <f>IFERROR(INDEX(ChartOfAccounts!F:F,MATCH($B228,ChartOfAccounts!A227:A312,0)),"")</f>
        <v/>
      </c>
      <c r="P228" t="str" cm="1">
        <f t="array" ref="P228">IFERROR(INDEX(PreparerInfo!B227:B239,MATCH($D228&amp;$C228,PreparerInfo!A227:A239&amp;PreparerInfo!C227:C239,0)),"")</f>
        <v/>
      </c>
      <c r="Q228" t="str">
        <f>IFERROR(INDEX(Source!B227:B235,MATCH('Case 4 solution'!E228,Source!A227:A235,0)),"")</f>
        <v/>
      </c>
    </row>
    <row r="229" spans="1:17" x14ac:dyDescent="0.3">
      <c r="A229" s="3">
        <v>2033633</v>
      </c>
      <c r="B229">
        <v>22110</v>
      </c>
      <c r="C229">
        <v>1</v>
      </c>
      <c r="D229" s="9">
        <v>105</v>
      </c>
      <c r="E229">
        <v>1006</v>
      </c>
      <c r="F229" s="1">
        <v>44005</v>
      </c>
      <c r="G229" t="s">
        <v>66</v>
      </c>
      <c r="H229" s="4" t="s">
        <v>16</v>
      </c>
      <c r="I229" s="4">
        <v>-1200</v>
      </c>
      <c r="J229" s="4">
        <v>-1200</v>
      </c>
      <c r="K229" t="str">
        <f>IFERROR(INDEX(BusinessUnits!$B:$B,MATCH($C229,BusinessUnits!$A:$A,0)),"")</f>
        <v>FOOD SERVICE</v>
      </c>
      <c r="L229" t="str">
        <f>IFERROR(INDEX(Table1[[#All],[Description]],MATCH($C229,BusinessUnits!$A:$A,0)),"")</f>
        <v xml:space="preserve">Transactions related to food and beverage service. Includes all guest transactions in the hotel restaurants, catering-related transactions and food service payroll. </v>
      </c>
      <c r="M229" t="str">
        <f>IFERROR(INDEX(ChartOfAccounts!B228:B313,MATCH($B229,ChartOfAccounts!A228:A313,0)),"")</f>
        <v/>
      </c>
      <c r="N229" t="str">
        <f>IFERROR(INDEX(ChartOfAccounts!D:D,MATCH($B229,ChartOfAccounts!A228:A313,0)),"")</f>
        <v/>
      </c>
      <c r="O229" t="str">
        <f>IFERROR(INDEX(ChartOfAccounts!F:F,MATCH($B229,ChartOfAccounts!A228:A313,0)),"")</f>
        <v/>
      </c>
      <c r="P229" t="str" cm="1">
        <f t="array" ref="P229">IFERROR(INDEX(PreparerInfo!B228:B240,MATCH($D229&amp;$C229,PreparerInfo!A228:A240&amp;PreparerInfo!C228:C240,0)),"")</f>
        <v/>
      </c>
      <c r="Q229" t="str">
        <f>IFERROR(INDEX(Source!B228:B236,MATCH('Case 4 solution'!E229,Source!A228:A236,0)),"")</f>
        <v/>
      </c>
    </row>
    <row r="230" spans="1:17" x14ac:dyDescent="0.3">
      <c r="A230" s="3">
        <v>2033634</v>
      </c>
      <c r="B230">
        <v>51140</v>
      </c>
      <c r="C230">
        <v>4</v>
      </c>
      <c r="D230" s="9">
        <v>105</v>
      </c>
      <c r="E230">
        <v>1004</v>
      </c>
      <c r="F230" s="1">
        <v>44005</v>
      </c>
      <c r="G230" t="s">
        <v>54</v>
      </c>
      <c r="H230" s="4">
        <v>1722.74</v>
      </c>
      <c r="I230" s="4" t="s">
        <v>16</v>
      </c>
      <c r="J230" s="4">
        <v>1722.74</v>
      </c>
      <c r="K230" t="str">
        <f>IFERROR(INDEX(BusinessUnits!$B:$B,MATCH($C230,BusinessUnits!$A:$A,0)),"")</f>
        <v>HOUSEKEEPING</v>
      </c>
      <c r="L230" t="str">
        <f>IFERROR(INDEX(Table1[[#All],[Description]],MATCH($C230,BusinessUnits!$A:$A,0)),"")</f>
        <v xml:space="preserve">Transactions related to the Housekeeping Department. Primarily includes payroll for housekeepers and housekeeping supplies. </v>
      </c>
      <c r="M230" t="str">
        <f>IFERROR(INDEX(ChartOfAccounts!B229:B314,MATCH($B230,ChartOfAccounts!A229:A314,0)),"")</f>
        <v/>
      </c>
      <c r="N230" t="str">
        <f>IFERROR(INDEX(ChartOfAccounts!D:D,MATCH($B230,ChartOfAccounts!A229:A314,0)),"")</f>
        <v/>
      </c>
      <c r="O230" t="str">
        <f>IFERROR(INDEX(ChartOfAccounts!F:F,MATCH($B230,ChartOfAccounts!A229:A314,0)),"")</f>
        <v/>
      </c>
      <c r="P230" t="str" cm="1">
        <f t="array" ref="P230">IFERROR(INDEX(PreparerInfo!B229:B241,MATCH($D230&amp;$C230,PreparerInfo!A229:A241&amp;PreparerInfo!C229:C241,0)),"")</f>
        <v/>
      </c>
      <c r="Q230" t="str">
        <f>IFERROR(INDEX(Source!B229:B237,MATCH('Case 4 solution'!E230,Source!A229:A237,0)),"")</f>
        <v/>
      </c>
    </row>
    <row r="231" spans="1:17" x14ac:dyDescent="0.3">
      <c r="A231" s="3">
        <v>2033634</v>
      </c>
      <c r="B231">
        <v>11845</v>
      </c>
      <c r="C231">
        <v>4</v>
      </c>
      <c r="D231" s="9">
        <v>105</v>
      </c>
      <c r="E231">
        <v>1004</v>
      </c>
      <c r="F231" s="1">
        <v>44005</v>
      </c>
      <c r="G231" t="s">
        <v>54</v>
      </c>
      <c r="H231" s="4" t="s">
        <v>16</v>
      </c>
      <c r="I231" s="4">
        <v>-1722.74</v>
      </c>
      <c r="J231" s="4">
        <v>-1722.74</v>
      </c>
      <c r="K231" t="str">
        <f>IFERROR(INDEX(BusinessUnits!$B:$B,MATCH($C231,BusinessUnits!$A:$A,0)),"")</f>
        <v>HOUSEKEEPING</v>
      </c>
      <c r="L231" t="str">
        <f>IFERROR(INDEX(Table1[[#All],[Description]],MATCH($C231,BusinessUnits!$A:$A,0)),"")</f>
        <v xml:space="preserve">Transactions related to the Housekeeping Department. Primarily includes payroll for housekeepers and housekeeping supplies. </v>
      </c>
      <c r="M231" t="str">
        <f>IFERROR(INDEX(ChartOfAccounts!B230:B315,MATCH($B231,ChartOfAccounts!A230:A315,0)),"")</f>
        <v/>
      </c>
      <c r="N231" t="str">
        <f>IFERROR(INDEX(ChartOfAccounts!D:D,MATCH($B231,ChartOfAccounts!A230:A315,0)),"")</f>
        <v/>
      </c>
      <c r="O231" t="str">
        <f>IFERROR(INDEX(ChartOfAccounts!F:F,MATCH($B231,ChartOfAccounts!A230:A315,0)),"")</f>
        <v/>
      </c>
      <c r="P231" t="str" cm="1">
        <f t="array" ref="P231">IFERROR(INDEX(PreparerInfo!B230:B242,MATCH($D231&amp;$C231,PreparerInfo!A230:A242&amp;PreparerInfo!C230:C242,0)),"")</f>
        <v/>
      </c>
      <c r="Q231" t="str">
        <f>IFERROR(INDEX(Source!B230:B238,MATCH('Case 4 solution'!E231,Source!A230:A238,0)),"")</f>
        <v/>
      </c>
    </row>
    <row r="232" spans="1:17" x14ac:dyDescent="0.3">
      <c r="A232" s="3">
        <v>2033635</v>
      </c>
      <c r="B232">
        <v>51120</v>
      </c>
      <c r="C232">
        <v>6</v>
      </c>
      <c r="D232" s="9">
        <v>105</v>
      </c>
      <c r="E232">
        <v>1004</v>
      </c>
      <c r="F232" s="1">
        <v>44005</v>
      </c>
      <c r="G232" t="s">
        <v>60</v>
      </c>
      <c r="H232" s="4">
        <v>2187.36</v>
      </c>
      <c r="I232" s="4" t="s">
        <v>16</v>
      </c>
      <c r="J232" s="4">
        <v>2187.36</v>
      </c>
      <c r="K232" t="str">
        <f>IFERROR(INDEX(BusinessUnits!$B:$B,MATCH($C232,BusinessUnits!$A:$A,0)),"")</f>
        <v>MAINTENANCE</v>
      </c>
      <c r="L232" t="str">
        <f>IFERROR(INDEX(Table1[[#All],[Description]],MATCH($C232,BusinessUnits!$A:$A,0)),"")</f>
        <v>Transactions related to the hotel Maintenance Department. Primarily includes payroll for maintenance, grounds keepers and related supplies.</v>
      </c>
      <c r="M232" t="str">
        <f>IFERROR(INDEX(ChartOfAccounts!B231:B316,MATCH($B232,ChartOfAccounts!A231:A316,0)),"")</f>
        <v/>
      </c>
      <c r="N232" t="str">
        <f>IFERROR(INDEX(ChartOfAccounts!D:D,MATCH($B232,ChartOfAccounts!A231:A316,0)),"")</f>
        <v/>
      </c>
      <c r="O232" t="str">
        <f>IFERROR(INDEX(ChartOfAccounts!F:F,MATCH($B232,ChartOfAccounts!A231:A316,0)),"")</f>
        <v/>
      </c>
      <c r="P232" t="str" cm="1">
        <f t="array" ref="P232">IFERROR(INDEX(PreparerInfo!B231:B243,MATCH($D232&amp;$C232,PreparerInfo!A231:A243&amp;PreparerInfo!C231:C243,0)),"")</f>
        <v/>
      </c>
      <c r="Q232" t="str">
        <f>IFERROR(INDEX(Source!B231:B239,MATCH('Case 4 solution'!E232,Source!A231:A239,0)),"")</f>
        <v/>
      </c>
    </row>
    <row r="233" spans="1:17" x14ac:dyDescent="0.3">
      <c r="A233" s="3">
        <v>2033635</v>
      </c>
      <c r="B233">
        <v>11845</v>
      </c>
      <c r="C233">
        <v>6</v>
      </c>
      <c r="D233" s="9">
        <v>105</v>
      </c>
      <c r="E233">
        <v>1004</v>
      </c>
      <c r="F233" s="1">
        <v>44005</v>
      </c>
      <c r="G233" t="s">
        <v>60</v>
      </c>
      <c r="H233" s="4" t="s">
        <v>16</v>
      </c>
      <c r="I233" s="4">
        <v>-2187.36</v>
      </c>
      <c r="J233" s="4">
        <v>-2187.36</v>
      </c>
      <c r="K233" t="str">
        <f>IFERROR(INDEX(BusinessUnits!$B:$B,MATCH($C233,BusinessUnits!$A:$A,0)),"")</f>
        <v>MAINTENANCE</v>
      </c>
      <c r="L233" t="str">
        <f>IFERROR(INDEX(Table1[[#All],[Description]],MATCH($C233,BusinessUnits!$A:$A,0)),"")</f>
        <v>Transactions related to the hotel Maintenance Department. Primarily includes payroll for maintenance, grounds keepers and related supplies.</v>
      </c>
      <c r="M233" t="str">
        <f>IFERROR(INDEX(ChartOfAccounts!B232:B317,MATCH($B233,ChartOfAccounts!A232:A317,0)),"")</f>
        <v/>
      </c>
      <c r="N233" t="str">
        <f>IFERROR(INDEX(ChartOfAccounts!D:D,MATCH($B233,ChartOfAccounts!A232:A317,0)),"")</f>
        <v/>
      </c>
      <c r="O233" t="str">
        <f>IFERROR(INDEX(ChartOfAccounts!F:F,MATCH($B233,ChartOfAccounts!A232:A317,0)),"")</f>
        <v/>
      </c>
      <c r="P233" t="str" cm="1">
        <f t="array" ref="P233">IFERROR(INDEX(PreparerInfo!B232:B244,MATCH($D233&amp;$C233,PreparerInfo!A232:A244&amp;PreparerInfo!C232:C244,0)),"")</f>
        <v/>
      </c>
      <c r="Q233" t="str">
        <f>IFERROR(INDEX(Source!B232:B240,MATCH('Case 4 solution'!E233,Source!A232:A240,0)),"")</f>
        <v/>
      </c>
    </row>
    <row r="234" spans="1:17" x14ac:dyDescent="0.3">
      <c r="A234" s="3">
        <v>2033636</v>
      </c>
      <c r="B234">
        <v>11845</v>
      </c>
      <c r="C234">
        <v>1</v>
      </c>
      <c r="D234" s="9">
        <v>102</v>
      </c>
      <c r="E234">
        <v>1003</v>
      </c>
      <c r="F234" s="1">
        <v>44005</v>
      </c>
      <c r="G234" t="s">
        <v>15</v>
      </c>
      <c r="H234" s="4">
        <v>2219.14</v>
      </c>
      <c r="I234" s="4" t="s">
        <v>16</v>
      </c>
      <c r="J234" s="4">
        <v>2219.14</v>
      </c>
      <c r="K234" t="str">
        <f>IFERROR(INDEX(BusinessUnits!$B:$B,MATCH($C234,BusinessUnits!$A:$A,0)),"")</f>
        <v>FOOD SERVICE</v>
      </c>
      <c r="L234" t="str">
        <f>IFERROR(INDEX(Table1[[#All],[Description]],MATCH($C234,BusinessUnits!$A:$A,0)),"")</f>
        <v xml:space="preserve">Transactions related to food and beverage service. Includes all guest transactions in the hotel restaurants, catering-related transactions and food service payroll. </v>
      </c>
      <c r="M234" t="str">
        <f>IFERROR(INDEX(ChartOfAccounts!B233:B318,MATCH($B234,ChartOfAccounts!A233:A318,0)),"")</f>
        <v/>
      </c>
      <c r="N234" t="str">
        <f>IFERROR(INDEX(ChartOfAccounts!D:D,MATCH($B234,ChartOfAccounts!A233:A318,0)),"")</f>
        <v/>
      </c>
      <c r="O234" t="str">
        <f>IFERROR(INDEX(ChartOfAccounts!F:F,MATCH($B234,ChartOfAccounts!A233:A318,0)),"")</f>
        <v/>
      </c>
      <c r="P234" t="str" cm="1">
        <f t="array" ref="P234">IFERROR(INDEX(PreparerInfo!B233:B245,MATCH($D234&amp;$C234,PreparerInfo!A233:A245&amp;PreparerInfo!C233:C245,0)),"")</f>
        <v/>
      </c>
      <c r="Q234" t="str">
        <f>IFERROR(INDEX(Source!B233:B241,MATCH('Case 4 solution'!E234,Source!A233:A241,0)),"")</f>
        <v/>
      </c>
    </row>
    <row r="235" spans="1:17" x14ac:dyDescent="0.3">
      <c r="A235" s="3">
        <v>2033636</v>
      </c>
      <c r="B235">
        <v>43310</v>
      </c>
      <c r="C235">
        <v>1</v>
      </c>
      <c r="D235" s="9">
        <v>102</v>
      </c>
      <c r="E235">
        <v>1003</v>
      </c>
      <c r="F235" s="1">
        <v>44005</v>
      </c>
      <c r="G235" t="s">
        <v>15</v>
      </c>
      <c r="H235" s="4" t="s">
        <v>16</v>
      </c>
      <c r="I235" s="4">
        <v>-2219.14</v>
      </c>
      <c r="J235" s="4">
        <v>-2219.14</v>
      </c>
      <c r="K235" t="str">
        <f>IFERROR(INDEX(BusinessUnits!$B:$B,MATCH($C235,BusinessUnits!$A:$A,0)),"")</f>
        <v>FOOD SERVICE</v>
      </c>
      <c r="L235" t="str">
        <f>IFERROR(INDEX(Table1[[#All],[Description]],MATCH($C235,BusinessUnits!$A:$A,0)),"")</f>
        <v xml:space="preserve">Transactions related to food and beverage service. Includes all guest transactions in the hotel restaurants, catering-related transactions and food service payroll. </v>
      </c>
      <c r="M235" t="str">
        <f>IFERROR(INDEX(ChartOfAccounts!B234:B319,MATCH($B235,ChartOfAccounts!A234:A319,0)),"")</f>
        <v/>
      </c>
      <c r="N235" t="str">
        <f>IFERROR(INDEX(ChartOfAccounts!D:D,MATCH($B235,ChartOfAccounts!A234:A319,0)),"")</f>
        <v/>
      </c>
      <c r="O235" t="str">
        <f>IFERROR(INDEX(ChartOfAccounts!F:F,MATCH($B235,ChartOfAccounts!A234:A319,0)),"")</f>
        <v/>
      </c>
      <c r="P235" t="str" cm="1">
        <f t="array" ref="P235">IFERROR(INDEX(PreparerInfo!B234:B246,MATCH($D235&amp;$C235,PreparerInfo!A234:A246&amp;PreparerInfo!C234:C246,0)),"")</f>
        <v/>
      </c>
      <c r="Q235" t="str">
        <f>IFERROR(INDEX(Source!B234:B242,MATCH('Case 4 solution'!E235,Source!A234:A242,0)),"")</f>
        <v/>
      </c>
    </row>
    <row r="236" spans="1:17" x14ac:dyDescent="0.3">
      <c r="A236" s="3">
        <v>2033637</v>
      </c>
      <c r="B236">
        <v>51120</v>
      </c>
      <c r="C236">
        <v>6</v>
      </c>
      <c r="D236" s="9">
        <v>105</v>
      </c>
      <c r="E236">
        <v>1005</v>
      </c>
      <c r="F236" s="1">
        <v>44005</v>
      </c>
      <c r="G236" t="s">
        <v>189</v>
      </c>
      <c r="H236" s="4">
        <v>2405.92</v>
      </c>
      <c r="I236" s="4" t="s">
        <v>16</v>
      </c>
      <c r="J236" s="4">
        <v>2405.92</v>
      </c>
      <c r="K236" t="str">
        <f>IFERROR(INDEX(BusinessUnits!$B:$B,MATCH($C236,BusinessUnits!$A:$A,0)),"")</f>
        <v>MAINTENANCE</v>
      </c>
      <c r="L236" t="str">
        <f>IFERROR(INDEX(Table1[[#All],[Description]],MATCH($C236,BusinessUnits!$A:$A,0)),"")</f>
        <v>Transactions related to the hotel Maintenance Department. Primarily includes payroll for maintenance, grounds keepers and related supplies.</v>
      </c>
      <c r="M236" t="str">
        <f>IFERROR(INDEX(ChartOfAccounts!B235:B320,MATCH($B236,ChartOfAccounts!A235:A320,0)),"")</f>
        <v/>
      </c>
      <c r="N236" t="str">
        <f>IFERROR(INDEX(ChartOfAccounts!D:D,MATCH($B236,ChartOfAccounts!A235:A320,0)),"")</f>
        <v/>
      </c>
      <c r="O236" t="str">
        <f>IFERROR(INDEX(ChartOfAccounts!F:F,MATCH($B236,ChartOfAccounts!A235:A320,0)),"")</f>
        <v/>
      </c>
      <c r="P236" t="str" cm="1">
        <f t="array" ref="P236">IFERROR(INDEX(PreparerInfo!B235:B247,MATCH($D236&amp;$C236,PreparerInfo!A235:A247&amp;PreparerInfo!C235:C247,0)),"")</f>
        <v/>
      </c>
      <c r="Q236" t="str">
        <f>IFERROR(INDEX(Source!B235:B243,MATCH('Case 4 solution'!E236,Source!A235:A243,0)),"")</f>
        <v/>
      </c>
    </row>
    <row r="237" spans="1:17" x14ac:dyDescent="0.3">
      <c r="A237" s="3">
        <v>2033637</v>
      </c>
      <c r="B237">
        <v>11845</v>
      </c>
      <c r="C237">
        <v>6</v>
      </c>
      <c r="D237" s="9">
        <v>105</v>
      </c>
      <c r="E237">
        <v>1005</v>
      </c>
      <c r="F237" s="1">
        <v>44005</v>
      </c>
      <c r="G237" t="s">
        <v>189</v>
      </c>
      <c r="H237" s="4" t="s">
        <v>16</v>
      </c>
      <c r="I237" s="4">
        <v>-2405.92</v>
      </c>
      <c r="J237" s="4">
        <v>-2405.92</v>
      </c>
      <c r="K237" t="str">
        <f>IFERROR(INDEX(BusinessUnits!$B:$B,MATCH($C237,BusinessUnits!$A:$A,0)),"")</f>
        <v>MAINTENANCE</v>
      </c>
      <c r="L237" t="str">
        <f>IFERROR(INDEX(Table1[[#All],[Description]],MATCH($C237,BusinessUnits!$A:$A,0)),"")</f>
        <v>Transactions related to the hotel Maintenance Department. Primarily includes payroll for maintenance, grounds keepers and related supplies.</v>
      </c>
      <c r="M237" t="str">
        <f>IFERROR(INDEX(ChartOfAccounts!B236:B321,MATCH($B237,ChartOfAccounts!A236:A321,0)),"")</f>
        <v/>
      </c>
      <c r="N237" t="str">
        <f>IFERROR(INDEX(ChartOfAccounts!D:D,MATCH($B237,ChartOfAccounts!A236:A321,0)),"")</f>
        <v/>
      </c>
      <c r="O237" t="str">
        <f>IFERROR(INDEX(ChartOfAccounts!F:F,MATCH($B237,ChartOfAccounts!A236:A321,0)),"")</f>
        <v/>
      </c>
      <c r="P237" t="str" cm="1">
        <f t="array" ref="P237">IFERROR(INDEX(PreparerInfo!B236:B248,MATCH($D237&amp;$C237,PreparerInfo!A236:A248&amp;PreparerInfo!C236:C248,0)),"")</f>
        <v/>
      </c>
      <c r="Q237" t="str">
        <f>IFERROR(INDEX(Source!B236:B244,MATCH('Case 4 solution'!E237,Source!A236:A244,0)),"")</f>
        <v/>
      </c>
    </row>
    <row r="238" spans="1:17" x14ac:dyDescent="0.3">
      <c r="A238" s="3">
        <v>2033638</v>
      </c>
      <c r="B238">
        <v>71400</v>
      </c>
      <c r="C238">
        <v>1</v>
      </c>
      <c r="D238" s="9">
        <v>102</v>
      </c>
      <c r="E238">
        <v>1002</v>
      </c>
      <c r="F238" s="1">
        <v>44005</v>
      </c>
      <c r="G238" t="s">
        <v>134</v>
      </c>
      <c r="H238" s="4">
        <v>2436</v>
      </c>
      <c r="I238" s="4" t="s">
        <v>16</v>
      </c>
      <c r="J238" s="4">
        <v>2436</v>
      </c>
      <c r="K238" t="str">
        <f>IFERROR(INDEX(BusinessUnits!$B:$B,MATCH($C238,BusinessUnits!$A:$A,0)),"")</f>
        <v>FOOD SERVICE</v>
      </c>
      <c r="L238" t="str">
        <f>IFERROR(INDEX(Table1[[#All],[Description]],MATCH($C238,BusinessUnits!$A:$A,0)),"")</f>
        <v xml:space="preserve">Transactions related to food and beverage service. Includes all guest transactions in the hotel restaurants, catering-related transactions and food service payroll. </v>
      </c>
      <c r="M238" t="str">
        <f>IFERROR(INDEX(ChartOfAccounts!B237:B322,MATCH($B238,ChartOfAccounts!A237:A322,0)),"")</f>
        <v/>
      </c>
      <c r="N238" t="str">
        <f>IFERROR(INDEX(ChartOfAccounts!D:D,MATCH($B238,ChartOfAccounts!A237:A322,0)),"")</f>
        <v/>
      </c>
      <c r="O238" t="str">
        <f>IFERROR(INDEX(ChartOfAccounts!F:F,MATCH($B238,ChartOfAccounts!A237:A322,0)),"")</f>
        <v/>
      </c>
      <c r="P238" t="str" cm="1">
        <f t="array" ref="P238">IFERROR(INDEX(PreparerInfo!B237:B249,MATCH($D238&amp;$C238,PreparerInfo!A237:A249&amp;PreparerInfo!C237:C249,0)),"")</f>
        <v/>
      </c>
      <c r="Q238" t="str">
        <f>IFERROR(INDEX(Source!B237:B245,MATCH('Case 4 solution'!E238,Source!A237:A245,0)),"")</f>
        <v/>
      </c>
    </row>
    <row r="239" spans="1:17" x14ac:dyDescent="0.3">
      <c r="A239" s="3">
        <v>2033638</v>
      </c>
      <c r="B239">
        <v>11845</v>
      </c>
      <c r="C239">
        <v>1</v>
      </c>
      <c r="D239" s="9">
        <v>102</v>
      </c>
      <c r="E239">
        <v>1002</v>
      </c>
      <c r="F239" s="1">
        <v>44005</v>
      </c>
      <c r="G239" t="s">
        <v>134</v>
      </c>
      <c r="H239" s="4" t="s">
        <v>16</v>
      </c>
      <c r="I239" s="4">
        <v>-2436</v>
      </c>
      <c r="J239" s="4">
        <v>-2436</v>
      </c>
      <c r="K239" t="str">
        <f>IFERROR(INDEX(BusinessUnits!$B:$B,MATCH($C239,BusinessUnits!$A:$A,0)),"")</f>
        <v>FOOD SERVICE</v>
      </c>
      <c r="L239" t="str">
        <f>IFERROR(INDEX(Table1[[#All],[Description]],MATCH($C239,BusinessUnits!$A:$A,0)),"")</f>
        <v xml:space="preserve">Transactions related to food and beverage service. Includes all guest transactions in the hotel restaurants, catering-related transactions and food service payroll. </v>
      </c>
      <c r="M239" t="str">
        <f>IFERROR(INDEX(ChartOfAccounts!B238:B323,MATCH($B239,ChartOfAccounts!A238:A323,0)),"")</f>
        <v/>
      </c>
      <c r="N239" t="str">
        <f>IFERROR(INDEX(ChartOfAccounts!D:D,MATCH($B239,ChartOfAccounts!A238:A323,0)),"")</f>
        <v/>
      </c>
      <c r="O239" t="str">
        <f>IFERROR(INDEX(ChartOfAccounts!F:F,MATCH($B239,ChartOfAccounts!A238:A323,0)),"")</f>
        <v/>
      </c>
      <c r="P239" t="str" cm="1">
        <f t="array" ref="P239">IFERROR(INDEX(PreparerInfo!B238:B250,MATCH($D239&amp;$C239,PreparerInfo!A238:A250&amp;PreparerInfo!C238:C250,0)),"")</f>
        <v/>
      </c>
      <c r="Q239" t="str">
        <f>IFERROR(INDEX(Source!B238:B246,MATCH('Case 4 solution'!E239,Source!A238:A246,0)),"")</f>
        <v/>
      </c>
    </row>
    <row r="240" spans="1:17" x14ac:dyDescent="0.3">
      <c r="A240" s="3">
        <v>2033639</v>
      </c>
      <c r="B240">
        <v>51510</v>
      </c>
      <c r="C240">
        <v>1</v>
      </c>
      <c r="D240" s="9">
        <v>105</v>
      </c>
      <c r="E240">
        <v>1006</v>
      </c>
      <c r="F240" s="1">
        <v>44005</v>
      </c>
      <c r="G240" t="s">
        <v>62</v>
      </c>
      <c r="H240" s="4">
        <v>2481.11</v>
      </c>
      <c r="I240" s="4" t="s">
        <v>16</v>
      </c>
      <c r="J240" s="4">
        <v>2481.11</v>
      </c>
      <c r="K240" t="str">
        <f>IFERROR(INDEX(BusinessUnits!$B:$B,MATCH($C240,BusinessUnits!$A:$A,0)),"")</f>
        <v>FOOD SERVICE</v>
      </c>
      <c r="L240" t="str">
        <f>IFERROR(INDEX(Table1[[#All],[Description]],MATCH($C240,BusinessUnits!$A:$A,0)),"")</f>
        <v xml:space="preserve">Transactions related to food and beverage service. Includes all guest transactions in the hotel restaurants, catering-related transactions and food service payroll. </v>
      </c>
      <c r="M240" t="str">
        <f>IFERROR(INDEX(ChartOfAccounts!B239:B324,MATCH($B240,ChartOfAccounts!A239:A324,0)),"")</f>
        <v/>
      </c>
      <c r="N240" t="str">
        <f>IFERROR(INDEX(ChartOfAccounts!D:D,MATCH($B240,ChartOfAccounts!A239:A324,0)),"")</f>
        <v/>
      </c>
      <c r="O240" t="str">
        <f>IFERROR(INDEX(ChartOfAccounts!F:F,MATCH($B240,ChartOfAccounts!A239:A324,0)),"")</f>
        <v/>
      </c>
      <c r="P240" t="str" cm="1">
        <f t="array" ref="P240">IFERROR(INDEX(PreparerInfo!B239:B251,MATCH($D240&amp;$C240,PreparerInfo!A239:A251&amp;PreparerInfo!C239:C251,0)),"")</f>
        <v/>
      </c>
      <c r="Q240" t="str">
        <f>IFERROR(INDEX(Source!B239:B247,MATCH('Case 4 solution'!E240,Source!A239:A247,0)),"")</f>
        <v/>
      </c>
    </row>
    <row r="241" spans="1:17" x14ac:dyDescent="0.3">
      <c r="A241" s="3">
        <v>2033639</v>
      </c>
      <c r="B241">
        <v>22110</v>
      </c>
      <c r="C241">
        <v>1</v>
      </c>
      <c r="D241" s="9">
        <v>105</v>
      </c>
      <c r="E241">
        <v>1006</v>
      </c>
      <c r="F241" s="1">
        <v>44005</v>
      </c>
      <c r="G241" t="s">
        <v>62</v>
      </c>
      <c r="H241" s="4" t="s">
        <v>16</v>
      </c>
      <c r="I241" s="4">
        <v>-2481.11</v>
      </c>
      <c r="J241" s="4">
        <v>-2481.11</v>
      </c>
      <c r="K241" t="str">
        <f>IFERROR(INDEX(BusinessUnits!$B:$B,MATCH($C241,BusinessUnits!$A:$A,0)),"")</f>
        <v>FOOD SERVICE</v>
      </c>
      <c r="L241" t="str">
        <f>IFERROR(INDEX(Table1[[#All],[Description]],MATCH($C241,BusinessUnits!$A:$A,0)),"")</f>
        <v xml:space="preserve">Transactions related to food and beverage service. Includes all guest transactions in the hotel restaurants, catering-related transactions and food service payroll. </v>
      </c>
      <c r="M241" t="str">
        <f>IFERROR(INDEX(ChartOfAccounts!B240:B325,MATCH($B241,ChartOfAccounts!A240:A325,0)),"")</f>
        <v/>
      </c>
      <c r="N241" t="str">
        <f>IFERROR(INDEX(ChartOfAccounts!D:D,MATCH($B241,ChartOfAccounts!A240:A325,0)),"")</f>
        <v/>
      </c>
      <c r="O241" t="str">
        <f>IFERROR(INDEX(ChartOfAccounts!F:F,MATCH($B241,ChartOfAccounts!A240:A325,0)),"")</f>
        <v/>
      </c>
      <c r="P241" t="str" cm="1">
        <f t="array" ref="P241">IFERROR(INDEX(PreparerInfo!B240:B252,MATCH($D241&amp;$C241,PreparerInfo!A240:A252&amp;PreparerInfo!C240:C252,0)),"")</f>
        <v/>
      </c>
      <c r="Q241" t="str">
        <f>IFERROR(INDEX(Source!B240:B248,MATCH('Case 4 solution'!E241,Source!A240:A248,0)),"")</f>
        <v/>
      </c>
    </row>
    <row r="242" spans="1:17" x14ac:dyDescent="0.3">
      <c r="A242" s="3">
        <v>2033640</v>
      </c>
      <c r="B242">
        <v>51120</v>
      </c>
      <c r="C242">
        <v>2</v>
      </c>
      <c r="D242" s="9">
        <v>105</v>
      </c>
      <c r="E242">
        <v>1004</v>
      </c>
      <c r="F242" s="1">
        <v>44005</v>
      </c>
      <c r="G242" t="s">
        <v>60</v>
      </c>
      <c r="H242" s="4">
        <v>2901.53</v>
      </c>
      <c r="I242" s="4" t="s">
        <v>16</v>
      </c>
      <c r="J242" s="4">
        <v>2901.53</v>
      </c>
      <c r="K242" t="str">
        <f>IFERROR(INDEX(BusinessUnits!$B:$B,MATCH($C242,BusinessUnits!$A:$A,0)),"")</f>
        <v>HOTEL</v>
      </c>
      <c r="L242" t="str">
        <f>IFERROR(INDEX(Table1[[#All],[Description]],MATCH($C242,BusinessUnits!$A:$A,0)),"")</f>
        <v xml:space="preserve">Transactions related to guest rooms and overall hotel operations. Includes payroll for administrative staff, clerks and interns. </v>
      </c>
      <c r="M242" t="str">
        <f>IFERROR(INDEX(ChartOfAccounts!B241:B326,MATCH($B242,ChartOfAccounts!A241:A326,0)),"")</f>
        <v/>
      </c>
      <c r="N242" t="str">
        <f>IFERROR(INDEX(ChartOfAccounts!D:D,MATCH($B242,ChartOfAccounts!A241:A326,0)),"")</f>
        <v/>
      </c>
      <c r="O242" t="str">
        <f>IFERROR(INDEX(ChartOfAccounts!F:F,MATCH($B242,ChartOfAccounts!A241:A326,0)),"")</f>
        <v/>
      </c>
      <c r="P242" t="str" cm="1">
        <f t="array" ref="P242">IFERROR(INDEX(PreparerInfo!B241:B253,MATCH($D242&amp;$C242,PreparerInfo!A241:A253&amp;PreparerInfo!C241:C253,0)),"")</f>
        <v/>
      </c>
      <c r="Q242" t="str">
        <f>IFERROR(INDEX(Source!B241:B249,MATCH('Case 4 solution'!E242,Source!A241:A249,0)),"")</f>
        <v/>
      </c>
    </row>
    <row r="243" spans="1:17" x14ac:dyDescent="0.3">
      <c r="A243" s="3">
        <v>2033640</v>
      </c>
      <c r="B243">
        <v>11845</v>
      </c>
      <c r="C243">
        <v>2</v>
      </c>
      <c r="D243" s="9">
        <v>105</v>
      </c>
      <c r="E243">
        <v>1004</v>
      </c>
      <c r="F243" s="1">
        <v>44005</v>
      </c>
      <c r="G243" t="s">
        <v>60</v>
      </c>
      <c r="H243" s="4" t="s">
        <v>16</v>
      </c>
      <c r="I243" s="4">
        <v>-2901.53</v>
      </c>
      <c r="J243" s="4">
        <v>-2901.53</v>
      </c>
      <c r="K243" t="str">
        <f>IFERROR(INDEX(BusinessUnits!$B:$B,MATCH($C243,BusinessUnits!$A:$A,0)),"")</f>
        <v>HOTEL</v>
      </c>
      <c r="L243" t="str">
        <f>IFERROR(INDEX(Table1[[#All],[Description]],MATCH($C243,BusinessUnits!$A:$A,0)),"")</f>
        <v xml:space="preserve">Transactions related to guest rooms and overall hotel operations. Includes payroll for administrative staff, clerks and interns. </v>
      </c>
      <c r="M243" t="str">
        <f>IFERROR(INDEX(ChartOfAccounts!B242:B327,MATCH($B243,ChartOfAccounts!A242:A327,0)),"")</f>
        <v/>
      </c>
      <c r="N243" t="str">
        <f>IFERROR(INDEX(ChartOfAccounts!D:D,MATCH($B243,ChartOfAccounts!A242:A327,0)),"")</f>
        <v/>
      </c>
      <c r="O243" t="str">
        <f>IFERROR(INDEX(ChartOfAccounts!F:F,MATCH($B243,ChartOfAccounts!A242:A327,0)),"")</f>
        <v/>
      </c>
      <c r="P243" t="str" cm="1">
        <f t="array" ref="P243">IFERROR(INDEX(PreparerInfo!B242:B254,MATCH($D243&amp;$C243,PreparerInfo!A242:A254&amp;PreparerInfo!C242:C254,0)),"")</f>
        <v/>
      </c>
      <c r="Q243" t="str">
        <f>IFERROR(INDEX(Source!B242:B250,MATCH('Case 4 solution'!E243,Source!A242:A250,0)),"")</f>
        <v/>
      </c>
    </row>
    <row r="244" spans="1:17" x14ac:dyDescent="0.3">
      <c r="A244" s="3">
        <v>2033641</v>
      </c>
      <c r="B244">
        <v>11845</v>
      </c>
      <c r="C244">
        <v>1</v>
      </c>
      <c r="D244" s="9">
        <v>106</v>
      </c>
      <c r="E244">
        <v>1003</v>
      </c>
      <c r="F244" s="1">
        <v>44005</v>
      </c>
      <c r="G244" t="s">
        <v>80</v>
      </c>
      <c r="H244" s="4">
        <v>3155.58</v>
      </c>
      <c r="I244" s="4" t="s">
        <v>16</v>
      </c>
      <c r="J244" s="4">
        <v>3155.58</v>
      </c>
      <c r="K244" t="str">
        <f>IFERROR(INDEX(BusinessUnits!$B:$B,MATCH($C244,BusinessUnits!$A:$A,0)),"")</f>
        <v>FOOD SERVICE</v>
      </c>
      <c r="L244" t="str">
        <f>IFERROR(INDEX(Table1[[#All],[Description]],MATCH($C244,BusinessUnits!$A:$A,0)),"")</f>
        <v xml:space="preserve">Transactions related to food and beverage service. Includes all guest transactions in the hotel restaurants, catering-related transactions and food service payroll. </v>
      </c>
      <c r="M244" t="str">
        <f>IFERROR(INDEX(ChartOfAccounts!B243:B328,MATCH($B244,ChartOfAccounts!A243:A328,0)),"")</f>
        <v/>
      </c>
      <c r="N244" t="str">
        <f>IFERROR(INDEX(ChartOfAccounts!D:D,MATCH($B244,ChartOfAccounts!A243:A328,0)),"")</f>
        <v/>
      </c>
      <c r="O244" t="str">
        <f>IFERROR(INDEX(ChartOfAccounts!F:F,MATCH($B244,ChartOfAccounts!A243:A328,0)),"")</f>
        <v/>
      </c>
      <c r="P244" t="str" cm="1">
        <f t="array" ref="P244">IFERROR(INDEX(PreparerInfo!B243:B255,MATCH($D244&amp;$C244,PreparerInfo!A243:A255&amp;PreparerInfo!C243:C255,0)),"")</f>
        <v/>
      </c>
      <c r="Q244" t="str">
        <f>IFERROR(INDEX(Source!B243:B251,MATCH('Case 4 solution'!E244,Source!A243:A251,0)),"")</f>
        <v/>
      </c>
    </row>
    <row r="245" spans="1:17" x14ac:dyDescent="0.3">
      <c r="A245" s="3">
        <v>2033641</v>
      </c>
      <c r="B245">
        <v>43310</v>
      </c>
      <c r="C245">
        <v>1</v>
      </c>
      <c r="D245" s="9">
        <v>106</v>
      </c>
      <c r="E245">
        <v>1003</v>
      </c>
      <c r="F245" s="1">
        <v>44005</v>
      </c>
      <c r="G245" t="s">
        <v>80</v>
      </c>
      <c r="H245" s="4" t="s">
        <v>16</v>
      </c>
      <c r="I245" s="4">
        <v>-3155.58</v>
      </c>
      <c r="J245" s="4">
        <v>-3155.58</v>
      </c>
      <c r="K245" t="str">
        <f>IFERROR(INDEX(BusinessUnits!$B:$B,MATCH($C245,BusinessUnits!$A:$A,0)),"")</f>
        <v>FOOD SERVICE</v>
      </c>
      <c r="L245" t="str">
        <f>IFERROR(INDEX(Table1[[#All],[Description]],MATCH($C245,BusinessUnits!$A:$A,0)),"")</f>
        <v xml:space="preserve">Transactions related to food and beverage service. Includes all guest transactions in the hotel restaurants, catering-related transactions and food service payroll. </v>
      </c>
      <c r="M245" t="str">
        <f>IFERROR(INDEX(ChartOfAccounts!B244:B329,MATCH($B245,ChartOfAccounts!A244:A329,0)),"")</f>
        <v/>
      </c>
      <c r="N245" t="str">
        <f>IFERROR(INDEX(ChartOfAccounts!D:D,MATCH($B245,ChartOfAccounts!A244:A329,0)),"")</f>
        <v/>
      </c>
      <c r="O245" t="str">
        <f>IFERROR(INDEX(ChartOfAccounts!F:F,MATCH($B245,ChartOfAccounts!A244:A329,0)),"")</f>
        <v/>
      </c>
      <c r="P245" t="str" cm="1">
        <f t="array" ref="P245">IFERROR(INDEX(PreparerInfo!B244:B256,MATCH($D245&amp;$C245,PreparerInfo!A244:A256&amp;PreparerInfo!C244:C256,0)),"")</f>
        <v/>
      </c>
      <c r="Q245" t="str">
        <f>IFERROR(INDEX(Source!B244:B252,MATCH('Case 4 solution'!E245,Source!A244:A252,0)),"")</f>
        <v/>
      </c>
    </row>
    <row r="246" spans="1:17" x14ac:dyDescent="0.3">
      <c r="A246" s="3">
        <v>2033642</v>
      </c>
      <c r="B246">
        <v>51120</v>
      </c>
      <c r="C246">
        <v>2</v>
      </c>
      <c r="D246" s="9">
        <v>105</v>
      </c>
      <c r="E246">
        <v>1005</v>
      </c>
      <c r="F246" s="1">
        <v>44005</v>
      </c>
      <c r="G246" t="s">
        <v>188</v>
      </c>
      <c r="H246" s="4">
        <v>5459.3</v>
      </c>
      <c r="I246" s="4" t="s">
        <v>16</v>
      </c>
      <c r="J246" s="4">
        <v>5459.3</v>
      </c>
      <c r="K246" t="str">
        <f>IFERROR(INDEX(BusinessUnits!$B:$B,MATCH($C246,BusinessUnits!$A:$A,0)),"")</f>
        <v>HOTEL</v>
      </c>
      <c r="L246" t="str">
        <f>IFERROR(INDEX(Table1[[#All],[Description]],MATCH($C246,BusinessUnits!$A:$A,0)),"")</f>
        <v xml:space="preserve">Transactions related to guest rooms and overall hotel operations. Includes payroll for administrative staff, clerks and interns. </v>
      </c>
      <c r="M246" t="str">
        <f>IFERROR(INDEX(ChartOfAccounts!B245:B330,MATCH($B246,ChartOfAccounts!A245:A330,0)),"")</f>
        <v/>
      </c>
      <c r="N246" t="str">
        <f>IFERROR(INDEX(ChartOfAccounts!D:D,MATCH($B246,ChartOfAccounts!A245:A330,0)),"")</f>
        <v/>
      </c>
      <c r="O246" t="str">
        <f>IFERROR(INDEX(ChartOfAccounts!F:F,MATCH($B246,ChartOfAccounts!A245:A330,0)),"")</f>
        <v/>
      </c>
      <c r="P246" t="str" cm="1">
        <f t="array" ref="P246">IFERROR(INDEX(PreparerInfo!B245:B257,MATCH($D246&amp;$C246,PreparerInfo!A245:A257&amp;PreparerInfo!C245:C257,0)),"")</f>
        <v/>
      </c>
      <c r="Q246" t="str">
        <f>IFERROR(INDEX(Source!B245:B253,MATCH('Case 4 solution'!E246,Source!A245:A253,0)),"")</f>
        <v/>
      </c>
    </row>
    <row r="247" spans="1:17" x14ac:dyDescent="0.3">
      <c r="A247" s="3">
        <v>2033642</v>
      </c>
      <c r="B247">
        <v>11845</v>
      </c>
      <c r="C247">
        <v>2</v>
      </c>
      <c r="D247" s="9">
        <v>105</v>
      </c>
      <c r="E247">
        <v>1005</v>
      </c>
      <c r="F247" s="1">
        <v>44005</v>
      </c>
      <c r="G247" t="s">
        <v>188</v>
      </c>
      <c r="H247" s="4" t="s">
        <v>16</v>
      </c>
      <c r="I247" s="4">
        <v>-5459.3</v>
      </c>
      <c r="J247" s="4">
        <v>-5459.3</v>
      </c>
      <c r="K247" t="str">
        <f>IFERROR(INDEX(BusinessUnits!$B:$B,MATCH($C247,BusinessUnits!$A:$A,0)),"")</f>
        <v>HOTEL</v>
      </c>
      <c r="L247" t="str">
        <f>IFERROR(INDEX(Table1[[#All],[Description]],MATCH($C247,BusinessUnits!$A:$A,0)),"")</f>
        <v xml:space="preserve">Transactions related to guest rooms and overall hotel operations. Includes payroll for administrative staff, clerks and interns. </v>
      </c>
      <c r="M247" t="str">
        <f>IFERROR(INDEX(ChartOfAccounts!B246:B331,MATCH($B247,ChartOfAccounts!A246:A331,0)),"")</f>
        <v/>
      </c>
      <c r="N247" t="str">
        <f>IFERROR(INDEX(ChartOfAccounts!D:D,MATCH($B247,ChartOfAccounts!A246:A331,0)),"")</f>
        <v/>
      </c>
      <c r="O247" t="str">
        <f>IFERROR(INDEX(ChartOfAccounts!F:F,MATCH($B247,ChartOfAccounts!A246:A331,0)),"")</f>
        <v/>
      </c>
      <c r="P247" t="str" cm="1">
        <f t="array" ref="P247">IFERROR(INDEX(PreparerInfo!B246:B258,MATCH($D247&amp;$C247,PreparerInfo!A246:A258&amp;PreparerInfo!C246:C258,0)),"")</f>
        <v/>
      </c>
      <c r="Q247" t="str">
        <f>IFERROR(INDEX(Source!B246:B254,MATCH('Case 4 solution'!E247,Source!A246:A254,0)),"")</f>
        <v/>
      </c>
    </row>
    <row r="248" spans="1:17" x14ac:dyDescent="0.3">
      <c r="A248" s="3">
        <v>2033643</v>
      </c>
      <c r="B248">
        <v>51130</v>
      </c>
      <c r="C248">
        <v>2</v>
      </c>
      <c r="D248" s="9">
        <v>105</v>
      </c>
      <c r="E248">
        <v>1005</v>
      </c>
      <c r="F248" s="1">
        <v>44005</v>
      </c>
      <c r="G248" t="s">
        <v>143</v>
      </c>
      <c r="H248" s="4">
        <v>5874.63</v>
      </c>
      <c r="I248" s="4" t="s">
        <v>16</v>
      </c>
      <c r="J248" s="4">
        <v>5874.63</v>
      </c>
      <c r="K248" t="str">
        <f>IFERROR(INDEX(BusinessUnits!$B:$B,MATCH($C248,BusinessUnits!$A:$A,0)),"")</f>
        <v>HOTEL</v>
      </c>
      <c r="L248" t="str">
        <f>IFERROR(INDEX(Table1[[#All],[Description]],MATCH($C248,BusinessUnits!$A:$A,0)),"")</f>
        <v xml:space="preserve">Transactions related to guest rooms and overall hotel operations. Includes payroll for administrative staff, clerks and interns. </v>
      </c>
      <c r="M248" t="str">
        <f>IFERROR(INDEX(ChartOfAccounts!B247:B332,MATCH($B248,ChartOfAccounts!A247:A332,0)),"")</f>
        <v/>
      </c>
      <c r="N248" t="str">
        <f>IFERROR(INDEX(ChartOfAccounts!D:D,MATCH($B248,ChartOfAccounts!A247:A332,0)),"")</f>
        <v/>
      </c>
      <c r="O248" t="str">
        <f>IFERROR(INDEX(ChartOfAccounts!F:F,MATCH($B248,ChartOfAccounts!A247:A332,0)),"")</f>
        <v/>
      </c>
      <c r="P248" t="str" cm="1">
        <f t="array" ref="P248">IFERROR(INDEX(PreparerInfo!B247:B259,MATCH($D248&amp;$C248,PreparerInfo!A247:A259&amp;PreparerInfo!C247:C259,0)),"")</f>
        <v/>
      </c>
      <c r="Q248" t="str">
        <f>IFERROR(INDEX(Source!B247:B255,MATCH('Case 4 solution'!E248,Source!A247:A255,0)),"")</f>
        <v/>
      </c>
    </row>
    <row r="249" spans="1:17" x14ac:dyDescent="0.3">
      <c r="A249" s="3">
        <v>2033643</v>
      </c>
      <c r="B249">
        <v>11845</v>
      </c>
      <c r="C249">
        <v>2</v>
      </c>
      <c r="D249" s="9">
        <v>105</v>
      </c>
      <c r="E249">
        <v>1005</v>
      </c>
      <c r="F249" s="1">
        <v>44005</v>
      </c>
      <c r="G249" t="s">
        <v>143</v>
      </c>
      <c r="H249" s="4" t="s">
        <v>16</v>
      </c>
      <c r="I249" s="4">
        <v>-5874.63</v>
      </c>
      <c r="J249" s="4">
        <v>-5874.63</v>
      </c>
      <c r="K249" t="str">
        <f>IFERROR(INDEX(BusinessUnits!$B:$B,MATCH($C249,BusinessUnits!$A:$A,0)),"")</f>
        <v>HOTEL</v>
      </c>
      <c r="L249" t="str">
        <f>IFERROR(INDEX(Table1[[#All],[Description]],MATCH($C249,BusinessUnits!$A:$A,0)),"")</f>
        <v xml:space="preserve">Transactions related to guest rooms and overall hotel operations. Includes payroll for administrative staff, clerks and interns. </v>
      </c>
      <c r="M249" t="str">
        <f>IFERROR(INDEX(ChartOfAccounts!B248:B333,MATCH($B249,ChartOfAccounts!A248:A333,0)),"")</f>
        <v/>
      </c>
      <c r="N249" t="str">
        <f>IFERROR(INDEX(ChartOfAccounts!D:D,MATCH($B249,ChartOfAccounts!A248:A333,0)),"")</f>
        <v/>
      </c>
      <c r="O249" t="str">
        <f>IFERROR(INDEX(ChartOfAccounts!F:F,MATCH($B249,ChartOfAccounts!A248:A333,0)),"")</f>
        <v/>
      </c>
      <c r="P249" t="str" cm="1">
        <f t="array" ref="P249">IFERROR(INDEX(PreparerInfo!B248:B260,MATCH($D249&amp;$C249,PreparerInfo!A248:A260&amp;PreparerInfo!C248:C260,0)),"")</f>
        <v/>
      </c>
      <c r="Q249" t="str">
        <f>IFERROR(INDEX(Source!B248:B256,MATCH('Case 4 solution'!E249,Source!A248:A256,0)),"")</f>
        <v/>
      </c>
    </row>
    <row r="250" spans="1:17" x14ac:dyDescent="0.3">
      <c r="A250" s="3">
        <v>2033644</v>
      </c>
      <c r="B250">
        <v>51200</v>
      </c>
      <c r="C250">
        <v>2</v>
      </c>
      <c r="D250" s="9">
        <v>105</v>
      </c>
      <c r="E250">
        <v>1005</v>
      </c>
      <c r="F250" s="1">
        <v>44005</v>
      </c>
      <c r="G250" t="s">
        <v>152</v>
      </c>
      <c r="H250" s="4">
        <v>5874.63</v>
      </c>
      <c r="I250" s="4" t="s">
        <v>16</v>
      </c>
      <c r="J250" s="4">
        <v>5874.63</v>
      </c>
      <c r="K250" t="str">
        <f>IFERROR(INDEX(BusinessUnits!$B:$B,MATCH($C250,BusinessUnits!$A:$A,0)),"")</f>
        <v>HOTEL</v>
      </c>
      <c r="L250" t="str">
        <f>IFERROR(INDEX(Table1[[#All],[Description]],MATCH($C250,BusinessUnits!$A:$A,0)),"")</f>
        <v xml:space="preserve">Transactions related to guest rooms and overall hotel operations. Includes payroll for administrative staff, clerks and interns. </v>
      </c>
      <c r="M250" t="str">
        <f>IFERROR(INDEX(ChartOfAccounts!B249:B334,MATCH($B250,ChartOfAccounts!A249:A334,0)),"")</f>
        <v/>
      </c>
      <c r="N250" t="str">
        <f>IFERROR(INDEX(ChartOfAccounts!D:D,MATCH($B250,ChartOfAccounts!A249:A334,0)),"")</f>
        <v/>
      </c>
      <c r="O250" t="str">
        <f>IFERROR(INDEX(ChartOfAccounts!F:F,MATCH($B250,ChartOfAccounts!A249:A334,0)),"")</f>
        <v/>
      </c>
      <c r="P250" t="str" cm="1">
        <f t="array" ref="P250">IFERROR(INDEX(PreparerInfo!B249:B261,MATCH($D250&amp;$C250,PreparerInfo!A249:A261&amp;PreparerInfo!C249:C261,0)),"")</f>
        <v/>
      </c>
      <c r="Q250" t="str">
        <f>IFERROR(INDEX(Source!B249:B257,MATCH('Case 4 solution'!E250,Source!A249:A257,0)),"")</f>
        <v/>
      </c>
    </row>
    <row r="251" spans="1:17" x14ac:dyDescent="0.3">
      <c r="A251" s="3">
        <v>2033644</v>
      </c>
      <c r="B251">
        <v>11845</v>
      </c>
      <c r="C251">
        <v>2</v>
      </c>
      <c r="D251" s="9">
        <v>105</v>
      </c>
      <c r="E251">
        <v>1005</v>
      </c>
      <c r="F251" s="1">
        <v>44005</v>
      </c>
      <c r="G251" t="s">
        <v>152</v>
      </c>
      <c r="H251" s="4" t="s">
        <v>16</v>
      </c>
      <c r="I251" s="4">
        <v>-5874.63</v>
      </c>
      <c r="J251" s="4">
        <v>-5874.63</v>
      </c>
      <c r="K251" t="str">
        <f>IFERROR(INDEX(BusinessUnits!$B:$B,MATCH($C251,BusinessUnits!$A:$A,0)),"")</f>
        <v>HOTEL</v>
      </c>
      <c r="L251" t="str">
        <f>IFERROR(INDEX(Table1[[#All],[Description]],MATCH($C251,BusinessUnits!$A:$A,0)),"")</f>
        <v xml:space="preserve">Transactions related to guest rooms and overall hotel operations. Includes payroll for administrative staff, clerks and interns. </v>
      </c>
      <c r="M251" t="str">
        <f>IFERROR(INDEX(ChartOfAccounts!B250:B335,MATCH($B251,ChartOfAccounts!A250:A335,0)),"")</f>
        <v/>
      </c>
      <c r="N251" t="str">
        <f>IFERROR(INDEX(ChartOfAccounts!D:D,MATCH($B251,ChartOfAccounts!A250:A335,0)),"")</f>
        <v/>
      </c>
      <c r="O251" t="str">
        <f>IFERROR(INDEX(ChartOfAccounts!F:F,MATCH($B251,ChartOfAccounts!A250:A335,0)),"")</f>
        <v/>
      </c>
      <c r="P251" t="str" cm="1">
        <f t="array" ref="P251">IFERROR(INDEX(PreparerInfo!B250:B262,MATCH($D251&amp;$C251,PreparerInfo!A250:A262&amp;PreparerInfo!C250:C262,0)),"")</f>
        <v/>
      </c>
      <c r="Q251" t="str">
        <f>IFERROR(INDEX(Source!B250:B258,MATCH('Case 4 solution'!E251,Source!A250:A258,0)),"")</f>
        <v/>
      </c>
    </row>
    <row r="252" spans="1:17" x14ac:dyDescent="0.3">
      <c r="A252" s="3">
        <v>2033645</v>
      </c>
      <c r="B252">
        <v>11845</v>
      </c>
      <c r="C252">
        <v>2</v>
      </c>
      <c r="D252" s="9">
        <v>106</v>
      </c>
      <c r="E252">
        <v>1003</v>
      </c>
      <c r="F252" s="1">
        <v>44005</v>
      </c>
      <c r="G252" t="s">
        <v>81</v>
      </c>
      <c r="H252" s="4">
        <v>5908</v>
      </c>
      <c r="I252" s="4" t="s">
        <v>16</v>
      </c>
      <c r="J252" s="4">
        <v>5908</v>
      </c>
      <c r="K252" t="str">
        <f>IFERROR(INDEX(BusinessUnits!$B:$B,MATCH($C252,BusinessUnits!$A:$A,0)),"")</f>
        <v>HOTEL</v>
      </c>
      <c r="L252" t="str">
        <f>IFERROR(INDEX(Table1[[#All],[Description]],MATCH($C252,BusinessUnits!$A:$A,0)),"")</f>
        <v xml:space="preserve">Transactions related to guest rooms and overall hotel operations. Includes payroll for administrative staff, clerks and interns. </v>
      </c>
      <c r="M252" t="str">
        <f>IFERROR(INDEX(ChartOfAccounts!B251:B336,MATCH($B252,ChartOfAccounts!A251:A336,0)),"")</f>
        <v/>
      </c>
      <c r="N252" t="str">
        <f>IFERROR(INDEX(ChartOfAccounts!D:D,MATCH($B252,ChartOfAccounts!A251:A336,0)),"")</f>
        <v/>
      </c>
      <c r="O252" t="str">
        <f>IFERROR(INDEX(ChartOfAccounts!F:F,MATCH($B252,ChartOfAccounts!A251:A336,0)),"")</f>
        <v/>
      </c>
      <c r="P252" t="str" cm="1">
        <f t="array" ref="P252">IFERROR(INDEX(PreparerInfo!B251:B263,MATCH($D252&amp;$C252,PreparerInfo!A251:A263&amp;PreparerInfo!C251:C263,0)),"")</f>
        <v/>
      </c>
      <c r="Q252" t="str">
        <f>IFERROR(INDEX(Source!B251:B259,MATCH('Case 4 solution'!E252,Source!A251:A259,0)),"")</f>
        <v/>
      </c>
    </row>
    <row r="253" spans="1:17" x14ac:dyDescent="0.3">
      <c r="A253" s="3">
        <v>2033645</v>
      </c>
      <c r="B253">
        <v>43180</v>
      </c>
      <c r="C253">
        <v>2</v>
      </c>
      <c r="D253" s="9">
        <v>106</v>
      </c>
      <c r="E253">
        <v>1003</v>
      </c>
      <c r="F253" s="1">
        <v>44005</v>
      </c>
      <c r="G253" t="s">
        <v>81</v>
      </c>
      <c r="H253" s="4" t="s">
        <v>16</v>
      </c>
      <c r="I253" s="4">
        <v>-5908</v>
      </c>
      <c r="J253" s="4">
        <v>-5908</v>
      </c>
      <c r="K253" t="str">
        <f>IFERROR(INDEX(BusinessUnits!$B:$B,MATCH($C253,BusinessUnits!$A:$A,0)),"")</f>
        <v>HOTEL</v>
      </c>
      <c r="L253" t="str">
        <f>IFERROR(INDEX(Table1[[#All],[Description]],MATCH($C253,BusinessUnits!$A:$A,0)),"")</f>
        <v xml:space="preserve">Transactions related to guest rooms and overall hotel operations. Includes payroll for administrative staff, clerks and interns. </v>
      </c>
      <c r="M253" t="str">
        <f>IFERROR(INDEX(ChartOfAccounts!B252:B337,MATCH($B253,ChartOfAccounts!A252:A337,0)),"")</f>
        <v/>
      </c>
      <c r="N253" t="str">
        <f>IFERROR(INDEX(ChartOfAccounts!D:D,MATCH($B253,ChartOfAccounts!A252:A337,0)),"")</f>
        <v/>
      </c>
      <c r="O253" t="str">
        <f>IFERROR(INDEX(ChartOfAccounts!F:F,MATCH($B253,ChartOfAccounts!A252:A337,0)),"")</f>
        <v/>
      </c>
      <c r="P253" t="str" cm="1">
        <f t="array" ref="P253">IFERROR(INDEX(PreparerInfo!B252:B264,MATCH($D253&amp;$C253,PreparerInfo!A252:A264&amp;PreparerInfo!C252:C264,0)),"")</f>
        <v/>
      </c>
      <c r="Q253" t="str">
        <f>IFERROR(INDEX(Source!B252:B260,MATCH('Case 4 solution'!E253,Source!A252:A260,0)),"")</f>
        <v/>
      </c>
    </row>
    <row r="254" spans="1:17" x14ac:dyDescent="0.3">
      <c r="A254" s="3">
        <v>2033646</v>
      </c>
      <c r="B254">
        <v>11845</v>
      </c>
      <c r="C254">
        <v>2</v>
      </c>
      <c r="D254" s="9">
        <v>104</v>
      </c>
      <c r="E254">
        <v>1003</v>
      </c>
      <c r="F254" s="1">
        <v>44005</v>
      </c>
      <c r="G254" t="s">
        <v>15</v>
      </c>
      <c r="H254" s="4">
        <v>7000</v>
      </c>
      <c r="I254" s="4" t="s">
        <v>16</v>
      </c>
      <c r="J254" s="4">
        <v>7000</v>
      </c>
      <c r="K254" t="str">
        <f>IFERROR(INDEX(BusinessUnits!$B:$B,MATCH($C254,BusinessUnits!$A:$A,0)),"")</f>
        <v>HOTEL</v>
      </c>
      <c r="L254" t="str">
        <f>IFERROR(INDEX(Table1[[#All],[Description]],MATCH($C254,BusinessUnits!$A:$A,0)),"")</f>
        <v xml:space="preserve">Transactions related to guest rooms and overall hotel operations. Includes payroll for administrative staff, clerks and interns. </v>
      </c>
      <c r="M254" t="str">
        <f>IFERROR(INDEX(ChartOfAccounts!B253:B338,MATCH($B254,ChartOfAccounts!A253:A338,0)),"")</f>
        <v/>
      </c>
      <c r="N254" t="str">
        <f>IFERROR(INDEX(ChartOfAccounts!D:D,MATCH($B254,ChartOfAccounts!A253:A338,0)),"")</f>
        <v/>
      </c>
      <c r="O254" t="str">
        <f>IFERROR(INDEX(ChartOfAccounts!F:F,MATCH($B254,ChartOfAccounts!A253:A338,0)),"")</f>
        <v/>
      </c>
      <c r="P254" t="str" cm="1">
        <f t="array" ref="P254">IFERROR(INDEX(PreparerInfo!B253:B265,MATCH($D254&amp;$C254,PreparerInfo!A253:A265&amp;PreparerInfo!C253:C265,0)),"")</f>
        <v/>
      </c>
      <c r="Q254" t="str">
        <f>IFERROR(INDEX(Source!B253:B261,MATCH('Case 4 solution'!E254,Source!A253:A261,0)),"")</f>
        <v/>
      </c>
    </row>
    <row r="255" spans="1:17" x14ac:dyDescent="0.3">
      <c r="A255" s="3">
        <v>2033646</v>
      </c>
      <c r="B255">
        <v>43180</v>
      </c>
      <c r="C255">
        <v>2</v>
      </c>
      <c r="D255" s="9">
        <v>104</v>
      </c>
      <c r="E255">
        <v>1003</v>
      </c>
      <c r="F255" s="1">
        <v>44005</v>
      </c>
      <c r="G255" t="s">
        <v>15</v>
      </c>
      <c r="H255" s="4" t="s">
        <v>16</v>
      </c>
      <c r="I255" s="4">
        <v>-7000</v>
      </c>
      <c r="J255" s="4">
        <v>-7000</v>
      </c>
      <c r="K255" t="str">
        <f>IFERROR(INDEX(BusinessUnits!$B:$B,MATCH($C255,BusinessUnits!$A:$A,0)),"")</f>
        <v>HOTEL</v>
      </c>
      <c r="L255" t="str">
        <f>IFERROR(INDEX(Table1[[#All],[Description]],MATCH($C255,BusinessUnits!$A:$A,0)),"")</f>
        <v xml:space="preserve">Transactions related to guest rooms and overall hotel operations. Includes payroll for administrative staff, clerks and interns. </v>
      </c>
      <c r="M255" t="str">
        <f>IFERROR(INDEX(ChartOfAccounts!B254:B339,MATCH($B255,ChartOfAccounts!A254:A339,0)),"")</f>
        <v/>
      </c>
      <c r="N255" t="str">
        <f>IFERROR(INDEX(ChartOfAccounts!D:D,MATCH($B255,ChartOfAccounts!A254:A339,0)),"")</f>
        <v/>
      </c>
      <c r="O255" t="str">
        <f>IFERROR(INDEX(ChartOfAccounts!F:F,MATCH($B255,ChartOfAccounts!A254:A339,0)),"")</f>
        <v/>
      </c>
      <c r="P255" t="str" cm="1">
        <f t="array" ref="P255">IFERROR(INDEX(PreparerInfo!B254:B266,MATCH($D255&amp;$C255,PreparerInfo!A254:A266&amp;PreparerInfo!C254:C266,0)),"")</f>
        <v/>
      </c>
      <c r="Q255" t="str">
        <f>IFERROR(INDEX(Source!B254:B262,MATCH('Case 4 solution'!E255,Source!A254:A262,0)),"")</f>
        <v/>
      </c>
    </row>
    <row r="256" spans="1:17" x14ac:dyDescent="0.3">
      <c r="A256" s="3">
        <v>2033647</v>
      </c>
      <c r="B256">
        <v>51120</v>
      </c>
      <c r="C256">
        <v>4</v>
      </c>
      <c r="D256" s="9">
        <v>105</v>
      </c>
      <c r="E256">
        <v>1004</v>
      </c>
      <c r="F256" s="1">
        <v>44005</v>
      </c>
      <c r="G256" t="s">
        <v>60</v>
      </c>
      <c r="H256" s="4">
        <v>7370.02</v>
      </c>
      <c r="I256" s="4" t="s">
        <v>16</v>
      </c>
      <c r="J256" s="4">
        <v>7370.02</v>
      </c>
      <c r="K256" t="str">
        <f>IFERROR(INDEX(BusinessUnits!$B:$B,MATCH($C256,BusinessUnits!$A:$A,0)),"")</f>
        <v>HOUSEKEEPING</v>
      </c>
      <c r="L256" t="str">
        <f>IFERROR(INDEX(Table1[[#All],[Description]],MATCH($C256,BusinessUnits!$A:$A,0)),"")</f>
        <v xml:space="preserve">Transactions related to the Housekeeping Department. Primarily includes payroll for housekeepers and housekeeping supplies. </v>
      </c>
      <c r="M256" t="str">
        <f>IFERROR(INDEX(ChartOfAccounts!B255:B340,MATCH($B256,ChartOfAccounts!A255:A340,0)),"")</f>
        <v/>
      </c>
      <c r="N256" t="str">
        <f>IFERROR(INDEX(ChartOfAccounts!D:D,MATCH($B256,ChartOfAccounts!A255:A340,0)),"")</f>
        <v/>
      </c>
      <c r="O256" t="str">
        <f>IFERROR(INDEX(ChartOfAccounts!F:F,MATCH($B256,ChartOfAccounts!A255:A340,0)),"")</f>
        <v/>
      </c>
      <c r="P256" t="str" cm="1">
        <f t="array" ref="P256">IFERROR(INDEX(PreparerInfo!B255:B267,MATCH($D256&amp;$C256,PreparerInfo!A255:A267&amp;PreparerInfo!C255:C267,0)),"")</f>
        <v/>
      </c>
      <c r="Q256" t="str">
        <f>IFERROR(INDEX(Source!B255:B263,MATCH('Case 4 solution'!E256,Source!A255:A263,0)),"")</f>
        <v/>
      </c>
    </row>
    <row r="257" spans="1:17" x14ac:dyDescent="0.3">
      <c r="A257" s="3">
        <v>2033647</v>
      </c>
      <c r="B257">
        <v>11845</v>
      </c>
      <c r="C257">
        <v>4</v>
      </c>
      <c r="D257" s="9">
        <v>105</v>
      </c>
      <c r="E257">
        <v>1004</v>
      </c>
      <c r="F257" s="1">
        <v>44005</v>
      </c>
      <c r="G257" t="s">
        <v>60</v>
      </c>
      <c r="H257" s="4" t="s">
        <v>16</v>
      </c>
      <c r="I257" s="4">
        <v>-7370.02</v>
      </c>
      <c r="J257" s="4">
        <v>-7370.02</v>
      </c>
      <c r="K257" t="str">
        <f>IFERROR(INDEX(BusinessUnits!$B:$B,MATCH($C257,BusinessUnits!$A:$A,0)),"")</f>
        <v>HOUSEKEEPING</v>
      </c>
      <c r="L257" t="str">
        <f>IFERROR(INDEX(Table1[[#All],[Description]],MATCH($C257,BusinessUnits!$A:$A,0)),"")</f>
        <v xml:space="preserve">Transactions related to the Housekeeping Department. Primarily includes payroll for housekeepers and housekeeping supplies. </v>
      </c>
      <c r="M257" t="str">
        <f>IFERROR(INDEX(ChartOfAccounts!B256:B341,MATCH($B257,ChartOfAccounts!A256:A341,0)),"")</f>
        <v/>
      </c>
      <c r="N257" t="str">
        <f>IFERROR(INDEX(ChartOfAccounts!D:D,MATCH($B257,ChartOfAccounts!A256:A341,0)),"")</f>
        <v/>
      </c>
      <c r="O257" t="str">
        <f>IFERROR(INDEX(ChartOfAccounts!F:F,MATCH($B257,ChartOfAccounts!A256:A341,0)),"")</f>
        <v/>
      </c>
      <c r="P257" t="str" cm="1">
        <f t="array" ref="P257">IFERROR(INDEX(PreparerInfo!B256:B268,MATCH($D257&amp;$C257,PreparerInfo!A256:A268&amp;PreparerInfo!C256:C268,0)),"")</f>
        <v/>
      </c>
      <c r="Q257" t="str">
        <f>IFERROR(INDEX(Source!B256:B264,MATCH('Case 4 solution'!E257,Source!A256:A264,0)),"")</f>
        <v/>
      </c>
    </row>
    <row r="258" spans="1:17" x14ac:dyDescent="0.3">
      <c r="A258" s="3">
        <v>2033648</v>
      </c>
      <c r="B258">
        <v>51120</v>
      </c>
      <c r="C258">
        <v>4</v>
      </c>
      <c r="D258" s="9">
        <v>105</v>
      </c>
      <c r="E258">
        <v>1005</v>
      </c>
      <c r="F258" s="1">
        <v>44005</v>
      </c>
      <c r="G258" t="s">
        <v>188</v>
      </c>
      <c r="H258" s="4">
        <v>7880</v>
      </c>
      <c r="I258" s="4" t="s">
        <v>16</v>
      </c>
      <c r="J258" s="4">
        <v>7880</v>
      </c>
      <c r="K258" t="str">
        <f>IFERROR(INDEX(BusinessUnits!$B:$B,MATCH($C258,BusinessUnits!$A:$A,0)),"")</f>
        <v>HOUSEKEEPING</v>
      </c>
      <c r="L258" t="str">
        <f>IFERROR(INDEX(Table1[[#All],[Description]],MATCH($C258,BusinessUnits!$A:$A,0)),"")</f>
        <v xml:space="preserve">Transactions related to the Housekeeping Department. Primarily includes payroll for housekeepers and housekeeping supplies. </v>
      </c>
      <c r="M258" t="str">
        <f>IFERROR(INDEX(ChartOfAccounts!B257:B342,MATCH($B258,ChartOfAccounts!A257:A342,0)),"")</f>
        <v/>
      </c>
      <c r="N258" t="str">
        <f>IFERROR(INDEX(ChartOfAccounts!D:D,MATCH($B258,ChartOfAccounts!A257:A342,0)),"")</f>
        <v/>
      </c>
      <c r="O258" t="str">
        <f>IFERROR(INDEX(ChartOfAccounts!F:F,MATCH($B258,ChartOfAccounts!A257:A342,0)),"")</f>
        <v/>
      </c>
      <c r="P258" t="str" cm="1">
        <f t="array" ref="P258">IFERROR(INDEX(PreparerInfo!B257:B269,MATCH($D258&amp;$C258,PreparerInfo!A257:A269&amp;PreparerInfo!C257:C269,0)),"")</f>
        <v/>
      </c>
      <c r="Q258" t="str">
        <f>IFERROR(INDEX(Source!B257:B265,MATCH('Case 4 solution'!E258,Source!A257:A265,0)),"")</f>
        <v/>
      </c>
    </row>
    <row r="259" spans="1:17" x14ac:dyDescent="0.3">
      <c r="A259" s="3">
        <v>2033648</v>
      </c>
      <c r="B259">
        <v>11845</v>
      </c>
      <c r="C259">
        <v>4</v>
      </c>
      <c r="D259" s="9">
        <v>105</v>
      </c>
      <c r="E259">
        <v>1005</v>
      </c>
      <c r="F259" s="1">
        <v>44005</v>
      </c>
      <c r="G259" t="s">
        <v>188</v>
      </c>
      <c r="H259" s="4" t="s">
        <v>16</v>
      </c>
      <c r="I259" s="4">
        <v>-7880</v>
      </c>
      <c r="J259" s="4">
        <v>-7880</v>
      </c>
      <c r="K259" t="str">
        <f>IFERROR(INDEX(BusinessUnits!$B:$B,MATCH($C259,BusinessUnits!$A:$A,0)),"")</f>
        <v>HOUSEKEEPING</v>
      </c>
      <c r="L259" t="str">
        <f>IFERROR(INDEX(Table1[[#All],[Description]],MATCH($C259,BusinessUnits!$A:$A,0)),"")</f>
        <v xml:space="preserve">Transactions related to the Housekeeping Department. Primarily includes payroll for housekeepers and housekeeping supplies. </v>
      </c>
      <c r="M259" t="str">
        <f>IFERROR(INDEX(ChartOfAccounts!B258:B343,MATCH($B259,ChartOfAccounts!A258:A343,0)),"")</f>
        <v/>
      </c>
      <c r="N259" t="str">
        <f>IFERROR(INDEX(ChartOfAccounts!D:D,MATCH($B259,ChartOfAccounts!A258:A343,0)),"")</f>
        <v/>
      </c>
      <c r="O259" t="str">
        <f>IFERROR(INDEX(ChartOfAccounts!F:F,MATCH($B259,ChartOfAccounts!A258:A343,0)),"")</f>
        <v/>
      </c>
      <c r="P259" t="str" cm="1">
        <f t="array" ref="P259">IFERROR(INDEX(PreparerInfo!B258:B270,MATCH($D259&amp;$C259,PreparerInfo!A258:A270&amp;PreparerInfo!C258:C270,0)),"")</f>
        <v/>
      </c>
      <c r="Q259" t="str">
        <f>IFERROR(INDEX(Source!B258:B266,MATCH('Case 4 solution'!E259,Source!A258:A266,0)),"")</f>
        <v/>
      </c>
    </row>
    <row r="260" spans="1:17" x14ac:dyDescent="0.3">
      <c r="A260" s="3">
        <v>2033649</v>
      </c>
      <c r="B260">
        <v>51130</v>
      </c>
      <c r="C260">
        <v>4</v>
      </c>
      <c r="D260" s="9">
        <v>105</v>
      </c>
      <c r="E260">
        <v>1005</v>
      </c>
      <c r="F260" s="1">
        <v>44005</v>
      </c>
      <c r="G260" t="s">
        <v>143</v>
      </c>
      <c r="H260" s="4">
        <v>9525</v>
      </c>
      <c r="I260" s="4" t="s">
        <v>16</v>
      </c>
      <c r="J260" s="4">
        <v>9525</v>
      </c>
      <c r="K260" t="str">
        <f>IFERROR(INDEX(BusinessUnits!$B:$B,MATCH($C260,BusinessUnits!$A:$A,0)),"")</f>
        <v>HOUSEKEEPING</v>
      </c>
      <c r="L260" t="str">
        <f>IFERROR(INDEX(Table1[[#All],[Description]],MATCH($C260,BusinessUnits!$A:$A,0)),"")</f>
        <v xml:space="preserve">Transactions related to the Housekeeping Department. Primarily includes payroll for housekeepers and housekeeping supplies. </v>
      </c>
      <c r="M260" t="str">
        <f>IFERROR(INDEX(ChartOfAccounts!B259:B344,MATCH($B260,ChartOfAccounts!A259:A344,0)),"")</f>
        <v/>
      </c>
      <c r="N260" t="str">
        <f>IFERROR(INDEX(ChartOfAccounts!D:D,MATCH($B260,ChartOfAccounts!A259:A344,0)),"")</f>
        <v/>
      </c>
      <c r="O260" t="str">
        <f>IFERROR(INDEX(ChartOfAccounts!F:F,MATCH($B260,ChartOfAccounts!A259:A344,0)),"")</f>
        <v/>
      </c>
      <c r="P260" t="str" cm="1">
        <f t="array" ref="P260">IFERROR(INDEX(PreparerInfo!B259:B271,MATCH($D260&amp;$C260,PreparerInfo!A259:A271&amp;PreparerInfo!C259:C271,0)),"")</f>
        <v/>
      </c>
      <c r="Q260" t="str">
        <f>IFERROR(INDEX(Source!B259:B267,MATCH('Case 4 solution'!E260,Source!A259:A267,0)),"")</f>
        <v/>
      </c>
    </row>
    <row r="261" spans="1:17" x14ac:dyDescent="0.3">
      <c r="A261" s="3">
        <v>2033649</v>
      </c>
      <c r="B261">
        <v>11845</v>
      </c>
      <c r="C261">
        <v>4</v>
      </c>
      <c r="D261" s="9">
        <v>105</v>
      </c>
      <c r="E261">
        <v>1005</v>
      </c>
      <c r="F261" s="1">
        <v>44005</v>
      </c>
      <c r="G261" t="s">
        <v>143</v>
      </c>
      <c r="H261" s="4" t="s">
        <v>16</v>
      </c>
      <c r="I261" s="4">
        <v>-9525</v>
      </c>
      <c r="J261" s="4">
        <v>-9525</v>
      </c>
      <c r="K261" t="str">
        <f>IFERROR(INDEX(BusinessUnits!$B:$B,MATCH($C261,BusinessUnits!$A:$A,0)),"")</f>
        <v>HOUSEKEEPING</v>
      </c>
      <c r="L261" t="str">
        <f>IFERROR(INDEX(Table1[[#All],[Description]],MATCH($C261,BusinessUnits!$A:$A,0)),"")</f>
        <v xml:space="preserve">Transactions related to the Housekeeping Department. Primarily includes payroll for housekeepers and housekeeping supplies. </v>
      </c>
      <c r="M261" t="str">
        <f>IFERROR(INDEX(ChartOfAccounts!B260:B345,MATCH($B261,ChartOfAccounts!A260:A345,0)),"")</f>
        <v/>
      </c>
      <c r="N261" t="str">
        <f>IFERROR(INDEX(ChartOfAccounts!D:D,MATCH($B261,ChartOfAccounts!A260:A345,0)),"")</f>
        <v/>
      </c>
      <c r="O261" t="str">
        <f>IFERROR(INDEX(ChartOfAccounts!F:F,MATCH($B261,ChartOfAccounts!A260:A345,0)),"")</f>
        <v/>
      </c>
      <c r="P261" t="str" cm="1">
        <f t="array" ref="P261">IFERROR(INDEX(PreparerInfo!B260:B272,MATCH($D261&amp;$C261,PreparerInfo!A260:A272&amp;PreparerInfo!C260:C272,0)),"")</f>
        <v/>
      </c>
      <c r="Q261" t="str">
        <f>IFERROR(INDEX(Source!B260:B268,MATCH('Case 4 solution'!E261,Source!A260:A268,0)),"")</f>
        <v/>
      </c>
    </row>
    <row r="262" spans="1:17" x14ac:dyDescent="0.3">
      <c r="A262" s="3">
        <v>2033650</v>
      </c>
      <c r="B262">
        <v>11845</v>
      </c>
      <c r="C262">
        <v>2</v>
      </c>
      <c r="D262" s="9">
        <v>104</v>
      </c>
      <c r="E262">
        <v>1003</v>
      </c>
      <c r="F262" s="1">
        <v>44005</v>
      </c>
      <c r="G262" t="s">
        <v>15</v>
      </c>
      <c r="H262" s="4">
        <v>16000</v>
      </c>
      <c r="I262" s="4" t="s">
        <v>16</v>
      </c>
      <c r="J262" s="4">
        <v>16000</v>
      </c>
      <c r="K262" t="str">
        <f>IFERROR(INDEX(BusinessUnits!$B:$B,MATCH($C262,BusinessUnits!$A:$A,0)),"")</f>
        <v>HOTEL</v>
      </c>
      <c r="L262" t="str">
        <f>IFERROR(INDEX(Table1[[#All],[Description]],MATCH($C262,BusinessUnits!$A:$A,0)),"")</f>
        <v xml:space="preserve">Transactions related to guest rooms and overall hotel operations. Includes payroll for administrative staff, clerks and interns. </v>
      </c>
      <c r="M262" t="str">
        <f>IFERROR(INDEX(ChartOfAccounts!B261:B346,MATCH($B262,ChartOfAccounts!A261:A346,0)),"")</f>
        <v/>
      </c>
      <c r="N262" t="str">
        <f>IFERROR(INDEX(ChartOfAccounts!D:D,MATCH($B262,ChartOfAccounts!A261:A346,0)),"")</f>
        <v/>
      </c>
      <c r="O262" t="str">
        <f>IFERROR(INDEX(ChartOfAccounts!F:F,MATCH($B262,ChartOfAccounts!A261:A346,0)),"")</f>
        <v/>
      </c>
      <c r="P262" t="str" cm="1">
        <f t="array" ref="P262">IFERROR(INDEX(PreparerInfo!B261:B273,MATCH($D262&amp;$C262,PreparerInfo!A261:A273&amp;PreparerInfo!C261:C273,0)),"")</f>
        <v/>
      </c>
      <c r="Q262" t="str">
        <f>IFERROR(INDEX(Source!B261:B269,MATCH('Case 4 solution'!E262,Source!A261:A269,0)),"")</f>
        <v/>
      </c>
    </row>
    <row r="263" spans="1:17" x14ac:dyDescent="0.3">
      <c r="A263" s="3">
        <v>2033650</v>
      </c>
      <c r="B263">
        <v>43180</v>
      </c>
      <c r="C263">
        <v>2</v>
      </c>
      <c r="D263" s="9">
        <v>104</v>
      </c>
      <c r="E263">
        <v>1003</v>
      </c>
      <c r="F263" s="1">
        <v>44005</v>
      </c>
      <c r="G263" t="s">
        <v>15</v>
      </c>
      <c r="H263" s="4" t="s">
        <v>16</v>
      </c>
      <c r="I263" s="4">
        <v>-16000</v>
      </c>
      <c r="J263" s="4">
        <v>-16000</v>
      </c>
      <c r="K263" t="str">
        <f>IFERROR(INDEX(BusinessUnits!$B:$B,MATCH($C263,BusinessUnits!$A:$A,0)),"")</f>
        <v>HOTEL</v>
      </c>
      <c r="L263" t="str">
        <f>IFERROR(INDEX(Table1[[#All],[Description]],MATCH($C263,BusinessUnits!$A:$A,0)),"")</f>
        <v xml:space="preserve">Transactions related to guest rooms and overall hotel operations. Includes payroll for administrative staff, clerks and interns. </v>
      </c>
      <c r="M263" t="str">
        <f>IFERROR(INDEX(ChartOfAccounts!B262:B347,MATCH($B263,ChartOfAccounts!A262:A347,0)),"")</f>
        <v/>
      </c>
      <c r="N263" t="str">
        <f>IFERROR(INDEX(ChartOfAccounts!D:D,MATCH($B263,ChartOfAccounts!A262:A347,0)),"")</f>
        <v/>
      </c>
      <c r="O263" t="str">
        <f>IFERROR(INDEX(ChartOfAccounts!F:F,MATCH($B263,ChartOfAccounts!A262:A347,0)),"")</f>
        <v/>
      </c>
      <c r="P263" t="str" cm="1">
        <f t="array" ref="P263">IFERROR(INDEX(PreparerInfo!B262:B274,MATCH($D263&amp;$C263,PreparerInfo!A262:A274&amp;PreparerInfo!C262:C274,0)),"")</f>
        <v/>
      </c>
      <c r="Q263" t="str">
        <f>IFERROR(INDEX(Source!B262:B270,MATCH('Case 4 solution'!E263,Source!A262:A270,0)),"")</f>
        <v/>
      </c>
    </row>
    <row r="264" spans="1:17" x14ac:dyDescent="0.3">
      <c r="A264" s="3">
        <v>2033651</v>
      </c>
      <c r="B264">
        <v>51120</v>
      </c>
      <c r="C264">
        <v>1</v>
      </c>
      <c r="D264" s="9">
        <v>105</v>
      </c>
      <c r="E264">
        <v>1004</v>
      </c>
      <c r="F264" s="1">
        <v>44005</v>
      </c>
      <c r="G264" t="s">
        <v>60</v>
      </c>
      <c r="H264" s="4">
        <v>17386.89</v>
      </c>
      <c r="I264" s="4" t="s">
        <v>16</v>
      </c>
      <c r="J264" s="4">
        <v>17386.89</v>
      </c>
      <c r="K264" t="str">
        <f>IFERROR(INDEX(BusinessUnits!$B:$B,MATCH($C264,BusinessUnits!$A:$A,0)),"")</f>
        <v>FOOD SERVICE</v>
      </c>
      <c r="L264" t="str">
        <f>IFERROR(INDEX(Table1[[#All],[Description]],MATCH($C264,BusinessUnits!$A:$A,0)),"")</f>
        <v xml:space="preserve">Transactions related to food and beverage service. Includes all guest transactions in the hotel restaurants, catering-related transactions and food service payroll. </v>
      </c>
      <c r="M264" t="str">
        <f>IFERROR(INDEX(ChartOfAccounts!B263:B348,MATCH($B264,ChartOfAccounts!A263:A348,0)),"")</f>
        <v/>
      </c>
      <c r="N264" t="str">
        <f>IFERROR(INDEX(ChartOfAccounts!D:D,MATCH($B264,ChartOfAccounts!A263:A348,0)),"")</f>
        <v/>
      </c>
      <c r="O264" t="str">
        <f>IFERROR(INDEX(ChartOfAccounts!F:F,MATCH($B264,ChartOfAccounts!A263:A348,0)),"")</f>
        <v/>
      </c>
      <c r="P264" t="str" cm="1">
        <f t="array" ref="P264">IFERROR(INDEX(PreparerInfo!B263:B275,MATCH($D264&amp;$C264,PreparerInfo!A263:A275&amp;PreparerInfo!C263:C275,0)),"")</f>
        <v/>
      </c>
      <c r="Q264" t="str">
        <f>IFERROR(INDEX(Source!B263:B271,MATCH('Case 4 solution'!E264,Source!A263:A271,0)),"")</f>
        <v/>
      </c>
    </row>
    <row r="265" spans="1:17" x14ac:dyDescent="0.3">
      <c r="A265" s="3">
        <v>2033651</v>
      </c>
      <c r="B265">
        <v>11845</v>
      </c>
      <c r="C265">
        <v>1</v>
      </c>
      <c r="D265" s="9">
        <v>105</v>
      </c>
      <c r="E265">
        <v>1004</v>
      </c>
      <c r="F265" s="1">
        <v>44005</v>
      </c>
      <c r="G265" t="s">
        <v>60</v>
      </c>
      <c r="H265" s="4" t="s">
        <v>16</v>
      </c>
      <c r="I265" s="4">
        <v>-17386.89</v>
      </c>
      <c r="J265" s="4">
        <v>-17386.89</v>
      </c>
      <c r="K265" t="str">
        <f>IFERROR(INDEX(BusinessUnits!$B:$B,MATCH($C265,BusinessUnits!$A:$A,0)),"")</f>
        <v>FOOD SERVICE</v>
      </c>
      <c r="L265" t="str">
        <f>IFERROR(INDEX(Table1[[#All],[Description]],MATCH($C265,BusinessUnits!$A:$A,0)),"")</f>
        <v xml:space="preserve">Transactions related to food and beverage service. Includes all guest transactions in the hotel restaurants, catering-related transactions and food service payroll. </v>
      </c>
      <c r="M265" t="str">
        <f>IFERROR(INDEX(ChartOfAccounts!B264:B349,MATCH($B265,ChartOfAccounts!A264:A349,0)),"")</f>
        <v/>
      </c>
      <c r="N265" t="str">
        <f>IFERROR(INDEX(ChartOfAccounts!D:D,MATCH($B265,ChartOfAccounts!A264:A349,0)),"")</f>
        <v/>
      </c>
      <c r="O265" t="str">
        <f>IFERROR(INDEX(ChartOfAccounts!F:F,MATCH($B265,ChartOfAccounts!A264:A349,0)),"")</f>
        <v/>
      </c>
      <c r="P265" t="str" cm="1">
        <f t="array" ref="P265">IFERROR(INDEX(PreparerInfo!B264:B276,MATCH($D265&amp;$C265,PreparerInfo!A264:A276&amp;PreparerInfo!C264:C276,0)),"")</f>
        <v/>
      </c>
      <c r="Q265" t="str">
        <f>IFERROR(INDEX(Source!B264:B272,MATCH('Case 4 solution'!E265,Source!A264:A272,0)),"")</f>
        <v/>
      </c>
    </row>
    <row r="266" spans="1:17" x14ac:dyDescent="0.3">
      <c r="A266" s="3">
        <v>2033652</v>
      </c>
      <c r="B266">
        <v>51200</v>
      </c>
      <c r="C266">
        <v>1</v>
      </c>
      <c r="D266" s="9">
        <v>105</v>
      </c>
      <c r="E266">
        <v>1005</v>
      </c>
      <c r="F266" s="1">
        <v>44005</v>
      </c>
      <c r="G266" t="s">
        <v>153</v>
      </c>
      <c r="H266" s="4">
        <v>17730.47</v>
      </c>
      <c r="I266" s="4" t="s">
        <v>16</v>
      </c>
      <c r="J266" s="4">
        <v>17730.47</v>
      </c>
      <c r="K266" t="str">
        <f>IFERROR(INDEX(BusinessUnits!$B:$B,MATCH($C266,BusinessUnits!$A:$A,0)),"")</f>
        <v>FOOD SERVICE</v>
      </c>
      <c r="L266" t="str">
        <f>IFERROR(INDEX(Table1[[#All],[Description]],MATCH($C266,BusinessUnits!$A:$A,0)),"")</f>
        <v xml:space="preserve">Transactions related to food and beverage service. Includes all guest transactions in the hotel restaurants, catering-related transactions and food service payroll. </v>
      </c>
      <c r="M266" t="str">
        <f>IFERROR(INDEX(ChartOfAccounts!B265:B350,MATCH($B266,ChartOfAccounts!A265:A350,0)),"")</f>
        <v/>
      </c>
      <c r="N266" t="str">
        <f>IFERROR(INDEX(ChartOfAccounts!D:D,MATCH($B266,ChartOfAccounts!A265:A350,0)),"")</f>
        <v/>
      </c>
      <c r="O266" t="str">
        <f>IFERROR(INDEX(ChartOfAccounts!F:F,MATCH($B266,ChartOfAccounts!A265:A350,0)),"")</f>
        <v/>
      </c>
      <c r="P266" t="str" cm="1">
        <f t="array" ref="P266">IFERROR(INDEX(PreparerInfo!B265:B277,MATCH($D266&amp;$C266,PreparerInfo!A265:A277&amp;PreparerInfo!C265:C277,0)),"")</f>
        <v/>
      </c>
      <c r="Q266" t="str">
        <f>IFERROR(INDEX(Source!B265:B273,MATCH('Case 4 solution'!E266,Source!A265:A273,0)),"")</f>
        <v/>
      </c>
    </row>
    <row r="267" spans="1:17" x14ac:dyDescent="0.3">
      <c r="A267" s="3">
        <v>2033652</v>
      </c>
      <c r="B267">
        <v>11845</v>
      </c>
      <c r="C267">
        <v>1</v>
      </c>
      <c r="D267" s="9">
        <v>105</v>
      </c>
      <c r="E267">
        <v>1005</v>
      </c>
      <c r="F267" s="1">
        <v>44005</v>
      </c>
      <c r="G267" t="s">
        <v>153</v>
      </c>
      <c r="H267" s="4" t="s">
        <v>16</v>
      </c>
      <c r="I267" s="4">
        <v>-17730.47</v>
      </c>
      <c r="J267" s="4">
        <v>-17730.47</v>
      </c>
      <c r="K267" t="str">
        <f>IFERROR(INDEX(BusinessUnits!$B:$B,MATCH($C267,BusinessUnits!$A:$A,0)),"")</f>
        <v>FOOD SERVICE</v>
      </c>
      <c r="L267" t="str">
        <f>IFERROR(INDEX(Table1[[#All],[Description]],MATCH($C267,BusinessUnits!$A:$A,0)),"")</f>
        <v xml:space="preserve">Transactions related to food and beverage service. Includes all guest transactions in the hotel restaurants, catering-related transactions and food service payroll. </v>
      </c>
      <c r="M267" t="str">
        <f>IFERROR(INDEX(ChartOfAccounts!B266:B351,MATCH($B267,ChartOfAccounts!A266:A351,0)),"")</f>
        <v/>
      </c>
      <c r="N267" t="str">
        <f>IFERROR(INDEX(ChartOfAccounts!D:D,MATCH($B267,ChartOfAccounts!A266:A351,0)),"")</f>
        <v/>
      </c>
      <c r="O267" t="str">
        <f>IFERROR(INDEX(ChartOfAccounts!F:F,MATCH($B267,ChartOfAccounts!A266:A351,0)),"")</f>
        <v/>
      </c>
      <c r="P267" t="str" cm="1">
        <f t="array" ref="P267">IFERROR(INDEX(PreparerInfo!B266:B278,MATCH($D267&amp;$C267,PreparerInfo!A266:A278&amp;PreparerInfo!C266:C278,0)),"")</f>
        <v/>
      </c>
      <c r="Q267" t="str">
        <f>IFERROR(INDEX(Source!B266:B274,MATCH('Case 4 solution'!E267,Source!A266:A274,0)),"")</f>
        <v/>
      </c>
    </row>
    <row r="268" spans="1:17" x14ac:dyDescent="0.3">
      <c r="A268" s="3">
        <v>2033653</v>
      </c>
      <c r="B268">
        <v>51120</v>
      </c>
      <c r="C268">
        <v>1</v>
      </c>
      <c r="D268" s="9">
        <v>105</v>
      </c>
      <c r="E268">
        <v>1005</v>
      </c>
      <c r="F268" s="1">
        <v>44005</v>
      </c>
      <c r="G268" t="s">
        <v>190</v>
      </c>
      <c r="H268" s="4">
        <v>20808.8</v>
      </c>
      <c r="I268" s="4" t="s">
        <v>16</v>
      </c>
      <c r="J268" s="4">
        <v>20808.8</v>
      </c>
      <c r="K268" t="str">
        <f>IFERROR(INDEX(BusinessUnits!$B:$B,MATCH($C268,BusinessUnits!$A:$A,0)),"")</f>
        <v>FOOD SERVICE</v>
      </c>
      <c r="L268" t="str">
        <f>IFERROR(INDEX(Table1[[#All],[Description]],MATCH($C268,BusinessUnits!$A:$A,0)),"")</f>
        <v xml:space="preserve">Transactions related to food and beverage service. Includes all guest transactions in the hotel restaurants, catering-related transactions and food service payroll. </v>
      </c>
      <c r="M268" t="str">
        <f>IFERROR(INDEX(ChartOfAccounts!B267:B352,MATCH($B268,ChartOfAccounts!A267:A352,0)),"")</f>
        <v/>
      </c>
      <c r="N268" t="str">
        <f>IFERROR(INDEX(ChartOfAccounts!D:D,MATCH($B268,ChartOfAccounts!A267:A352,0)),"")</f>
        <v/>
      </c>
      <c r="O268" t="str">
        <f>IFERROR(INDEX(ChartOfAccounts!F:F,MATCH($B268,ChartOfAccounts!A267:A352,0)),"")</f>
        <v/>
      </c>
      <c r="P268" t="str" cm="1">
        <f t="array" ref="P268">IFERROR(INDEX(PreparerInfo!B267:B279,MATCH($D268&amp;$C268,PreparerInfo!A267:A279&amp;PreparerInfo!C267:C279,0)),"")</f>
        <v/>
      </c>
      <c r="Q268" t="str">
        <f>IFERROR(INDEX(Source!B267:B275,MATCH('Case 4 solution'!E268,Source!A267:A275,0)),"")</f>
        <v/>
      </c>
    </row>
    <row r="269" spans="1:17" x14ac:dyDescent="0.3">
      <c r="A269" s="3">
        <v>2033653</v>
      </c>
      <c r="B269">
        <v>11845</v>
      </c>
      <c r="C269">
        <v>1</v>
      </c>
      <c r="D269" s="9">
        <v>105</v>
      </c>
      <c r="E269">
        <v>1005</v>
      </c>
      <c r="F269" s="1">
        <v>44005</v>
      </c>
      <c r="G269" t="s">
        <v>190</v>
      </c>
      <c r="H269" s="4" t="s">
        <v>16</v>
      </c>
      <c r="I269" s="4">
        <v>-20808.8</v>
      </c>
      <c r="J269" s="4">
        <v>-20808.8</v>
      </c>
      <c r="K269" t="str">
        <f>IFERROR(INDEX(BusinessUnits!$B:$B,MATCH($C269,BusinessUnits!$A:$A,0)),"")</f>
        <v>FOOD SERVICE</v>
      </c>
      <c r="L269" t="str">
        <f>IFERROR(INDEX(Table1[[#All],[Description]],MATCH($C269,BusinessUnits!$A:$A,0)),"")</f>
        <v xml:space="preserve">Transactions related to food and beverage service. Includes all guest transactions in the hotel restaurants, catering-related transactions and food service payroll. </v>
      </c>
      <c r="M269" t="str">
        <f>IFERROR(INDEX(ChartOfAccounts!B268:B353,MATCH($B269,ChartOfAccounts!A268:A353,0)),"")</f>
        <v/>
      </c>
      <c r="N269" t="str">
        <f>IFERROR(INDEX(ChartOfAccounts!D:D,MATCH($B269,ChartOfAccounts!A268:A353,0)),"")</f>
        <v/>
      </c>
      <c r="O269" t="str">
        <f>IFERROR(INDEX(ChartOfAccounts!F:F,MATCH($B269,ChartOfAccounts!A268:A353,0)),"")</f>
        <v/>
      </c>
      <c r="P269" t="str" cm="1">
        <f t="array" ref="P269">IFERROR(INDEX(PreparerInfo!B268:B280,MATCH($D269&amp;$C269,PreparerInfo!A268:A280&amp;PreparerInfo!C268:C280,0)),"")</f>
        <v/>
      </c>
      <c r="Q269" t="str">
        <f>IFERROR(INDEX(Source!B268:B276,MATCH('Case 4 solution'!E269,Source!A268:A276,0)),"")</f>
        <v/>
      </c>
    </row>
    <row r="270" spans="1:17" x14ac:dyDescent="0.3">
      <c r="A270" s="3">
        <v>2033654</v>
      </c>
      <c r="B270">
        <v>51130</v>
      </c>
      <c r="C270">
        <v>1</v>
      </c>
      <c r="D270" s="9">
        <v>105</v>
      </c>
      <c r="E270">
        <v>1005</v>
      </c>
      <c r="F270" s="1">
        <v>44005</v>
      </c>
      <c r="G270" t="s">
        <v>144</v>
      </c>
      <c r="H270" s="4">
        <v>38894.58</v>
      </c>
      <c r="I270" s="4" t="s">
        <v>16</v>
      </c>
      <c r="J270" s="4">
        <v>38894.58</v>
      </c>
      <c r="K270" t="str">
        <f>IFERROR(INDEX(BusinessUnits!$B:$B,MATCH($C270,BusinessUnits!$A:$A,0)),"")</f>
        <v>FOOD SERVICE</v>
      </c>
      <c r="L270" t="str">
        <f>IFERROR(INDEX(Table1[[#All],[Description]],MATCH($C270,BusinessUnits!$A:$A,0)),"")</f>
        <v xml:space="preserve">Transactions related to food and beverage service. Includes all guest transactions in the hotel restaurants, catering-related transactions and food service payroll. </v>
      </c>
      <c r="M270" t="str">
        <f>IFERROR(INDEX(ChartOfAccounts!B269:B354,MATCH($B270,ChartOfAccounts!A269:A354,0)),"")</f>
        <v/>
      </c>
      <c r="N270" t="str">
        <f>IFERROR(INDEX(ChartOfAccounts!D:D,MATCH($B270,ChartOfAccounts!A269:A354,0)),"")</f>
        <v/>
      </c>
      <c r="O270" t="str">
        <f>IFERROR(INDEX(ChartOfAccounts!F:F,MATCH($B270,ChartOfAccounts!A269:A354,0)),"")</f>
        <v/>
      </c>
      <c r="P270" t="str" cm="1">
        <f t="array" ref="P270">IFERROR(INDEX(PreparerInfo!B269:B281,MATCH($D270&amp;$C270,PreparerInfo!A269:A281&amp;PreparerInfo!C269:C281,0)),"")</f>
        <v/>
      </c>
      <c r="Q270" t="str">
        <f>IFERROR(INDEX(Source!B269:B277,MATCH('Case 4 solution'!E270,Source!A269:A277,0)),"")</f>
        <v/>
      </c>
    </row>
    <row r="271" spans="1:17" x14ac:dyDescent="0.3">
      <c r="A271" s="3">
        <v>2033654</v>
      </c>
      <c r="B271">
        <v>11845</v>
      </c>
      <c r="C271">
        <v>1</v>
      </c>
      <c r="D271" s="9">
        <v>105</v>
      </c>
      <c r="E271">
        <v>1005</v>
      </c>
      <c r="F271" s="1">
        <v>44005</v>
      </c>
      <c r="G271" t="s">
        <v>144</v>
      </c>
      <c r="H271" s="4" t="s">
        <v>16</v>
      </c>
      <c r="I271" s="4">
        <v>-38894.58</v>
      </c>
      <c r="J271" s="4">
        <v>-38894.58</v>
      </c>
      <c r="K271" t="str">
        <f>IFERROR(INDEX(BusinessUnits!$B:$B,MATCH($C271,BusinessUnits!$A:$A,0)),"")</f>
        <v>FOOD SERVICE</v>
      </c>
      <c r="L271" t="str">
        <f>IFERROR(INDEX(Table1[[#All],[Description]],MATCH($C271,BusinessUnits!$A:$A,0)),"")</f>
        <v xml:space="preserve">Transactions related to food and beverage service. Includes all guest transactions in the hotel restaurants, catering-related transactions and food service payroll. </v>
      </c>
      <c r="M271" t="str">
        <f>IFERROR(INDEX(ChartOfAccounts!B270:B355,MATCH($B271,ChartOfAccounts!A270:A355,0)),"")</f>
        <v/>
      </c>
      <c r="N271" t="str">
        <f>IFERROR(INDEX(ChartOfAccounts!D:D,MATCH($B271,ChartOfAccounts!A270:A355,0)),"")</f>
        <v/>
      </c>
      <c r="O271" t="str">
        <f>IFERROR(INDEX(ChartOfAccounts!F:F,MATCH($B271,ChartOfAccounts!A270:A355,0)),"")</f>
        <v/>
      </c>
      <c r="P271" t="str" cm="1">
        <f t="array" ref="P271">IFERROR(INDEX(PreparerInfo!B270:B282,MATCH($D271&amp;$C271,PreparerInfo!A270:A282&amp;PreparerInfo!C270:C282,0)),"")</f>
        <v/>
      </c>
      <c r="Q271" t="str">
        <f>IFERROR(INDEX(Source!B270:B278,MATCH('Case 4 solution'!E271,Source!A270:A278,0)),"")</f>
        <v/>
      </c>
    </row>
    <row r="272" spans="1:17" x14ac:dyDescent="0.3">
      <c r="A272" s="3">
        <v>2033655</v>
      </c>
      <c r="B272">
        <v>71410</v>
      </c>
      <c r="C272">
        <v>1</v>
      </c>
      <c r="D272" s="9">
        <v>101</v>
      </c>
      <c r="E272">
        <v>1007</v>
      </c>
      <c r="F272" s="1">
        <v>44006</v>
      </c>
      <c r="G272" t="s">
        <v>86</v>
      </c>
      <c r="H272" s="4">
        <v>4.9800000000000004</v>
      </c>
      <c r="I272" s="4" t="s">
        <v>16</v>
      </c>
      <c r="J272" s="4">
        <v>4.9800000000000004</v>
      </c>
      <c r="K272" t="str">
        <f>IFERROR(INDEX(BusinessUnits!$B:$B,MATCH($C272,BusinessUnits!$A:$A,0)),"")</f>
        <v>FOOD SERVICE</v>
      </c>
      <c r="L272" t="str">
        <f>IFERROR(INDEX(Table1[[#All],[Description]],MATCH($C272,BusinessUnits!$A:$A,0)),"")</f>
        <v xml:space="preserve">Transactions related to food and beverage service. Includes all guest transactions in the hotel restaurants, catering-related transactions and food service payroll. </v>
      </c>
      <c r="M272" t="str">
        <f>IFERROR(INDEX(ChartOfAccounts!B271:B356,MATCH($B272,ChartOfAccounts!A271:A356,0)),"")</f>
        <v/>
      </c>
      <c r="N272" t="str">
        <f>IFERROR(INDEX(ChartOfAccounts!D:D,MATCH($B272,ChartOfAccounts!A271:A356,0)),"")</f>
        <v/>
      </c>
      <c r="O272" t="str">
        <f>IFERROR(INDEX(ChartOfAccounts!F:F,MATCH($B272,ChartOfAccounts!A271:A356,0)),"")</f>
        <v/>
      </c>
      <c r="P272" t="str" cm="1">
        <f t="array" ref="P272">IFERROR(INDEX(PreparerInfo!B271:B283,MATCH($D272&amp;$C272,PreparerInfo!A271:A283&amp;PreparerInfo!C271:C283,0)),"")</f>
        <v/>
      </c>
      <c r="Q272" t="str">
        <f>IFERROR(INDEX(Source!B271:B279,MATCH('Case 4 solution'!E272,Source!A271:A279,0)),"")</f>
        <v/>
      </c>
    </row>
    <row r="273" spans="1:17" x14ac:dyDescent="0.3">
      <c r="A273" s="3">
        <v>2033655</v>
      </c>
      <c r="B273">
        <v>11845</v>
      </c>
      <c r="C273">
        <v>1</v>
      </c>
      <c r="D273" s="9">
        <v>101</v>
      </c>
      <c r="E273">
        <v>1007</v>
      </c>
      <c r="F273" s="1">
        <v>44006</v>
      </c>
      <c r="G273" t="s">
        <v>86</v>
      </c>
      <c r="H273" s="4" t="s">
        <v>16</v>
      </c>
      <c r="I273" s="4">
        <v>-4.9800000000000004</v>
      </c>
      <c r="J273" s="4">
        <v>-4.9800000000000004</v>
      </c>
      <c r="K273" t="str">
        <f>IFERROR(INDEX(BusinessUnits!$B:$B,MATCH($C273,BusinessUnits!$A:$A,0)),"")</f>
        <v>FOOD SERVICE</v>
      </c>
      <c r="L273" t="str">
        <f>IFERROR(INDEX(Table1[[#All],[Description]],MATCH($C273,BusinessUnits!$A:$A,0)),"")</f>
        <v xml:space="preserve">Transactions related to food and beverage service. Includes all guest transactions in the hotel restaurants, catering-related transactions and food service payroll. </v>
      </c>
      <c r="M273" t="str">
        <f>IFERROR(INDEX(ChartOfAccounts!B272:B357,MATCH($B273,ChartOfAccounts!A272:A357,0)),"")</f>
        <v/>
      </c>
      <c r="N273" t="str">
        <f>IFERROR(INDEX(ChartOfAccounts!D:D,MATCH($B273,ChartOfAccounts!A272:A357,0)),"")</f>
        <v/>
      </c>
      <c r="O273" t="str">
        <f>IFERROR(INDEX(ChartOfAccounts!F:F,MATCH($B273,ChartOfAccounts!A272:A357,0)),"")</f>
        <v/>
      </c>
      <c r="P273" t="str" cm="1">
        <f t="array" ref="P273">IFERROR(INDEX(PreparerInfo!B272:B284,MATCH($D273&amp;$C273,PreparerInfo!A272:A284&amp;PreparerInfo!C272:C284,0)),"")</f>
        <v/>
      </c>
      <c r="Q273" t="str">
        <f>IFERROR(INDEX(Source!B272:B280,MATCH('Case 4 solution'!E273,Source!A272:A280,0)),"")</f>
        <v/>
      </c>
    </row>
    <row r="274" spans="1:17" x14ac:dyDescent="0.3">
      <c r="A274" s="3">
        <v>2033656</v>
      </c>
      <c r="B274">
        <v>14260</v>
      </c>
      <c r="C274">
        <v>1</v>
      </c>
      <c r="D274" s="9">
        <v>101</v>
      </c>
      <c r="E274">
        <v>1007</v>
      </c>
      <c r="F274" s="1">
        <v>44006</v>
      </c>
      <c r="G274" t="s">
        <v>127</v>
      </c>
      <c r="H274" s="4">
        <v>4.99</v>
      </c>
      <c r="I274" s="4" t="s">
        <v>16</v>
      </c>
      <c r="J274" s="4">
        <v>4.99</v>
      </c>
      <c r="K274" t="str">
        <f>IFERROR(INDEX(BusinessUnits!$B:$B,MATCH($C274,BusinessUnits!$A:$A,0)),"")</f>
        <v>FOOD SERVICE</v>
      </c>
      <c r="L274" t="str">
        <f>IFERROR(INDEX(Table1[[#All],[Description]],MATCH($C274,BusinessUnits!$A:$A,0)),"")</f>
        <v xml:space="preserve">Transactions related to food and beverage service. Includes all guest transactions in the hotel restaurants, catering-related transactions and food service payroll. </v>
      </c>
      <c r="M274" t="str">
        <f>IFERROR(INDEX(ChartOfAccounts!B273:B358,MATCH($B274,ChartOfAccounts!A273:A358,0)),"")</f>
        <v/>
      </c>
      <c r="N274" t="str">
        <f>IFERROR(INDEX(ChartOfAccounts!D:D,MATCH($B274,ChartOfAccounts!A273:A358,0)),"")</f>
        <v/>
      </c>
      <c r="O274" t="str">
        <f>IFERROR(INDEX(ChartOfAccounts!F:F,MATCH($B274,ChartOfAccounts!A273:A358,0)),"")</f>
        <v/>
      </c>
      <c r="P274" t="str" cm="1">
        <f t="array" ref="P274">IFERROR(INDEX(PreparerInfo!B273:B285,MATCH($D274&amp;$C274,PreparerInfo!A273:A285&amp;PreparerInfo!C273:C285,0)),"")</f>
        <v/>
      </c>
      <c r="Q274" t="str">
        <f>IFERROR(INDEX(Source!B273:B281,MATCH('Case 4 solution'!E274,Source!A273:A281,0)),"")</f>
        <v/>
      </c>
    </row>
    <row r="275" spans="1:17" x14ac:dyDescent="0.3">
      <c r="A275" s="3">
        <v>2033656</v>
      </c>
      <c r="B275">
        <v>11845</v>
      </c>
      <c r="C275">
        <v>1</v>
      </c>
      <c r="D275" s="9">
        <v>101</v>
      </c>
      <c r="E275">
        <v>1007</v>
      </c>
      <c r="F275" s="1">
        <v>44006</v>
      </c>
      <c r="G275" t="s">
        <v>127</v>
      </c>
      <c r="H275" s="4" t="s">
        <v>16</v>
      </c>
      <c r="I275" s="4">
        <v>-4.99</v>
      </c>
      <c r="J275" s="4">
        <v>-4.99</v>
      </c>
      <c r="K275" t="str">
        <f>IFERROR(INDEX(BusinessUnits!$B:$B,MATCH($C275,BusinessUnits!$A:$A,0)),"")</f>
        <v>FOOD SERVICE</v>
      </c>
      <c r="L275" t="str">
        <f>IFERROR(INDEX(Table1[[#All],[Description]],MATCH($C275,BusinessUnits!$A:$A,0)),"")</f>
        <v xml:space="preserve">Transactions related to food and beverage service. Includes all guest transactions in the hotel restaurants, catering-related transactions and food service payroll. </v>
      </c>
      <c r="M275" t="str">
        <f>IFERROR(INDEX(ChartOfAccounts!B274:B359,MATCH($B275,ChartOfAccounts!A274:A359,0)),"")</f>
        <v/>
      </c>
      <c r="N275" t="str">
        <f>IFERROR(INDEX(ChartOfAccounts!D:D,MATCH($B275,ChartOfAccounts!A274:A359,0)),"")</f>
        <v/>
      </c>
      <c r="O275" t="str">
        <f>IFERROR(INDEX(ChartOfAccounts!F:F,MATCH($B275,ChartOfAccounts!A274:A359,0)),"")</f>
        <v/>
      </c>
      <c r="P275" t="str" cm="1">
        <f t="array" ref="P275">IFERROR(INDEX(PreparerInfo!B274:B286,MATCH($D275&amp;$C275,PreparerInfo!A274:A286&amp;PreparerInfo!C274:C286,0)),"")</f>
        <v/>
      </c>
      <c r="Q275" t="str">
        <f>IFERROR(INDEX(Source!B274:B282,MATCH('Case 4 solution'!E275,Source!A274:A282,0)),"")</f>
        <v/>
      </c>
    </row>
    <row r="276" spans="1:17" x14ac:dyDescent="0.3">
      <c r="A276" s="3">
        <v>2033657</v>
      </c>
      <c r="B276">
        <v>14260</v>
      </c>
      <c r="C276">
        <v>1</v>
      </c>
      <c r="D276" s="9">
        <v>101</v>
      </c>
      <c r="E276">
        <v>1007</v>
      </c>
      <c r="F276" s="1">
        <v>44006</v>
      </c>
      <c r="G276" t="s">
        <v>86</v>
      </c>
      <c r="H276" s="4">
        <v>9.58</v>
      </c>
      <c r="I276" s="4" t="s">
        <v>16</v>
      </c>
      <c r="J276" s="4">
        <v>9.58</v>
      </c>
      <c r="K276" t="str">
        <f>IFERROR(INDEX(BusinessUnits!$B:$B,MATCH($C276,BusinessUnits!$A:$A,0)),"")</f>
        <v>FOOD SERVICE</v>
      </c>
      <c r="L276" t="str">
        <f>IFERROR(INDEX(Table1[[#All],[Description]],MATCH($C276,BusinessUnits!$A:$A,0)),"")</f>
        <v xml:space="preserve">Transactions related to food and beverage service. Includes all guest transactions in the hotel restaurants, catering-related transactions and food service payroll. </v>
      </c>
      <c r="M276" t="str">
        <f>IFERROR(INDEX(ChartOfAccounts!B275:B360,MATCH($B276,ChartOfAccounts!A275:A360,0)),"")</f>
        <v/>
      </c>
      <c r="N276" t="str">
        <f>IFERROR(INDEX(ChartOfAccounts!D:D,MATCH($B276,ChartOfAccounts!A275:A360,0)),"")</f>
        <v/>
      </c>
      <c r="O276" t="str">
        <f>IFERROR(INDEX(ChartOfAccounts!F:F,MATCH($B276,ChartOfAccounts!A275:A360,0)),"")</f>
        <v/>
      </c>
      <c r="P276" t="str" cm="1">
        <f t="array" ref="P276">IFERROR(INDEX(PreparerInfo!B275:B287,MATCH($D276&amp;$C276,PreparerInfo!A275:A287&amp;PreparerInfo!C275:C287,0)),"")</f>
        <v/>
      </c>
      <c r="Q276" t="str">
        <f>IFERROR(INDEX(Source!B275:B283,MATCH('Case 4 solution'!E276,Source!A275:A283,0)),"")</f>
        <v/>
      </c>
    </row>
    <row r="277" spans="1:17" x14ac:dyDescent="0.3">
      <c r="A277" s="3">
        <v>2033657</v>
      </c>
      <c r="B277">
        <v>11845</v>
      </c>
      <c r="C277">
        <v>1</v>
      </c>
      <c r="D277" s="9">
        <v>101</v>
      </c>
      <c r="E277">
        <v>1007</v>
      </c>
      <c r="F277" s="1">
        <v>44006</v>
      </c>
      <c r="G277" t="s">
        <v>86</v>
      </c>
      <c r="H277" s="4" t="s">
        <v>16</v>
      </c>
      <c r="I277" s="4">
        <v>-9.58</v>
      </c>
      <c r="J277" s="4">
        <v>-9.58</v>
      </c>
      <c r="K277" t="str">
        <f>IFERROR(INDEX(BusinessUnits!$B:$B,MATCH($C277,BusinessUnits!$A:$A,0)),"")</f>
        <v>FOOD SERVICE</v>
      </c>
      <c r="L277" t="str">
        <f>IFERROR(INDEX(Table1[[#All],[Description]],MATCH($C277,BusinessUnits!$A:$A,0)),"")</f>
        <v xml:space="preserve">Transactions related to food and beverage service. Includes all guest transactions in the hotel restaurants, catering-related transactions and food service payroll. </v>
      </c>
      <c r="M277" t="str">
        <f>IFERROR(INDEX(ChartOfAccounts!B276:B361,MATCH($B277,ChartOfAccounts!A276:A361,0)),"")</f>
        <v/>
      </c>
      <c r="N277" t="str">
        <f>IFERROR(INDEX(ChartOfAccounts!D:D,MATCH($B277,ChartOfAccounts!A276:A361,0)),"")</f>
        <v/>
      </c>
      <c r="O277" t="str">
        <f>IFERROR(INDEX(ChartOfAccounts!F:F,MATCH($B277,ChartOfAccounts!A276:A361,0)),"")</f>
        <v/>
      </c>
      <c r="P277" t="str" cm="1">
        <f t="array" ref="P277">IFERROR(INDEX(PreparerInfo!B276:B288,MATCH($D277&amp;$C277,PreparerInfo!A276:A288&amp;PreparerInfo!C276:C288,0)),"")</f>
        <v/>
      </c>
      <c r="Q277" t="str">
        <f>IFERROR(INDEX(Source!B276:B284,MATCH('Case 4 solution'!E277,Source!A276:A284,0)),"")</f>
        <v/>
      </c>
    </row>
    <row r="278" spans="1:17" x14ac:dyDescent="0.3">
      <c r="A278" s="3">
        <v>2033658</v>
      </c>
      <c r="B278">
        <v>14260</v>
      </c>
      <c r="C278">
        <v>1</v>
      </c>
      <c r="D278" s="9">
        <v>101</v>
      </c>
      <c r="E278">
        <v>1007</v>
      </c>
      <c r="F278" s="1">
        <v>44006</v>
      </c>
      <c r="G278" t="s">
        <v>86</v>
      </c>
      <c r="H278" s="4">
        <v>16.16</v>
      </c>
      <c r="I278" s="4" t="s">
        <v>16</v>
      </c>
      <c r="J278" s="4">
        <v>16.16</v>
      </c>
      <c r="K278" t="str">
        <f>IFERROR(INDEX(BusinessUnits!$B:$B,MATCH($C278,BusinessUnits!$A:$A,0)),"")</f>
        <v>FOOD SERVICE</v>
      </c>
      <c r="L278" t="str">
        <f>IFERROR(INDEX(Table1[[#All],[Description]],MATCH($C278,BusinessUnits!$A:$A,0)),"")</f>
        <v xml:space="preserve">Transactions related to food and beverage service. Includes all guest transactions in the hotel restaurants, catering-related transactions and food service payroll. </v>
      </c>
      <c r="M278" t="str">
        <f>IFERROR(INDEX(ChartOfAccounts!B277:B362,MATCH($B278,ChartOfAccounts!A277:A362,0)),"")</f>
        <v/>
      </c>
      <c r="N278" t="str">
        <f>IFERROR(INDEX(ChartOfAccounts!D:D,MATCH($B278,ChartOfAccounts!A277:A362,0)),"")</f>
        <v/>
      </c>
      <c r="O278" t="str">
        <f>IFERROR(INDEX(ChartOfAccounts!F:F,MATCH($B278,ChartOfAccounts!A277:A362,0)),"")</f>
        <v/>
      </c>
      <c r="P278" t="str" cm="1">
        <f t="array" ref="P278">IFERROR(INDEX(PreparerInfo!B277:B289,MATCH($D278&amp;$C278,PreparerInfo!A277:A289&amp;PreparerInfo!C277:C289,0)),"")</f>
        <v/>
      </c>
      <c r="Q278" t="str">
        <f>IFERROR(INDEX(Source!B277:B285,MATCH('Case 4 solution'!E278,Source!A277:A285,0)),"")</f>
        <v/>
      </c>
    </row>
    <row r="279" spans="1:17" x14ac:dyDescent="0.3">
      <c r="A279" s="3">
        <v>2033658</v>
      </c>
      <c r="B279">
        <v>11845</v>
      </c>
      <c r="C279">
        <v>1</v>
      </c>
      <c r="D279" s="9">
        <v>101</v>
      </c>
      <c r="E279">
        <v>1007</v>
      </c>
      <c r="F279" s="1">
        <v>44006</v>
      </c>
      <c r="G279" t="s">
        <v>86</v>
      </c>
      <c r="H279" s="4" t="s">
        <v>16</v>
      </c>
      <c r="I279" s="4">
        <v>-16.16</v>
      </c>
      <c r="J279" s="4">
        <v>-16.16</v>
      </c>
      <c r="K279" t="str">
        <f>IFERROR(INDEX(BusinessUnits!$B:$B,MATCH($C279,BusinessUnits!$A:$A,0)),"")</f>
        <v>FOOD SERVICE</v>
      </c>
      <c r="L279" t="str">
        <f>IFERROR(INDEX(Table1[[#All],[Description]],MATCH($C279,BusinessUnits!$A:$A,0)),"")</f>
        <v xml:space="preserve">Transactions related to food and beverage service. Includes all guest transactions in the hotel restaurants, catering-related transactions and food service payroll. </v>
      </c>
      <c r="M279" t="str">
        <f>IFERROR(INDEX(ChartOfAccounts!B278:B363,MATCH($B279,ChartOfAccounts!A278:A363,0)),"")</f>
        <v/>
      </c>
      <c r="N279" t="str">
        <f>IFERROR(INDEX(ChartOfAccounts!D:D,MATCH($B279,ChartOfAccounts!A278:A363,0)),"")</f>
        <v/>
      </c>
      <c r="O279" t="str">
        <f>IFERROR(INDEX(ChartOfAccounts!F:F,MATCH($B279,ChartOfAccounts!A278:A363,0)),"")</f>
        <v/>
      </c>
      <c r="P279" t="str" cm="1">
        <f t="array" ref="P279">IFERROR(INDEX(PreparerInfo!B278:B290,MATCH($D279&amp;$C279,PreparerInfo!A278:A290&amp;PreparerInfo!C278:C290,0)),"")</f>
        <v/>
      </c>
      <c r="Q279" t="str">
        <f>IFERROR(INDEX(Source!B278:B286,MATCH('Case 4 solution'!E279,Source!A278:A286,0)),"")</f>
        <v/>
      </c>
    </row>
    <row r="280" spans="1:17" x14ac:dyDescent="0.3">
      <c r="A280" s="3">
        <v>2033659</v>
      </c>
      <c r="B280">
        <v>71400</v>
      </c>
      <c r="C280">
        <v>1</v>
      </c>
      <c r="D280" s="9">
        <v>101</v>
      </c>
      <c r="E280">
        <v>1007</v>
      </c>
      <c r="F280" s="1">
        <v>44006</v>
      </c>
      <c r="G280" t="s">
        <v>206</v>
      </c>
      <c r="H280" s="4">
        <v>19.8</v>
      </c>
      <c r="I280" s="4" t="s">
        <v>16</v>
      </c>
      <c r="J280" s="4">
        <v>19.8</v>
      </c>
      <c r="K280" t="str">
        <f>IFERROR(INDEX(BusinessUnits!$B:$B,MATCH($C280,BusinessUnits!$A:$A,0)),"")</f>
        <v>FOOD SERVICE</v>
      </c>
      <c r="L280" t="str">
        <f>IFERROR(INDEX(Table1[[#All],[Description]],MATCH($C280,BusinessUnits!$A:$A,0)),"")</f>
        <v xml:space="preserve">Transactions related to food and beverage service. Includes all guest transactions in the hotel restaurants, catering-related transactions and food service payroll. </v>
      </c>
      <c r="M280" t="str">
        <f>IFERROR(INDEX(ChartOfAccounts!B279:B364,MATCH($B280,ChartOfAccounts!A279:A364,0)),"")</f>
        <v/>
      </c>
      <c r="N280" t="str">
        <f>IFERROR(INDEX(ChartOfAccounts!D:D,MATCH($B280,ChartOfAccounts!A279:A364,0)),"")</f>
        <v/>
      </c>
      <c r="O280" t="str">
        <f>IFERROR(INDEX(ChartOfAccounts!F:F,MATCH($B280,ChartOfAccounts!A279:A364,0)),"")</f>
        <v/>
      </c>
      <c r="P280" t="str" cm="1">
        <f t="array" ref="P280">IFERROR(INDEX(PreparerInfo!B279:B291,MATCH($D280&amp;$C280,PreparerInfo!A279:A291&amp;PreparerInfo!C279:C291,0)),"")</f>
        <v/>
      </c>
      <c r="Q280" t="str">
        <f>IFERROR(INDEX(Source!B279:B287,MATCH('Case 4 solution'!E280,Source!A279:A287,0)),"")</f>
        <v/>
      </c>
    </row>
    <row r="281" spans="1:17" x14ac:dyDescent="0.3">
      <c r="A281" s="3">
        <v>2033659</v>
      </c>
      <c r="B281">
        <v>11845</v>
      </c>
      <c r="C281">
        <v>1</v>
      </c>
      <c r="D281" s="9">
        <v>101</v>
      </c>
      <c r="E281">
        <v>1007</v>
      </c>
      <c r="F281" s="1">
        <v>44006</v>
      </c>
      <c r="G281" t="s">
        <v>206</v>
      </c>
      <c r="H281" s="4" t="s">
        <v>16</v>
      </c>
      <c r="I281" s="4">
        <v>-19.8</v>
      </c>
      <c r="J281" s="4">
        <v>-19.8</v>
      </c>
      <c r="K281" t="str">
        <f>IFERROR(INDEX(BusinessUnits!$B:$B,MATCH($C281,BusinessUnits!$A:$A,0)),"")</f>
        <v>FOOD SERVICE</v>
      </c>
      <c r="L281" t="str">
        <f>IFERROR(INDEX(Table1[[#All],[Description]],MATCH($C281,BusinessUnits!$A:$A,0)),"")</f>
        <v xml:space="preserve">Transactions related to food and beverage service. Includes all guest transactions in the hotel restaurants, catering-related transactions and food service payroll. </v>
      </c>
      <c r="M281" t="str">
        <f>IFERROR(INDEX(ChartOfAccounts!B280:B365,MATCH($B281,ChartOfAccounts!A280:A365,0)),"")</f>
        <v/>
      </c>
      <c r="N281" t="str">
        <f>IFERROR(INDEX(ChartOfAccounts!D:D,MATCH($B281,ChartOfAccounts!A280:A365,0)),"")</f>
        <v/>
      </c>
      <c r="O281" t="str">
        <f>IFERROR(INDEX(ChartOfAccounts!F:F,MATCH($B281,ChartOfAccounts!A280:A365,0)),"")</f>
        <v/>
      </c>
      <c r="P281" t="str" cm="1">
        <f t="array" ref="P281">IFERROR(INDEX(PreparerInfo!B280:B292,MATCH($D281&amp;$C281,PreparerInfo!A280:A292&amp;PreparerInfo!C280:C292,0)),"")</f>
        <v/>
      </c>
      <c r="Q281" t="str">
        <f>IFERROR(INDEX(Source!B280:B288,MATCH('Case 4 solution'!E281,Source!A280:A288,0)),"")</f>
        <v/>
      </c>
    </row>
    <row r="282" spans="1:17" x14ac:dyDescent="0.3">
      <c r="A282" s="3">
        <v>2033660</v>
      </c>
      <c r="B282">
        <v>71400</v>
      </c>
      <c r="C282">
        <v>1</v>
      </c>
      <c r="D282" s="9">
        <v>101</v>
      </c>
      <c r="E282">
        <v>1007</v>
      </c>
      <c r="F282" s="1">
        <v>44006</v>
      </c>
      <c r="G282" t="s">
        <v>76</v>
      </c>
      <c r="H282" s="4">
        <v>25.98</v>
      </c>
      <c r="I282" s="4" t="s">
        <v>16</v>
      </c>
      <c r="J282" s="4">
        <v>25.98</v>
      </c>
      <c r="K282" t="str">
        <f>IFERROR(INDEX(BusinessUnits!$B:$B,MATCH($C282,BusinessUnits!$A:$A,0)),"")</f>
        <v>FOOD SERVICE</v>
      </c>
      <c r="L282" t="str">
        <f>IFERROR(INDEX(Table1[[#All],[Description]],MATCH($C282,BusinessUnits!$A:$A,0)),"")</f>
        <v xml:space="preserve">Transactions related to food and beverage service. Includes all guest transactions in the hotel restaurants, catering-related transactions and food service payroll. </v>
      </c>
      <c r="M282" t="str">
        <f>IFERROR(INDEX(ChartOfAccounts!B281:B366,MATCH($B282,ChartOfAccounts!A281:A366,0)),"")</f>
        <v/>
      </c>
      <c r="N282" t="str">
        <f>IFERROR(INDEX(ChartOfAccounts!D:D,MATCH($B282,ChartOfAccounts!A281:A366,0)),"")</f>
        <v/>
      </c>
      <c r="O282" t="str">
        <f>IFERROR(INDEX(ChartOfAccounts!F:F,MATCH($B282,ChartOfAccounts!A281:A366,0)),"")</f>
        <v/>
      </c>
      <c r="P282" t="str" cm="1">
        <f t="array" ref="P282">IFERROR(INDEX(PreparerInfo!B281:B293,MATCH($D282&amp;$C282,PreparerInfo!A281:A293&amp;PreparerInfo!C281:C293,0)),"")</f>
        <v/>
      </c>
      <c r="Q282" t="str">
        <f>IFERROR(INDEX(Source!B281:B289,MATCH('Case 4 solution'!E282,Source!A281:A289,0)),"")</f>
        <v/>
      </c>
    </row>
    <row r="283" spans="1:17" x14ac:dyDescent="0.3">
      <c r="A283" s="3">
        <v>2033660</v>
      </c>
      <c r="B283">
        <v>11845</v>
      </c>
      <c r="C283">
        <v>1</v>
      </c>
      <c r="D283" s="9">
        <v>101</v>
      </c>
      <c r="E283">
        <v>1007</v>
      </c>
      <c r="F283" s="1">
        <v>44006</v>
      </c>
      <c r="G283" t="s">
        <v>76</v>
      </c>
      <c r="H283" s="4" t="s">
        <v>16</v>
      </c>
      <c r="I283" s="4">
        <v>-25.98</v>
      </c>
      <c r="J283" s="4">
        <v>-25.98</v>
      </c>
      <c r="K283" t="str">
        <f>IFERROR(INDEX(BusinessUnits!$B:$B,MATCH($C283,BusinessUnits!$A:$A,0)),"")</f>
        <v>FOOD SERVICE</v>
      </c>
      <c r="L283" t="str">
        <f>IFERROR(INDEX(Table1[[#All],[Description]],MATCH($C283,BusinessUnits!$A:$A,0)),"")</f>
        <v xml:space="preserve">Transactions related to food and beverage service. Includes all guest transactions in the hotel restaurants, catering-related transactions and food service payroll. </v>
      </c>
      <c r="M283" t="str">
        <f>IFERROR(INDEX(ChartOfAccounts!B282:B367,MATCH($B283,ChartOfAccounts!A282:A367,0)),"")</f>
        <v/>
      </c>
      <c r="N283" t="str">
        <f>IFERROR(INDEX(ChartOfAccounts!D:D,MATCH($B283,ChartOfAccounts!A282:A367,0)),"")</f>
        <v/>
      </c>
      <c r="O283" t="str">
        <f>IFERROR(INDEX(ChartOfAccounts!F:F,MATCH($B283,ChartOfAccounts!A282:A367,0)),"")</f>
        <v/>
      </c>
      <c r="P283" t="str" cm="1">
        <f t="array" ref="P283">IFERROR(INDEX(PreparerInfo!B282:B294,MATCH($D283&amp;$C283,PreparerInfo!A282:A294&amp;PreparerInfo!C282:C294,0)),"")</f>
        <v/>
      </c>
      <c r="Q283" t="str">
        <f>IFERROR(INDEX(Source!B282:B290,MATCH('Case 4 solution'!E283,Source!A282:A290,0)),"")</f>
        <v/>
      </c>
    </row>
    <row r="284" spans="1:17" x14ac:dyDescent="0.3">
      <c r="A284" s="3">
        <v>2033661</v>
      </c>
      <c r="B284">
        <v>72723</v>
      </c>
      <c r="C284">
        <v>1</v>
      </c>
      <c r="D284" s="9">
        <v>101</v>
      </c>
      <c r="E284">
        <v>1007</v>
      </c>
      <c r="F284" s="1">
        <v>44006</v>
      </c>
      <c r="G284" t="s">
        <v>123</v>
      </c>
      <c r="H284" s="4">
        <v>26.95</v>
      </c>
      <c r="I284" s="4" t="s">
        <v>16</v>
      </c>
      <c r="J284" s="4">
        <v>26.95</v>
      </c>
      <c r="K284" t="str">
        <f>IFERROR(INDEX(BusinessUnits!$B:$B,MATCH($C284,BusinessUnits!$A:$A,0)),"")</f>
        <v>FOOD SERVICE</v>
      </c>
      <c r="L284" t="str">
        <f>IFERROR(INDEX(Table1[[#All],[Description]],MATCH($C284,BusinessUnits!$A:$A,0)),"")</f>
        <v xml:space="preserve">Transactions related to food and beverage service. Includes all guest transactions in the hotel restaurants, catering-related transactions and food service payroll. </v>
      </c>
      <c r="M284" t="str">
        <f>IFERROR(INDEX(ChartOfAccounts!B283:B368,MATCH($B284,ChartOfAccounts!A283:A368,0)),"")</f>
        <v/>
      </c>
      <c r="N284" t="str">
        <f>IFERROR(INDEX(ChartOfAccounts!D:D,MATCH($B284,ChartOfAccounts!A283:A368,0)),"")</f>
        <v/>
      </c>
      <c r="O284" t="str">
        <f>IFERROR(INDEX(ChartOfAccounts!F:F,MATCH($B284,ChartOfAccounts!A283:A368,0)),"")</f>
        <v/>
      </c>
      <c r="P284" t="str" cm="1">
        <f t="array" ref="P284">IFERROR(INDEX(PreparerInfo!B283:B295,MATCH($D284&amp;$C284,PreparerInfo!A283:A295&amp;PreparerInfo!C283:C295,0)),"")</f>
        <v/>
      </c>
      <c r="Q284" t="str">
        <f>IFERROR(INDEX(Source!B283:B291,MATCH('Case 4 solution'!E284,Source!A283:A291,0)),"")</f>
        <v/>
      </c>
    </row>
    <row r="285" spans="1:17" x14ac:dyDescent="0.3">
      <c r="A285" s="3">
        <v>2033661</v>
      </c>
      <c r="B285">
        <v>11845</v>
      </c>
      <c r="C285">
        <v>1</v>
      </c>
      <c r="D285" s="9">
        <v>101</v>
      </c>
      <c r="E285">
        <v>1007</v>
      </c>
      <c r="F285" s="1">
        <v>44006</v>
      </c>
      <c r="G285" t="s">
        <v>123</v>
      </c>
      <c r="H285" s="4" t="s">
        <v>16</v>
      </c>
      <c r="I285" s="4">
        <v>-26.95</v>
      </c>
      <c r="J285" s="4">
        <v>-26.95</v>
      </c>
      <c r="K285" t="str">
        <f>IFERROR(INDEX(BusinessUnits!$B:$B,MATCH($C285,BusinessUnits!$A:$A,0)),"")</f>
        <v>FOOD SERVICE</v>
      </c>
      <c r="L285" t="str">
        <f>IFERROR(INDEX(Table1[[#All],[Description]],MATCH($C285,BusinessUnits!$A:$A,0)),"")</f>
        <v xml:space="preserve">Transactions related to food and beverage service. Includes all guest transactions in the hotel restaurants, catering-related transactions and food service payroll. </v>
      </c>
      <c r="M285" t="str">
        <f>IFERROR(INDEX(ChartOfAccounts!B284:B369,MATCH($B285,ChartOfAccounts!A284:A369,0)),"")</f>
        <v/>
      </c>
      <c r="N285" t="str">
        <f>IFERROR(INDEX(ChartOfAccounts!D:D,MATCH($B285,ChartOfAccounts!A284:A369,0)),"")</f>
        <v/>
      </c>
      <c r="O285" t="str">
        <f>IFERROR(INDEX(ChartOfAccounts!F:F,MATCH($B285,ChartOfAccounts!A284:A369,0)),"")</f>
        <v/>
      </c>
      <c r="P285" t="str" cm="1">
        <f t="array" ref="P285">IFERROR(INDEX(PreparerInfo!B284:B296,MATCH($D285&amp;$C285,PreparerInfo!A284:A296&amp;PreparerInfo!C284:C296,0)),"")</f>
        <v/>
      </c>
      <c r="Q285" t="str">
        <f>IFERROR(INDEX(Source!B284:B292,MATCH('Case 4 solution'!E285,Source!A284:A292,0)),"")</f>
        <v/>
      </c>
    </row>
    <row r="286" spans="1:17" x14ac:dyDescent="0.3">
      <c r="A286" s="3">
        <v>2033662</v>
      </c>
      <c r="B286">
        <v>71400</v>
      </c>
      <c r="C286">
        <v>1</v>
      </c>
      <c r="D286" s="9">
        <v>101</v>
      </c>
      <c r="E286">
        <v>1007</v>
      </c>
      <c r="F286" s="1">
        <v>44006</v>
      </c>
      <c r="G286" t="s">
        <v>90</v>
      </c>
      <c r="H286" s="4">
        <v>29.31</v>
      </c>
      <c r="I286" s="4" t="s">
        <v>16</v>
      </c>
      <c r="J286" s="4">
        <v>29.31</v>
      </c>
      <c r="K286" t="str">
        <f>IFERROR(INDEX(BusinessUnits!$B:$B,MATCH($C286,BusinessUnits!$A:$A,0)),"")</f>
        <v>FOOD SERVICE</v>
      </c>
      <c r="L286" t="str">
        <f>IFERROR(INDEX(Table1[[#All],[Description]],MATCH($C286,BusinessUnits!$A:$A,0)),"")</f>
        <v xml:space="preserve">Transactions related to food and beverage service. Includes all guest transactions in the hotel restaurants, catering-related transactions and food service payroll. </v>
      </c>
      <c r="M286" t="str">
        <f>IFERROR(INDEX(ChartOfAccounts!B285:B370,MATCH($B286,ChartOfAccounts!A285:A370,0)),"")</f>
        <v/>
      </c>
      <c r="N286" t="str">
        <f>IFERROR(INDEX(ChartOfAccounts!D:D,MATCH($B286,ChartOfAccounts!A285:A370,0)),"")</f>
        <v/>
      </c>
      <c r="O286" t="str">
        <f>IFERROR(INDEX(ChartOfAccounts!F:F,MATCH($B286,ChartOfAccounts!A285:A370,0)),"")</f>
        <v/>
      </c>
      <c r="P286" t="str" cm="1">
        <f t="array" ref="P286">IFERROR(INDEX(PreparerInfo!B285:B297,MATCH($D286&amp;$C286,PreparerInfo!A285:A297&amp;PreparerInfo!C285:C297,0)),"")</f>
        <v/>
      </c>
      <c r="Q286" t="str">
        <f>IFERROR(INDEX(Source!B285:B293,MATCH('Case 4 solution'!E286,Source!A285:A293,0)),"")</f>
        <v/>
      </c>
    </row>
    <row r="287" spans="1:17" x14ac:dyDescent="0.3">
      <c r="A287" s="3">
        <v>2033662</v>
      </c>
      <c r="B287">
        <v>11845</v>
      </c>
      <c r="C287">
        <v>1</v>
      </c>
      <c r="D287" s="9">
        <v>101</v>
      </c>
      <c r="E287">
        <v>1007</v>
      </c>
      <c r="F287" s="1">
        <v>44006</v>
      </c>
      <c r="G287" t="s">
        <v>90</v>
      </c>
      <c r="H287" s="4" t="s">
        <v>16</v>
      </c>
      <c r="I287" s="4">
        <v>-29.31</v>
      </c>
      <c r="J287" s="4">
        <v>-29.31</v>
      </c>
      <c r="K287" t="str">
        <f>IFERROR(INDEX(BusinessUnits!$B:$B,MATCH($C287,BusinessUnits!$A:$A,0)),"")</f>
        <v>FOOD SERVICE</v>
      </c>
      <c r="L287" t="str">
        <f>IFERROR(INDEX(Table1[[#All],[Description]],MATCH($C287,BusinessUnits!$A:$A,0)),"")</f>
        <v xml:space="preserve">Transactions related to food and beverage service. Includes all guest transactions in the hotel restaurants, catering-related transactions and food service payroll. </v>
      </c>
      <c r="M287" t="str">
        <f>IFERROR(INDEX(ChartOfAccounts!B286:B371,MATCH($B287,ChartOfAccounts!A286:A371,0)),"")</f>
        <v/>
      </c>
      <c r="N287" t="str">
        <f>IFERROR(INDEX(ChartOfAccounts!D:D,MATCH($B287,ChartOfAccounts!A286:A371,0)),"")</f>
        <v/>
      </c>
      <c r="O287" t="str">
        <f>IFERROR(INDEX(ChartOfAccounts!F:F,MATCH($B287,ChartOfAccounts!A286:A371,0)),"")</f>
        <v/>
      </c>
      <c r="P287" t="str" cm="1">
        <f t="array" ref="P287">IFERROR(INDEX(PreparerInfo!B286:B298,MATCH($D287&amp;$C287,PreparerInfo!A286:A298&amp;PreparerInfo!C286:C298,0)),"")</f>
        <v/>
      </c>
      <c r="Q287" t="str">
        <f>IFERROR(INDEX(Source!B286:B294,MATCH('Case 4 solution'!E287,Source!A286:A294,0)),"")</f>
        <v/>
      </c>
    </row>
    <row r="288" spans="1:17" x14ac:dyDescent="0.3">
      <c r="A288" s="3">
        <v>2033663</v>
      </c>
      <c r="B288">
        <v>71400</v>
      </c>
      <c r="C288">
        <v>1</v>
      </c>
      <c r="D288" s="9">
        <v>101</v>
      </c>
      <c r="E288">
        <v>1007</v>
      </c>
      <c r="F288" s="1">
        <v>44006</v>
      </c>
      <c r="G288" t="s">
        <v>159</v>
      </c>
      <c r="H288" s="4">
        <v>35.909999999999997</v>
      </c>
      <c r="I288" s="4" t="s">
        <v>16</v>
      </c>
      <c r="J288" s="4">
        <v>35.909999999999997</v>
      </c>
      <c r="K288" t="str">
        <f>IFERROR(INDEX(BusinessUnits!$B:$B,MATCH($C288,BusinessUnits!$A:$A,0)),"")</f>
        <v>FOOD SERVICE</v>
      </c>
      <c r="L288" t="str">
        <f>IFERROR(INDEX(Table1[[#All],[Description]],MATCH($C288,BusinessUnits!$A:$A,0)),"")</f>
        <v xml:space="preserve">Transactions related to food and beverage service. Includes all guest transactions in the hotel restaurants, catering-related transactions and food service payroll. </v>
      </c>
      <c r="M288" t="str">
        <f>IFERROR(INDEX(ChartOfAccounts!B287:B372,MATCH($B288,ChartOfAccounts!A287:A372,0)),"")</f>
        <v/>
      </c>
      <c r="N288" t="str">
        <f>IFERROR(INDEX(ChartOfAccounts!D:D,MATCH($B288,ChartOfAccounts!A287:A372,0)),"")</f>
        <v/>
      </c>
      <c r="O288" t="str">
        <f>IFERROR(INDEX(ChartOfAccounts!F:F,MATCH($B288,ChartOfAccounts!A287:A372,0)),"")</f>
        <v/>
      </c>
      <c r="P288" t="str" cm="1">
        <f t="array" ref="P288">IFERROR(INDEX(PreparerInfo!B287:B299,MATCH($D288&amp;$C288,PreparerInfo!A287:A299&amp;PreparerInfo!C287:C299,0)),"")</f>
        <v/>
      </c>
      <c r="Q288" t="str">
        <f>IFERROR(INDEX(Source!B287:B295,MATCH('Case 4 solution'!E288,Source!A287:A295,0)),"")</f>
        <v/>
      </c>
    </row>
    <row r="289" spans="1:17" x14ac:dyDescent="0.3">
      <c r="A289" s="3">
        <v>2033663</v>
      </c>
      <c r="B289">
        <v>11845</v>
      </c>
      <c r="C289">
        <v>1</v>
      </c>
      <c r="D289" s="9">
        <v>101</v>
      </c>
      <c r="E289">
        <v>1007</v>
      </c>
      <c r="F289" s="1">
        <v>44006</v>
      </c>
      <c r="G289" t="s">
        <v>159</v>
      </c>
      <c r="H289" s="4" t="s">
        <v>16</v>
      </c>
      <c r="I289" s="4">
        <v>-35.909999999999997</v>
      </c>
      <c r="J289" s="4">
        <v>-35.909999999999997</v>
      </c>
      <c r="K289" t="str">
        <f>IFERROR(INDEX(BusinessUnits!$B:$B,MATCH($C289,BusinessUnits!$A:$A,0)),"")</f>
        <v>FOOD SERVICE</v>
      </c>
      <c r="L289" t="str">
        <f>IFERROR(INDEX(Table1[[#All],[Description]],MATCH($C289,BusinessUnits!$A:$A,0)),"")</f>
        <v xml:space="preserve">Transactions related to food and beverage service. Includes all guest transactions in the hotel restaurants, catering-related transactions and food service payroll. </v>
      </c>
      <c r="M289" t="str">
        <f>IFERROR(INDEX(ChartOfAccounts!B288:B373,MATCH($B289,ChartOfAccounts!A288:A373,0)),"")</f>
        <v/>
      </c>
      <c r="N289" t="str">
        <f>IFERROR(INDEX(ChartOfAccounts!D:D,MATCH($B289,ChartOfAccounts!A288:A373,0)),"")</f>
        <v/>
      </c>
      <c r="O289" t="str">
        <f>IFERROR(INDEX(ChartOfAccounts!F:F,MATCH($B289,ChartOfAccounts!A288:A373,0)),"")</f>
        <v/>
      </c>
      <c r="P289" t="str" cm="1">
        <f t="array" ref="P289">IFERROR(INDEX(PreparerInfo!B288:B300,MATCH($D289&amp;$C289,PreparerInfo!A288:A300&amp;PreparerInfo!C288:C300,0)),"")</f>
        <v/>
      </c>
      <c r="Q289" t="str">
        <f>IFERROR(INDEX(Source!B288:B296,MATCH('Case 4 solution'!E289,Source!A288:A296,0)),"")</f>
        <v/>
      </c>
    </row>
    <row r="290" spans="1:17" x14ac:dyDescent="0.3">
      <c r="A290" s="3">
        <v>2033664</v>
      </c>
      <c r="B290">
        <v>14260</v>
      </c>
      <c r="C290">
        <v>1</v>
      </c>
      <c r="D290" s="9">
        <v>102</v>
      </c>
      <c r="E290">
        <v>1002</v>
      </c>
      <c r="F290" s="1">
        <v>44006</v>
      </c>
      <c r="G290" t="s">
        <v>26</v>
      </c>
      <c r="H290" s="4">
        <v>40.299999999999997</v>
      </c>
      <c r="I290" s="4" t="s">
        <v>16</v>
      </c>
      <c r="J290" s="4">
        <v>40.299999999999997</v>
      </c>
      <c r="K290" t="str">
        <f>IFERROR(INDEX(BusinessUnits!$B:$B,MATCH($C290,BusinessUnits!$A:$A,0)),"")</f>
        <v>FOOD SERVICE</v>
      </c>
      <c r="L290" t="str">
        <f>IFERROR(INDEX(Table1[[#All],[Description]],MATCH($C290,BusinessUnits!$A:$A,0)),"")</f>
        <v xml:space="preserve">Transactions related to food and beverage service. Includes all guest transactions in the hotel restaurants, catering-related transactions and food service payroll. </v>
      </c>
      <c r="M290" t="str">
        <f>IFERROR(INDEX(ChartOfAccounts!B289:B374,MATCH($B290,ChartOfAccounts!A289:A374,0)),"")</f>
        <v/>
      </c>
      <c r="N290" t="str">
        <f>IFERROR(INDEX(ChartOfAccounts!D:D,MATCH($B290,ChartOfAccounts!A289:A374,0)),"")</f>
        <v/>
      </c>
      <c r="O290" t="str">
        <f>IFERROR(INDEX(ChartOfAccounts!F:F,MATCH($B290,ChartOfAccounts!A289:A374,0)),"")</f>
        <v/>
      </c>
      <c r="P290" t="str" cm="1">
        <f t="array" ref="P290">IFERROR(INDEX(PreparerInfo!B289:B301,MATCH($D290&amp;$C290,PreparerInfo!A289:A301&amp;PreparerInfo!C289:C301,0)),"")</f>
        <v/>
      </c>
      <c r="Q290" t="str">
        <f>IFERROR(INDEX(Source!B289:B297,MATCH('Case 4 solution'!E290,Source!A289:A297,0)),"")</f>
        <v/>
      </c>
    </row>
    <row r="291" spans="1:17" x14ac:dyDescent="0.3">
      <c r="A291" s="3">
        <v>2033664</v>
      </c>
      <c r="B291">
        <v>11845</v>
      </c>
      <c r="C291">
        <v>1</v>
      </c>
      <c r="D291" s="9">
        <v>102</v>
      </c>
      <c r="E291">
        <v>1002</v>
      </c>
      <c r="F291" s="1">
        <v>44006</v>
      </c>
      <c r="G291" t="s">
        <v>26</v>
      </c>
      <c r="H291" s="4" t="s">
        <v>16</v>
      </c>
      <c r="I291" s="4">
        <v>-40.299999999999997</v>
      </c>
      <c r="J291" s="4">
        <v>-40.299999999999997</v>
      </c>
      <c r="K291" t="str">
        <f>IFERROR(INDEX(BusinessUnits!$B:$B,MATCH($C291,BusinessUnits!$A:$A,0)),"")</f>
        <v>FOOD SERVICE</v>
      </c>
      <c r="L291" t="str">
        <f>IFERROR(INDEX(Table1[[#All],[Description]],MATCH($C291,BusinessUnits!$A:$A,0)),"")</f>
        <v xml:space="preserve">Transactions related to food and beverage service. Includes all guest transactions in the hotel restaurants, catering-related transactions and food service payroll. </v>
      </c>
      <c r="M291" t="str">
        <f>IFERROR(INDEX(ChartOfAccounts!B290:B375,MATCH($B291,ChartOfAccounts!A290:A375,0)),"")</f>
        <v/>
      </c>
      <c r="N291" t="str">
        <f>IFERROR(INDEX(ChartOfAccounts!D:D,MATCH($B291,ChartOfAccounts!A290:A375,0)),"")</f>
        <v/>
      </c>
      <c r="O291" t="str">
        <f>IFERROR(INDEX(ChartOfAccounts!F:F,MATCH($B291,ChartOfAccounts!A290:A375,0)),"")</f>
        <v/>
      </c>
      <c r="P291" t="str" cm="1">
        <f t="array" ref="P291">IFERROR(INDEX(PreparerInfo!B290:B302,MATCH($D291&amp;$C291,PreparerInfo!A290:A302&amp;PreparerInfo!C290:C302,0)),"")</f>
        <v/>
      </c>
      <c r="Q291" t="str">
        <f>IFERROR(INDEX(Source!B290:B298,MATCH('Case 4 solution'!E291,Source!A290:A298,0)),"")</f>
        <v/>
      </c>
    </row>
    <row r="292" spans="1:17" x14ac:dyDescent="0.3">
      <c r="A292" s="3">
        <v>2033665</v>
      </c>
      <c r="B292">
        <v>71400</v>
      </c>
      <c r="C292">
        <v>1</v>
      </c>
      <c r="D292" s="9">
        <v>101</v>
      </c>
      <c r="E292">
        <v>1007</v>
      </c>
      <c r="F292" s="1">
        <v>44006</v>
      </c>
      <c r="G292" t="s">
        <v>89</v>
      </c>
      <c r="H292" s="4">
        <v>42.7</v>
      </c>
      <c r="I292" s="4" t="s">
        <v>16</v>
      </c>
      <c r="J292" s="4">
        <v>42.7</v>
      </c>
      <c r="K292" t="str">
        <f>IFERROR(INDEX(BusinessUnits!$B:$B,MATCH($C292,BusinessUnits!$A:$A,0)),"")</f>
        <v>FOOD SERVICE</v>
      </c>
      <c r="L292" t="str">
        <f>IFERROR(INDEX(Table1[[#All],[Description]],MATCH($C292,BusinessUnits!$A:$A,0)),"")</f>
        <v xml:space="preserve">Transactions related to food and beverage service. Includes all guest transactions in the hotel restaurants, catering-related transactions and food service payroll. </v>
      </c>
      <c r="M292" t="str">
        <f>IFERROR(INDEX(ChartOfAccounts!B291:B376,MATCH($B292,ChartOfAccounts!A291:A376,0)),"")</f>
        <v/>
      </c>
      <c r="N292" t="str">
        <f>IFERROR(INDEX(ChartOfAccounts!D:D,MATCH($B292,ChartOfAccounts!A291:A376,0)),"")</f>
        <v/>
      </c>
      <c r="O292" t="str">
        <f>IFERROR(INDEX(ChartOfAccounts!F:F,MATCH($B292,ChartOfAccounts!A291:A376,0)),"")</f>
        <v/>
      </c>
      <c r="P292" t="str" cm="1">
        <f t="array" ref="P292">IFERROR(INDEX(PreparerInfo!B291:B303,MATCH($D292&amp;$C292,PreparerInfo!A291:A303&amp;PreparerInfo!C291:C303,0)),"")</f>
        <v/>
      </c>
      <c r="Q292" t="str">
        <f>IFERROR(INDEX(Source!B291:B299,MATCH('Case 4 solution'!E292,Source!A291:A299,0)),"")</f>
        <v/>
      </c>
    </row>
    <row r="293" spans="1:17" x14ac:dyDescent="0.3">
      <c r="A293" s="3">
        <v>2033665</v>
      </c>
      <c r="B293">
        <v>11845</v>
      </c>
      <c r="C293">
        <v>1</v>
      </c>
      <c r="D293" s="9">
        <v>101</v>
      </c>
      <c r="E293">
        <v>1007</v>
      </c>
      <c r="F293" s="1">
        <v>44006</v>
      </c>
      <c r="G293" t="s">
        <v>89</v>
      </c>
      <c r="H293" s="4" t="s">
        <v>16</v>
      </c>
      <c r="I293" s="4">
        <v>-42.7</v>
      </c>
      <c r="J293" s="4">
        <v>-42.7</v>
      </c>
      <c r="K293" t="str">
        <f>IFERROR(INDEX(BusinessUnits!$B:$B,MATCH($C293,BusinessUnits!$A:$A,0)),"")</f>
        <v>FOOD SERVICE</v>
      </c>
      <c r="L293" t="str">
        <f>IFERROR(INDEX(Table1[[#All],[Description]],MATCH($C293,BusinessUnits!$A:$A,0)),"")</f>
        <v xml:space="preserve">Transactions related to food and beverage service. Includes all guest transactions in the hotel restaurants, catering-related transactions and food service payroll. </v>
      </c>
      <c r="M293" t="str">
        <f>IFERROR(INDEX(ChartOfAccounts!B292:B377,MATCH($B293,ChartOfAccounts!A292:A377,0)),"")</f>
        <v/>
      </c>
      <c r="N293" t="str">
        <f>IFERROR(INDEX(ChartOfAccounts!D:D,MATCH($B293,ChartOfAccounts!A292:A377,0)),"")</f>
        <v/>
      </c>
      <c r="O293" t="str">
        <f>IFERROR(INDEX(ChartOfAccounts!F:F,MATCH($B293,ChartOfAccounts!A292:A377,0)),"")</f>
        <v/>
      </c>
      <c r="P293" t="str" cm="1">
        <f t="array" ref="P293">IFERROR(INDEX(PreparerInfo!B292:B304,MATCH($D293&amp;$C293,PreparerInfo!A292:A304&amp;PreparerInfo!C292:C304,0)),"")</f>
        <v/>
      </c>
      <c r="Q293" t="str">
        <f>IFERROR(INDEX(Source!B292:B300,MATCH('Case 4 solution'!E293,Source!A292:A300,0)),"")</f>
        <v/>
      </c>
    </row>
    <row r="294" spans="1:17" x14ac:dyDescent="0.3">
      <c r="A294" s="3">
        <v>2033666</v>
      </c>
      <c r="B294">
        <v>14260</v>
      </c>
      <c r="C294">
        <v>1</v>
      </c>
      <c r="D294" s="9">
        <v>102</v>
      </c>
      <c r="E294">
        <v>1002</v>
      </c>
      <c r="F294" s="1">
        <v>44006</v>
      </c>
      <c r="G294" t="s">
        <v>26</v>
      </c>
      <c r="H294" s="4">
        <v>45.7</v>
      </c>
      <c r="I294" s="4" t="s">
        <v>16</v>
      </c>
      <c r="J294" s="4">
        <v>45.7</v>
      </c>
      <c r="K294" t="str">
        <f>IFERROR(INDEX(BusinessUnits!$B:$B,MATCH($C294,BusinessUnits!$A:$A,0)),"")</f>
        <v>FOOD SERVICE</v>
      </c>
      <c r="L294" t="str">
        <f>IFERROR(INDEX(Table1[[#All],[Description]],MATCH($C294,BusinessUnits!$A:$A,0)),"")</f>
        <v xml:space="preserve">Transactions related to food and beverage service. Includes all guest transactions in the hotel restaurants, catering-related transactions and food service payroll. </v>
      </c>
      <c r="M294" t="str">
        <f>IFERROR(INDEX(ChartOfAccounts!B293:B378,MATCH($B294,ChartOfAccounts!A293:A378,0)),"")</f>
        <v/>
      </c>
      <c r="N294" t="str">
        <f>IFERROR(INDEX(ChartOfAccounts!D:D,MATCH($B294,ChartOfAccounts!A293:A378,0)),"")</f>
        <v/>
      </c>
      <c r="O294" t="str">
        <f>IFERROR(INDEX(ChartOfAccounts!F:F,MATCH($B294,ChartOfAccounts!A293:A378,0)),"")</f>
        <v/>
      </c>
      <c r="P294" t="str" cm="1">
        <f t="array" ref="P294">IFERROR(INDEX(PreparerInfo!B293:B305,MATCH($D294&amp;$C294,PreparerInfo!A293:A305&amp;PreparerInfo!C293:C305,0)),"")</f>
        <v/>
      </c>
      <c r="Q294" t="str">
        <f>IFERROR(INDEX(Source!B293:B301,MATCH('Case 4 solution'!E294,Source!A293:A301,0)),"")</f>
        <v/>
      </c>
    </row>
    <row r="295" spans="1:17" x14ac:dyDescent="0.3">
      <c r="A295" s="3">
        <v>2033666</v>
      </c>
      <c r="B295">
        <v>11845</v>
      </c>
      <c r="C295">
        <v>1</v>
      </c>
      <c r="D295" s="9">
        <v>102</v>
      </c>
      <c r="E295">
        <v>1002</v>
      </c>
      <c r="F295" s="1">
        <v>44006</v>
      </c>
      <c r="G295" t="s">
        <v>26</v>
      </c>
      <c r="H295" s="4" t="s">
        <v>16</v>
      </c>
      <c r="I295" s="4">
        <v>-45.7</v>
      </c>
      <c r="J295" s="4">
        <v>-45.7</v>
      </c>
      <c r="K295" t="str">
        <f>IFERROR(INDEX(BusinessUnits!$B:$B,MATCH($C295,BusinessUnits!$A:$A,0)),"")</f>
        <v>FOOD SERVICE</v>
      </c>
      <c r="L295" t="str">
        <f>IFERROR(INDEX(Table1[[#All],[Description]],MATCH($C295,BusinessUnits!$A:$A,0)),"")</f>
        <v xml:space="preserve">Transactions related to food and beverage service. Includes all guest transactions in the hotel restaurants, catering-related transactions and food service payroll. </v>
      </c>
      <c r="M295" t="str">
        <f>IFERROR(INDEX(ChartOfAccounts!B294:B379,MATCH($B295,ChartOfAccounts!A294:A379,0)),"")</f>
        <v/>
      </c>
      <c r="N295" t="str">
        <f>IFERROR(INDEX(ChartOfAccounts!D:D,MATCH($B295,ChartOfAccounts!A294:A379,0)),"")</f>
        <v/>
      </c>
      <c r="O295" t="str">
        <f>IFERROR(INDEX(ChartOfAccounts!F:F,MATCH($B295,ChartOfAccounts!A294:A379,0)),"")</f>
        <v/>
      </c>
      <c r="P295" t="str" cm="1">
        <f t="array" ref="P295">IFERROR(INDEX(PreparerInfo!B294:B306,MATCH($D295&amp;$C295,PreparerInfo!A294:A306&amp;PreparerInfo!C294:C306,0)),"")</f>
        <v/>
      </c>
      <c r="Q295" t="str">
        <f>IFERROR(INDEX(Source!B294:B302,MATCH('Case 4 solution'!E295,Source!A294:A302,0)),"")</f>
        <v/>
      </c>
    </row>
    <row r="296" spans="1:17" x14ac:dyDescent="0.3">
      <c r="A296" s="3">
        <v>2033667</v>
      </c>
      <c r="B296">
        <v>71900</v>
      </c>
      <c r="C296">
        <v>1</v>
      </c>
      <c r="D296" s="9">
        <v>102</v>
      </c>
      <c r="E296">
        <v>1002</v>
      </c>
      <c r="F296" s="1">
        <v>44006</v>
      </c>
      <c r="G296" t="s">
        <v>36</v>
      </c>
      <c r="H296" s="4">
        <v>47.75</v>
      </c>
      <c r="I296" s="4" t="s">
        <v>16</v>
      </c>
      <c r="J296" s="4">
        <v>47.75</v>
      </c>
      <c r="K296" t="str">
        <f>IFERROR(INDEX(BusinessUnits!$B:$B,MATCH($C296,BusinessUnits!$A:$A,0)),"")</f>
        <v>FOOD SERVICE</v>
      </c>
      <c r="L296" t="str">
        <f>IFERROR(INDEX(Table1[[#All],[Description]],MATCH($C296,BusinessUnits!$A:$A,0)),"")</f>
        <v xml:space="preserve">Transactions related to food and beverage service. Includes all guest transactions in the hotel restaurants, catering-related transactions and food service payroll. </v>
      </c>
      <c r="M296" t="str">
        <f>IFERROR(INDEX(ChartOfAccounts!B295:B380,MATCH($B296,ChartOfAccounts!A295:A380,0)),"")</f>
        <v/>
      </c>
      <c r="N296" t="str">
        <f>IFERROR(INDEX(ChartOfAccounts!D:D,MATCH($B296,ChartOfAccounts!A295:A380,0)),"")</f>
        <v/>
      </c>
      <c r="O296" t="str">
        <f>IFERROR(INDEX(ChartOfAccounts!F:F,MATCH($B296,ChartOfAccounts!A295:A380,0)),"")</f>
        <v/>
      </c>
      <c r="P296" t="str" cm="1">
        <f t="array" ref="P296">IFERROR(INDEX(PreparerInfo!B295:B307,MATCH($D296&amp;$C296,PreparerInfo!A295:A307&amp;PreparerInfo!C295:C307,0)),"")</f>
        <v/>
      </c>
      <c r="Q296" t="str">
        <f>IFERROR(INDEX(Source!B295:B303,MATCH('Case 4 solution'!E296,Source!A295:A303,0)),"")</f>
        <v/>
      </c>
    </row>
    <row r="297" spans="1:17" x14ac:dyDescent="0.3">
      <c r="A297" s="3">
        <v>2033667</v>
      </c>
      <c r="B297">
        <v>11845</v>
      </c>
      <c r="C297">
        <v>1</v>
      </c>
      <c r="D297" s="9">
        <v>102</v>
      </c>
      <c r="E297">
        <v>1002</v>
      </c>
      <c r="F297" s="1">
        <v>44006</v>
      </c>
      <c r="G297" t="s">
        <v>36</v>
      </c>
      <c r="H297" s="4" t="s">
        <v>16</v>
      </c>
      <c r="I297" s="4">
        <v>-47.75</v>
      </c>
      <c r="J297" s="4">
        <v>-47.75</v>
      </c>
      <c r="K297" t="str">
        <f>IFERROR(INDEX(BusinessUnits!$B:$B,MATCH($C297,BusinessUnits!$A:$A,0)),"")</f>
        <v>FOOD SERVICE</v>
      </c>
      <c r="L297" t="str">
        <f>IFERROR(INDEX(Table1[[#All],[Description]],MATCH($C297,BusinessUnits!$A:$A,0)),"")</f>
        <v xml:space="preserve">Transactions related to food and beverage service. Includes all guest transactions in the hotel restaurants, catering-related transactions and food service payroll. </v>
      </c>
      <c r="M297" t="str">
        <f>IFERROR(INDEX(ChartOfAccounts!B296:B381,MATCH($B297,ChartOfAccounts!A296:A381,0)),"")</f>
        <v/>
      </c>
      <c r="N297" t="str">
        <f>IFERROR(INDEX(ChartOfAccounts!D:D,MATCH($B297,ChartOfAccounts!A296:A381,0)),"")</f>
        <v/>
      </c>
      <c r="O297" t="str">
        <f>IFERROR(INDEX(ChartOfAccounts!F:F,MATCH($B297,ChartOfAccounts!A296:A381,0)),"")</f>
        <v/>
      </c>
      <c r="P297" t="str" cm="1">
        <f t="array" ref="P297">IFERROR(INDEX(PreparerInfo!B296:B308,MATCH($D297&amp;$C297,PreparerInfo!A296:A308&amp;PreparerInfo!C296:C308,0)),"")</f>
        <v/>
      </c>
      <c r="Q297" t="str">
        <f>IFERROR(INDEX(Source!B296:B304,MATCH('Case 4 solution'!E297,Source!A296:A304,0)),"")</f>
        <v/>
      </c>
    </row>
    <row r="298" spans="1:17" x14ac:dyDescent="0.3">
      <c r="A298" s="3">
        <v>2033668</v>
      </c>
      <c r="B298">
        <v>71400</v>
      </c>
      <c r="C298">
        <v>1</v>
      </c>
      <c r="D298" s="9">
        <v>101</v>
      </c>
      <c r="E298">
        <v>1007</v>
      </c>
      <c r="F298" s="1">
        <v>44006</v>
      </c>
      <c r="G298" t="s">
        <v>90</v>
      </c>
      <c r="H298" s="4">
        <v>52.08</v>
      </c>
      <c r="I298" s="4" t="s">
        <v>16</v>
      </c>
      <c r="J298" s="4">
        <v>52.08</v>
      </c>
      <c r="K298" t="str">
        <f>IFERROR(INDEX(BusinessUnits!$B:$B,MATCH($C298,BusinessUnits!$A:$A,0)),"")</f>
        <v>FOOD SERVICE</v>
      </c>
      <c r="L298" t="str">
        <f>IFERROR(INDEX(Table1[[#All],[Description]],MATCH($C298,BusinessUnits!$A:$A,0)),"")</f>
        <v xml:space="preserve">Transactions related to food and beverage service. Includes all guest transactions in the hotel restaurants, catering-related transactions and food service payroll. </v>
      </c>
      <c r="M298" t="str">
        <f>IFERROR(INDEX(ChartOfAccounts!B297:B382,MATCH($B298,ChartOfAccounts!A297:A382,0)),"")</f>
        <v/>
      </c>
      <c r="N298" t="str">
        <f>IFERROR(INDEX(ChartOfAccounts!D:D,MATCH($B298,ChartOfAccounts!A297:A382,0)),"")</f>
        <v/>
      </c>
      <c r="O298" t="str">
        <f>IFERROR(INDEX(ChartOfAccounts!F:F,MATCH($B298,ChartOfAccounts!A297:A382,0)),"")</f>
        <v/>
      </c>
      <c r="P298" t="str" cm="1">
        <f t="array" ref="P298">IFERROR(INDEX(PreparerInfo!B297:B309,MATCH($D298&amp;$C298,PreparerInfo!A297:A309&amp;PreparerInfo!C297:C309,0)),"")</f>
        <v/>
      </c>
      <c r="Q298" t="str">
        <f>IFERROR(INDEX(Source!B297:B305,MATCH('Case 4 solution'!E298,Source!A297:A305,0)),"")</f>
        <v/>
      </c>
    </row>
    <row r="299" spans="1:17" x14ac:dyDescent="0.3">
      <c r="A299" s="3">
        <v>2033668</v>
      </c>
      <c r="B299">
        <v>11845</v>
      </c>
      <c r="C299">
        <v>1</v>
      </c>
      <c r="D299" s="9">
        <v>101</v>
      </c>
      <c r="E299">
        <v>1007</v>
      </c>
      <c r="F299" s="1">
        <v>44006</v>
      </c>
      <c r="G299" t="s">
        <v>90</v>
      </c>
      <c r="H299" s="4" t="s">
        <v>16</v>
      </c>
      <c r="I299" s="4">
        <v>-52.08</v>
      </c>
      <c r="J299" s="4">
        <v>-52.08</v>
      </c>
      <c r="K299" t="str">
        <f>IFERROR(INDEX(BusinessUnits!$B:$B,MATCH($C299,BusinessUnits!$A:$A,0)),"")</f>
        <v>FOOD SERVICE</v>
      </c>
      <c r="L299" t="str">
        <f>IFERROR(INDEX(Table1[[#All],[Description]],MATCH($C299,BusinessUnits!$A:$A,0)),"")</f>
        <v xml:space="preserve">Transactions related to food and beverage service. Includes all guest transactions in the hotel restaurants, catering-related transactions and food service payroll. </v>
      </c>
      <c r="M299" t="str">
        <f>IFERROR(INDEX(ChartOfAccounts!B298:B383,MATCH($B299,ChartOfAccounts!A298:A383,0)),"")</f>
        <v/>
      </c>
      <c r="N299" t="str">
        <f>IFERROR(INDEX(ChartOfAccounts!D:D,MATCH($B299,ChartOfAccounts!A298:A383,0)),"")</f>
        <v/>
      </c>
      <c r="O299" t="str">
        <f>IFERROR(INDEX(ChartOfAccounts!F:F,MATCH($B299,ChartOfAccounts!A298:A383,0)),"")</f>
        <v/>
      </c>
      <c r="P299" t="str" cm="1">
        <f t="array" ref="P299">IFERROR(INDEX(PreparerInfo!B298:B310,MATCH($D299&amp;$C299,PreparerInfo!A298:A310&amp;PreparerInfo!C298:C310,0)),"")</f>
        <v/>
      </c>
      <c r="Q299" t="str">
        <f>IFERROR(INDEX(Source!B298:B306,MATCH('Case 4 solution'!E299,Source!A298:A306,0)),"")</f>
        <v/>
      </c>
    </row>
    <row r="300" spans="1:17" x14ac:dyDescent="0.3">
      <c r="A300" s="3">
        <v>2033669</v>
      </c>
      <c r="B300">
        <v>14250</v>
      </c>
      <c r="C300">
        <v>3</v>
      </c>
      <c r="D300" s="9">
        <v>101</v>
      </c>
      <c r="E300">
        <v>1007</v>
      </c>
      <c r="F300" s="1">
        <v>44006</v>
      </c>
      <c r="G300" t="s">
        <v>83</v>
      </c>
      <c r="H300" s="4">
        <v>53.67</v>
      </c>
      <c r="I300" s="4" t="s">
        <v>16</v>
      </c>
      <c r="J300" s="4">
        <v>53.67</v>
      </c>
      <c r="K300" t="str">
        <f>IFERROR(INDEX(BusinessUnits!$B:$B,MATCH($C300,BusinessUnits!$A:$A,0)),"")</f>
        <v>HOTEL PANTRY</v>
      </c>
      <c r="L300" t="str">
        <f>IFERROR(INDEX(Table1[[#All],[Description]],MATCH($C300,BusinessUnits!$A:$A,0)),"")</f>
        <v>Transactions related to the hotel convenience store, including some food and beverage costs.</v>
      </c>
      <c r="M300" t="str">
        <f>IFERROR(INDEX(ChartOfAccounts!B299:B384,MATCH($B300,ChartOfAccounts!A299:A384,0)),"")</f>
        <v/>
      </c>
      <c r="N300" t="str">
        <f>IFERROR(INDEX(ChartOfAccounts!D:D,MATCH($B300,ChartOfAccounts!A299:A384,0)),"")</f>
        <v/>
      </c>
      <c r="O300" t="str">
        <f>IFERROR(INDEX(ChartOfAccounts!F:F,MATCH($B300,ChartOfAccounts!A299:A384,0)),"")</f>
        <v/>
      </c>
      <c r="P300" t="str" cm="1">
        <f t="array" ref="P300">IFERROR(INDEX(PreparerInfo!B299:B311,MATCH($D300&amp;$C300,PreparerInfo!A299:A311&amp;PreparerInfo!C299:C311,0)),"")</f>
        <v/>
      </c>
      <c r="Q300" t="str">
        <f>IFERROR(INDEX(Source!B299:B307,MATCH('Case 4 solution'!E300,Source!A299:A307,0)),"")</f>
        <v/>
      </c>
    </row>
    <row r="301" spans="1:17" x14ac:dyDescent="0.3">
      <c r="A301" s="3">
        <v>2033669</v>
      </c>
      <c r="B301">
        <v>11845</v>
      </c>
      <c r="C301">
        <v>3</v>
      </c>
      <c r="D301" s="9">
        <v>101</v>
      </c>
      <c r="E301">
        <v>1007</v>
      </c>
      <c r="F301" s="1">
        <v>44006</v>
      </c>
      <c r="G301" t="s">
        <v>83</v>
      </c>
      <c r="H301" s="4" t="s">
        <v>16</v>
      </c>
      <c r="I301" s="4">
        <v>-53.67</v>
      </c>
      <c r="J301" s="4">
        <v>-53.67</v>
      </c>
      <c r="K301" t="str">
        <f>IFERROR(INDEX(BusinessUnits!$B:$B,MATCH($C301,BusinessUnits!$A:$A,0)),"")</f>
        <v>HOTEL PANTRY</v>
      </c>
      <c r="L301" t="str">
        <f>IFERROR(INDEX(Table1[[#All],[Description]],MATCH($C301,BusinessUnits!$A:$A,0)),"")</f>
        <v>Transactions related to the hotel convenience store, including some food and beverage costs.</v>
      </c>
      <c r="M301" t="str">
        <f>IFERROR(INDEX(ChartOfAccounts!B300:B385,MATCH($B301,ChartOfAccounts!A300:A385,0)),"")</f>
        <v/>
      </c>
      <c r="N301" t="str">
        <f>IFERROR(INDEX(ChartOfAccounts!D:D,MATCH($B301,ChartOfAccounts!A300:A385,0)),"")</f>
        <v/>
      </c>
      <c r="O301" t="str">
        <f>IFERROR(INDEX(ChartOfAccounts!F:F,MATCH($B301,ChartOfAccounts!A300:A385,0)),"")</f>
        <v/>
      </c>
      <c r="P301" t="str" cm="1">
        <f t="array" ref="P301">IFERROR(INDEX(PreparerInfo!B300:B312,MATCH($D301&amp;$C301,PreparerInfo!A300:A312&amp;PreparerInfo!C300:C312,0)),"")</f>
        <v/>
      </c>
      <c r="Q301" t="str">
        <f>IFERROR(INDEX(Source!B300:B308,MATCH('Case 4 solution'!E301,Source!A300:A308,0)),"")</f>
        <v/>
      </c>
    </row>
    <row r="302" spans="1:17" x14ac:dyDescent="0.3">
      <c r="A302" s="3">
        <v>2033670</v>
      </c>
      <c r="B302">
        <v>71400</v>
      </c>
      <c r="C302">
        <v>1</v>
      </c>
      <c r="D302" s="9">
        <v>101</v>
      </c>
      <c r="E302">
        <v>1007</v>
      </c>
      <c r="F302" s="1">
        <v>44006</v>
      </c>
      <c r="G302" t="s">
        <v>148</v>
      </c>
      <c r="H302" s="4">
        <v>56.11</v>
      </c>
      <c r="I302" s="4" t="s">
        <v>16</v>
      </c>
      <c r="J302" s="4">
        <v>56.11</v>
      </c>
      <c r="K302" t="str">
        <f>IFERROR(INDEX(BusinessUnits!$B:$B,MATCH($C302,BusinessUnits!$A:$A,0)),"")</f>
        <v>FOOD SERVICE</v>
      </c>
      <c r="L302" t="str">
        <f>IFERROR(INDEX(Table1[[#All],[Description]],MATCH($C302,BusinessUnits!$A:$A,0)),"")</f>
        <v xml:space="preserve">Transactions related to food and beverage service. Includes all guest transactions in the hotel restaurants, catering-related transactions and food service payroll. </v>
      </c>
      <c r="M302" t="str">
        <f>IFERROR(INDEX(ChartOfAccounts!B301:B386,MATCH($B302,ChartOfAccounts!A301:A386,0)),"")</f>
        <v/>
      </c>
      <c r="N302" t="str">
        <f>IFERROR(INDEX(ChartOfAccounts!D:D,MATCH($B302,ChartOfAccounts!A301:A386,0)),"")</f>
        <v/>
      </c>
      <c r="O302" t="str">
        <f>IFERROR(INDEX(ChartOfAccounts!F:F,MATCH($B302,ChartOfAccounts!A301:A386,0)),"")</f>
        <v/>
      </c>
      <c r="P302" t="str" cm="1">
        <f t="array" ref="P302">IFERROR(INDEX(PreparerInfo!B301:B313,MATCH($D302&amp;$C302,PreparerInfo!A301:A313&amp;PreparerInfo!C301:C313,0)),"")</f>
        <v/>
      </c>
      <c r="Q302" t="str">
        <f>IFERROR(INDEX(Source!B301:B309,MATCH('Case 4 solution'!E302,Source!A301:A309,0)),"")</f>
        <v/>
      </c>
    </row>
    <row r="303" spans="1:17" x14ac:dyDescent="0.3">
      <c r="A303" s="3">
        <v>2033670</v>
      </c>
      <c r="B303">
        <v>11845</v>
      </c>
      <c r="C303">
        <v>1</v>
      </c>
      <c r="D303" s="9">
        <v>101</v>
      </c>
      <c r="E303">
        <v>1007</v>
      </c>
      <c r="F303" s="1">
        <v>44006</v>
      </c>
      <c r="G303" t="s">
        <v>148</v>
      </c>
      <c r="H303" s="4" t="s">
        <v>16</v>
      </c>
      <c r="I303" s="4">
        <v>-56.11</v>
      </c>
      <c r="J303" s="4">
        <v>-56.11</v>
      </c>
      <c r="K303" t="str">
        <f>IFERROR(INDEX(BusinessUnits!$B:$B,MATCH($C303,BusinessUnits!$A:$A,0)),"")</f>
        <v>FOOD SERVICE</v>
      </c>
      <c r="L303" t="str">
        <f>IFERROR(INDEX(Table1[[#All],[Description]],MATCH($C303,BusinessUnits!$A:$A,0)),"")</f>
        <v xml:space="preserve">Transactions related to food and beverage service. Includes all guest transactions in the hotel restaurants, catering-related transactions and food service payroll. </v>
      </c>
      <c r="M303" t="str">
        <f>IFERROR(INDEX(ChartOfAccounts!B302:B387,MATCH($B303,ChartOfAccounts!A302:A387,0)),"")</f>
        <v/>
      </c>
      <c r="N303" t="str">
        <f>IFERROR(INDEX(ChartOfAccounts!D:D,MATCH($B303,ChartOfAccounts!A302:A387,0)),"")</f>
        <v/>
      </c>
      <c r="O303" t="str">
        <f>IFERROR(INDEX(ChartOfAccounts!F:F,MATCH($B303,ChartOfAccounts!A302:A387,0)),"")</f>
        <v/>
      </c>
      <c r="P303" t="str" cm="1">
        <f t="array" ref="P303">IFERROR(INDEX(PreparerInfo!B302:B314,MATCH($D303&amp;$C303,PreparerInfo!A302:A314&amp;PreparerInfo!C302:C314,0)),"")</f>
        <v/>
      </c>
      <c r="Q303" t="str">
        <f>IFERROR(INDEX(Source!B302:B310,MATCH('Case 4 solution'!E303,Source!A302:A310,0)),"")</f>
        <v/>
      </c>
    </row>
    <row r="304" spans="1:17" x14ac:dyDescent="0.3">
      <c r="A304" s="3">
        <v>2033671</v>
      </c>
      <c r="B304">
        <v>71400</v>
      </c>
      <c r="C304">
        <v>1</v>
      </c>
      <c r="D304" s="9">
        <v>101</v>
      </c>
      <c r="E304">
        <v>1007</v>
      </c>
      <c r="F304" s="1">
        <v>44006</v>
      </c>
      <c r="G304" t="s">
        <v>83</v>
      </c>
      <c r="H304" s="4">
        <v>60.04</v>
      </c>
      <c r="I304" s="4" t="s">
        <v>16</v>
      </c>
      <c r="J304" s="4">
        <v>60.04</v>
      </c>
      <c r="K304" t="str">
        <f>IFERROR(INDEX(BusinessUnits!$B:$B,MATCH($C304,BusinessUnits!$A:$A,0)),"")</f>
        <v>FOOD SERVICE</v>
      </c>
      <c r="L304" t="str">
        <f>IFERROR(INDEX(Table1[[#All],[Description]],MATCH($C304,BusinessUnits!$A:$A,0)),"")</f>
        <v xml:space="preserve">Transactions related to food and beverage service. Includes all guest transactions in the hotel restaurants, catering-related transactions and food service payroll. </v>
      </c>
      <c r="M304" t="str">
        <f>IFERROR(INDEX(ChartOfAccounts!B303:B388,MATCH($B304,ChartOfAccounts!A303:A388,0)),"")</f>
        <v/>
      </c>
      <c r="N304" t="str">
        <f>IFERROR(INDEX(ChartOfAccounts!D:D,MATCH($B304,ChartOfAccounts!A303:A388,0)),"")</f>
        <v/>
      </c>
      <c r="O304" t="str">
        <f>IFERROR(INDEX(ChartOfAccounts!F:F,MATCH($B304,ChartOfAccounts!A303:A388,0)),"")</f>
        <v/>
      </c>
      <c r="P304" t="str" cm="1">
        <f t="array" ref="P304">IFERROR(INDEX(PreparerInfo!B303:B315,MATCH($D304&amp;$C304,PreparerInfo!A303:A315&amp;PreparerInfo!C303:C315,0)),"")</f>
        <v/>
      </c>
      <c r="Q304" t="str">
        <f>IFERROR(INDEX(Source!B303:B311,MATCH('Case 4 solution'!E304,Source!A303:A311,0)),"")</f>
        <v/>
      </c>
    </row>
    <row r="305" spans="1:17" x14ac:dyDescent="0.3">
      <c r="A305" s="3">
        <v>2033671</v>
      </c>
      <c r="B305">
        <v>11845</v>
      </c>
      <c r="C305">
        <v>1</v>
      </c>
      <c r="D305" s="9">
        <v>101</v>
      </c>
      <c r="E305">
        <v>1007</v>
      </c>
      <c r="F305" s="1">
        <v>44006</v>
      </c>
      <c r="G305" t="s">
        <v>83</v>
      </c>
      <c r="H305" s="4" t="s">
        <v>16</v>
      </c>
      <c r="I305" s="4">
        <v>-60.04</v>
      </c>
      <c r="J305" s="4">
        <v>-60.04</v>
      </c>
      <c r="K305" t="str">
        <f>IFERROR(INDEX(BusinessUnits!$B:$B,MATCH($C305,BusinessUnits!$A:$A,0)),"")</f>
        <v>FOOD SERVICE</v>
      </c>
      <c r="L305" t="str">
        <f>IFERROR(INDEX(Table1[[#All],[Description]],MATCH($C305,BusinessUnits!$A:$A,0)),"")</f>
        <v xml:space="preserve">Transactions related to food and beverage service. Includes all guest transactions in the hotel restaurants, catering-related transactions and food service payroll. </v>
      </c>
      <c r="M305" t="str">
        <f>IFERROR(INDEX(ChartOfAccounts!B304:B389,MATCH($B305,ChartOfAccounts!A304:A389,0)),"")</f>
        <v/>
      </c>
      <c r="N305" t="str">
        <f>IFERROR(INDEX(ChartOfAccounts!D:D,MATCH($B305,ChartOfAccounts!A304:A389,0)),"")</f>
        <v/>
      </c>
      <c r="O305" t="str">
        <f>IFERROR(INDEX(ChartOfAccounts!F:F,MATCH($B305,ChartOfAccounts!A304:A389,0)),"")</f>
        <v/>
      </c>
      <c r="P305" t="str" cm="1">
        <f t="array" ref="P305">IFERROR(INDEX(PreparerInfo!B304:B316,MATCH($D305&amp;$C305,PreparerInfo!A304:A316&amp;PreparerInfo!C304:C316,0)),"")</f>
        <v/>
      </c>
      <c r="Q305" t="str">
        <f>IFERROR(INDEX(Source!B304:B312,MATCH('Case 4 solution'!E305,Source!A304:A312,0)),"")</f>
        <v/>
      </c>
    </row>
    <row r="306" spans="1:17" x14ac:dyDescent="0.3">
      <c r="A306" s="3">
        <v>2033672</v>
      </c>
      <c r="B306">
        <v>11845</v>
      </c>
      <c r="C306">
        <v>3</v>
      </c>
      <c r="D306" s="9">
        <v>102</v>
      </c>
      <c r="E306">
        <v>1001</v>
      </c>
      <c r="F306" s="1">
        <v>44006</v>
      </c>
      <c r="G306" t="s">
        <v>41</v>
      </c>
      <c r="H306" s="4">
        <v>63.17</v>
      </c>
      <c r="I306" s="4" t="s">
        <v>16</v>
      </c>
      <c r="J306" s="4">
        <v>63.17</v>
      </c>
      <c r="K306" t="str">
        <f>IFERROR(INDEX(BusinessUnits!$B:$B,MATCH($C306,BusinessUnits!$A:$A,0)),"")</f>
        <v>HOTEL PANTRY</v>
      </c>
      <c r="L306" t="str">
        <f>IFERROR(INDEX(Table1[[#All],[Description]],MATCH($C306,BusinessUnits!$A:$A,0)),"")</f>
        <v>Transactions related to the hotel convenience store, including some food and beverage costs.</v>
      </c>
      <c r="M306" t="str">
        <f>IFERROR(INDEX(ChartOfAccounts!B305:B390,MATCH($B306,ChartOfAccounts!A305:A390,0)),"")</f>
        <v/>
      </c>
      <c r="N306" t="str">
        <f>IFERROR(INDEX(ChartOfAccounts!D:D,MATCH($B306,ChartOfAccounts!A305:A390,0)),"")</f>
        <v/>
      </c>
      <c r="O306" t="str">
        <f>IFERROR(INDEX(ChartOfAccounts!F:F,MATCH($B306,ChartOfAccounts!A305:A390,0)),"")</f>
        <v/>
      </c>
      <c r="P306" t="str" cm="1">
        <f t="array" ref="P306">IFERROR(INDEX(PreparerInfo!B305:B317,MATCH($D306&amp;$C306,PreparerInfo!A305:A317&amp;PreparerInfo!C305:C317,0)),"")</f>
        <v/>
      </c>
      <c r="Q306" t="str">
        <f>IFERROR(INDEX(Source!B305:B313,MATCH('Case 4 solution'!E306,Source!A305:A313,0)),"")</f>
        <v/>
      </c>
    </row>
    <row r="307" spans="1:17" x14ac:dyDescent="0.3">
      <c r="A307" s="3">
        <v>2033672</v>
      </c>
      <c r="B307">
        <v>43440</v>
      </c>
      <c r="C307">
        <v>3</v>
      </c>
      <c r="D307" s="9">
        <v>102</v>
      </c>
      <c r="E307">
        <v>1001</v>
      </c>
      <c r="F307" s="1">
        <v>44006</v>
      </c>
      <c r="G307" t="s">
        <v>41</v>
      </c>
      <c r="H307" s="4" t="s">
        <v>16</v>
      </c>
      <c r="I307" s="4">
        <v>-63.17</v>
      </c>
      <c r="J307" s="4">
        <v>-63.17</v>
      </c>
      <c r="K307" t="str">
        <f>IFERROR(INDEX(BusinessUnits!$B:$B,MATCH($C307,BusinessUnits!$A:$A,0)),"")</f>
        <v>HOTEL PANTRY</v>
      </c>
      <c r="L307" t="str">
        <f>IFERROR(INDEX(Table1[[#All],[Description]],MATCH($C307,BusinessUnits!$A:$A,0)),"")</f>
        <v>Transactions related to the hotel convenience store, including some food and beverage costs.</v>
      </c>
      <c r="M307" t="str">
        <f>IFERROR(INDEX(ChartOfAccounts!B306:B391,MATCH($B307,ChartOfAccounts!A306:A391,0)),"")</f>
        <v/>
      </c>
      <c r="N307" t="str">
        <f>IFERROR(INDEX(ChartOfAccounts!D:D,MATCH($B307,ChartOfAccounts!A306:A391,0)),"")</f>
        <v/>
      </c>
      <c r="O307" t="str">
        <f>IFERROR(INDEX(ChartOfAccounts!F:F,MATCH($B307,ChartOfAccounts!A306:A391,0)),"")</f>
        <v/>
      </c>
      <c r="P307" t="str" cm="1">
        <f t="array" ref="P307">IFERROR(INDEX(PreparerInfo!B306:B318,MATCH($D307&amp;$C307,PreparerInfo!A306:A318&amp;PreparerInfo!C306:C318,0)),"")</f>
        <v/>
      </c>
      <c r="Q307" t="str">
        <f>IFERROR(INDEX(Source!B306:B314,MATCH('Case 4 solution'!E307,Source!A306:A314,0)),"")</f>
        <v/>
      </c>
    </row>
    <row r="308" spans="1:17" x14ac:dyDescent="0.3">
      <c r="A308" s="3">
        <v>2033673</v>
      </c>
      <c r="B308">
        <v>71410</v>
      </c>
      <c r="C308">
        <v>3</v>
      </c>
      <c r="D308" s="9">
        <v>101</v>
      </c>
      <c r="E308">
        <v>1007</v>
      </c>
      <c r="F308" s="1">
        <v>44006</v>
      </c>
      <c r="G308" t="s">
        <v>115</v>
      </c>
      <c r="H308" s="4">
        <v>68.22</v>
      </c>
      <c r="I308" s="4" t="s">
        <v>16</v>
      </c>
      <c r="J308" s="4">
        <v>68.22</v>
      </c>
      <c r="K308" t="str">
        <f>IFERROR(INDEX(BusinessUnits!$B:$B,MATCH($C308,BusinessUnits!$A:$A,0)),"")</f>
        <v>HOTEL PANTRY</v>
      </c>
      <c r="L308" t="str">
        <f>IFERROR(INDEX(Table1[[#All],[Description]],MATCH($C308,BusinessUnits!$A:$A,0)),"")</f>
        <v>Transactions related to the hotel convenience store, including some food and beverage costs.</v>
      </c>
      <c r="M308" t="str">
        <f>IFERROR(INDEX(ChartOfAccounts!B307:B392,MATCH($B308,ChartOfAccounts!A307:A392,0)),"")</f>
        <v/>
      </c>
      <c r="N308" t="str">
        <f>IFERROR(INDEX(ChartOfAccounts!D:D,MATCH($B308,ChartOfAccounts!A307:A392,0)),"")</f>
        <v/>
      </c>
      <c r="O308" t="str">
        <f>IFERROR(INDEX(ChartOfAccounts!F:F,MATCH($B308,ChartOfAccounts!A307:A392,0)),"")</f>
        <v/>
      </c>
      <c r="P308" t="str" cm="1">
        <f t="array" ref="P308">IFERROR(INDEX(PreparerInfo!B307:B319,MATCH($D308&amp;$C308,PreparerInfo!A307:A319&amp;PreparerInfo!C307:C319,0)),"")</f>
        <v/>
      </c>
      <c r="Q308" t="str">
        <f>IFERROR(INDEX(Source!B307:B315,MATCH('Case 4 solution'!E308,Source!A307:A315,0)),"")</f>
        <v/>
      </c>
    </row>
    <row r="309" spans="1:17" x14ac:dyDescent="0.3">
      <c r="A309" s="3">
        <v>2033673</v>
      </c>
      <c r="B309">
        <v>11845</v>
      </c>
      <c r="C309">
        <v>3</v>
      </c>
      <c r="D309" s="9">
        <v>101</v>
      </c>
      <c r="E309">
        <v>1007</v>
      </c>
      <c r="F309" s="1">
        <v>44006</v>
      </c>
      <c r="G309" t="s">
        <v>115</v>
      </c>
      <c r="H309" s="4" t="s">
        <v>16</v>
      </c>
      <c r="I309" s="4">
        <v>-68.22</v>
      </c>
      <c r="J309" s="4">
        <v>-68.22</v>
      </c>
      <c r="K309" t="str">
        <f>IFERROR(INDEX(BusinessUnits!$B:$B,MATCH($C309,BusinessUnits!$A:$A,0)),"")</f>
        <v>HOTEL PANTRY</v>
      </c>
      <c r="L309" t="str">
        <f>IFERROR(INDEX(Table1[[#All],[Description]],MATCH($C309,BusinessUnits!$A:$A,0)),"")</f>
        <v>Transactions related to the hotel convenience store, including some food and beverage costs.</v>
      </c>
      <c r="M309" t="str">
        <f>IFERROR(INDEX(ChartOfAccounts!B308:B393,MATCH($B309,ChartOfAccounts!A308:A393,0)),"")</f>
        <v/>
      </c>
      <c r="N309" t="str">
        <f>IFERROR(INDEX(ChartOfAccounts!D:D,MATCH($B309,ChartOfAccounts!A308:A393,0)),"")</f>
        <v/>
      </c>
      <c r="O309" t="str">
        <f>IFERROR(INDEX(ChartOfAccounts!F:F,MATCH($B309,ChartOfAccounts!A308:A393,0)),"")</f>
        <v/>
      </c>
      <c r="P309" t="str" cm="1">
        <f t="array" ref="P309">IFERROR(INDEX(PreparerInfo!B308:B320,MATCH($D309&amp;$C309,PreparerInfo!A308:A320&amp;PreparerInfo!C308:C320,0)),"")</f>
        <v/>
      </c>
      <c r="Q309" t="str">
        <f>IFERROR(INDEX(Source!B308:B316,MATCH('Case 4 solution'!E309,Source!A308:A316,0)),"")</f>
        <v/>
      </c>
    </row>
    <row r="310" spans="1:17" x14ac:dyDescent="0.3">
      <c r="A310" s="3">
        <v>2033674</v>
      </c>
      <c r="B310">
        <v>71400</v>
      </c>
      <c r="C310">
        <v>2</v>
      </c>
      <c r="D310" s="9">
        <v>101</v>
      </c>
      <c r="E310">
        <v>1002</v>
      </c>
      <c r="F310" s="1">
        <v>44006</v>
      </c>
      <c r="G310" t="s">
        <v>233</v>
      </c>
      <c r="H310" s="4">
        <v>73.3</v>
      </c>
      <c r="I310" s="4" t="s">
        <v>16</v>
      </c>
      <c r="J310" s="4">
        <v>73.3</v>
      </c>
      <c r="K310" t="str">
        <f>IFERROR(INDEX(BusinessUnits!$B:$B,MATCH($C310,BusinessUnits!$A:$A,0)),"")</f>
        <v>HOTEL</v>
      </c>
      <c r="L310" t="str">
        <f>IFERROR(INDEX(Table1[[#All],[Description]],MATCH($C310,BusinessUnits!$A:$A,0)),"")</f>
        <v xml:space="preserve">Transactions related to guest rooms and overall hotel operations. Includes payroll for administrative staff, clerks and interns. </v>
      </c>
      <c r="M310" t="str">
        <f>IFERROR(INDEX(ChartOfAccounts!B309:B394,MATCH($B310,ChartOfAccounts!A309:A394,0)),"")</f>
        <v/>
      </c>
      <c r="N310" t="str">
        <f>IFERROR(INDEX(ChartOfAccounts!D:D,MATCH($B310,ChartOfAccounts!A309:A394,0)),"")</f>
        <v/>
      </c>
      <c r="O310" t="str">
        <f>IFERROR(INDEX(ChartOfAccounts!F:F,MATCH($B310,ChartOfAccounts!A309:A394,0)),"")</f>
        <v/>
      </c>
      <c r="P310" t="str" cm="1">
        <f t="array" ref="P310">IFERROR(INDEX(PreparerInfo!B309:B321,MATCH($D310&amp;$C310,PreparerInfo!A309:A321&amp;PreparerInfo!C309:C321,0)),"")</f>
        <v/>
      </c>
      <c r="Q310" t="str">
        <f>IFERROR(INDEX(Source!B309:B317,MATCH('Case 4 solution'!E310,Source!A309:A317,0)),"")</f>
        <v/>
      </c>
    </row>
    <row r="311" spans="1:17" x14ac:dyDescent="0.3">
      <c r="A311" s="3">
        <v>2033674</v>
      </c>
      <c r="B311">
        <v>11845</v>
      </c>
      <c r="C311">
        <v>2</v>
      </c>
      <c r="D311" s="9">
        <v>101</v>
      </c>
      <c r="E311">
        <v>1002</v>
      </c>
      <c r="F311" s="1">
        <v>44006</v>
      </c>
      <c r="G311" t="s">
        <v>233</v>
      </c>
      <c r="H311" s="4" t="s">
        <v>16</v>
      </c>
      <c r="I311" s="4">
        <v>-73.3</v>
      </c>
      <c r="J311" s="4">
        <v>-73.3</v>
      </c>
      <c r="K311" t="str">
        <f>IFERROR(INDEX(BusinessUnits!$B:$B,MATCH($C311,BusinessUnits!$A:$A,0)),"")</f>
        <v>HOTEL</v>
      </c>
      <c r="L311" t="str">
        <f>IFERROR(INDEX(Table1[[#All],[Description]],MATCH($C311,BusinessUnits!$A:$A,0)),"")</f>
        <v xml:space="preserve">Transactions related to guest rooms and overall hotel operations. Includes payroll for administrative staff, clerks and interns. </v>
      </c>
      <c r="M311" t="str">
        <f>IFERROR(INDEX(ChartOfAccounts!B310:B395,MATCH($B311,ChartOfAccounts!A310:A395,0)),"")</f>
        <v/>
      </c>
      <c r="N311" t="str">
        <f>IFERROR(INDEX(ChartOfAccounts!D:D,MATCH($B311,ChartOfAccounts!A310:A395,0)),"")</f>
        <v/>
      </c>
      <c r="O311" t="str">
        <f>IFERROR(INDEX(ChartOfAccounts!F:F,MATCH($B311,ChartOfAccounts!A310:A395,0)),"")</f>
        <v/>
      </c>
      <c r="P311" t="str" cm="1">
        <f t="array" ref="P311">IFERROR(INDEX(PreparerInfo!B310:B322,MATCH($D311&amp;$C311,PreparerInfo!A310:A322&amp;PreparerInfo!C310:C322,0)),"")</f>
        <v/>
      </c>
      <c r="Q311" t="str">
        <f>IFERROR(INDEX(Source!B310:B318,MATCH('Case 4 solution'!E311,Source!A310:A318,0)),"")</f>
        <v/>
      </c>
    </row>
    <row r="312" spans="1:17" x14ac:dyDescent="0.3">
      <c r="A312" s="3">
        <v>2033675</v>
      </c>
      <c r="B312">
        <v>11845</v>
      </c>
      <c r="C312">
        <v>1</v>
      </c>
      <c r="D312" s="9">
        <v>102</v>
      </c>
      <c r="E312">
        <v>1001</v>
      </c>
      <c r="F312" s="1">
        <v>44006</v>
      </c>
      <c r="G312" t="s">
        <v>41</v>
      </c>
      <c r="H312" s="4">
        <v>76.77</v>
      </c>
      <c r="I312" s="4" t="s">
        <v>16</v>
      </c>
      <c r="J312" s="4">
        <v>76.77</v>
      </c>
      <c r="K312" t="str">
        <f>IFERROR(INDEX(BusinessUnits!$B:$B,MATCH($C312,BusinessUnits!$A:$A,0)),"")</f>
        <v>FOOD SERVICE</v>
      </c>
      <c r="L312" t="str">
        <f>IFERROR(INDEX(Table1[[#All],[Description]],MATCH($C312,BusinessUnits!$A:$A,0)),"")</f>
        <v xml:space="preserve">Transactions related to food and beverage service. Includes all guest transactions in the hotel restaurants, catering-related transactions and food service payroll. </v>
      </c>
      <c r="M312" t="str">
        <f>IFERROR(INDEX(ChartOfAccounts!B311:B396,MATCH($B312,ChartOfAccounts!A311:A396,0)),"")</f>
        <v/>
      </c>
      <c r="N312" t="str">
        <f>IFERROR(INDEX(ChartOfAccounts!D:D,MATCH($B312,ChartOfAccounts!A311:A396,0)),"")</f>
        <v/>
      </c>
      <c r="O312" t="str">
        <f>IFERROR(INDEX(ChartOfAccounts!F:F,MATCH($B312,ChartOfAccounts!A311:A396,0)),"")</f>
        <v/>
      </c>
      <c r="P312" t="str" cm="1">
        <f t="array" ref="P312">IFERROR(INDEX(PreparerInfo!B311:B323,MATCH($D312&amp;$C312,PreparerInfo!A311:A323&amp;PreparerInfo!C311:C323,0)),"")</f>
        <v/>
      </c>
      <c r="Q312" t="str">
        <f>IFERROR(INDEX(Source!B311:B319,MATCH('Case 4 solution'!E312,Source!A311:A319,0)),"")</f>
        <v/>
      </c>
    </row>
    <row r="313" spans="1:17" x14ac:dyDescent="0.3">
      <c r="A313" s="3">
        <v>2033675</v>
      </c>
      <c r="B313">
        <v>43310</v>
      </c>
      <c r="C313">
        <v>1</v>
      </c>
      <c r="D313" s="9">
        <v>102</v>
      </c>
      <c r="E313">
        <v>1001</v>
      </c>
      <c r="F313" s="1">
        <v>44006</v>
      </c>
      <c r="G313" t="s">
        <v>41</v>
      </c>
      <c r="H313" s="4" t="s">
        <v>16</v>
      </c>
      <c r="I313" s="4">
        <v>-76.77</v>
      </c>
      <c r="J313" s="4">
        <v>-76.77</v>
      </c>
      <c r="K313" t="str">
        <f>IFERROR(INDEX(BusinessUnits!$B:$B,MATCH($C313,BusinessUnits!$A:$A,0)),"")</f>
        <v>FOOD SERVICE</v>
      </c>
      <c r="L313" t="str">
        <f>IFERROR(INDEX(Table1[[#All],[Description]],MATCH($C313,BusinessUnits!$A:$A,0)),"")</f>
        <v xml:space="preserve">Transactions related to food and beverage service. Includes all guest transactions in the hotel restaurants, catering-related transactions and food service payroll. </v>
      </c>
      <c r="M313" t="str">
        <f>IFERROR(INDEX(ChartOfAccounts!B312:B397,MATCH($B313,ChartOfAccounts!A312:A397,0)),"")</f>
        <v/>
      </c>
      <c r="N313" t="str">
        <f>IFERROR(INDEX(ChartOfAccounts!D:D,MATCH($B313,ChartOfAccounts!A312:A397,0)),"")</f>
        <v/>
      </c>
      <c r="O313" t="str">
        <f>IFERROR(INDEX(ChartOfAccounts!F:F,MATCH($B313,ChartOfAccounts!A312:A397,0)),"")</f>
        <v/>
      </c>
      <c r="P313" t="str" cm="1">
        <f t="array" ref="P313">IFERROR(INDEX(PreparerInfo!B312:B324,MATCH($D313&amp;$C313,PreparerInfo!A312:A324&amp;PreparerInfo!C312:C324,0)),"")</f>
        <v/>
      </c>
      <c r="Q313" t="str">
        <f>IFERROR(INDEX(Source!B312:B320,MATCH('Case 4 solution'!E313,Source!A312:A320,0)),"")</f>
        <v/>
      </c>
    </row>
    <row r="314" spans="1:17" x14ac:dyDescent="0.3">
      <c r="A314" s="3">
        <v>2033676</v>
      </c>
      <c r="B314">
        <v>71400</v>
      </c>
      <c r="C314">
        <v>1</v>
      </c>
      <c r="D314" s="9">
        <v>101</v>
      </c>
      <c r="E314">
        <v>1007</v>
      </c>
      <c r="F314" s="1">
        <v>44006</v>
      </c>
      <c r="G314" t="s">
        <v>83</v>
      </c>
      <c r="H314" s="4">
        <v>76.97</v>
      </c>
      <c r="I314" s="4" t="s">
        <v>16</v>
      </c>
      <c r="J314" s="4">
        <v>76.97</v>
      </c>
      <c r="K314" t="str">
        <f>IFERROR(INDEX(BusinessUnits!$B:$B,MATCH($C314,BusinessUnits!$A:$A,0)),"")</f>
        <v>FOOD SERVICE</v>
      </c>
      <c r="L314" t="str">
        <f>IFERROR(INDEX(Table1[[#All],[Description]],MATCH($C314,BusinessUnits!$A:$A,0)),"")</f>
        <v xml:space="preserve">Transactions related to food and beverage service. Includes all guest transactions in the hotel restaurants, catering-related transactions and food service payroll. </v>
      </c>
      <c r="M314" t="str">
        <f>IFERROR(INDEX(ChartOfAccounts!B313:B398,MATCH($B314,ChartOfAccounts!A313:A398,0)),"")</f>
        <v/>
      </c>
      <c r="N314" t="str">
        <f>IFERROR(INDEX(ChartOfAccounts!D:D,MATCH($B314,ChartOfAccounts!A313:A398,0)),"")</f>
        <v/>
      </c>
      <c r="O314" t="str">
        <f>IFERROR(INDEX(ChartOfAccounts!F:F,MATCH($B314,ChartOfAccounts!A313:A398,0)),"")</f>
        <v/>
      </c>
      <c r="P314" t="str" cm="1">
        <f t="array" ref="P314">IFERROR(INDEX(PreparerInfo!B313:B325,MATCH($D314&amp;$C314,PreparerInfo!A313:A325&amp;PreparerInfo!C313:C325,0)),"")</f>
        <v/>
      </c>
      <c r="Q314" t="str">
        <f>IFERROR(INDEX(Source!B313:B321,MATCH('Case 4 solution'!E314,Source!A313:A321,0)),"")</f>
        <v/>
      </c>
    </row>
    <row r="315" spans="1:17" x14ac:dyDescent="0.3">
      <c r="A315" s="3">
        <v>2033676</v>
      </c>
      <c r="B315">
        <v>11845</v>
      </c>
      <c r="C315">
        <v>1</v>
      </c>
      <c r="D315" s="9">
        <v>101</v>
      </c>
      <c r="E315">
        <v>1007</v>
      </c>
      <c r="F315" s="1">
        <v>44006</v>
      </c>
      <c r="G315" t="s">
        <v>83</v>
      </c>
      <c r="H315" s="4" t="s">
        <v>16</v>
      </c>
      <c r="I315" s="4">
        <v>-76.97</v>
      </c>
      <c r="J315" s="4">
        <v>-76.97</v>
      </c>
      <c r="K315" t="str">
        <f>IFERROR(INDEX(BusinessUnits!$B:$B,MATCH($C315,BusinessUnits!$A:$A,0)),"")</f>
        <v>FOOD SERVICE</v>
      </c>
      <c r="L315" t="str">
        <f>IFERROR(INDEX(Table1[[#All],[Description]],MATCH($C315,BusinessUnits!$A:$A,0)),"")</f>
        <v xml:space="preserve">Transactions related to food and beverage service. Includes all guest transactions in the hotel restaurants, catering-related transactions and food service payroll. </v>
      </c>
      <c r="M315" t="str">
        <f>IFERROR(INDEX(ChartOfAccounts!B314:B399,MATCH($B315,ChartOfAccounts!A314:A399,0)),"")</f>
        <v/>
      </c>
      <c r="N315" t="str">
        <f>IFERROR(INDEX(ChartOfAccounts!D:D,MATCH($B315,ChartOfAccounts!A314:A399,0)),"")</f>
        <v/>
      </c>
      <c r="O315" t="str">
        <f>IFERROR(INDEX(ChartOfAccounts!F:F,MATCH($B315,ChartOfAccounts!A314:A399,0)),"")</f>
        <v/>
      </c>
      <c r="P315" t="str" cm="1">
        <f t="array" ref="P315">IFERROR(INDEX(PreparerInfo!B314:B326,MATCH($D315&amp;$C315,PreparerInfo!A314:A326&amp;PreparerInfo!C314:C326,0)),"")</f>
        <v/>
      </c>
      <c r="Q315" t="str">
        <f>IFERROR(INDEX(Source!B314:B322,MATCH('Case 4 solution'!E315,Source!A314:A322,0)),"")</f>
        <v/>
      </c>
    </row>
    <row r="316" spans="1:17" x14ac:dyDescent="0.3">
      <c r="A316" s="3">
        <v>2033677</v>
      </c>
      <c r="B316">
        <v>11845</v>
      </c>
      <c r="C316">
        <v>3</v>
      </c>
      <c r="D316" s="9">
        <v>102</v>
      </c>
      <c r="E316">
        <v>1003</v>
      </c>
      <c r="F316" s="1">
        <v>44006</v>
      </c>
      <c r="G316" t="s">
        <v>15</v>
      </c>
      <c r="H316" s="4">
        <v>86.83</v>
      </c>
      <c r="I316" s="4" t="s">
        <v>16</v>
      </c>
      <c r="J316" s="4">
        <v>86.83</v>
      </c>
      <c r="K316" t="str">
        <f>IFERROR(INDEX(BusinessUnits!$B:$B,MATCH($C316,BusinessUnits!$A:$A,0)),"")</f>
        <v>HOTEL PANTRY</v>
      </c>
      <c r="L316" t="str">
        <f>IFERROR(INDEX(Table1[[#All],[Description]],MATCH($C316,BusinessUnits!$A:$A,0)),"")</f>
        <v>Transactions related to the hotel convenience store, including some food and beverage costs.</v>
      </c>
      <c r="M316" t="str">
        <f>IFERROR(INDEX(ChartOfAccounts!B315:B400,MATCH($B316,ChartOfAccounts!A315:A400,0)),"")</f>
        <v/>
      </c>
      <c r="N316" t="str">
        <f>IFERROR(INDEX(ChartOfAccounts!D:D,MATCH($B316,ChartOfAccounts!A315:A400,0)),"")</f>
        <v/>
      </c>
      <c r="O316" t="str">
        <f>IFERROR(INDEX(ChartOfAccounts!F:F,MATCH($B316,ChartOfAccounts!A315:A400,0)),"")</f>
        <v/>
      </c>
      <c r="P316" t="str" cm="1">
        <f t="array" ref="P316">IFERROR(INDEX(PreparerInfo!B315:B327,MATCH($D316&amp;$C316,PreparerInfo!A315:A327&amp;PreparerInfo!C315:C327,0)),"")</f>
        <v/>
      </c>
      <c r="Q316" t="str">
        <f>IFERROR(INDEX(Source!B315:B323,MATCH('Case 4 solution'!E316,Source!A315:A323,0)),"")</f>
        <v/>
      </c>
    </row>
    <row r="317" spans="1:17" x14ac:dyDescent="0.3">
      <c r="A317" s="3">
        <v>2033677</v>
      </c>
      <c r="B317">
        <v>43440</v>
      </c>
      <c r="C317">
        <v>3</v>
      </c>
      <c r="D317" s="9">
        <v>102</v>
      </c>
      <c r="E317">
        <v>1003</v>
      </c>
      <c r="F317" s="1">
        <v>44006</v>
      </c>
      <c r="G317" t="s">
        <v>15</v>
      </c>
      <c r="H317" s="4" t="s">
        <v>16</v>
      </c>
      <c r="I317" s="4">
        <v>-86.83</v>
      </c>
      <c r="J317" s="4">
        <v>-86.83</v>
      </c>
      <c r="K317" t="str">
        <f>IFERROR(INDEX(BusinessUnits!$B:$B,MATCH($C317,BusinessUnits!$A:$A,0)),"")</f>
        <v>HOTEL PANTRY</v>
      </c>
      <c r="L317" t="str">
        <f>IFERROR(INDEX(Table1[[#All],[Description]],MATCH($C317,BusinessUnits!$A:$A,0)),"")</f>
        <v>Transactions related to the hotel convenience store, including some food and beverage costs.</v>
      </c>
      <c r="M317" t="str">
        <f>IFERROR(INDEX(ChartOfAccounts!B316:B401,MATCH($B317,ChartOfAccounts!A316:A401,0)),"")</f>
        <v/>
      </c>
      <c r="N317" t="str">
        <f>IFERROR(INDEX(ChartOfAccounts!D:D,MATCH($B317,ChartOfAccounts!A316:A401,0)),"")</f>
        <v/>
      </c>
      <c r="O317" t="str">
        <f>IFERROR(INDEX(ChartOfAccounts!F:F,MATCH($B317,ChartOfAccounts!A316:A401,0)),"")</f>
        <v/>
      </c>
      <c r="P317" t="str" cm="1">
        <f t="array" ref="P317">IFERROR(INDEX(PreparerInfo!B316:B328,MATCH($D317&amp;$C317,PreparerInfo!A316:A328&amp;PreparerInfo!C316:C328,0)),"")</f>
        <v/>
      </c>
      <c r="Q317" t="str">
        <f>IFERROR(INDEX(Source!B316:B324,MATCH('Case 4 solution'!E317,Source!A316:A324,0)),"")</f>
        <v/>
      </c>
    </row>
    <row r="318" spans="1:17" x14ac:dyDescent="0.3">
      <c r="A318" s="3">
        <v>2033678</v>
      </c>
      <c r="B318">
        <v>74203</v>
      </c>
      <c r="C318">
        <v>1</v>
      </c>
      <c r="D318" s="9">
        <v>101</v>
      </c>
      <c r="E318">
        <v>1007</v>
      </c>
      <c r="F318" s="1">
        <v>44006</v>
      </c>
      <c r="G318" t="s">
        <v>136</v>
      </c>
      <c r="H318" s="4">
        <v>94</v>
      </c>
      <c r="I318" s="4" t="s">
        <v>16</v>
      </c>
      <c r="J318" s="4">
        <v>94</v>
      </c>
      <c r="K318" t="str">
        <f>IFERROR(INDEX(BusinessUnits!$B:$B,MATCH($C318,BusinessUnits!$A:$A,0)),"")</f>
        <v>FOOD SERVICE</v>
      </c>
      <c r="L318" t="str">
        <f>IFERROR(INDEX(Table1[[#All],[Description]],MATCH($C318,BusinessUnits!$A:$A,0)),"")</f>
        <v xml:space="preserve">Transactions related to food and beverage service. Includes all guest transactions in the hotel restaurants, catering-related transactions and food service payroll. </v>
      </c>
      <c r="M318" t="str">
        <f>IFERROR(INDEX(ChartOfAccounts!B317:B402,MATCH($B318,ChartOfAccounts!A317:A402,0)),"")</f>
        <v/>
      </c>
      <c r="N318" t="str">
        <f>IFERROR(INDEX(ChartOfAccounts!D:D,MATCH($B318,ChartOfAccounts!A317:A402,0)),"")</f>
        <v/>
      </c>
      <c r="O318" t="str">
        <f>IFERROR(INDEX(ChartOfAccounts!F:F,MATCH($B318,ChartOfAccounts!A317:A402,0)),"")</f>
        <v/>
      </c>
      <c r="P318" t="str" cm="1">
        <f t="array" ref="P318">IFERROR(INDEX(PreparerInfo!B317:B329,MATCH($D318&amp;$C318,PreparerInfo!A317:A329&amp;PreparerInfo!C317:C329,0)),"")</f>
        <v/>
      </c>
      <c r="Q318" t="str">
        <f>IFERROR(INDEX(Source!B317:B325,MATCH('Case 4 solution'!E318,Source!A317:A325,0)),"")</f>
        <v/>
      </c>
    </row>
    <row r="319" spans="1:17" x14ac:dyDescent="0.3">
      <c r="A319" s="3">
        <v>2033678</v>
      </c>
      <c r="B319">
        <v>11845</v>
      </c>
      <c r="C319">
        <v>1</v>
      </c>
      <c r="D319" s="9">
        <v>101</v>
      </c>
      <c r="E319">
        <v>1007</v>
      </c>
      <c r="F319" s="1">
        <v>44006</v>
      </c>
      <c r="G319" t="s">
        <v>136</v>
      </c>
      <c r="H319" s="4" t="s">
        <v>16</v>
      </c>
      <c r="I319" s="4">
        <v>-94</v>
      </c>
      <c r="J319" s="4">
        <v>-94</v>
      </c>
      <c r="K319" t="str">
        <f>IFERROR(INDEX(BusinessUnits!$B:$B,MATCH($C319,BusinessUnits!$A:$A,0)),"")</f>
        <v>FOOD SERVICE</v>
      </c>
      <c r="L319" t="str">
        <f>IFERROR(INDEX(Table1[[#All],[Description]],MATCH($C319,BusinessUnits!$A:$A,0)),"")</f>
        <v xml:space="preserve">Transactions related to food and beverage service. Includes all guest transactions in the hotel restaurants, catering-related transactions and food service payroll. </v>
      </c>
      <c r="M319" t="str">
        <f>IFERROR(INDEX(ChartOfAccounts!B318:B403,MATCH($B319,ChartOfAccounts!A318:A403,0)),"")</f>
        <v/>
      </c>
      <c r="N319" t="str">
        <f>IFERROR(INDEX(ChartOfAccounts!D:D,MATCH($B319,ChartOfAccounts!A318:A403,0)),"")</f>
        <v/>
      </c>
      <c r="O319" t="str">
        <f>IFERROR(INDEX(ChartOfAccounts!F:F,MATCH($B319,ChartOfAccounts!A318:A403,0)),"")</f>
        <v/>
      </c>
      <c r="P319" t="str" cm="1">
        <f t="array" ref="P319">IFERROR(INDEX(PreparerInfo!B318:B330,MATCH($D319&amp;$C319,PreparerInfo!A318:A330&amp;PreparerInfo!C318:C330,0)),"")</f>
        <v/>
      </c>
      <c r="Q319" t="str">
        <f>IFERROR(INDEX(Source!B318:B326,MATCH('Case 4 solution'!E319,Source!A318:A326,0)),"")</f>
        <v/>
      </c>
    </row>
    <row r="320" spans="1:17" x14ac:dyDescent="0.3">
      <c r="A320" s="3">
        <v>2033679</v>
      </c>
      <c r="B320">
        <v>71400</v>
      </c>
      <c r="C320">
        <v>1</v>
      </c>
      <c r="D320" s="9">
        <v>101</v>
      </c>
      <c r="E320">
        <v>1007</v>
      </c>
      <c r="F320" s="1">
        <v>44006</v>
      </c>
      <c r="G320" t="s">
        <v>92</v>
      </c>
      <c r="H320" s="4">
        <v>94.68</v>
      </c>
      <c r="I320" s="4" t="s">
        <v>16</v>
      </c>
      <c r="J320" s="4">
        <v>94.68</v>
      </c>
      <c r="K320" t="str">
        <f>IFERROR(INDEX(BusinessUnits!$B:$B,MATCH($C320,BusinessUnits!$A:$A,0)),"")</f>
        <v>FOOD SERVICE</v>
      </c>
      <c r="L320" t="str">
        <f>IFERROR(INDEX(Table1[[#All],[Description]],MATCH($C320,BusinessUnits!$A:$A,0)),"")</f>
        <v xml:space="preserve">Transactions related to food and beverage service. Includes all guest transactions in the hotel restaurants, catering-related transactions and food service payroll. </v>
      </c>
      <c r="M320" t="str">
        <f>IFERROR(INDEX(ChartOfAccounts!B319:B404,MATCH($B320,ChartOfAccounts!A319:A404,0)),"")</f>
        <v/>
      </c>
      <c r="N320" t="str">
        <f>IFERROR(INDEX(ChartOfAccounts!D:D,MATCH($B320,ChartOfAccounts!A319:A404,0)),"")</f>
        <v/>
      </c>
      <c r="O320" t="str">
        <f>IFERROR(INDEX(ChartOfAccounts!F:F,MATCH($B320,ChartOfAccounts!A319:A404,0)),"")</f>
        <v/>
      </c>
      <c r="P320" t="str" cm="1">
        <f t="array" ref="P320">IFERROR(INDEX(PreparerInfo!B319:B331,MATCH($D320&amp;$C320,PreparerInfo!A319:A331&amp;PreparerInfo!C319:C331,0)),"")</f>
        <v/>
      </c>
      <c r="Q320" t="str">
        <f>IFERROR(INDEX(Source!B319:B327,MATCH('Case 4 solution'!E320,Source!A319:A327,0)),"")</f>
        <v/>
      </c>
    </row>
    <row r="321" spans="1:17" x14ac:dyDescent="0.3">
      <c r="A321" s="3">
        <v>2033679</v>
      </c>
      <c r="B321">
        <v>11845</v>
      </c>
      <c r="C321">
        <v>1</v>
      </c>
      <c r="D321" s="9">
        <v>101</v>
      </c>
      <c r="E321">
        <v>1007</v>
      </c>
      <c r="F321" s="1">
        <v>44006</v>
      </c>
      <c r="G321" t="s">
        <v>92</v>
      </c>
      <c r="H321" s="4" t="s">
        <v>16</v>
      </c>
      <c r="I321" s="4">
        <v>-94.68</v>
      </c>
      <c r="J321" s="4">
        <v>-94.68</v>
      </c>
      <c r="K321" t="str">
        <f>IFERROR(INDEX(BusinessUnits!$B:$B,MATCH($C321,BusinessUnits!$A:$A,0)),"")</f>
        <v>FOOD SERVICE</v>
      </c>
      <c r="L321" t="str">
        <f>IFERROR(INDEX(Table1[[#All],[Description]],MATCH($C321,BusinessUnits!$A:$A,0)),"")</f>
        <v xml:space="preserve">Transactions related to food and beverage service. Includes all guest transactions in the hotel restaurants, catering-related transactions and food service payroll. </v>
      </c>
      <c r="M321" t="str">
        <f>IFERROR(INDEX(ChartOfAccounts!B320:B405,MATCH($B321,ChartOfAccounts!A320:A405,0)),"")</f>
        <v/>
      </c>
      <c r="N321" t="str">
        <f>IFERROR(INDEX(ChartOfAccounts!D:D,MATCH($B321,ChartOfAccounts!A320:A405,0)),"")</f>
        <v/>
      </c>
      <c r="O321" t="str">
        <f>IFERROR(INDEX(ChartOfAccounts!F:F,MATCH($B321,ChartOfAccounts!A320:A405,0)),"")</f>
        <v/>
      </c>
      <c r="P321" t="str" cm="1">
        <f t="array" ref="P321">IFERROR(INDEX(PreparerInfo!B320:B332,MATCH($D321&amp;$C321,PreparerInfo!A320:A332&amp;PreparerInfo!C320:C332,0)),"")</f>
        <v/>
      </c>
      <c r="Q321" t="str">
        <f>IFERROR(INDEX(Source!B320:B328,MATCH('Case 4 solution'!E321,Source!A320:A328,0)),"")</f>
        <v/>
      </c>
    </row>
    <row r="322" spans="1:17" x14ac:dyDescent="0.3">
      <c r="A322" s="3">
        <v>2033680</v>
      </c>
      <c r="B322">
        <v>71400</v>
      </c>
      <c r="C322">
        <v>1</v>
      </c>
      <c r="D322" s="9">
        <v>101</v>
      </c>
      <c r="E322">
        <v>1007</v>
      </c>
      <c r="F322" s="1">
        <v>44006</v>
      </c>
      <c r="G322" t="s">
        <v>83</v>
      </c>
      <c r="H322" s="4">
        <v>95.6</v>
      </c>
      <c r="I322" s="4" t="s">
        <v>16</v>
      </c>
      <c r="J322" s="4">
        <v>95.6</v>
      </c>
      <c r="K322" t="str">
        <f>IFERROR(INDEX(BusinessUnits!$B:$B,MATCH($C322,BusinessUnits!$A:$A,0)),"")</f>
        <v>FOOD SERVICE</v>
      </c>
      <c r="L322" t="str">
        <f>IFERROR(INDEX(Table1[[#All],[Description]],MATCH($C322,BusinessUnits!$A:$A,0)),"")</f>
        <v xml:space="preserve">Transactions related to food and beverage service. Includes all guest transactions in the hotel restaurants, catering-related transactions and food service payroll. </v>
      </c>
      <c r="M322" t="str">
        <f>IFERROR(INDEX(ChartOfAccounts!B321:B406,MATCH($B322,ChartOfAccounts!A321:A406,0)),"")</f>
        <v/>
      </c>
      <c r="N322" t="str">
        <f>IFERROR(INDEX(ChartOfAccounts!D:D,MATCH($B322,ChartOfAccounts!A321:A406,0)),"")</f>
        <v/>
      </c>
      <c r="O322" t="str">
        <f>IFERROR(INDEX(ChartOfAccounts!F:F,MATCH($B322,ChartOfAccounts!A321:A406,0)),"")</f>
        <v/>
      </c>
      <c r="P322" t="str" cm="1">
        <f t="array" ref="P322">IFERROR(INDEX(PreparerInfo!B321:B333,MATCH($D322&amp;$C322,PreparerInfo!A321:A333&amp;PreparerInfo!C321:C333,0)),"")</f>
        <v/>
      </c>
      <c r="Q322" t="str">
        <f>IFERROR(INDEX(Source!B321:B329,MATCH('Case 4 solution'!E322,Source!A321:A329,0)),"")</f>
        <v/>
      </c>
    </row>
    <row r="323" spans="1:17" x14ac:dyDescent="0.3">
      <c r="A323" s="3">
        <v>2033680</v>
      </c>
      <c r="B323">
        <v>11845</v>
      </c>
      <c r="C323">
        <v>1</v>
      </c>
      <c r="D323" s="9">
        <v>101</v>
      </c>
      <c r="E323">
        <v>1007</v>
      </c>
      <c r="F323" s="1">
        <v>44006</v>
      </c>
      <c r="G323" t="s">
        <v>83</v>
      </c>
      <c r="H323" s="4" t="s">
        <v>16</v>
      </c>
      <c r="I323" s="4">
        <v>-95.6</v>
      </c>
      <c r="J323" s="4">
        <v>-95.6</v>
      </c>
      <c r="K323" t="str">
        <f>IFERROR(INDEX(BusinessUnits!$B:$B,MATCH($C323,BusinessUnits!$A:$A,0)),"")</f>
        <v>FOOD SERVICE</v>
      </c>
      <c r="L323" t="str">
        <f>IFERROR(INDEX(Table1[[#All],[Description]],MATCH($C323,BusinessUnits!$A:$A,0)),"")</f>
        <v xml:space="preserve">Transactions related to food and beverage service. Includes all guest transactions in the hotel restaurants, catering-related transactions and food service payroll. </v>
      </c>
      <c r="M323" t="str">
        <f>IFERROR(INDEX(ChartOfAccounts!B322:B407,MATCH($B323,ChartOfAccounts!A322:A407,0)),"")</f>
        <v/>
      </c>
      <c r="N323" t="str">
        <f>IFERROR(INDEX(ChartOfAccounts!D:D,MATCH($B323,ChartOfAccounts!A322:A407,0)),"")</f>
        <v/>
      </c>
      <c r="O323" t="str">
        <f>IFERROR(INDEX(ChartOfAccounts!F:F,MATCH($B323,ChartOfAccounts!A322:A407,0)),"")</f>
        <v/>
      </c>
      <c r="P323" t="str" cm="1">
        <f t="array" ref="P323">IFERROR(INDEX(PreparerInfo!B322:B334,MATCH($D323&amp;$C323,PreparerInfo!A322:A334&amp;PreparerInfo!C322:C334,0)),"")</f>
        <v/>
      </c>
      <c r="Q323" t="str">
        <f>IFERROR(INDEX(Source!B322:B330,MATCH('Case 4 solution'!E323,Source!A322:A330,0)),"")</f>
        <v/>
      </c>
    </row>
    <row r="324" spans="1:17" x14ac:dyDescent="0.3">
      <c r="A324" s="3">
        <v>2033681</v>
      </c>
      <c r="B324">
        <v>11845</v>
      </c>
      <c r="C324">
        <v>1</v>
      </c>
      <c r="D324" s="9">
        <v>101</v>
      </c>
      <c r="E324">
        <v>1007</v>
      </c>
      <c r="F324" s="1">
        <v>44006</v>
      </c>
      <c r="G324" t="s">
        <v>204</v>
      </c>
      <c r="H324" s="4">
        <v>99</v>
      </c>
      <c r="I324" s="4" t="s">
        <v>16</v>
      </c>
      <c r="J324" s="4">
        <v>99</v>
      </c>
      <c r="K324" t="str">
        <f>IFERROR(INDEX(BusinessUnits!$B:$B,MATCH($C324,BusinessUnits!$A:$A,0)),"")</f>
        <v>FOOD SERVICE</v>
      </c>
      <c r="L324" t="str">
        <f>IFERROR(INDEX(Table1[[#All],[Description]],MATCH($C324,BusinessUnits!$A:$A,0)),"")</f>
        <v xml:space="preserve">Transactions related to food and beverage service. Includes all guest transactions in the hotel restaurants, catering-related transactions and food service payroll. </v>
      </c>
      <c r="M324" t="str">
        <f>IFERROR(INDEX(ChartOfAccounts!B323:B408,MATCH($B324,ChartOfAccounts!A323:A408,0)),"")</f>
        <v/>
      </c>
      <c r="N324" t="str">
        <f>IFERROR(INDEX(ChartOfAccounts!D:D,MATCH($B324,ChartOfAccounts!A323:A408,0)),"")</f>
        <v/>
      </c>
      <c r="O324" t="str">
        <f>IFERROR(INDEX(ChartOfAccounts!F:F,MATCH($B324,ChartOfAccounts!A323:A408,0)),"")</f>
        <v/>
      </c>
      <c r="P324" t="str" cm="1">
        <f t="array" ref="P324">IFERROR(INDEX(PreparerInfo!B323:B335,MATCH($D324&amp;$C324,PreparerInfo!A323:A335&amp;PreparerInfo!C323:C335,0)),"")</f>
        <v/>
      </c>
      <c r="Q324" t="str">
        <f>IFERROR(INDEX(Source!B323:B331,MATCH('Case 4 solution'!E324,Source!A323:A331,0)),"")</f>
        <v/>
      </c>
    </row>
    <row r="325" spans="1:17" x14ac:dyDescent="0.3">
      <c r="A325" s="3">
        <v>2033681</v>
      </c>
      <c r="B325">
        <v>72723</v>
      </c>
      <c r="C325">
        <v>1</v>
      </c>
      <c r="D325" s="9">
        <v>101</v>
      </c>
      <c r="E325">
        <v>1007</v>
      </c>
      <c r="F325" s="1">
        <v>44006</v>
      </c>
      <c r="G325" t="s">
        <v>204</v>
      </c>
      <c r="H325" s="4" t="s">
        <v>16</v>
      </c>
      <c r="I325" s="4">
        <v>-99</v>
      </c>
      <c r="J325" s="4">
        <v>-99</v>
      </c>
      <c r="K325" t="str">
        <f>IFERROR(INDEX(BusinessUnits!$B:$B,MATCH($C325,BusinessUnits!$A:$A,0)),"")</f>
        <v>FOOD SERVICE</v>
      </c>
      <c r="L325" t="str">
        <f>IFERROR(INDEX(Table1[[#All],[Description]],MATCH($C325,BusinessUnits!$A:$A,0)),"")</f>
        <v xml:space="preserve">Transactions related to food and beverage service. Includes all guest transactions in the hotel restaurants, catering-related transactions and food service payroll. </v>
      </c>
      <c r="M325" t="str">
        <f>IFERROR(INDEX(ChartOfAccounts!B324:B409,MATCH($B325,ChartOfAccounts!A324:A409,0)),"")</f>
        <v/>
      </c>
      <c r="N325" t="str">
        <f>IFERROR(INDEX(ChartOfAccounts!D:D,MATCH($B325,ChartOfAccounts!A324:A409,0)),"")</f>
        <v/>
      </c>
      <c r="O325" t="str">
        <f>IFERROR(INDEX(ChartOfAccounts!F:F,MATCH($B325,ChartOfAccounts!A324:A409,0)),"")</f>
        <v/>
      </c>
      <c r="P325" t="str" cm="1">
        <f t="array" ref="P325">IFERROR(INDEX(PreparerInfo!B324:B336,MATCH($D325&amp;$C325,PreparerInfo!A324:A336&amp;PreparerInfo!C324:C336,0)),"")</f>
        <v/>
      </c>
      <c r="Q325" t="str">
        <f>IFERROR(INDEX(Source!B324:B332,MATCH('Case 4 solution'!E325,Source!A324:A332,0)),"")</f>
        <v/>
      </c>
    </row>
    <row r="326" spans="1:17" x14ac:dyDescent="0.3">
      <c r="A326" s="3">
        <v>2033682</v>
      </c>
      <c r="B326">
        <v>14260</v>
      </c>
      <c r="C326">
        <v>1</v>
      </c>
      <c r="D326" s="9">
        <v>101</v>
      </c>
      <c r="E326">
        <v>1007</v>
      </c>
      <c r="F326" s="1">
        <v>44006</v>
      </c>
      <c r="G326" t="s">
        <v>86</v>
      </c>
      <c r="H326" s="4">
        <v>100.35</v>
      </c>
      <c r="I326" s="4" t="s">
        <v>16</v>
      </c>
      <c r="J326" s="4">
        <v>100.35</v>
      </c>
      <c r="K326" t="str">
        <f>IFERROR(INDEX(BusinessUnits!$B:$B,MATCH($C326,BusinessUnits!$A:$A,0)),"")</f>
        <v>FOOD SERVICE</v>
      </c>
      <c r="L326" t="str">
        <f>IFERROR(INDEX(Table1[[#All],[Description]],MATCH($C326,BusinessUnits!$A:$A,0)),"")</f>
        <v xml:space="preserve">Transactions related to food and beverage service. Includes all guest transactions in the hotel restaurants, catering-related transactions and food service payroll. </v>
      </c>
      <c r="M326" t="str">
        <f>IFERROR(INDEX(ChartOfAccounts!B325:B410,MATCH($B326,ChartOfAccounts!A325:A410,0)),"")</f>
        <v/>
      </c>
      <c r="N326" t="str">
        <f>IFERROR(INDEX(ChartOfAccounts!D:D,MATCH($B326,ChartOfAccounts!A325:A410,0)),"")</f>
        <v/>
      </c>
      <c r="O326" t="str">
        <f>IFERROR(INDEX(ChartOfAccounts!F:F,MATCH($B326,ChartOfAccounts!A325:A410,0)),"")</f>
        <v/>
      </c>
      <c r="P326" t="str" cm="1">
        <f t="array" ref="P326">IFERROR(INDEX(PreparerInfo!B325:B337,MATCH($D326&amp;$C326,PreparerInfo!A325:A337&amp;PreparerInfo!C325:C337,0)),"")</f>
        <v/>
      </c>
      <c r="Q326" t="str">
        <f>IFERROR(INDEX(Source!B325:B333,MATCH('Case 4 solution'!E326,Source!A325:A333,0)),"")</f>
        <v/>
      </c>
    </row>
    <row r="327" spans="1:17" x14ac:dyDescent="0.3">
      <c r="A327" s="3">
        <v>2033682</v>
      </c>
      <c r="B327">
        <v>11845</v>
      </c>
      <c r="C327">
        <v>1</v>
      </c>
      <c r="D327" s="9">
        <v>101</v>
      </c>
      <c r="E327">
        <v>1007</v>
      </c>
      <c r="F327" s="1">
        <v>44006</v>
      </c>
      <c r="G327" t="s">
        <v>86</v>
      </c>
      <c r="H327" s="4" t="s">
        <v>16</v>
      </c>
      <c r="I327" s="4">
        <v>-100.35</v>
      </c>
      <c r="J327" s="4">
        <v>-100.35</v>
      </c>
      <c r="K327" t="str">
        <f>IFERROR(INDEX(BusinessUnits!$B:$B,MATCH($C327,BusinessUnits!$A:$A,0)),"")</f>
        <v>FOOD SERVICE</v>
      </c>
      <c r="L327" t="str">
        <f>IFERROR(INDEX(Table1[[#All],[Description]],MATCH($C327,BusinessUnits!$A:$A,0)),"")</f>
        <v xml:space="preserve">Transactions related to food and beverage service. Includes all guest transactions in the hotel restaurants, catering-related transactions and food service payroll. </v>
      </c>
      <c r="M327" t="str">
        <f>IFERROR(INDEX(ChartOfAccounts!B326:B411,MATCH($B327,ChartOfAccounts!A326:A411,0)),"")</f>
        <v/>
      </c>
      <c r="N327" t="str">
        <f>IFERROR(INDEX(ChartOfAccounts!D:D,MATCH($B327,ChartOfAccounts!A326:A411,0)),"")</f>
        <v/>
      </c>
      <c r="O327" t="str">
        <f>IFERROR(INDEX(ChartOfAccounts!F:F,MATCH($B327,ChartOfAccounts!A326:A411,0)),"")</f>
        <v/>
      </c>
      <c r="P327" t="str" cm="1">
        <f t="array" ref="P327">IFERROR(INDEX(PreparerInfo!B326:B338,MATCH($D327&amp;$C327,PreparerInfo!A326:A338&amp;PreparerInfo!C326:C338,0)),"")</f>
        <v/>
      </c>
      <c r="Q327" t="str">
        <f>IFERROR(INDEX(Source!B326:B334,MATCH('Case 4 solution'!E327,Source!A326:A334,0)),"")</f>
        <v/>
      </c>
    </row>
    <row r="328" spans="1:17" x14ac:dyDescent="0.3">
      <c r="A328" s="3">
        <v>2033683</v>
      </c>
      <c r="B328">
        <v>71400</v>
      </c>
      <c r="C328">
        <v>1</v>
      </c>
      <c r="D328" s="9">
        <v>101</v>
      </c>
      <c r="E328">
        <v>1007</v>
      </c>
      <c r="F328" s="1">
        <v>44006</v>
      </c>
      <c r="G328" t="s">
        <v>198</v>
      </c>
      <c r="H328" s="4">
        <v>119.4</v>
      </c>
      <c r="I328" s="4" t="s">
        <v>16</v>
      </c>
      <c r="J328" s="4">
        <v>119.4</v>
      </c>
      <c r="K328" t="str">
        <f>IFERROR(INDEX(BusinessUnits!$B:$B,MATCH($C328,BusinessUnits!$A:$A,0)),"")</f>
        <v>FOOD SERVICE</v>
      </c>
      <c r="L328" t="str">
        <f>IFERROR(INDEX(Table1[[#All],[Description]],MATCH($C328,BusinessUnits!$A:$A,0)),"")</f>
        <v xml:space="preserve">Transactions related to food and beverage service. Includes all guest transactions in the hotel restaurants, catering-related transactions and food service payroll. </v>
      </c>
      <c r="M328" t="str">
        <f>IFERROR(INDEX(ChartOfAccounts!B327:B412,MATCH($B328,ChartOfAccounts!A327:A412,0)),"")</f>
        <v/>
      </c>
      <c r="N328" t="str">
        <f>IFERROR(INDEX(ChartOfAccounts!D:D,MATCH($B328,ChartOfAccounts!A327:A412,0)),"")</f>
        <v/>
      </c>
      <c r="O328" t="str">
        <f>IFERROR(INDEX(ChartOfAccounts!F:F,MATCH($B328,ChartOfAccounts!A327:A412,0)),"")</f>
        <v/>
      </c>
      <c r="P328" t="str" cm="1">
        <f t="array" ref="P328">IFERROR(INDEX(PreparerInfo!B327:B339,MATCH($D328&amp;$C328,PreparerInfo!A327:A339&amp;PreparerInfo!C327:C339,0)),"")</f>
        <v/>
      </c>
      <c r="Q328" t="str">
        <f>IFERROR(INDEX(Source!B327:B335,MATCH('Case 4 solution'!E328,Source!A327:A335,0)),"")</f>
        <v/>
      </c>
    </row>
    <row r="329" spans="1:17" x14ac:dyDescent="0.3">
      <c r="A329" s="3">
        <v>2033683</v>
      </c>
      <c r="B329">
        <v>11845</v>
      </c>
      <c r="C329">
        <v>1</v>
      </c>
      <c r="D329" s="9">
        <v>101</v>
      </c>
      <c r="E329">
        <v>1007</v>
      </c>
      <c r="F329" s="1">
        <v>44006</v>
      </c>
      <c r="G329" t="s">
        <v>198</v>
      </c>
      <c r="H329" s="4" t="s">
        <v>16</v>
      </c>
      <c r="I329" s="4">
        <v>-119.4</v>
      </c>
      <c r="J329" s="4">
        <v>-119.4</v>
      </c>
      <c r="K329" t="str">
        <f>IFERROR(INDEX(BusinessUnits!$B:$B,MATCH($C329,BusinessUnits!$A:$A,0)),"")</f>
        <v>FOOD SERVICE</v>
      </c>
      <c r="L329" t="str">
        <f>IFERROR(INDEX(Table1[[#All],[Description]],MATCH($C329,BusinessUnits!$A:$A,0)),"")</f>
        <v xml:space="preserve">Transactions related to food and beverage service. Includes all guest transactions in the hotel restaurants, catering-related transactions and food service payroll. </v>
      </c>
      <c r="M329" t="str">
        <f>IFERROR(INDEX(ChartOfAccounts!B328:B413,MATCH($B329,ChartOfAccounts!A328:A413,0)),"")</f>
        <v/>
      </c>
      <c r="N329" t="str">
        <f>IFERROR(INDEX(ChartOfAccounts!D:D,MATCH($B329,ChartOfAccounts!A328:A413,0)),"")</f>
        <v/>
      </c>
      <c r="O329" t="str">
        <f>IFERROR(INDEX(ChartOfAccounts!F:F,MATCH($B329,ChartOfAccounts!A328:A413,0)),"")</f>
        <v/>
      </c>
      <c r="P329" t="str" cm="1">
        <f t="array" ref="P329">IFERROR(INDEX(PreparerInfo!B328:B340,MATCH($D329&amp;$C329,PreparerInfo!A328:A340&amp;PreparerInfo!C328:C340,0)),"")</f>
        <v/>
      </c>
      <c r="Q329" t="str">
        <f>IFERROR(INDEX(Source!B328:B336,MATCH('Case 4 solution'!E329,Source!A328:A336,0)),"")</f>
        <v/>
      </c>
    </row>
    <row r="330" spans="1:17" x14ac:dyDescent="0.3">
      <c r="A330" s="3">
        <v>2033684</v>
      </c>
      <c r="B330">
        <v>71400</v>
      </c>
      <c r="C330">
        <v>1</v>
      </c>
      <c r="D330" s="9">
        <v>101</v>
      </c>
      <c r="E330">
        <v>1007</v>
      </c>
      <c r="F330" s="1">
        <v>44006</v>
      </c>
      <c r="G330" t="s">
        <v>90</v>
      </c>
      <c r="H330" s="4">
        <v>130</v>
      </c>
      <c r="I330" s="4" t="s">
        <v>16</v>
      </c>
      <c r="J330" s="4">
        <v>130</v>
      </c>
      <c r="K330" t="str">
        <f>IFERROR(INDEX(BusinessUnits!$B:$B,MATCH($C330,BusinessUnits!$A:$A,0)),"")</f>
        <v>FOOD SERVICE</v>
      </c>
      <c r="L330" t="str">
        <f>IFERROR(INDEX(Table1[[#All],[Description]],MATCH($C330,BusinessUnits!$A:$A,0)),"")</f>
        <v xml:space="preserve">Transactions related to food and beverage service. Includes all guest transactions in the hotel restaurants, catering-related transactions and food service payroll. </v>
      </c>
      <c r="M330" t="str">
        <f>IFERROR(INDEX(ChartOfAccounts!B329:B414,MATCH($B330,ChartOfAccounts!A329:A414,0)),"")</f>
        <v/>
      </c>
      <c r="N330" t="str">
        <f>IFERROR(INDEX(ChartOfAccounts!D:D,MATCH($B330,ChartOfAccounts!A329:A414,0)),"")</f>
        <v/>
      </c>
      <c r="O330" t="str">
        <f>IFERROR(INDEX(ChartOfAccounts!F:F,MATCH($B330,ChartOfAccounts!A329:A414,0)),"")</f>
        <v/>
      </c>
      <c r="P330" t="str" cm="1">
        <f t="array" ref="P330">IFERROR(INDEX(PreparerInfo!B329:B341,MATCH($D330&amp;$C330,PreparerInfo!A329:A341&amp;PreparerInfo!C329:C341,0)),"")</f>
        <v/>
      </c>
      <c r="Q330" t="str">
        <f>IFERROR(INDEX(Source!B329:B337,MATCH('Case 4 solution'!E330,Source!A329:A337,0)),"")</f>
        <v/>
      </c>
    </row>
    <row r="331" spans="1:17" x14ac:dyDescent="0.3">
      <c r="A331" s="3">
        <v>2033684</v>
      </c>
      <c r="B331">
        <v>11845</v>
      </c>
      <c r="C331">
        <v>1</v>
      </c>
      <c r="D331" s="9">
        <v>101</v>
      </c>
      <c r="E331">
        <v>1007</v>
      </c>
      <c r="F331" s="1">
        <v>44006</v>
      </c>
      <c r="G331" t="s">
        <v>90</v>
      </c>
      <c r="H331" s="4" t="s">
        <v>16</v>
      </c>
      <c r="I331" s="4">
        <v>-130</v>
      </c>
      <c r="J331" s="4">
        <v>-130</v>
      </c>
      <c r="K331" t="str">
        <f>IFERROR(INDEX(BusinessUnits!$B:$B,MATCH($C331,BusinessUnits!$A:$A,0)),"")</f>
        <v>FOOD SERVICE</v>
      </c>
      <c r="L331" t="str">
        <f>IFERROR(INDEX(Table1[[#All],[Description]],MATCH($C331,BusinessUnits!$A:$A,0)),"")</f>
        <v xml:space="preserve">Transactions related to food and beverage service. Includes all guest transactions in the hotel restaurants, catering-related transactions and food service payroll. </v>
      </c>
      <c r="M331" t="str">
        <f>IFERROR(INDEX(ChartOfAccounts!B330:B415,MATCH($B331,ChartOfAccounts!A330:A415,0)),"")</f>
        <v/>
      </c>
      <c r="N331" t="str">
        <f>IFERROR(INDEX(ChartOfAccounts!D:D,MATCH($B331,ChartOfAccounts!A330:A415,0)),"")</f>
        <v/>
      </c>
      <c r="O331" t="str">
        <f>IFERROR(INDEX(ChartOfAccounts!F:F,MATCH($B331,ChartOfAccounts!A330:A415,0)),"")</f>
        <v/>
      </c>
      <c r="P331" t="str" cm="1">
        <f t="array" ref="P331">IFERROR(INDEX(PreparerInfo!B330:B342,MATCH($D331&amp;$C331,PreparerInfo!A330:A342&amp;PreparerInfo!C330:C342,0)),"")</f>
        <v/>
      </c>
      <c r="Q331" t="str">
        <f>IFERROR(INDEX(Source!B330:B338,MATCH('Case 4 solution'!E331,Source!A330:A338,0)),"")</f>
        <v/>
      </c>
    </row>
    <row r="332" spans="1:17" x14ac:dyDescent="0.3">
      <c r="A332" s="3">
        <v>2033685</v>
      </c>
      <c r="B332">
        <v>71410</v>
      </c>
      <c r="C332">
        <v>1</v>
      </c>
      <c r="D332" s="9">
        <v>101</v>
      </c>
      <c r="E332">
        <v>1007</v>
      </c>
      <c r="F332" s="1">
        <v>44006</v>
      </c>
      <c r="G332" t="s">
        <v>71</v>
      </c>
      <c r="H332" s="4">
        <v>182.99</v>
      </c>
      <c r="I332" s="4" t="s">
        <v>16</v>
      </c>
      <c r="J332" s="4">
        <v>182.99</v>
      </c>
      <c r="K332" t="str">
        <f>IFERROR(INDEX(BusinessUnits!$B:$B,MATCH($C332,BusinessUnits!$A:$A,0)),"")</f>
        <v>FOOD SERVICE</v>
      </c>
      <c r="L332" t="str">
        <f>IFERROR(INDEX(Table1[[#All],[Description]],MATCH($C332,BusinessUnits!$A:$A,0)),"")</f>
        <v xml:space="preserve">Transactions related to food and beverage service. Includes all guest transactions in the hotel restaurants, catering-related transactions and food service payroll. </v>
      </c>
      <c r="M332" t="str">
        <f>IFERROR(INDEX(ChartOfAccounts!B331:B416,MATCH($B332,ChartOfAccounts!A331:A416,0)),"")</f>
        <v/>
      </c>
      <c r="N332" t="str">
        <f>IFERROR(INDEX(ChartOfAccounts!D:D,MATCH($B332,ChartOfAccounts!A331:A416,0)),"")</f>
        <v/>
      </c>
      <c r="O332" t="str">
        <f>IFERROR(INDEX(ChartOfAccounts!F:F,MATCH($B332,ChartOfAccounts!A331:A416,0)),"")</f>
        <v/>
      </c>
      <c r="P332" t="str" cm="1">
        <f t="array" ref="P332">IFERROR(INDEX(PreparerInfo!B331:B343,MATCH($D332&amp;$C332,PreparerInfo!A331:A343&amp;PreparerInfo!C331:C343,0)),"")</f>
        <v/>
      </c>
      <c r="Q332" t="str">
        <f>IFERROR(INDEX(Source!B331:B339,MATCH('Case 4 solution'!E332,Source!A331:A339,0)),"")</f>
        <v/>
      </c>
    </row>
    <row r="333" spans="1:17" x14ac:dyDescent="0.3">
      <c r="A333" s="3">
        <v>2033685</v>
      </c>
      <c r="B333">
        <v>11845</v>
      </c>
      <c r="C333">
        <v>1</v>
      </c>
      <c r="D333" s="9">
        <v>101</v>
      </c>
      <c r="E333">
        <v>1007</v>
      </c>
      <c r="F333" s="1">
        <v>44006</v>
      </c>
      <c r="G333" t="s">
        <v>71</v>
      </c>
      <c r="H333" s="4" t="s">
        <v>16</v>
      </c>
      <c r="I333" s="4">
        <v>-182.99</v>
      </c>
      <c r="J333" s="4">
        <v>-182.99</v>
      </c>
      <c r="K333" t="str">
        <f>IFERROR(INDEX(BusinessUnits!$B:$B,MATCH($C333,BusinessUnits!$A:$A,0)),"")</f>
        <v>FOOD SERVICE</v>
      </c>
      <c r="L333" t="str">
        <f>IFERROR(INDEX(Table1[[#All],[Description]],MATCH($C333,BusinessUnits!$A:$A,0)),"")</f>
        <v xml:space="preserve">Transactions related to food and beverage service. Includes all guest transactions in the hotel restaurants, catering-related transactions and food service payroll. </v>
      </c>
      <c r="M333" t="str">
        <f>IFERROR(INDEX(ChartOfAccounts!B332:B417,MATCH($B333,ChartOfAccounts!A332:A417,0)),"")</f>
        <v/>
      </c>
      <c r="N333" t="str">
        <f>IFERROR(INDEX(ChartOfAccounts!D:D,MATCH($B333,ChartOfAccounts!A332:A417,0)),"")</f>
        <v/>
      </c>
      <c r="O333" t="str">
        <f>IFERROR(INDEX(ChartOfAccounts!F:F,MATCH($B333,ChartOfAccounts!A332:A417,0)),"")</f>
        <v/>
      </c>
      <c r="P333" t="str" cm="1">
        <f t="array" ref="P333">IFERROR(INDEX(PreparerInfo!B332:B344,MATCH($D333&amp;$C333,PreparerInfo!A332:A344&amp;PreparerInfo!C332:C344,0)),"")</f>
        <v/>
      </c>
      <c r="Q333" t="str">
        <f>IFERROR(INDEX(Source!B332:B340,MATCH('Case 4 solution'!E333,Source!A332:A340,0)),"")</f>
        <v/>
      </c>
    </row>
    <row r="334" spans="1:17" x14ac:dyDescent="0.3">
      <c r="A334" s="3">
        <v>2033686</v>
      </c>
      <c r="B334">
        <v>11845</v>
      </c>
      <c r="C334">
        <v>1</v>
      </c>
      <c r="D334" s="9">
        <v>101</v>
      </c>
      <c r="E334">
        <v>1007</v>
      </c>
      <c r="F334" s="1">
        <v>44006</v>
      </c>
      <c r="G334" t="s">
        <v>90</v>
      </c>
      <c r="H334" s="4">
        <v>184</v>
      </c>
      <c r="I334" s="4" t="s">
        <v>16</v>
      </c>
      <c r="J334" s="4">
        <v>184</v>
      </c>
      <c r="K334" t="str">
        <f>IFERROR(INDEX(BusinessUnits!$B:$B,MATCH($C334,BusinessUnits!$A:$A,0)),"")</f>
        <v>FOOD SERVICE</v>
      </c>
      <c r="L334" t="str">
        <f>IFERROR(INDEX(Table1[[#All],[Description]],MATCH($C334,BusinessUnits!$A:$A,0)),"")</f>
        <v xml:space="preserve">Transactions related to food and beverage service. Includes all guest transactions in the hotel restaurants, catering-related transactions and food service payroll. </v>
      </c>
      <c r="M334" t="str">
        <f>IFERROR(INDEX(ChartOfAccounts!B333:B418,MATCH($B334,ChartOfAccounts!A333:A418,0)),"")</f>
        <v/>
      </c>
      <c r="N334" t="str">
        <f>IFERROR(INDEX(ChartOfAccounts!D:D,MATCH($B334,ChartOfAccounts!A333:A418,0)),"")</f>
        <v/>
      </c>
      <c r="O334" t="str">
        <f>IFERROR(INDEX(ChartOfAccounts!F:F,MATCH($B334,ChartOfAccounts!A333:A418,0)),"")</f>
        <v/>
      </c>
      <c r="P334" t="str" cm="1">
        <f t="array" ref="P334">IFERROR(INDEX(PreparerInfo!B333:B345,MATCH($D334&amp;$C334,PreparerInfo!A333:A345&amp;PreparerInfo!C333:C345,0)),"")</f>
        <v/>
      </c>
      <c r="Q334" t="str">
        <f>IFERROR(INDEX(Source!B333:B341,MATCH('Case 4 solution'!E334,Source!A333:A341,0)),"")</f>
        <v/>
      </c>
    </row>
    <row r="335" spans="1:17" x14ac:dyDescent="0.3">
      <c r="A335" s="3">
        <v>2033686</v>
      </c>
      <c r="B335">
        <v>71400</v>
      </c>
      <c r="C335">
        <v>1</v>
      </c>
      <c r="D335" s="9">
        <v>101</v>
      </c>
      <c r="E335">
        <v>1007</v>
      </c>
      <c r="F335" s="1">
        <v>44006</v>
      </c>
      <c r="G335" t="s">
        <v>90</v>
      </c>
      <c r="H335" s="4" t="s">
        <v>16</v>
      </c>
      <c r="I335" s="4">
        <v>-184</v>
      </c>
      <c r="J335" s="4">
        <v>-184</v>
      </c>
      <c r="K335" t="str">
        <f>IFERROR(INDEX(BusinessUnits!$B:$B,MATCH($C335,BusinessUnits!$A:$A,0)),"")</f>
        <v>FOOD SERVICE</v>
      </c>
      <c r="L335" t="str">
        <f>IFERROR(INDEX(Table1[[#All],[Description]],MATCH($C335,BusinessUnits!$A:$A,0)),"")</f>
        <v xml:space="preserve">Transactions related to food and beverage service. Includes all guest transactions in the hotel restaurants, catering-related transactions and food service payroll. </v>
      </c>
      <c r="M335" t="str">
        <f>IFERROR(INDEX(ChartOfAccounts!B334:B419,MATCH($B335,ChartOfAccounts!A334:A419,0)),"")</f>
        <v/>
      </c>
      <c r="N335" t="str">
        <f>IFERROR(INDEX(ChartOfAccounts!D:D,MATCH($B335,ChartOfAccounts!A334:A419,0)),"")</f>
        <v/>
      </c>
      <c r="O335" t="str">
        <f>IFERROR(INDEX(ChartOfAccounts!F:F,MATCH($B335,ChartOfAccounts!A334:A419,0)),"")</f>
        <v/>
      </c>
      <c r="P335" t="str" cm="1">
        <f t="array" ref="P335">IFERROR(INDEX(PreparerInfo!B334:B346,MATCH($D335&amp;$C335,PreparerInfo!A334:A346&amp;PreparerInfo!C334:C346,0)),"")</f>
        <v/>
      </c>
      <c r="Q335" t="str">
        <f>IFERROR(INDEX(Source!B334:B342,MATCH('Case 4 solution'!E335,Source!A334:A342,0)),"")</f>
        <v/>
      </c>
    </row>
    <row r="336" spans="1:17" x14ac:dyDescent="0.3">
      <c r="A336" s="3">
        <v>2033687</v>
      </c>
      <c r="B336">
        <v>74203</v>
      </c>
      <c r="C336">
        <v>2</v>
      </c>
      <c r="D336" s="9">
        <v>102</v>
      </c>
      <c r="E336">
        <v>1007</v>
      </c>
      <c r="F336" s="1">
        <v>44006</v>
      </c>
      <c r="G336" t="s">
        <v>124</v>
      </c>
      <c r="H336" s="4">
        <v>208</v>
      </c>
      <c r="I336" s="4" t="s">
        <v>16</v>
      </c>
      <c r="J336" s="4">
        <v>208</v>
      </c>
      <c r="K336" t="str">
        <f>IFERROR(INDEX(BusinessUnits!$B:$B,MATCH($C336,BusinessUnits!$A:$A,0)),"")</f>
        <v>HOTEL</v>
      </c>
      <c r="L336" t="str">
        <f>IFERROR(INDEX(Table1[[#All],[Description]],MATCH($C336,BusinessUnits!$A:$A,0)),"")</f>
        <v xml:space="preserve">Transactions related to guest rooms and overall hotel operations. Includes payroll for administrative staff, clerks and interns. </v>
      </c>
      <c r="M336" t="str">
        <f>IFERROR(INDEX(ChartOfAccounts!B335:B420,MATCH($B336,ChartOfAccounts!A335:A420,0)),"")</f>
        <v/>
      </c>
      <c r="N336" t="str">
        <f>IFERROR(INDEX(ChartOfAccounts!D:D,MATCH($B336,ChartOfAccounts!A335:A420,0)),"")</f>
        <v/>
      </c>
      <c r="O336" t="str">
        <f>IFERROR(INDEX(ChartOfAccounts!F:F,MATCH($B336,ChartOfAccounts!A335:A420,0)),"")</f>
        <v/>
      </c>
      <c r="P336" t="str" cm="1">
        <f t="array" ref="P336">IFERROR(INDEX(PreparerInfo!B335:B347,MATCH($D336&amp;$C336,PreparerInfo!A335:A347&amp;PreparerInfo!C335:C347,0)),"")</f>
        <v/>
      </c>
      <c r="Q336" t="str">
        <f>IFERROR(INDEX(Source!B335:B343,MATCH('Case 4 solution'!E336,Source!A335:A343,0)),"")</f>
        <v/>
      </c>
    </row>
    <row r="337" spans="1:17" x14ac:dyDescent="0.3">
      <c r="A337" s="3">
        <v>2033687</v>
      </c>
      <c r="B337">
        <v>11845</v>
      </c>
      <c r="C337">
        <v>2</v>
      </c>
      <c r="D337" s="9">
        <v>102</v>
      </c>
      <c r="E337">
        <v>1007</v>
      </c>
      <c r="F337" s="1">
        <v>44006</v>
      </c>
      <c r="G337" t="s">
        <v>124</v>
      </c>
      <c r="H337" s="4" t="s">
        <v>16</v>
      </c>
      <c r="I337" s="4">
        <v>-208</v>
      </c>
      <c r="J337" s="4">
        <v>-208</v>
      </c>
      <c r="K337" t="str">
        <f>IFERROR(INDEX(BusinessUnits!$B:$B,MATCH($C337,BusinessUnits!$A:$A,0)),"")</f>
        <v>HOTEL</v>
      </c>
      <c r="L337" t="str">
        <f>IFERROR(INDEX(Table1[[#All],[Description]],MATCH($C337,BusinessUnits!$A:$A,0)),"")</f>
        <v xml:space="preserve">Transactions related to guest rooms and overall hotel operations. Includes payroll for administrative staff, clerks and interns. </v>
      </c>
      <c r="M337" t="str">
        <f>IFERROR(INDEX(ChartOfAccounts!B336:B421,MATCH($B337,ChartOfAccounts!A336:A421,0)),"")</f>
        <v/>
      </c>
      <c r="N337" t="str">
        <f>IFERROR(INDEX(ChartOfAccounts!D:D,MATCH($B337,ChartOfAccounts!A336:A421,0)),"")</f>
        <v/>
      </c>
      <c r="O337" t="str">
        <f>IFERROR(INDEX(ChartOfAccounts!F:F,MATCH($B337,ChartOfAccounts!A336:A421,0)),"")</f>
        <v/>
      </c>
      <c r="P337" t="str" cm="1">
        <f t="array" ref="P337">IFERROR(INDEX(PreparerInfo!B336:B348,MATCH($D337&amp;$C337,PreparerInfo!A336:A348&amp;PreparerInfo!C336:C348,0)),"")</f>
        <v/>
      </c>
      <c r="Q337" t="str">
        <f>IFERROR(INDEX(Source!B336:B344,MATCH('Case 4 solution'!E337,Source!A336:A344,0)),"")</f>
        <v/>
      </c>
    </row>
    <row r="338" spans="1:17" x14ac:dyDescent="0.3">
      <c r="A338" s="3">
        <v>2033688</v>
      </c>
      <c r="B338">
        <v>72723</v>
      </c>
      <c r="C338">
        <v>1</v>
      </c>
      <c r="D338" s="9">
        <v>101</v>
      </c>
      <c r="E338">
        <v>1007</v>
      </c>
      <c r="F338" s="1">
        <v>44006</v>
      </c>
      <c r="G338" t="s">
        <v>129</v>
      </c>
      <c r="H338" s="4">
        <v>224</v>
      </c>
      <c r="I338" s="4" t="s">
        <v>16</v>
      </c>
      <c r="J338" s="4">
        <v>224</v>
      </c>
      <c r="K338" t="str">
        <f>IFERROR(INDEX(BusinessUnits!$B:$B,MATCH($C338,BusinessUnits!$A:$A,0)),"")</f>
        <v>FOOD SERVICE</v>
      </c>
      <c r="L338" t="str">
        <f>IFERROR(INDEX(Table1[[#All],[Description]],MATCH($C338,BusinessUnits!$A:$A,0)),"")</f>
        <v xml:space="preserve">Transactions related to food and beverage service. Includes all guest transactions in the hotel restaurants, catering-related transactions and food service payroll. </v>
      </c>
      <c r="M338" t="str">
        <f>IFERROR(INDEX(ChartOfAccounts!B337:B422,MATCH($B338,ChartOfAccounts!A337:A422,0)),"")</f>
        <v/>
      </c>
      <c r="N338" t="str">
        <f>IFERROR(INDEX(ChartOfAccounts!D:D,MATCH($B338,ChartOfAccounts!A337:A422,0)),"")</f>
        <v/>
      </c>
      <c r="O338" t="str">
        <f>IFERROR(INDEX(ChartOfAccounts!F:F,MATCH($B338,ChartOfAccounts!A337:A422,0)),"")</f>
        <v/>
      </c>
      <c r="P338" t="str" cm="1">
        <f t="array" ref="P338">IFERROR(INDEX(PreparerInfo!B337:B349,MATCH($D338&amp;$C338,PreparerInfo!A337:A349&amp;PreparerInfo!C337:C349,0)),"")</f>
        <v/>
      </c>
      <c r="Q338" t="str">
        <f>IFERROR(INDEX(Source!B337:B345,MATCH('Case 4 solution'!E338,Source!A337:A345,0)),"")</f>
        <v/>
      </c>
    </row>
    <row r="339" spans="1:17" x14ac:dyDescent="0.3">
      <c r="A339" s="3">
        <v>2033688</v>
      </c>
      <c r="B339">
        <v>11845</v>
      </c>
      <c r="C339">
        <v>1</v>
      </c>
      <c r="D339" s="9">
        <v>101</v>
      </c>
      <c r="E339">
        <v>1007</v>
      </c>
      <c r="F339" s="1">
        <v>44006</v>
      </c>
      <c r="G339" t="s">
        <v>129</v>
      </c>
      <c r="H339" s="4" t="s">
        <v>16</v>
      </c>
      <c r="I339" s="4">
        <v>-224</v>
      </c>
      <c r="J339" s="4">
        <v>-224</v>
      </c>
      <c r="K339" t="str">
        <f>IFERROR(INDEX(BusinessUnits!$B:$B,MATCH($C339,BusinessUnits!$A:$A,0)),"")</f>
        <v>FOOD SERVICE</v>
      </c>
      <c r="L339" t="str">
        <f>IFERROR(INDEX(Table1[[#All],[Description]],MATCH($C339,BusinessUnits!$A:$A,0)),"")</f>
        <v xml:space="preserve">Transactions related to food and beverage service. Includes all guest transactions in the hotel restaurants, catering-related transactions and food service payroll. </v>
      </c>
      <c r="M339" t="str">
        <f>IFERROR(INDEX(ChartOfAccounts!B338:B423,MATCH($B339,ChartOfAccounts!A338:A423,0)),"")</f>
        <v/>
      </c>
      <c r="N339" t="str">
        <f>IFERROR(INDEX(ChartOfAccounts!D:D,MATCH($B339,ChartOfAccounts!A338:A423,0)),"")</f>
        <v/>
      </c>
      <c r="O339" t="str">
        <f>IFERROR(INDEX(ChartOfAccounts!F:F,MATCH($B339,ChartOfAccounts!A338:A423,0)),"")</f>
        <v/>
      </c>
      <c r="P339" t="str" cm="1">
        <f t="array" ref="P339">IFERROR(INDEX(PreparerInfo!B338:B350,MATCH($D339&amp;$C339,PreparerInfo!A338:A350&amp;PreparerInfo!C338:C350,0)),"")</f>
        <v/>
      </c>
      <c r="Q339" t="str">
        <f>IFERROR(INDEX(Source!B338:B346,MATCH('Case 4 solution'!E339,Source!A338:A346,0)),"")</f>
        <v/>
      </c>
    </row>
    <row r="340" spans="1:17" x14ac:dyDescent="0.3">
      <c r="A340" s="3">
        <v>2033689</v>
      </c>
      <c r="B340">
        <v>14260</v>
      </c>
      <c r="C340">
        <v>1</v>
      </c>
      <c r="D340" s="9">
        <v>102</v>
      </c>
      <c r="E340">
        <v>1002</v>
      </c>
      <c r="F340" s="1">
        <v>44006</v>
      </c>
      <c r="G340" t="s">
        <v>39</v>
      </c>
      <c r="H340" s="4">
        <v>284.91000000000003</v>
      </c>
      <c r="I340" s="4" t="s">
        <v>16</v>
      </c>
      <c r="J340" s="4">
        <v>284.91000000000003</v>
      </c>
      <c r="K340" t="str">
        <f>IFERROR(INDEX(BusinessUnits!$B:$B,MATCH($C340,BusinessUnits!$A:$A,0)),"")</f>
        <v>FOOD SERVICE</v>
      </c>
      <c r="L340" t="str">
        <f>IFERROR(INDEX(Table1[[#All],[Description]],MATCH($C340,BusinessUnits!$A:$A,0)),"")</f>
        <v xml:space="preserve">Transactions related to food and beverage service. Includes all guest transactions in the hotel restaurants, catering-related transactions and food service payroll. </v>
      </c>
      <c r="M340" t="str">
        <f>IFERROR(INDEX(ChartOfAccounts!B339:B424,MATCH($B340,ChartOfAccounts!A339:A424,0)),"")</f>
        <v/>
      </c>
      <c r="N340" t="str">
        <f>IFERROR(INDEX(ChartOfAccounts!D:D,MATCH($B340,ChartOfAccounts!A339:A424,0)),"")</f>
        <v/>
      </c>
      <c r="O340" t="str">
        <f>IFERROR(INDEX(ChartOfAccounts!F:F,MATCH($B340,ChartOfAccounts!A339:A424,0)),"")</f>
        <v/>
      </c>
      <c r="P340" t="str" cm="1">
        <f t="array" ref="P340">IFERROR(INDEX(PreparerInfo!B339:B351,MATCH($D340&amp;$C340,PreparerInfo!A339:A351&amp;PreparerInfo!C339:C351,0)),"")</f>
        <v/>
      </c>
      <c r="Q340" t="str">
        <f>IFERROR(INDEX(Source!B339:B347,MATCH('Case 4 solution'!E340,Source!A339:A347,0)),"")</f>
        <v/>
      </c>
    </row>
    <row r="341" spans="1:17" x14ac:dyDescent="0.3">
      <c r="A341" s="3">
        <v>2033689</v>
      </c>
      <c r="B341">
        <v>11845</v>
      </c>
      <c r="C341">
        <v>1</v>
      </c>
      <c r="D341" s="9">
        <v>102</v>
      </c>
      <c r="E341">
        <v>1002</v>
      </c>
      <c r="F341" s="1">
        <v>44006</v>
      </c>
      <c r="G341" t="s">
        <v>39</v>
      </c>
      <c r="H341" s="4" t="s">
        <v>16</v>
      </c>
      <c r="I341" s="4">
        <v>-284.91000000000003</v>
      </c>
      <c r="J341" s="4">
        <v>-284.91000000000003</v>
      </c>
      <c r="K341" t="str">
        <f>IFERROR(INDEX(BusinessUnits!$B:$B,MATCH($C341,BusinessUnits!$A:$A,0)),"")</f>
        <v>FOOD SERVICE</v>
      </c>
      <c r="L341" t="str">
        <f>IFERROR(INDEX(Table1[[#All],[Description]],MATCH($C341,BusinessUnits!$A:$A,0)),"")</f>
        <v xml:space="preserve">Transactions related to food and beverage service. Includes all guest transactions in the hotel restaurants, catering-related transactions and food service payroll. </v>
      </c>
      <c r="M341" t="str">
        <f>IFERROR(INDEX(ChartOfAccounts!B340:B425,MATCH($B341,ChartOfAccounts!A340:A425,0)),"")</f>
        <v/>
      </c>
      <c r="N341" t="str">
        <f>IFERROR(INDEX(ChartOfAccounts!D:D,MATCH($B341,ChartOfAccounts!A340:A425,0)),"")</f>
        <v/>
      </c>
      <c r="O341" t="str">
        <f>IFERROR(INDEX(ChartOfAccounts!F:F,MATCH($B341,ChartOfAccounts!A340:A425,0)),"")</f>
        <v/>
      </c>
      <c r="P341" t="str" cm="1">
        <f t="array" ref="P341">IFERROR(INDEX(PreparerInfo!B340:B352,MATCH($D341&amp;$C341,PreparerInfo!A340:A352&amp;PreparerInfo!C340:C352,0)),"")</f>
        <v/>
      </c>
      <c r="Q341" t="str">
        <f>IFERROR(INDEX(Source!B340:B348,MATCH('Case 4 solution'!E341,Source!A340:A348,0)),"")</f>
        <v/>
      </c>
    </row>
    <row r="342" spans="1:17" x14ac:dyDescent="0.3">
      <c r="A342" s="3">
        <v>2033690</v>
      </c>
      <c r="B342">
        <v>71400</v>
      </c>
      <c r="C342">
        <v>4</v>
      </c>
      <c r="D342" s="9">
        <v>101</v>
      </c>
      <c r="E342">
        <v>1007</v>
      </c>
      <c r="F342" s="1">
        <v>44006</v>
      </c>
      <c r="G342" t="s">
        <v>78</v>
      </c>
      <c r="H342" s="4">
        <v>302.89999999999998</v>
      </c>
      <c r="I342" s="4" t="s">
        <v>16</v>
      </c>
      <c r="J342" s="4">
        <v>302.89999999999998</v>
      </c>
      <c r="K342" t="str">
        <f>IFERROR(INDEX(BusinessUnits!$B:$B,MATCH($C342,BusinessUnits!$A:$A,0)),"")</f>
        <v>HOUSEKEEPING</v>
      </c>
      <c r="L342" t="str">
        <f>IFERROR(INDEX(Table1[[#All],[Description]],MATCH($C342,BusinessUnits!$A:$A,0)),"")</f>
        <v xml:space="preserve">Transactions related to the Housekeeping Department. Primarily includes payroll for housekeepers and housekeeping supplies. </v>
      </c>
      <c r="M342" t="str">
        <f>IFERROR(INDEX(ChartOfAccounts!B341:B426,MATCH($B342,ChartOfAccounts!A341:A426,0)),"")</f>
        <v/>
      </c>
      <c r="N342" t="str">
        <f>IFERROR(INDEX(ChartOfAccounts!D:D,MATCH($B342,ChartOfAccounts!A341:A426,0)),"")</f>
        <v/>
      </c>
      <c r="O342" t="str">
        <f>IFERROR(INDEX(ChartOfAccounts!F:F,MATCH($B342,ChartOfAccounts!A341:A426,0)),"")</f>
        <v/>
      </c>
      <c r="P342" t="str" cm="1">
        <f t="array" ref="P342">IFERROR(INDEX(PreparerInfo!B341:B353,MATCH($D342&amp;$C342,PreparerInfo!A341:A353&amp;PreparerInfo!C341:C353,0)),"")</f>
        <v/>
      </c>
      <c r="Q342" t="str">
        <f>IFERROR(INDEX(Source!B341:B349,MATCH('Case 4 solution'!E342,Source!A341:A349,0)),"")</f>
        <v/>
      </c>
    </row>
    <row r="343" spans="1:17" x14ac:dyDescent="0.3">
      <c r="A343" s="3">
        <v>2033690</v>
      </c>
      <c r="B343">
        <v>11845</v>
      </c>
      <c r="C343">
        <v>4</v>
      </c>
      <c r="D343" s="9">
        <v>101</v>
      </c>
      <c r="E343">
        <v>1007</v>
      </c>
      <c r="F343" s="1">
        <v>44006</v>
      </c>
      <c r="G343" t="s">
        <v>78</v>
      </c>
      <c r="H343" s="4" t="s">
        <v>16</v>
      </c>
      <c r="I343" s="4">
        <v>-302.89999999999998</v>
      </c>
      <c r="J343" s="4">
        <v>-302.89999999999998</v>
      </c>
      <c r="K343" t="str">
        <f>IFERROR(INDEX(BusinessUnits!$B:$B,MATCH($C343,BusinessUnits!$A:$A,0)),"")</f>
        <v>HOUSEKEEPING</v>
      </c>
      <c r="L343" t="str">
        <f>IFERROR(INDEX(Table1[[#All],[Description]],MATCH($C343,BusinessUnits!$A:$A,0)),"")</f>
        <v xml:space="preserve">Transactions related to the Housekeeping Department. Primarily includes payroll for housekeepers and housekeeping supplies. </v>
      </c>
      <c r="M343" t="str">
        <f>IFERROR(INDEX(ChartOfAccounts!B342:B427,MATCH($B343,ChartOfAccounts!A342:A427,0)),"")</f>
        <v/>
      </c>
      <c r="N343" t="str">
        <f>IFERROR(INDEX(ChartOfAccounts!D:D,MATCH($B343,ChartOfAccounts!A342:A427,0)),"")</f>
        <v/>
      </c>
      <c r="O343" t="str">
        <f>IFERROR(INDEX(ChartOfAccounts!F:F,MATCH($B343,ChartOfAccounts!A342:A427,0)),"")</f>
        <v/>
      </c>
      <c r="P343" t="str" cm="1">
        <f t="array" ref="P343">IFERROR(INDEX(PreparerInfo!B342:B354,MATCH($D343&amp;$C343,PreparerInfo!A342:A354&amp;PreparerInfo!C342:C354,0)),"")</f>
        <v/>
      </c>
      <c r="Q343" t="str">
        <f>IFERROR(INDEX(Source!B342:B350,MATCH('Case 4 solution'!E343,Source!A342:A350,0)),"")</f>
        <v/>
      </c>
    </row>
    <row r="344" spans="1:17" x14ac:dyDescent="0.3">
      <c r="A344" s="3">
        <v>2033691</v>
      </c>
      <c r="B344">
        <v>71410</v>
      </c>
      <c r="C344">
        <v>2</v>
      </c>
      <c r="D344" s="9">
        <v>102</v>
      </c>
      <c r="E344">
        <v>1007</v>
      </c>
      <c r="F344" s="1">
        <v>44006</v>
      </c>
      <c r="G344" t="s">
        <v>116</v>
      </c>
      <c r="H344" s="4">
        <v>311.81</v>
      </c>
      <c r="I344" s="4" t="s">
        <v>16</v>
      </c>
      <c r="J344" s="4">
        <v>311.81</v>
      </c>
      <c r="K344" t="str">
        <f>IFERROR(INDEX(BusinessUnits!$B:$B,MATCH($C344,BusinessUnits!$A:$A,0)),"")</f>
        <v>HOTEL</v>
      </c>
      <c r="L344" t="str">
        <f>IFERROR(INDEX(Table1[[#All],[Description]],MATCH($C344,BusinessUnits!$A:$A,0)),"")</f>
        <v xml:space="preserve">Transactions related to guest rooms and overall hotel operations. Includes payroll for administrative staff, clerks and interns. </v>
      </c>
      <c r="M344" t="str">
        <f>IFERROR(INDEX(ChartOfAccounts!B343:B428,MATCH($B344,ChartOfAccounts!A343:A428,0)),"")</f>
        <v/>
      </c>
      <c r="N344" t="str">
        <f>IFERROR(INDEX(ChartOfAccounts!D:D,MATCH($B344,ChartOfAccounts!A343:A428,0)),"")</f>
        <v/>
      </c>
      <c r="O344" t="str">
        <f>IFERROR(INDEX(ChartOfAccounts!F:F,MATCH($B344,ChartOfAccounts!A343:A428,0)),"")</f>
        <v/>
      </c>
      <c r="P344" t="str" cm="1">
        <f t="array" ref="P344">IFERROR(INDEX(PreparerInfo!B343:B355,MATCH($D344&amp;$C344,PreparerInfo!A343:A355&amp;PreparerInfo!C343:C355,0)),"")</f>
        <v/>
      </c>
      <c r="Q344" t="str">
        <f>IFERROR(INDEX(Source!B343:B351,MATCH('Case 4 solution'!E344,Source!A343:A351,0)),"")</f>
        <v/>
      </c>
    </row>
    <row r="345" spans="1:17" x14ac:dyDescent="0.3">
      <c r="A345" s="3">
        <v>2033691</v>
      </c>
      <c r="B345">
        <v>11845</v>
      </c>
      <c r="C345">
        <v>2</v>
      </c>
      <c r="D345" s="9">
        <v>102</v>
      </c>
      <c r="E345">
        <v>1007</v>
      </c>
      <c r="F345" s="1">
        <v>44006</v>
      </c>
      <c r="G345" t="s">
        <v>116</v>
      </c>
      <c r="H345" s="4" t="s">
        <v>16</v>
      </c>
      <c r="I345" s="4">
        <v>-311.81</v>
      </c>
      <c r="J345" s="4">
        <v>-311.81</v>
      </c>
      <c r="K345" t="str">
        <f>IFERROR(INDEX(BusinessUnits!$B:$B,MATCH($C345,BusinessUnits!$A:$A,0)),"")</f>
        <v>HOTEL</v>
      </c>
      <c r="L345" t="str">
        <f>IFERROR(INDEX(Table1[[#All],[Description]],MATCH($C345,BusinessUnits!$A:$A,0)),"")</f>
        <v xml:space="preserve">Transactions related to guest rooms and overall hotel operations. Includes payroll for administrative staff, clerks and interns. </v>
      </c>
      <c r="M345" t="str">
        <f>IFERROR(INDEX(ChartOfAccounts!B344:B429,MATCH($B345,ChartOfAccounts!A344:A429,0)),"")</f>
        <v/>
      </c>
      <c r="N345" t="str">
        <f>IFERROR(INDEX(ChartOfAccounts!D:D,MATCH($B345,ChartOfAccounts!A344:A429,0)),"")</f>
        <v/>
      </c>
      <c r="O345" t="str">
        <f>IFERROR(INDEX(ChartOfAccounts!F:F,MATCH($B345,ChartOfAccounts!A344:A429,0)),"")</f>
        <v/>
      </c>
      <c r="P345" t="str" cm="1">
        <f t="array" ref="P345">IFERROR(INDEX(PreparerInfo!B344:B356,MATCH($D345&amp;$C345,PreparerInfo!A344:A356&amp;PreparerInfo!C344:C356,0)),"")</f>
        <v/>
      </c>
      <c r="Q345" t="str">
        <f>IFERROR(INDEX(Source!B344:B352,MATCH('Case 4 solution'!E345,Source!A344:A352,0)),"")</f>
        <v/>
      </c>
    </row>
    <row r="346" spans="1:17" x14ac:dyDescent="0.3">
      <c r="A346" s="3">
        <v>2033692</v>
      </c>
      <c r="B346">
        <v>14260</v>
      </c>
      <c r="C346">
        <v>1</v>
      </c>
      <c r="D346" s="9">
        <v>102</v>
      </c>
      <c r="E346">
        <v>1002</v>
      </c>
      <c r="F346" s="1">
        <v>44006</v>
      </c>
      <c r="G346" t="s">
        <v>202</v>
      </c>
      <c r="H346" s="4">
        <v>357.88</v>
      </c>
      <c r="I346" s="4" t="s">
        <v>16</v>
      </c>
      <c r="J346" s="4">
        <v>357.88</v>
      </c>
      <c r="K346" t="str">
        <f>IFERROR(INDEX(BusinessUnits!$B:$B,MATCH($C346,BusinessUnits!$A:$A,0)),"")</f>
        <v>FOOD SERVICE</v>
      </c>
      <c r="L346" t="str">
        <f>IFERROR(INDEX(Table1[[#All],[Description]],MATCH($C346,BusinessUnits!$A:$A,0)),"")</f>
        <v xml:space="preserve">Transactions related to food and beverage service. Includes all guest transactions in the hotel restaurants, catering-related transactions and food service payroll. </v>
      </c>
      <c r="M346" t="str">
        <f>IFERROR(INDEX(ChartOfAccounts!B345:B430,MATCH($B346,ChartOfAccounts!A345:A430,0)),"")</f>
        <v/>
      </c>
      <c r="N346" t="str">
        <f>IFERROR(INDEX(ChartOfAccounts!D:D,MATCH($B346,ChartOfAccounts!A345:A430,0)),"")</f>
        <v/>
      </c>
      <c r="O346" t="str">
        <f>IFERROR(INDEX(ChartOfAccounts!F:F,MATCH($B346,ChartOfAccounts!A345:A430,0)),"")</f>
        <v/>
      </c>
      <c r="P346" t="str" cm="1">
        <f t="array" ref="P346">IFERROR(INDEX(PreparerInfo!B345:B357,MATCH($D346&amp;$C346,PreparerInfo!A345:A357&amp;PreparerInfo!C345:C357,0)),"")</f>
        <v/>
      </c>
      <c r="Q346" t="str">
        <f>IFERROR(INDEX(Source!B345:B353,MATCH('Case 4 solution'!E346,Source!A345:A353,0)),"")</f>
        <v/>
      </c>
    </row>
    <row r="347" spans="1:17" x14ac:dyDescent="0.3">
      <c r="A347" s="3">
        <v>2033692</v>
      </c>
      <c r="B347">
        <v>11845</v>
      </c>
      <c r="C347">
        <v>1</v>
      </c>
      <c r="D347" s="9">
        <v>102</v>
      </c>
      <c r="E347">
        <v>1002</v>
      </c>
      <c r="F347" s="1">
        <v>44006</v>
      </c>
      <c r="G347" t="s">
        <v>202</v>
      </c>
      <c r="H347" s="4" t="s">
        <v>16</v>
      </c>
      <c r="I347" s="4">
        <v>-357.88</v>
      </c>
      <c r="J347" s="4">
        <v>-357.88</v>
      </c>
      <c r="K347" t="str">
        <f>IFERROR(INDEX(BusinessUnits!$B:$B,MATCH($C347,BusinessUnits!$A:$A,0)),"")</f>
        <v>FOOD SERVICE</v>
      </c>
      <c r="L347" t="str">
        <f>IFERROR(INDEX(Table1[[#All],[Description]],MATCH($C347,BusinessUnits!$A:$A,0)),"")</f>
        <v xml:space="preserve">Transactions related to food and beverage service. Includes all guest transactions in the hotel restaurants, catering-related transactions and food service payroll. </v>
      </c>
      <c r="M347" t="str">
        <f>IFERROR(INDEX(ChartOfAccounts!B346:B431,MATCH($B347,ChartOfAccounts!A346:A431,0)),"")</f>
        <v/>
      </c>
      <c r="N347" t="str">
        <f>IFERROR(INDEX(ChartOfAccounts!D:D,MATCH($B347,ChartOfAccounts!A346:A431,0)),"")</f>
        <v/>
      </c>
      <c r="O347" t="str">
        <f>IFERROR(INDEX(ChartOfAccounts!F:F,MATCH($B347,ChartOfAccounts!A346:A431,0)),"")</f>
        <v/>
      </c>
      <c r="P347" t="str" cm="1">
        <f t="array" ref="P347">IFERROR(INDEX(PreparerInfo!B346:B358,MATCH($D347&amp;$C347,PreparerInfo!A346:A358&amp;PreparerInfo!C346:C358,0)),"")</f>
        <v/>
      </c>
      <c r="Q347" t="str">
        <f>IFERROR(INDEX(Source!B346:B354,MATCH('Case 4 solution'!E347,Source!A346:A354,0)),"")</f>
        <v/>
      </c>
    </row>
    <row r="348" spans="1:17" x14ac:dyDescent="0.3">
      <c r="A348" s="3">
        <v>2033693</v>
      </c>
      <c r="B348">
        <v>14260</v>
      </c>
      <c r="C348">
        <v>1</v>
      </c>
      <c r="D348" s="9">
        <v>102</v>
      </c>
      <c r="E348">
        <v>1002</v>
      </c>
      <c r="F348" s="1">
        <v>44006</v>
      </c>
      <c r="G348" t="s">
        <v>39</v>
      </c>
      <c r="H348" s="4">
        <v>379.88</v>
      </c>
      <c r="I348" s="4" t="s">
        <v>16</v>
      </c>
      <c r="J348" s="4">
        <v>379.88</v>
      </c>
      <c r="K348" t="str">
        <f>IFERROR(INDEX(BusinessUnits!$B:$B,MATCH($C348,BusinessUnits!$A:$A,0)),"")</f>
        <v>FOOD SERVICE</v>
      </c>
      <c r="L348" t="str">
        <f>IFERROR(INDEX(Table1[[#All],[Description]],MATCH($C348,BusinessUnits!$A:$A,0)),"")</f>
        <v xml:space="preserve">Transactions related to food and beverage service. Includes all guest transactions in the hotel restaurants, catering-related transactions and food service payroll. </v>
      </c>
      <c r="M348" t="str">
        <f>IFERROR(INDEX(ChartOfAccounts!B347:B432,MATCH($B348,ChartOfAccounts!A347:A432,0)),"")</f>
        <v/>
      </c>
      <c r="N348" t="str">
        <f>IFERROR(INDEX(ChartOfAccounts!D:D,MATCH($B348,ChartOfAccounts!A347:A432,0)),"")</f>
        <v/>
      </c>
      <c r="O348" t="str">
        <f>IFERROR(INDEX(ChartOfAccounts!F:F,MATCH($B348,ChartOfAccounts!A347:A432,0)),"")</f>
        <v/>
      </c>
      <c r="P348" t="str" cm="1">
        <f t="array" ref="P348">IFERROR(INDEX(PreparerInfo!B347:B359,MATCH($D348&amp;$C348,PreparerInfo!A347:A359&amp;PreparerInfo!C347:C359,0)),"")</f>
        <v/>
      </c>
      <c r="Q348" t="str">
        <f>IFERROR(INDEX(Source!B347:B355,MATCH('Case 4 solution'!E348,Source!A347:A355,0)),"")</f>
        <v/>
      </c>
    </row>
    <row r="349" spans="1:17" x14ac:dyDescent="0.3">
      <c r="A349" s="3">
        <v>2033693</v>
      </c>
      <c r="B349">
        <v>11845</v>
      </c>
      <c r="C349">
        <v>1</v>
      </c>
      <c r="D349" s="9">
        <v>102</v>
      </c>
      <c r="E349">
        <v>1002</v>
      </c>
      <c r="F349" s="1">
        <v>44006</v>
      </c>
      <c r="G349" t="s">
        <v>39</v>
      </c>
      <c r="H349" s="4" t="s">
        <v>16</v>
      </c>
      <c r="I349" s="4">
        <v>-379.88</v>
      </c>
      <c r="J349" s="4">
        <v>-379.88</v>
      </c>
      <c r="K349" t="str">
        <f>IFERROR(INDEX(BusinessUnits!$B:$B,MATCH($C349,BusinessUnits!$A:$A,0)),"")</f>
        <v>FOOD SERVICE</v>
      </c>
      <c r="L349" t="str">
        <f>IFERROR(INDEX(Table1[[#All],[Description]],MATCH($C349,BusinessUnits!$A:$A,0)),"")</f>
        <v xml:space="preserve">Transactions related to food and beverage service. Includes all guest transactions in the hotel restaurants, catering-related transactions and food service payroll. </v>
      </c>
      <c r="M349" t="str">
        <f>IFERROR(INDEX(ChartOfAccounts!B348:B433,MATCH($B349,ChartOfAccounts!A348:A433,0)),"")</f>
        <v/>
      </c>
      <c r="N349" t="str">
        <f>IFERROR(INDEX(ChartOfAccounts!D:D,MATCH($B349,ChartOfAccounts!A348:A433,0)),"")</f>
        <v/>
      </c>
      <c r="O349" t="str">
        <f>IFERROR(INDEX(ChartOfAccounts!F:F,MATCH($B349,ChartOfAccounts!A348:A433,0)),"")</f>
        <v/>
      </c>
      <c r="P349" t="str" cm="1">
        <f t="array" ref="P349">IFERROR(INDEX(PreparerInfo!B348:B360,MATCH($D349&amp;$C349,PreparerInfo!A348:A360&amp;PreparerInfo!C348:C360,0)),"")</f>
        <v/>
      </c>
      <c r="Q349" t="str">
        <f>IFERROR(INDEX(Source!B348:B356,MATCH('Case 4 solution'!E349,Source!A348:A356,0)),"")</f>
        <v/>
      </c>
    </row>
    <row r="350" spans="1:17" x14ac:dyDescent="0.3">
      <c r="A350" s="3">
        <v>2033694</v>
      </c>
      <c r="B350">
        <v>71400</v>
      </c>
      <c r="C350">
        <v>4</v>
      </c>
      <c r="D350" s="9">
        <v>101</v>
      </c>
      <c r="E350">
        <v>1002</v>
      </c>
      <c r="F350" s="1">
        <v>44006</v>
      </c>
      <c r="G350" t="s">
        <v>199</v>
      </c>
      <c r="H350" s="4">
        <v>384</v>
      </c>
      <c r="I350" s="4" t="s">
        <v>16</v>
      </c>
      <c r="J350" s="4">
        <v>384</v>
      </c>
      <c r="K350" t="str">
        <f>IFERROR(INDEX(BusinessUnits!$B:$B,MATCH($C350,BusinessUnits!$A:$A,0)),"")</f>
        <v>HOUSEKEEPING</v>
      </c>
      <c r="L350" t="str">
        <f>IFERROR(INDEX(Table1[[#All],[Description]],MATCH($C350,BusinessUnits!$A:$A,0)),"")</f>
        <v xml:space="preserve">Transactions related to the Housekeeping Department. Primarily includes payroll for housekeepers and housekeeping supplies. </v>
      </c>
      <c r="M350" t="str">
        <f>IFERROR(INDEX(ChartOfAccounts!B349:B434,MATCH($B350,ChartOfAccounts!A349:A434,0)),"")</f>
        <v/>
      </c>
      <c r="N350" t="str">
        <f>IFERROR(INDEX(ChartOfAccounts!D:D,MATCH($B350,ChartOfAccounts!A349:A434,0)),"")</f>
        <v/>
      </c>
      <c r="O350" t="str">
        <f>IFERROR(INDEX(ChartOfAccounts!F:F,MATCH($B350,ChartOfAccounts!A349:A434,0)),"")</f>
        <v/>
      </c>
      <c r="P350" t="str" cm="1">
        <f t="array" ref="P350">IFERROR(INDEX(PreparerInfo!B349:B361,MATCH($D350&amp;$C350,PreparerInfo!A349:A361&amp;PreparerInfo!C349:C361,0)),"")</f>
        <v/>
      </c>
      <c r="Q350" t="str">
        <f>IFERROR(INDEX(Source!B349:B357,MATCH('Case 4 solution'!E350,Source!A349:A357,0)),"")</f>
        <v/>
      </c>
    </row>
    <row r="351" spans="1:17" x14ac:dyDescent="0.3">
      <c r="A351" s="3">
        <v>2033694</v>
      </c>
      <c r="B351">
        <v>11845</v>
      </c>
      <c r="C351">
        <v>4</v>
      </c>
      <c r="D351" s="9">
        <v>101</v>
      </c>
      <c r="E351">
        <v>1002</v>
      </c>
      <c r="F351" s="1">
        <v>44006</v>
      </c>
      <c r="G351" t="s">
        <v>199</v>
      </c>
      <c r="H351" s="4" t="s">
        <v>16</v>
      </c>
      <c r="I351" s="4">
        <v>-384</v>
      </c>
      <c r="J351" s="4">
        <v>-384</v>
      </c>
      <c r="K351" t="str">
        <f>IFERROR(INDEX(BusinessUnits!$B:$B,MATCH($C351,BusinessUnits!$A:$A,0)),"")</f>
        <v>HOUSEKEEPING</v>
      </c>
      <c r="L351" t="str">
        <f>IFERROR(INDEX(Table1[[#All],[Description]],MATCH($C351,BusinessUnits!$A:$A,0)),"")</f>
        <v xml:space="preserve">Transactions related to the Housekeeping Department. Primarily includes payroll for housekeepers and housekeeping supplies. </v>
      </c>
      <c r="M351" t="str">
        <f>IFERROR(INDEX(ChartOfAccounts!B350:B435,MATCH($B351,ChartOfAccounts!A350:A435,0)),"")</f>
        <v/>
      </c>
      <c r="N351" t="str">
        <f>IFERROR(INDEX(ChartOfAccounts!D:D,MATCH($B351,ChartOfAccounts!A350:A435,0)),"")</f>
        <v/>
      </c>
      <c r="O351" t="str">
        <f>IFERROR(INDEX(ChartOfAccounts!F:F,MATCH($B351,ChartOfAccounts!A350:A435,0)),"")</f>
        <v/>
      </c>
      <c r="P351" t="str" cm="1">
        <f t="array" ref="P351">IFERROR(INDEX(PreparerInfo!B350:B362,MATCH($D351&amp;$C351,PreparerInfo!A350:A362&amp;PreparerInfo!C350:C362,0)),"")</f>
        <v/>
      </c>
      <c r="Q351" t="str">
        <f>IFERROR(INDEX(Source!B350:B358,MATCH('Case 4 solution'!E351,Source!A350:A358,0)),"")</f>
        <v/>
      </c>
    </row>
    <row r="352" spans="1:17" x14ac:dyDescent="0.3">
      <c r="A352" s="3">
        <v>2033695</v>
      </c>
      <c r="B352">
        <v>71400</v>
      </c>
      <c r="C352">
        <v>1</v>
      </c>
      <c r="D352" s="9">
        <v>101</v>
      </c>
      <c r="E352">
        <v>1007</v>
      </c>
      <c r="F352" s="1">
        <v>44006</v>
      </c>
      <c r="G352" t="s">
        <v>90</v>
      </c>
      <c r="H352" s="4">
        <v>442.88</v>
      </c>
      <c r="I352" s="4" t="s">
        <v>16</v>
      </c>
      <c r="J352" s="4">
        <v>442.88</v>
      </c>
      <c r="K352" t="str">
        <f>IFERROR(INDEX(BusinessUnits!$B:$B,MATCH($C352,BusinessUnits!$A:$A,0)),"")</f>
        <v>FOOD SERVICE</v>
      </c>
      <c r="L352" t="str">
        <f>IFERROR(INDEX(Table1[[#All],[Description]],MATCH($C352,BusinessUnits!$A:$A,0)),"")</f>
        <v xml:space="preserve">Transactions related to food and beverage service. Includes all guest transactions in the hotel restaurants, catering-related transactions and food service payroll. </v>
      </c>
      <c r="M352" t="str">
        <f>IFERROR(INDEX(ChartOfAccounts!B351:B436,MATCH($B352,ChartOfAccounts!A351:A436,0)),"")</f>
        <v/>
      </c>
      <c r="N352" t="str">
        <f>IFERROR(INDEX(ChartOfAccounts!D:D,MATCH($B352,ChartOfAccounts!A351:A436,0)),"")</f>
        <v/>
      </c>
      <c r="O352" t="str">
        <f>IFERROR(INDEX(ChartOfAccounts!F:F,MATCH($B352,ChartOfAccounts!A351:A436,0)),"")</f>
        <v/>
      </c>
      <c r="P352" t="str" cm="1">
        <f t="array" ref="P352">IFERROR(INDEX(PreparerInfo!B351:B363,MATCH($D352&amp;$C352,PreparerInfo!A351:A363&amp;PreparerInfo!C351:C363,0)),"")</f>
        <v/>
      </c>
      <c r="Q352" t="str">
        <f>IFERROR(INDEX(Source!B351:B359,MATCH('Case 4 solution'!E352,Source!A351:A359,0)),"")</f>
        <v/>
      </c>
    </row>
    <row r="353" spans="1:17" x14ac:dyDescent="0.3">
      <c r="A353" s="3">
        <v>2033695</v>
      </c>
      <c r="B353">
        <v>11845</v>
      </c>
      <c r="C353">
        <v>1</v>
      </c>
      <c r="D353" s="9">
        <v>101</v>
      </c>
      <c r="E353">
        <v>1007</v>
      </c>
      <c r="F353" s="1">
        <v>44006</v>
      </c>
      <c r="G353" t="s">
        <v>90</v>
      </c>
      <c r="H353" s="4" t="s">
        <v>16</v>
      </c>
      <c r="I353" s="4">
        <v>-442.88</v>
      </c>
      <c r="J353" s="4">
        <v>-442.88</v>
      </c>
      <c r="K353" t="str">
        <f>IFERROR(INDEX(BusinessUnits!$B:$B,MATCH($C353,BusinessUnits!$A:$A,0)),"")</f>
        <v>FOOD SERVICE</v>
      </c>
      <c r="L353" t="str">
        <f>IFERROR(INDEX(Table1[[#All],[Description]],MATCH($C353,BusinessUnits!$A:$A,0)),"")</f>
        <v xml:space="preserve">Transactions related to food and beverage service. Includes all guest transactions in the hotel restaurants, catering-related transactions and food service payroll. </v>
      </c>
      <c r="M353" t="str">
        <f>IFERROR(INDEX(ChartOfAccounts!B352:B437,MATCH($B353,ChartOfAccounts!A352:A437,0)),"")</f>
        <v/>
      </c>
      <c r="N353" t="str">
        <f>IFERROR(INDEX(ChartOfAccounts!D:D,MATCH($B353,ChartOfAccounts!A352:A437,0)),"")</f>
        <v/>
      </c>
      <c r="O353" t="str">
        <f>IFERROR(INDEX(ChartOfAccounts!F:F,MATCH($B353,ChartOfAccounts!A352:A437,0)),"")</f>
        <v/>
      </c>
      <c r="P353" t="str" cm="1">
        <f t="array" ref="P353">IFERROR(INDEX(PreparerInfo!B352:B364,MATCH($D353&amp;$C353,PreparerInfo!A352:A364&amp;PreparerInfo!C352:C364,0)),"")</f>
        <v/>
      </c>
      <c r="Q353" t="str">
        <f>IFERROR(INDEX(Source!B352:B360,MATCH('Case 4 solution'!E353,Source!A352:A360,0)),"")</f>
        <v/>
      </c>
    </row>
    <row r="354" spans="1:17" x14ac:dyDescent="0.3">
      <c r="A354" s="3">
        <v>2033696</v>
      </c>
      <c r="B354">
        <v>11845</v>
      </c>
      <c r="C354">
        <v>1</v>
      </c>
      <c r="D354" s="9">
        <v>102</v>
      </c>
      <c r="E354">
        <v>1003</v>
      </c>
      <c r="F354" s="1">
        <v>44006</v>
      </c>
      <c r="G354" t="s">
        <v>15</v>
      </c>
      <c r="H354" s="4">
        <v>490.03</v>
      </c>
      <c r="I354" s="4" t="s">
        <v>16</v>
      </c>
      <c r="J354" s="4">
        <v>490.03</v>
      </c>
      <c r="K354" t="str">
        <f>IFERROR(INDEX(BusinessUnits!$B:$B,MATCH($C354,BusinessUnits!$A:$A,0)),"")</f>
        <v>FOOD SERVICE</v>
      </c>
      <c r="L354" t="str">
        <f>IFERROR(INDEX(Table1[[#All],[Description]],MATCH($C354,BusinessUnits!$A:$A,0)),"")</f>
        <v xml:space="preserve">Transactions related to food and beverage service. Includes all guest transactions in the hotel restaurants, catering-related transactions and food service payroll. </v>
      </c>
      <c r="M354" t="str">
        <f>IFERROR(INDEX(ChartOfAccounts!B353:B438,MATCH($B354,ChartOfAccounts!A353:A438,0)),"")</f>
        <v/>
      </c>
      <c r="N354" t="str">
        <f>IFERROR(INDEX(ChartOfAccounts!D:D,MATCH($B354,ChartOfAccounts!A353:A438,0)),"")</f>
        <v/>
      </c>
      <c r="O354" t="str">
        <f>IFERROR(INDEX(ChartOfAccounts!F:F,MATCH($B354,ChartOfAccounts!A353:A438,0)),"")</f>
        <v/>
      </c>
      <c r="P354" t="str" cm="1">
        <f t="array" ref="P354">IFERROR(INDEX(PreparerInfo!B353:B365,MATCH($D354&amp;$C354,PreparerInfo!A353:A365&amp;PreparerInfo!C353:C365,0)),"")</f>
        <v/>
      </c>
      <c r="Q354" t="str">
        <f>IFERROR(INDEX(Source!B353:B361,MATCH('Case 4 solution'!E354,Source!A353:A361,0)),"")</f>
        <v/>
      </c>
    </row>
    <row r="355" spans="1:17" x14ac:dyDescent="0.3">
      <c r="A355" s="3">
        <v>2033696</v>
      </c>
      <c r="B355">
        <v>43310</v>
      </c>
      <c r="C355">
        <v>1</v>
      </c>
      <c r="D355" s="9">
        <v>102</v>
      </c>
      <c r="E355">
        <v>1003</v>
      </c>
      <c r="F355" s="1">
        <v>44006</v>
      </c>
      <c r="G355" t="s">
        <v>15</v>
      </c>
      <c r="H355" s="4" t="s">
        <v>16</v>
      </c>
      <c r="I355" s="4">
        <v>-490.03</v>
      </c>
      <c r="J355" s="4">
        <v>-490.03</v>
      </c>
      <c r="K355" t="str">
        <f>IFERROR(INDEX(BusinessUnits!$B:$B,MATCH($C355,BusinessUnits!$A:$A,0)),"")</f>
        <v>FOOD SERVICE</v>
      </c>
      <c r="L355" t="str">
        <f>IFERROR(INDEX(Table1[[#All],[Description]],MATCH($C355,BusinessUnits!$A:$A,0)),"")</f>
        <v xml:space="preserve">Transactions related to food and beverage service. Includes all guest transactions in the hotel restaurants, catering-related transactions and food service payroll. </v>
      </c>
      <c r="M355" t="str">
        <f>IFERROR(INDEX(ChartOfAccounts!B354:B439,MATCH($B355,ChartOfAccounts!A354:A439,0)),"")</f>
        <v/>
      </c>
      <c r="N355" t="str">
        <f>IFERROR(INDEX(ChartOfAccounts!D:D,MATCH($B355,ChartOfAccounts!A354:A439,0)),"")</f>
        <v/>
      </c>
      <c r="O355" t="str">
        <f>IFERROR(INDEX(ChartOfAccounts!F:F,MATCH($B355,ChartOfAccounts!A354:A439,0)),"")</f>
        <v/>
      </c>
      <c r="P355" t="str" cm="1">
        <f t="array" ref="P355">IFERROR(INDEX(PreparerInfo!B354:B366,MATCH($D355&amp;$C355,PreparerInfo!A354:A366&amp;PreparerInfo!C354:C366,0)),"")</f>
        <v/>
      </c>
      <c r="Q355" t="str">
        <f>IFERROR(INDEX(Source!B354:B362,MATCH('Case 4 solution'!E355,Source!A354:A362,0)),"")</f>
        <v/>
      </c>
    </row>
    <row r="356" spans="1:17" x14ac:dyDescent="0.3">
      <c r="A356" s="3">
        <v>2033697</v>
      </c>
      <c r="B356">
        <v>71400</v>
      </c>
      <c r="C356">
        <v>1</v>
      </c>
      <c r="D356" s="9">
        <v>101</v>
      </c>
      <c r="E356">
        <v>1007</v>
      </c>
      <c r="F356" s="1">
        <v>44006</v>
      </c>
      <c r="G356" t="s">
        <v>90</v>
      </c>
      <c r="H356" s="4">
        <v>521.12</v>
      </c>
      <c r="I356" s="4" t="s">
        <v>16</v>
      </c>
      <c r="J356" s="4">
        <v>521.12</v>
      </c>
      <c r="K356" t="str">
        <f>IFERROR(INDEX(BusinessUnits!$B:$B,MATCH($C356,BusinessUnits!$A:$A,0)),"")</f>
        <v>FOOD SERVICE</v>
      </c>
      <c r="L356" t="str">
        <f>IFERROR(INDEX(Table1[[#All],[Description]],MATCH($C356,BusinessUnits!$A:$A,0)),"")</f>
        <v xml:space="preserve">Transactions related to food and beverage service. Includes all guest transactions in the hotel restaurants, catering-related transactions and food service payroll. </v>
      </c>
      <c r="M356" t="str">
        <f>IFERROR(INDEX(ChartOfAccounts!B355:B440,MATCH($B356,ChartOfAccounts!A355:A440,0)),"")</f>
        <v/>
      </c>
      <c r="N356" t="str">
        <f>IFERROR(INDEX(ChartOfAccounts!D:D,MATCH($B356,ChartOfAccounts!A355:A440,0)),"")</f>
        <v/>
      </c>
      <c r="O356" t="str">
        <f>IFERROR(INDEX(ChartOfAccounts!F:F,MATCH($B356,ChartOfAccounts!A355:A440,0)),"")</f>
        <v/>
      </c>
      <c r="P356" t="str" cm="1">
        <f t="array" ref="P356">IFERROR(INDEX(PreparerInfo!B355:B367,MATCH($D356&amp;$C356,PreparerInfo!A355:A367&amp;PreparerInfo!C355:C367,0)),"")</f>
        <v/>
      </c>
      <c r="Q356" t="str">
        <f>IFERROR(INDEX(Source!B355:B363,MATCH('Case 4 solution'!E356,Source!A355:A363,0)),"")</f>
        <v/>
      </c>
    </row>
    <row r="357" spans="1:17" x14ac:dyDescent="0.3">
      <c r="A357" s="3">
        <v>2033697</v>
      </c>
      <c r="B357">
        <v>11845</v>
      </c>
      <c r="C357">
        <v>1</v>
      </c>
      <c r="D357" s="9">
        <v>101</v>
      </c>
      <c r="E357">
        <v>1007</v>
      </c>
      <c r="F357" s="1">
        <v>44006</v>
      </c>
      <c r="G357" t="s">
        <v>90</v>
      </c>
      <c r="H357" s="4" t="s">
        <v>16</v>
      </c>
      <c r="I357" s="4">
        <v>-521.12</v>
      </c>
      <c r="J357" s="4">
        <v>-521.12</v>
      </c>
      <c r="K357" t="str">
        <f>IFERROR(INDEX(BusinessUnits!$B:$B,MATCH($C357,BusinessUnits!$A:$A,0)),"")</f>
        <v>FOOD SERVICE</v>
      </c>
      <c r="L357" t="str">
        <f>IFERROR(INDEX(Table1[[#All],[Description]],MATCH($C357,BusinessUnits!$A:$A,0)),"")</f>
        <v xml:space="preserve">Transactions related to food and beverage service. Includes all guest transactions in the hotel restaurants, catering-related transactions and food service payroll. </v>
      </c>
      <c r="M357" t="str">
        <f>IFERROR(INDEX(ChartOfAccounts!B356:B441,MATCH($B357,ChartOfAccounts!A356:A441,0)),"")</f>
        <v/>
      </c>
      <c r="N357" t="str">
        <f>IFERROR(INDEX(ChartOfAccounts!D:D,MATCH($B357,ChartOfAccounts!A356:A441,0)),"")</f>
        <v/>
      </c>
      <c r="O357" t="str">
        <f>IFERROR(INDEX(ChartOfAccounts!F:F,MATCH($B357,ChartOfAccounts!A356:A441,0)),"")</f>
        <v/>
      </c>
      <c r="P357" t="str" cm="1">
        <f t="array" ref="P357">IFERROR(INDEX(PreparerInfo!B356:B368,MATCH($D357&amp;$C357,PreparerInfo!A356:A368&amp;PreparerInfo!C356:C368,0)),"")</f>
        <v/>
      </c>
      <c r="Q357" t="str">
        <f>IFERROR(INDEX(Source!B356:B364,MATCH('Case 4 solution'!E357,Source!A356:A364,0)),"")</f>
        <v/>
      </c>
    </row>
    <row r="358" spans="1:17" x14ac:dyDescent="0.3">
      <c r="A358" s="3">
        <v>2033698</v>
      </c>
      <c r="B358">
        <v>71400</v>
      </c>
      <c r="C358">
        <v>1</v>
      </c>
      <c r="D358" s="9">
        <v>101</v>
      </c>
      <c r="E358">
        <v>1007</v>
      </c>
      <c r="F358" s="1">
        <v>44006</v>
      </c>
      <c r="G358" t="s">
        <v>90</v>
      </c>
      <c r="H358" s="4">
        <v>685.36</v>
      </c>
      <c r="I358" s="4" t="s">
        <v>16</v>
      </c>
      <c r="J358" s="4">
        <v>685.36</v>
      </c>
      <c r="K358" t="str">
        <f>IFERROR(INDEX(BusinessUnits!$B:$B,MATCH($C358,BusinessUnits!$A:$A,0)),"")</f>
        <v>FOOD SERVICE</v>
      </c>
      <c r="L358" t="str">
        <f>IFERROR(INDEX(Table1[[#All],[Description]],MATCH($C358,BusinessUnits!$A:$A,0)),"")</f>
        <v xml:space="preserve">Transactions related to food and beverage service. Includes all guest transactions in the hotel restaurants, catering-related transactions and food service payroll. </v>
      </c>
      <c r="M358" t="str">
        <f>IFERROR(INDEX(ChartOfAccounts!B357:B442,MATCH($B358,ChartOfAccounts!A357:A442,0)),"")</f>
        <v/>
      </c>
      <c r="N358" t="str">
        <f>IFERROR(INDEX(ChartOfAccounts!D:D,MATCH($B358,ChartOfAccounts!A357:A442,0)),"")</f>
        <v/>
      </c>
      <c r="O358" t="str">
        <f>IFERROR(INDEX(ChartOfAccounts!F:F,MATCH($B358,ChartOfAccounts!A357:A442,0)),"")</f>
        <v/>
      </c>
      <c r="P358" t="str" cm="1">
        <f t="array" ref="P358">IFERROR(INDEX(PreparerInfo!B357:B369,MATCH($D358&amp;$C358,PreparerInfo!A357:A369&amp;PreparerInfo!C357:C369,0)),"")</f>
        <v/>
      </c>
      <c r="Q358" t="str">
        <f>IFERROR(INDEX(Source!B357:B365,MATCH('Case 4 solution'!E358,Source!A357:A365,0)),"")</f>
        <v/>
      </c>
    </row>
    <row r="359" spans="1:17" x14ac:dyDescent="0.3">
      <c r="A359" s="3">
        <v>2033698</v>
      </c>
      <c r="B359">
        <v>11845</v>
      </c>
      <c r="C359">
        <v>1</v>
      </c>
      <c r="D359" s="9">
        <v>101</v>
      </c>
      <c r="E359">
        <v>1007</v>
      </c>
      <c r="F359" s="1">
        <v>44006</v>
      </c>
      <c r="G359" t="s">
        <v>90</v>
      </c>
      <c r="H359" s="4" t="s">
        <v>16</v>
      </c>
      <c r="I359" s="4">
        <v>-685.36</v>
      </c>
      <c r="J359" s="4">
        <v>-685.36</v>
      </c>
      <c r="K359" t="str">
        <f>IFERROR(INDEX(BusinessUnits!$B:$B,MATCH($C359,BusinessUnits!$A:$A,0)),"")</f>
        <v>FOOD SERVICE</v>
      </c>
      <c r="L359" t="str">
        <f>IFERROR(INDEX(Table1[[#All],[Description]],MATCH($C359,BusinessUnits!$A:$A,0)),"")</f>
        <v xml:space="preserve">Transactions related to food and beverage service. Includes all guest transactions in the hotel restaurants, catering-related transactions and food service payroll. </v>
      </c>
      <c r="M359" t="str">
        <f>IFERROR(INDEX(ChartOfAccounts!B358:B443,MATCH($B359,ChartOfAccounts!A358:A443,0)),"")</f>
        <v/>
      </c>
      <c r="N359" t="str">
        <f>IFERROR(INDEX(ChartOfAccounts!D:D,MATCH($B359,ChartOfAccounts!A358:A443,0)),"")</f>
        <v/>
      </c>
      <c r="O359" t="str">
        <f>IFERROR(INDEX(ChartOfAccounts!F:F,MATCH($B359,ChartOfAccounts!A358:A443,0)),"")</f>
        <v/>
      </c>
      <c r="P359" t="str" cm="1">
        <f t="array" ref="P359">IFERROR(INDEX(PreparerInfo!B358:B370,MATCH($D359&amp;$C359,PreparerInfo!A358:A370&amp;PreparerInfo!C358:C370,0)),"")</f>
        <v/>
      </c>
      <c r="Q359" t="str">
        <f>IFERROR(INDEX(Source!B358:B366,MATCH('Case 4 solution'!E359,Source!A358:A366,0)),"")</f>
        <v/>
      </c>
    </row>
    <row r="360" spans="1:17" x14ac:dyDescent="0.3">
      <c r="A360" s="3">
        <v>2033699</v>
      </c>
      <c r="B360">
        <v>14250</v>
      </c>
      <c r="C360">
        <v>3</v>
      </c>
      <c r="D360" s="9">
        <v>101</v>
      </c>
      <c r="E360">
        <v>1007</v>
      </c>
      <c r="F360" s="1">
        <v>44006</v>
      </c>
      <c r="G360" t="s">
        <v>120</v>
      </c>
      <c r="H360" s="4">
        <v>759.61</v>
      </c>
      <c r="I360" s="4" t="s">
        <v>16</v>
      </c>
      <c r="J360" s="4">
        <v>759.61</v>
      </c>
      <c r="K360" t="str">
        <f>IFERROR(INDEX(BusinessUnits!$B:$B,MATCH($C360,BusinessUnits!$A:$A,0)),"")</f>
        <v>HOTEL PANTRY</v>
      </c>
      <c r="L360" t="str">
        <f>IFERROR(INDEX(Table1[[#All],[Description]],MATCH($C360,BusinessUnits!$A:$A,0)),"")</f>
        <v>Transactions related to the hotel convenience store, including some food and beverage costs.</v>
      </c>
      <c r="M360" t="str">
        <f>IFERROR(INDEX(ChartOfAccounts!B359:B444,MATCH($B360,ChartOfAccounts!A359:A444,0)),"")</f>
        <v/>
      </c>
      <c r="N360" t="str">
        <f>IFERROR(INDEX(ChartOfAccounts!D:D,MATCH($B360,ChartOfAccounts!A359:A444,0)),"")</f>
        <v/>
      </c>
      <c r="O360" t="str">
        <f>IFERROR(INDEX(ChartOfAccounts!F:F,MATCH($B360,ChartOfAccounts!A359:A444,0)),"")</f>
        <v/>
      </c>
      <c r="P360" t="str" cm="1">
        <f t="array" ref="P360">IFERROR(INDEX(PreparerInfo!B359:B371,MATCH($D360&amp;$C360,PreparerInfo!A359:A371&amp;PreparerInfo!C359:C371,0)),"")</f>
        <v/>
      </c>
      <c r="Q360" t="str">
        <f>IFERROR(INDEX(Source!B359:B367,MATCH('Case 4 solution'!E360,Source!A359:A367,0)),"")</f>
        <v/>
      </c>
    </row>
    <row r="361" spans="1:17" x14ac:dyDescent="0.3">
      <c r="A361" s="3">
        <v>2033699</v>
      </c>
      <c r="B361">
        <v>11845</v>
      </c>
      <c r="C361">
        <v>3</v>
      </c>
      <c r="D361" s="9">
        <v>101</v>
      </c>
      <c r="E361">
        <v>1007</v>
      </c>
      <c r="F361" s="1">
        <v>44006</v>
      </c>
      <c r="G361" t="s">
        <v>120</v>
      </c>
      <c r="H361" s="4" t="s">
        <v>16</v>
      </c>
      <c r="I361" s="4">
        <v>-759.61</v>
      </c>
      <c r="J361" s="4">
        <v>-759.61</v>
      </c>
      <c r="K361" t="str">
        <f>IFERROR(INDEX(BusinessUnits!$B:$B,MATCH($C361,BusinessUnits!$A:$A,0)),"")</f>
        <v>HOTEL PANTRY</v>
      </c>
      <c r="L361" t="str">
        <f>IFERROR(INDEX(Table1[[#All],[Description]],MATCH($C361,BusinessUnits!$A:$A,0)),"")</f>
        <v>Transactions related to the hotel convenience store, including some food and beverage costs.</v>
      </c>
      <c r="M361" t="str">
        <f>IFERROR(INDEX(ChartOfAccounts!B360:B445,MATCH($B361,ChartOfAccounts!A360:A445,0)),"")</f>
        <v/>
      </c>
      <c r="N361" t="str">
        <f>IFERROR(INDEX(ChartOfAccounts!D:D,MATCH($B361,ChartOfAccounts!A360:A445,0)),"")</f>
        <v/>
      </c>
      <c r="O361" t="str">
        <f>IFERROR(INDEX(ChartOfAccounts!F:F,MATCH($B361,ChartOfAccounts!A360:A445,0)),"")</f>
        <v/>
      </c>
      <c r="P361" t="str" cm="1">
        <f t="array" ref="P361">IFERROR(INDEX(PreparerInfo!B360:B372,MATCH($D361&amp;$C361,PreparerInfo!A360:A372&amp;PreparerInfo!C360:C372,0)),"")</f>
        <v/>
      </c>
      <c r="Q361" t="str">
        <f>IFERROR(INDEX(Source!B360:B368,MATCH('Case 4 solution'!E361,Source!A360:A368,0)),"")</f>
        <v/>
      </c>
    </row>
    <row r="362" spans="1:17" x14ac:dyDescent="0.3">
      <c r="A362" s="3">
        <v>2033700</v>
      </c>
      <c r="B362">
        <v>14260</v>
      </c>
      <c r="C362">
        <v>1</v>
      </c>
      <c r="D362" s="9">
        <v>102</v>
      </c>
      <c r="E362">
        <v>1002</v>
      </c>
      <c r="F362" s="1">
        <v>44006</v>
      </c>
      <c r="G362" t="s">
        <v>43</v>
      </c>
      <c r="H362" s="4">
        <v>794.16</v>
      </c>
      <c r="I362" s="4" t="s">
        <v>16</v>
      </c>
      <c r="J362" s="4">
        <v>794.16</v>
      </c>
      <c r="K362" t="str">
        <f>IFERROR(INDEX(BusinessUnits!$B:$B,MATCH($C362,BusinessUnits!$A:$A,0)),"")</f>
        <v>FOOD SERVICE</v>
      </c>
      <c r="L362" t="str">
        <f>IFERROR(INDEX(Table1[[#All],[Description]],MATCH($C362,BusinessUnits!$A:$A,0)),"")</f>
        <v xml:space="preserve">Transactions related to food and beverage service. Includes all guest transactions in the hotel restaurants, catering-related transactions and food service payroll. </v>
      </c>
      <c r="M362" t="str">
        <f>IFERROR(INDEX(ChartOfAccounts!B361:B446,MATCH($B362,ChartOfAccounts!A361:A446,0)),"")</f>
        <v/>
      </c>
      <c r="N362" t="str">
        <f>IFERROR(INDEX(ChartOfAccounts!D:D,MATCH($B362,ChartOfAccounts!A361:A446,0)),"")</f>
        <v/>
      </c>
      <c r="O362" t="str">
        <f>IFERROR(INDEX(ChartOfAccounts!F:F,MATCH($B362,ChartOfAccounts!A361:A446,0)),"")</f>
        <v/>
      </c>
      <c r="P362" t="str" cm="1">
        <f t="array" ref="P362">IFERROR(INDEX(PreparerInfo!B361:B373,MATCH($D362&amp;$C362,PreparerInfo!A361:A373&amp;PreparerInfo!C361:C373,0)),"")</f>
        <v/>
      </c>
      <c r="Q362" t="str">
        <f>IFERROR(INDEX(Source!B361:B369,MATCH('Case 4 solution'!E362,Source!A361:A369,0)),"")</f>
        <v/>
      </c>
    </row>
    <row r="363" spans="1:17" x14ac:dyDescent="0.3">
      <c r="A363" s="3">
        <v>2033700</v>
      </c>
      <c r="B363">
        <v>11845</v>
      </c>
      <c r="C363">
        <v>1</v>
      </c>
      <c r="D363" s="9">
        <v>102</v>
      </c>
      <c r="E363">
        <v>1002</v>
      </c>
      <c r="F363" s="1">
        <v>44006</v>
      </c>
      <c r="G363" t="s">
        <v>43</v>
      </c>
      <c r="H363" s="4" t="s">
        <v>16</v>
      </c>
      <c r="I363" s="4">
        <v>-794.16</v>
      </c>
      <c r="J363" s="4">
        <v>-794.16</v>
      </c>
      <c r="K363" t="str">
        <f>IFERROR(INDEX(BusinessUnits!$B:$B,MATCH($C363,BusinessUnits!$A:$A,0)),"")</f>
        <v>FOOD SERVICE</v>
      </c>
      <c r="L363" t="str">
        <f>IFERROR(INDEX(Table1[[#All],[Description]],MATCH($C363,BusinessUnits!$A:$A,0)),"")</f>
        <v xml:space="preserve">Transactions related to food and beverage service. Includes all guest transactions in the hotel restaurants, catering-related transactions and food service payroll. </v>
      </c>
      <c r="M363" t="str">
        <f>IFERROR(INDEX(ChartOfAccounts!B362:B447,MATCH($B363,ChartOfAccounts!A362:A447,0)),"")</f>
        <v/>
      </c>
      <c r="N363" t="str">
        <f>IFERROR(INDEX(ChartOfAccounts!D:D,MATCH($B363,ChartOfAccounts!A362:A447,0)),"")</f>
        <v/>
      </c>
      <c r="O363" t="str">
        <f>IFERROR(INDEX(ChartOfAccounts!F:F,MATCH($B363,ChartOfAccounts!A362:A447,0)),"")</f>
        <v/>
      </c>
      <c r="P363" t="str" cm="1">
        <f t="array" ref="P363">IFERROR(INDEX(PreparerInfo!B362:B374,MATCH($D363&amp;$C363,PreparerInfo!A362:A374&amp;PreparerInfo!C362:C374,0)),"")</f>
        <v/>
      </c>
      <c r="Q363" t="str">
        <f>IFERROR(INDEX(Source!B362:B370,MATCH('Case 4 solution'!E363,Source!A362:A370,0)),"")</f>
        <v/>
      </c>
    </row>
    <row r="364" spans="1:17" x14ac:dyDescent="0.3">
      <c r="A364" s="3">
        <v>2033701</v>
      </c>
      <c r="B364">
        <v>14260</v>
      </c>
      <c r="C364">
        <v>1</v>
      </c>
      <c r="D364" s="9">
        <v>102</v>
      </c>
      <c r="E364">
        <v>1002</v>
      </c>
      <c r="F364" s="1">
        <v>44006</v>
      </c>
      <c r="G364" t="s">
        <v>39</v>
      </c>
      <c r="H364" s="4">
        <v>1119.04</v>
      </c>
      <c r="I364" s="4" t="s">
        <v>16</v>
      </c>
      <c r="J364" s="4">
        <v>1119.04</v>
      </c>
      <c r="K364" t="str">
        <f>IFERROR(INDEX(BusinessUnits!$B:$B,MATCH($C364,BusinessUnits!$A:$A,0)),"")</f>
        <v>FOOD SERVICE</v>
      </c>
      <c r="L364" t="str">
        <f>IFERROR(INDEX(Table1[[#All],[Description]],MATCH($C364,BusinessUnits!$A:$A,0)),"")</f>
        <v xml:space="preserve">Transactions related to food and beverage service. Includes all guest transactions in the hotel restaurants, catering-related transactions and food service payroll. </v>
      </c>
      <c r="M364" t="str">
        <f>IFERROR(INDEX(ChartOfAccounts!B363:B448,MATCH($B364,ChartOfAccounts!A363:A448,0)),"")</f>
        <v/>
      </c>
      <c r="N364" t="str">
        <f>IFERROR(INDEX(ChartOfAccounts!D:D,MATCH($B364,ChartOfAccounts!A363:A448,0)),"")</f>
        <v/>
      </c>
      <c r="O364" t="str">
        <f>IFERROR(INDEX(ChartOfAccounts!F:F,MATCH($B364,ChartOfAccounts!A363:A448,0)),"")</f>
        <v/>
      </c>
      <c r="P364" t="str" cm="1">
        <f t="array" ref="P364">IFERROR(INDEX(PreparerInfo!B363:B375,MATCH($D364&amp;$C364,PreparerInfo!A363:A375&amp;PreparerInfo!C363:C375,0)),"")</f>
        <v/>
      </c>
      <c r="Q364" t="str">
        <f>IFERROR(INDEX(Source!B363:B371,MATCH('Case 4 solution'!E364,Source!A363:A371,0)),"")</f>
        <v/>
      </c>
    </row>
    <row r="365" spans="1:17" x14ac:dyDescent="0.3">
      <c r="A365" s="3">
        <v>2033701</v>
      </c>
      <c r="B365">
        <v>11845</v>
      </c>
      <c r="C365">
        <v>1</v>
      </c>
      <c r="D365" s="9">
        <v>102</v>
      </c>
      <c r="E365">
        <v>1002</v>
      </c>
      <c r="F365" s="1">
        <v>44006</v>
      </c>
      <c r="G365" t="s">
        <v>39</v>
      </c>
      <c r="H365" s="4" t="s">
        <v>16</v>
      </c>
      <c r="I365" s="4">
        <v>-1119.04</v>
      </c>
      <c r="J365" s="4">
        <v>-1119.04</v>
      </c>
      <c r="K365" t="str">
        <f>IFERROR(INDEX(BusinessUnits!$B:$B,MATCH($C365,BusinessUnits!$A:$A,0)),"")</f>
        <v>FOOD SERVICE</v>
      </c>
      <c r="L365" t="str">
        <f>IFERROR(INDEX(Table1[[#All],[Description]],MATCH($C365,BusinessUnits!$A:$A,0)),"")</f>
        <v xml:space="preserve">Transactions related to food and beverage service. Includes all guest transactions in the hotel restaurants, catering-related transactions and food service payroll. </v>
      </c>
      <c r="M365" t="str">
        <f>IFERROR(INDEX(ChartOfAccounts!B364:B449,MATCH($B365,ChartOfAccounts!A364:A449,0)),"")</f>
        <v/>
      </c>
      <c r="N365" t="str">
        <f>IFERROR(INDEX(ChartOfAccounts!D:D,MATCH($B365,ChartOfAccounts!A364:A449,0)),"")</f>
        <v/>
      </c>
      <c r="O365" t="str">
        <f>IFERROR(INDEX(ChartOfAccounts!F:F,MATCH($B365,ChartOfAccounts!A364:A449,0)),"")</f>
        <v/>
      </c>
      <c r="P365" t="str" cm="1">
        <f t="array" ref="P365">IFERROR(INDEX(PreparerInfo!B364:B376,MATCH($D365&amp;$C365,PreparerInfo!A364:A376&amp;PreparerInfo!C364:C376,0)),"")</f>
        <v/>
      </c>
      <c r="Q365" t="str">
        <f>IFERROR(INDEX(Source!B364:B372,MATCH('Case 4 solution'!E365,Source!A364:A372,0)),"")</f>
        <v/>
      </c>
    </row>
    <row r="366" spans="1:17" x14ac:dyDescent="0.3">
      <c r="A366" s="3">
        <v>2033702</v>
      </c>
      <c r="B366">
        <v>71400</v>
      </c>
      <c r="C366">
        <v>1</v>
      </c>
      <c r="D366" s="9">
        <v>101</v>
      </c>
      <c r="E366">
        <v>1007</v>
      </c>
      <c r="F366" s="1">
        <v>44006</v>
      </c>
      <c r="G366" t="s">
        <v>90</v>
      </c>
      <c r="H366" s="4">
        <v>1319.55</v>
      </c>
      <c r="I366" s="4" t="s">
        <v>16</v>
      </c>
      <c r="J366" s="4">
        <v>1319.55</v>
      </c>
      <c r="K366" t="str">
        <f>IFERROR(INDEX(BusinessUnits!$B:$B,MATCH($C366,BusinessUnits!$A:$A,0)),"")</f>
        <v>FOOD SERVICE</v>
      </c>
      <c r="L366" t="str">
        <f>IFERROR(INDEX(Table1[[#All],[Description]],MATCH($C366,BusinessUnits!$A:$A,0)),"")</f>
        <v xml:space="preserve">Transactions related to food and beverage service. Includes all guest transactions in the hotel restaurants, catering-related transactions and food service payroll. </v>
      </c>
      <c r="M366" t="str">
        <f>IFERROR(INDEX(ChartOfAccounts!B365:B450,MATCH($B366,ChartOfAccounts!A365:A450,0)),"")</f>
        <v/>
      </c>
      <c r="N366" t="str">
        <f>IFERROR(INDEX(ChartOfAccounts!D:D,MATCH($B366,ChartOfAccounts!A365:A450,0)),"")</f>
        <v/>
      </c>
      <c r="O366" t="str">
        <f>IFERROR(INDEX(ChartOfAccounts!F:F,MATCH($B366,ChartOfAccounts!A365:A450,0)),"")</f>
        <v/>
      </c>
      <c r="P366" t="str" cm="1">
        <f t="array" ref="P366">IFERROR(INDEX(PreparerInfo!B365:B377,MATCH($D366&amp;$C366,PreparerInfo!A365:A377&amp;PreparerInfo!C365:C377,0)),"")</f>
        <v/>
      </c>
      <c r="Q366" t="str">
        <f>IFERROR(INDEX(Source!B365:B373,MATCH('Case 4 solution'!E366,Source!A365:A373,0)),"")</f>
        <v/>
      </c>
    </row>
    <row r="367" spans="1:17" x14ac:dyDescent="0.3">
      <c r="A367" s="3">
        <v>2033702</v>
      </c>
      <c r="B367">
        <v>11845</v>
      </c>
      <c r="C367">
        <v>1</v>
      </c>
      <c r="D367" s="9">
        <v>101</v>
      </c>
      <c r="E367">
        <v>1007</v>
      </c>
      <c r="F367" s="1">
        <v>44006</v>
      </c>
      <c r="G367" t="s">
        <v>90</v>
      </c>
      <c r="H367" s="4" t="s">
        <v>16</v>
      </c>
      <c r="I367" s="4">
        <v>-1319.55</v>
      </c>
      <c r="J367" s="4">
        <v>-1319.55</v>
      </c>
      <c r="K367" t="str">
        <f>IFERROR(INDEX(BusinessUnits!$B:$B,MATCH($C367,BusinessUnits!$A:$A,0)),"")</f>
        <v>FOOD SERVICE</v>
      </c>
      <c r="L367" t="str">
        <f>IFERROR(INDEX(Table1[[#All],[Description]],MATCH($C367,BusinessUnits!$A:$A,0)),"")</f>
        <v xml:space="preserve">Transactions related to food and beverage service. Includes all guest transactions in the hotel restaurants, catering-related transactions and food service payroll. </v>
      </c>
      <c r="M367" t="str">
        <f>IFERROR(INDEX(ChartOfAccounts!B366:B451,MATCH($B367,ChartOfAccounts!A366:A451,0)),"")</f>
        <v/>
      </c>
      <c r="N367" t="str">
        <f>IFERROR(INDEX(ChartOfAccounts!D:D,MATCH($B367,ChartOfAccounts!A366:A451,0)),"")</f>
        <v/>
      </c>
      <c r="O367" t="str">
        <f>IFERROR(INDEX(ChartOfAccounts!F:F,MATCH($B367,ChartOfAccounts!A366:A451,0)),"")</f>
        <v/>
      </c>
      <c r="P367" t="str" cm="1">
        <f t="array" ref="P367">IFERROR(INDEX(PreparerInfo!B366:B378,MATCH($D367&amp;$C367,PreparerInfo!A366:A378&amp;PreparerInfo!C366:C378,0)),"")</f>
        <v/>
      </c>
      <c r="Q367" t="str">
        <f>IFERROR(INDEX(Source!B366:B374,MATCH('Case 4 solution'!E367,Source!A366:A374,0)),"")</f>
        <v/>
      </c>
    </row>
    <row r="368" spans="1:17" x14ac:dyDescent="0.3">
      <c r="A368" s="3">
        <v>2033703</v>
      </c>
      <c r="B368">
        <v>11845</v>
      </c>
      <c r="C368">
        <v>2</v>
      </c>
      <c r="D368" s="9">
        <v>104</v>
      </c>
      <c r="E368">
        <v>1003</v>
      </c>
      <c r="F368" s="1">
        <v>44006</v>
      </c>
      <c r="G368" t="s">
        <v>15</v>
      </c>
      <c r="H368" s="4">
        <v>1700</v>
      </c>
      <c r="I368" s="4" t="s">
        <v>16</v>
      </c>
      <c r="J368" s="4">
        <v>1700</v>
      </c>
      <c r="K368" t="str">
        <f>IFERROR(INDEX(BusinessUnits!$B:$B,MATCH($C368,BusinessUnits!$A:$A,0)),"")</f>
        <v>HOTEL</v>
      </c>
      <c r="L368" t="str">
        <f>IFERROR(INDEX(Table1[[#All],[Description]],MATCH($C368,BusinessUnits!$A:$A,0)),"")</f>
        <v xml:space="preserve">Transactions related to guest rooms and overall hotel operations. Includes payroll for administrative staff, clerks and interns. </v>
      </c>
      <c r="M368" t="str">
        <f>IFERROR(INDEX(ChartOfAccounts!B367:B452,MATCH($B368,ChartOfAccounts!A367:A452,0)),"")</f>
        <v/>
      </c>
      <c r="N368" t="str">
        <f>IFERROR(INDEX(ChartOfAccounts!D:D,MATCH($B368,ChartOfAccounts!A367:A452,0)),"")</f>
        <v/>
      </c>
      <c r="O368" t="str">
        <f>IFERROR(INDEX(ChartOfAccounts!F:F,MATCH($B368,ChartOfAccounts!A367:A452,0)),"")</f>
        <v/>
      </c>
      <c r="P368" t="str" cm="1">
        <f t="array" ref="P368">IFERROR(INDEX(PreparerInfo!B367:B379,MATCH($D368&amp;$C368,PreparerInfo!A367:A379&amp;PreparerInfo!C367:C379,0)),"")</f>
        <v/>
      </c>
      <c r="Q368" t="str">
        <f>IFERROR(INDEX(Source!B367:B375,MATCH('Case 4 solution'!E368,Source!A367:A375,0)),"")</f>
        <v/>
      </c>
    </row>
    <row r="369" spans="1:17" x14ac:dyDescent="0.3">
      <c r="A369" s="3">
        <v>2033703</v>
      </c>
      <c r="B369">
        <v>43180</v>
      </c>
      <c r="C369">
        <v>2</v>
      </c>
      <c r="D369" s="9">
        <v>104</v>
      </c>
      <c r="E369">
        <v>1003</v>
      </c>
      <c r="F369" s="1">
        <v>44006</v>
      </c>
      <c r="G369" t="s">
        <v>15</v>
      </c>
      <c r="H369" s="4" t="s">
        <v>16</v>
      </c>
      <c r="I369" s="4">
        <v>-1700</v>
      </c>
      <c r="J369" s="4">
        <v>-1700</v>
      </c>
      <c r="K369" t="str">
        <f>IFERROR(INDEX(BusinessUnits!$B:$B,MATCH($C369,BusinessUnits!$A:$A,0)),"")</f>
        <v>HOTEL</v>
      </c>
      <c r="L369" t="str">
        <f>IFERROR(INDEX(Table1[[#All],[Description]],MATCH($C369,BusinessUnits!$A:$A,0)),"")</f>
        <v xml:space="preserve">Transactions related to guest rooms and overall hotel operations. Includes payroll for administrative staff, clerks and interns. </v>
      </c>
      <c r="M369" t="str">
        <f>IFERROR(INDEX(ChartOfAccounts!B368:B453,MATCH($B369,ChartOfAccounts!A368:A453,0)),"")</f>
        <v/>
      </c>
      <c r="N369" t="str">
        <f>IFERROR(INDEX(ChartOfAccounts!D:D,MATCH($B369,ChartOfAccounts!A368:A453,0)),"")</f>
        <v/>
      </c>
      <c r="O369" t="str">
        <f>IFERROR(INDEX(ChartOfAccounts!F:F,MATCH($B369,ChartOfAccounts!A368:A453,0)),"")</f>
        <v/>
      </c>
      <c r="P369" t="str" cm="1">
        <f t="array" ref="P369">IFERROR(INDEX(PreparerInfo!B368:B380,MATCH($D369&amp;$C369,PreparerInfo!A368:A380&amp;PreparerInfo!C368:C380,0)),"")</f>
        <v/>
      </c>
      <c r="Q369" t="str">
        <f>IFERROR(INDEX(Source!B368:B376,MATCH('Case 4 solution'!E369,Source!A368:A376,0)),"")</f>
        <v/>
      </c>
    </row>
    <row r="370" spans="1:17" x14ac:dyDescent="0.3">
      <c r="A370" s="3">
        <v>2033704</v>
      </c>
      <c r="B370">
        <v>14260</v>
      </c>
      <c r="C370">
        <v>1</v>
      </c>
      <c r="D370" s="9">
        <v>101</v>
      </c>
      <c r="E370">
        <v>1002</v>
      </c>
      <c r="F370" s="1">
        <v>44006</v>
      </c>
      <c r="G370" t="s">
        <v>38</v>
      </c>
      <c r="H370" s="4">
        <v>1817.47</v>
      </c>
      <c r="I370" s="4" t="s">
        <v>16</v>
      </c>
      <c r="J370" s="4">
        <v>1817.47</v>
      </c>
      <c r="K370" t="str">
        <f>IFERROR(INDEX(BusinessUnits!$B:$B,MATCH($C370,BusinessUnits!$A:$A,0)),"")</f>
        <v>FOOD SERVICE</v>
      </c>
      <c r="L370" t="str">
        <f>IFERROR(INDEX(Table1[[#All],[Description]],MATCH($C370,BusinessUnits!$A:$A,0)),"")</f>
        <v xml:space="preserve">Transactions related to food and beverage service. Includes all guest transactions in the hotel restaurants, catering-related transactions and food service payroll. </v>
      </c>
      <c r="M370" t="str">
        <f>IFERROR(INDEX(ChartOfAccounts!B369:B454,MATCH($B370,ChartOfAccounts!A369:A454,0)),"")</f>
        <v/>
      </c>
      <c r="N370" t="str">
        <f>IFERROR(INDEX(ChartOfAccounts!D:D,MATCH($B370,ChartOfAccounts!A369:A454,0)),"")</f>
        <v/>
      </c>
      <c r="O370" t="str">
        <f>IFERROR(INDEX(ChartOfAccounts!F:F,MATCH($B370,ChartOfAccounts!A369:A454,0)),"")</f>
        <v/>
      </c>
      <c r="P370" t="str" cm="1">
        <f t="array" ref="P370">IFERROR(INDEX(PreparerInfo!B369:B381,MATCH($D370&amp;$C370,PreparerInfo!A369:A381&amp;PreparerInfo!C369:C381,0)),"")</f>
        <v/>
      </c>
      <c r="Q370" t="str">
        <f>IFERROR(INDEX(Source!B369:B377,MATCH('Case 4 solution'!E370,Source!A369:A377,0)),"")</f>
        <v/>
      </c>
    </row>
    <row r="371" spans="1:17" x14ac:dyDescent="0.3">
      <c r="A371" s="3">
        <v>2033704</v>
      </c>
      <c r="B371">
        <v>11845</v>
      </c>
      <c r="C371">
        <v>1</v>
      </c>
      <c r="D371" s="9">
        <v>101</v>
      </c>
      <c r="E371">
        <v>1002</v>
      </c>
      <c r="F371" s="1">
        <v>44006</v>
      </c>
      <c r="G371" t="s">
        <v>38</v>
      </c>
      <c r="H371" s="4" t="s">
        <v>16</v>
      </c>
      <c r="I371" s="4">
        <v>-1817.47</v>
      </c>
      <c r="J371" s="4">
        <v>-1817.47</v>
      </c>
      <c r="K371" t="str">
        <f>IFERROR(INDEX(BusinessUnits!$B:$B,MATCH($C371,BusinessUnits!$A:$A,0)),"")</f>
        <v>FOOD SERVICE</v>
      </c>
      <c r="L371" t="str">
        <f>IFERROR(INDEX(Table1[[#All],[Description]],MATCH($C371,BusinessUnits!$A:$A,0)),"")</f>
        <v xml:space="preserve">Transactions related to food and beverage service. Includes all guest transactions in the hotel restaurants, catering-related transactions and food service payroll. </v>
      </c>
      <c r="M371" t="str">
        <f>IFERROR(INDEX(ChartOfAccounts!B370:B455,MATCH($B371,ChartOfAccounts!A370:A455,0)),"")</f>
        <v/>
      </c>
      <c r="N371" t="str">
        <f>IFERROR(INDEX(ChartOfAccounts!D:D,MATCH($B371,ChartOfAccounts!A370:A455,0)),"")</f>
        <v/>
      </c>
      <c r="O371" t="str">
        <f>IFERROR(INDEX(ChartOfAccounts!F:F,MATCH($B371,ChartOfAccounts!A370:A455,0)),"")</f>
        <v/>
      </c>
      <c r="P371" t="str" cm="1">
        <f t="array" ref="P371">IFERROR(INDEX(PreparerInfo!B370:B382,MATCH($D371&amp;$C371,PreparerInfo!A370:A382&amp;PreparerInfo!C370:C382,0)),"")</f>
        <v/>
      </c>
      <c r="Q371" t="str">
        <f>IFERROR(INDEX(Source!B370:B378,MATCH('Case 4 solution'!E371,Source!A370:A378,0)),"")</f>
        <v/>
      </c>
    </row>
    <row r="372" spans="1:17" x14ac:dyDescent="0.3">
      <c r="A372" s="3">
        <v>2033705</v>
      </c>
      <c r="B372">
        <v>71400</v>
      </c>
      <c r="C372">
        <v>6</v>
      </c>
      <c r="D372" s="9">
        <v>101</v>
      </c>
      <c r="E372">
        <v>1007</v>
      </c>
      <c r="F372" s="1">
        <v>44006</v>
      </c>
      <c r="G372" t="s">
        <v>175</v>
      </c>
      <c r="H372" s="4">
        <v>1995.4</v>
      </c>
      <c r="I372" s="4" t="s">
        <v>16</v>
      </c>
      <c r="J372" s="4">
        <v>1995.4</v>
      </c>
      <c r="K372" t="str">
        <f>IFERROR(INDEX(BusinessUnits!$B:$B,MATCH($C372,BusinessUnits!$A:$A,0)),"")</f>
        <v>MAINTENANCE</v>
      </c>
      <c r="L372" t="str">
        <f>IFERROR(INDEX(Table1[[#All],[Description]],MATCH($C372,BusinessUnits!$A:$A,0)),"")</f>
        <v>Transactions related to the hotel Maintenance Department. Primarily includes payroll for maintenance, grounds keepers and related supplies.</v>
      </c>
      <c r="M372" t="str">
        <f>IFERROR(INDEX(ChartOfAccounts!B371:B456,MATCH($B372,ChartOfAccounts!A371:A456,0)),"")</f>
        <v/>
      </c>
      <c r="N372" t="str">
        <f>IFERROR(INDEX(ChartOfAccounts!D:D,MATCH($B372,ChartOfAccounts!A371:A456,0)),"")</f>
        <v/>
      </c>
      <c r="O372" t="str">
        <f>IFERROR(INDEX(ChartOfAccounts!F:F,MATCH($B372,ChartOfAccounts!A371:A456,0)),"")</f>
        <v/>
      </c>
      <c r="P372" t="str" cm="1">
        <f t="array" ref="P372">IFERROR(INDEX(PreparerInfo!B371:B383,MATCH($D372&amp;$C372,PreparerInfo!A371:A383&amp;PreparerInfo!C371:C383,0)),"")</f>
        <v/>
      </c>
      <c r="Q372" t="str">
        <f>IFERROR(INDEX(Source!B371:B379,MATCH('Case 4 solution'!E372,Source!A371:A379,0)),"")</f>
        <v/>
      </c>
    </row>
    <row r="373" spans="1:17" x14ac:dyDescent="0.3">
      <c r="A373" s="3">
        <v>2033705</v>
      </c>
      <c r="B373">
        <v>11845</v>
      </c>
      <c r="C373">
        <v>6</v>
      </c>
      <c r="D373" s="9">
        <v>101</v>
      </c>
      <c r="E373">
        <v>1007</v>
      </c>
      <c r="F373" s="1">
        <v>44006</v>
      </c>
      <c r="G373" t="s">
        <v>175</v>
      </c>
      <c r="H373" s="4" t="s">
        <v>16</v>
      </c>
      <c r="I373" s="4">
        <v>-1995.4</v>
      </c>
      <c r="J373" s="4">
        <v>-1995.4</v>
      </c>
      <c r="K373" t="str">
        <f>IFERROR(INDEX(BusinessUnits!$B:$B,MATCH($C373,BusinessUnits!$A:$A,0)),"")</f>
        <v>MAINTENANCE</v>
      </c>
      <c r="L373" t="str">
        <f>IFERROR(INDEX(Table1[[#All],[Description]],MATCH($C373,BusinessUnits!$A:$A,0)),"")</f>
        <v>Transactions related to the hotel Maintenance Department. Primarily includes payroll for maintenance, grounds keepers and related supplies.</v>
      </c>
      <c r="M373" t="str">
        <f>IFERROR(INDEX(ChartOfAccounts!B372:B457,MATCH($B373,ChartOfAccounts!A372:A457,0)),"")</f>
        <v/>
      </c>
      <c r="N373" t="str">
        <f>IFERROR(INDEX(ChartOfAccounts!D:D,MATCH($B373,ChartOfAccounts!A372:A457,0)),"")</f>
        <v/>
      </c>
      <c r="O373" t="str">
        <f>IFERROR(INDEX(ChartOfAccounts!F:F,MATCH($B373,ChartOfAccounts!A372:A457,0)),"")</f>
        <v/>
      </c>
      <c r="P373" t="str" cm="1">
        <f t="array" ref="P373">IFERROR(INDEX(PreparerInfo!B372:B384,MATCH($D373&amp;$C373,PreparerInfo!A372:A384&amp;PreparerInfo!C372:C384,0)),"")</f>
        <v/>
      </c>
      <c r="Q373" t="str">
        <f>IFERROR(INDEX(Source!B372:B380,MATCH('Case 4 solution'!E373,Source!A372:A380,0)),"")</f>
        <v/>
      </c>
    </row>
    <row r="374" spans="1:17" x14ac:dyDescent="0.3">
      <c r="A374" s="3">
        <v>2033706</v>
      </c>
      <c r="B374">
        <v>76030</v>
      </c>
      <c r="C374">
        <v>2</v>
      </c>
      <c r="D374" s="9">
        <v>101</v>
      </c>
      <c r="E374">
        <v>1002</v>
      </c>
      <c r="F374" s="1">
        <v>44006</v>
      </c>
      <c r="G374" t="s">
        <v>196</v>
      </c>
      <c r="H374" s="4">
        <v>2152.38</v>
      </c>
      <c r="I374" s="4" t="s">
        <v>16</v>
      </c>
      <c r="J374" s="4">
        <v>2152.38</v>
      </c>
      <c r="K374" t="str">
        <f>IFERROR(INDEX(BusinessUnits!$B:$B,MATCH($C374,BusinessUnits!$A:$A,0)),"")</f>
        <v>HOTEL</v>
      </c>
      <c r="L374" t="str">
        <f>IFERROR(INDEX(Table1[[#All],[Description]],MATCH($C374,BusinessUnits!$A:$A,0)),"")</f>
        <v xml:space="preserve">Transactions related to guest rooms and overall hotel operations. Includes payroll for administrative staff, clerks and interns. </v>
      </c>
      <c r="M374" t="str">
        <f>IFERROR(INDEX(ChartOfAccounts!B373:B458,MATCH($B374,ChartOfAccounts!A373:A458,0)),"")</f>
        <v/>
      </c>
      <c r="N374" t="str">
        <f>IFERROR(INDEX(ChartOfAccounts!D:D,MATCH($B374,ChartOfAccounts!A373:A458,0)),"")</f>
        <v/>
      </c>
      <c r="O374" t="str">
        <f>IFERROR(INDEX(ChartOfAccounts!F:F,MATCH($B374,ChartOfAccounts!A373:A458,0)),"")</f>
        <v/>
      </c>
      <c r="P374" t="str" cm="1">
        <f t="array" ref="P374">IFERROR(INDEX(PreparerInfo!B373:B385,MATCH($D374&amp;$C374,PreparerInfo!A373:A385&amp;PreparerInfo!C373:C385,0)),"")</f>
        <v/>
      </c>
      <c r="Q374" t="str">
        <f>IFERROR(INDEX(Source!B373:B381,MATCH('Case 4 solution'!E374,Source!A373:A381,0)),"")</f>
        <v/>
      </c>
    </row>
    <row r="375" spans="1:17" x14ac:dyDescent="0.3">
      <c r="A375" s="3">
        <v>2033706</v>
      </c>
      <c r="B375">
        <v>11845</v>
      </c>
      <c r="C375">
        <v>2</v>
      </c>
      <c r="D375" s="9">
        <v>101</v>
      </c>
      <c r="E375">
        <v>1002</v>
      </c>
      <c r="F375" s="1">
        <v>44006</v>
      </c>
      <c r="G375" t="s">
        <v>196</v>
      </c>
      <c r="H375" s="4" t="s">
        <v>16</v>
      </c>
      <c r="I375" s="4">
        <v>-2152.38</v>
      </c>
      <c r="J375" s="4">
        <v>-2152.38</v>
      </c>
      <c r="K375" t="str">
        <f>IFERROR(INDEX(BusinessUnits!$B:$B,MATCH($C375,BusinessUnits!$A:$A,0)),"")</f>
        <v>HOTEL</v>
      </c>
      <c r="L375" t="str">
        <f>IFERROR(INDEX(Table1[[#All],[Description]],MATCH($C375,BusinessUnits!$A:$A,0)),"")</f>
        <v xml:space="preserve">Transactions related to guest rooms and overall hotel operations. Includes payroll for administrative staff, clerks and interns. </v>
      </c>
      <c r="M375" t="str">
        <f>IFERROR(INDEX(ChartOfAccounts!B374:B459,MATCH($B375,ChartOfAccounts!A374:A459,0)),"")</f>
        <v/>
      </c>
      <c r="N375" t="str">
        <f>IFERROR(INDEX(ChartOfAccounts!D:D,MATCH($B375,ChartOfAccounts!A374:A459,0)),"")</f>
        <v/>
      </c>
      <c r="O375" t="str">
        <f>IFERROR(INDEX(ChartOfAccounts!F:F,MATCH($B375,ChartOfAccounts!A374:A459,0)),"")</f>
        <v/>
      </c>
      <c r="P375" t="str" cm="1">
        <f t="array" ref="P375">IFERROR(INDEX(PreparerInfo!B374:B386,MATCH($D375&amp;$C375,PreparerInfo!A374:A386&amp;PreparerInfo!C374:C386,0)),"")</f>
        <v/>
      </c>
      <c r="Q375" t="str">
        <f>IFERROR(INDEX(Source!B374:B382,MATCH('Case 4 solution'!E375,Source!A374:A382,0)),"")</f>
        <v/>
      </c>
    </row>
    <row r="376" spans="1:17" x14ac:dyDescent="0.3">
      <c r="A376" s="3">
        <v>2033707</v>
      </c>
      <c r="B376">
        <v>14260</v>
      </c>
      <c r="C376">
        <v>1</v>
      </c>
      <c r="D376" s="9">
        <v>102</v>
      </c>
      <c r="E376">
        <v>1002</v>
      </c>
      <c r="F376" s="1">
        <v>44006</v>
      </c>
      <c r="G376" t="s">
        <v>214</v>
      </c>
      <c r="H376" s="4">
        <v>2366.64</v>
      </c>
      <c r="I376" s="4" t="s">
        <v>16</v>
      </c>
      <c r="J376" s="4">
        <v>2366.64</v>
      </c>
      <c r="K376" t="str">
        <f>IFERROR(INDEX(BusinessUnits!$B:$B,MATCH($C376,BusinessUnits!$A:$A,0)),"")</f>
        <v>FOOD SERVICE</v>
      </c>
      <c r="L376" t="str">
        <f>IFERROR(INDEX(Table1[[#All],[Description]],MATCH($C376,BusinessUnits!$A:$A,0)),"")</f>
        <v xml:space="preserve">Transactions related to food and beverage service. Includes all guest transactions in the hotel restaurants, catering-related transactions and food service payroll. </v>
      </c>
      <c r="M376" t="str">
        <f>IFERROR(INDEX(ChartOfAccounts!B375:B460,MATCH($B376,ChartOfAccounts!A375:A460,0)),"")</f>
        <v/>
      </c>
      <c r="N376" t="str">
        <f>IFERROR(INDEX(ChartOfAccounts!D:D,MATCH($B376,ChartOfAccounts!A375:A460,0)),"")</f>
        <v/>
      </c>
      <c r="O376" t="str">
        <f>IFERROR(INDEX(ChartOfAccounts!F:F,MATCH($B376,ChartOfAccounts!A375:A460,0)),"")</f>
        <v/>
      </c>
      <c r="P376" t="str" cm="1">
        <f t="array" ref="P376">IFERROR(INDEX(PreparerInfo!B375:B387,MATCH($D376&amp;$C376,PreparerInfo!A375:A387&amp;PreparerInfo!C375:C387,0)),"")</f>
        <v/>
      </c>
      <c r="Q376" t="str">
        <f>IFERROR(INDEX(Source!B375:B383,MATCH('Case 4 solution'!E376,Source!A375:A383,0)),"")</f>
        <v/>
      </c>
    </row>
    <row r="377" spans="1:17" x14ac:dyDescent="0.3">
      <c r="A377" s="3">
        <v>2033707</v>
      </c>
      <c r="B377">
        <v>11845</v>
      </c>
      <c r="C377">
        <v>1</v>
      </c>
      <c r="D377" s="9">
        <v>102</v>
      </c>
      <c r="E377">
        <v>1002</v>
      </c>
      <c r="F377" s="1">
        <v>44006</v>
      </c>
      <c r="G377" t="s">
        <v>214</v>
      </c>
      <c r="H377" s="4" t="s">
        <v>16</v>
      </c>
      <c r="I377" s="4">
        <v>-2366.64</v>
      </c>
      <c r="J377" s="4">
        <v>-2366.64</v>
      </c>
      <c r="K377" t="str">
        <f>IFERROR(INDEX(BusinessUnits!$B:$B,MATCH($C377,BusinessUnits!$A:$A,0)),"")</f>
        <v>FOOD SERVICE</v>
      </c>
      <c r="L377" t="str">
        <f>IFERROR(INDEX(Table1[[#All],[Description]],MATCH($C377,BusinessUnits!$A:$A,0)),"")</f>
        <v xml:space="preserve">Transactions related to food and beverage service. Includes all guest transactions in the hotel restaurants, catering-related transactions and food service payroll. </v>
      </c>
      <c r="M377" t="str">
        <f>IFERROR(INDEX(ChartOfAccounts!B376:B461,MATCH($B377,ChartOfAccounts!A376:A461,0)),"")</f>
        <v/>
      </c>
      <c r="N377" t="str">
        <f>IFERROR(INDEX(ChartOfAccounts!D:D,MATCH($B377,ChartOfAccounts!A376:A461,0)),"")</f>
        <v/>
      </c>
      <c r="O377" t="str">
        <f>IFERROR(INDEX(ChartOfAccounts!F:F,MATCH($B377,ChartOfAccounts!A376:A461,0)),"")</f>
        <v/>
      </c>
      <c r="P377" t="str" cm="1">
        <f t="array" ref="P377">IFERROR(INDEX(PreparerInfo!B376:B388,MATCH($D377&amp;$C377,PreparerInfo!A376:A388&amp;PreparerInfo!C376:C388,0)),"")</f>
        <v/>
      </c>
      <c r="Q377" t="str">
        <f>IFERROR(INDEX(Source!B376:B384,MATCH('Case 4 solution'!E377,Source!A376:A384,0)),"")</f>
        <v/>
      </c>
    </row>
    <row r="378" spans="1:17" x14ac:dyDescent="0.3">
      <c r="A378" s="3">
        <v>2033708</v>
      </c>
      <c r="B378">
        <v>11845</v>
      </c>
      <c r="C378">
        <v>2</v>
      </c>
      <c r="D378" s="9">
        <v>104</v>
      </c>
      <c r="E378">
        <v>1003</v>
      </c>
      <c r="F378" s="1">
        <v>44006</v>
      </c>
      <c r="G378" t="s">
        <v>41</v>
      </c>
      <c r="H378" s="4">
        <v>3537</v>
      </c>
      <c r="I378" s="4" t="s">
        <v>16</v>
      </c>
      <c r="J378" s="4">
        <v>3537</v>
      </c>
      <c r="K378" t="str">
        <f>IFERROR(INDEX(BusinessUnits!$B:$B,MATCH($C378,BusinessUnits!$A:$A,0)),"")</f>
        <v>HOTEL</v>
      </c>
      <c r="L378" t="str">
        <f>IFERROR(INDEX(Table1[[#All],[Description]],MATCH($C378,BusinessUnits!$A:$A,0)),"")</f>
        <v xml:space="preserve">Transactions related to guest rooms and overall hotel operations. Includes payroll for administrative staff, clerks and interns. </v>
      </c>
      <c r="M378" t="str">
        <f>IFERROR(INDEX(ChartOfAccounts!B377:B462,MATCH($B378,ChartOfAccounts!A377:A462,0)),"")</f>
        <v/>
      </c>
      <c r="N378" t="str">
        <f>IFERROR(INDEX(ChartOfAccounts!D:D,MATCH($B378,ChartOfAccounts!A377:A462,0)),"")</f>
        <v/>
      </c>
      <c r="O378" t="str">
        <f>IFERROR(INDEX(ChartOfAccounts!F:F,MATCH($B378,ChartOfAccounts!A377:A462,0)),"")</f>
        <v/>
      </c>
      <c r="P378" t="str" cm="1">
        <f t="array" ref="P378">IFERROR(INDEX(PreparerInfo!B377:B389,MATCH($D378&amp;$C378,PreparerInfo!A377:A389&amp;PreparerInfo!C377:C389,0)),"")</f>
        <v/>
      </c>
      <c r="Q378" t="str">
        <f>IFERROR(INDEX(Source!B377:B385,MATCH('Case 4 solution'!E378,Source!A377:A385,0)),"")</f>
        <v/>
      </c>
    </row>
    <row r="379" spans="1:17" x14ac:dyDescent="0.3">
      <c r="A379" s="3">
        <v>2033708</v>
      </c>
      <c r="B379">
        <v>43180</v>
      </c>
      <c r="C379">
        <v>2</v>
      </c>
      <c r="D379" s="9">
        <v>104</v>
      </c>
      <c r="E379">
        <v>1003</v>
      </c>
      <c r="F379" s="1">
        <v>44006</v>
      </c>
      <c r="G379" t="s">
        <v>41</v>
      </c>
      <c r="H379" s="4" t="s">
        <v>16</v>
      </c>
      <c r="I379" s="4">
        <v>-3537</v>
      </c>
      <c r="J379" s="4">
        <v>-3537</v>
      </c>
      <c r="K379" t="str">
        <f>IFERROR(INDEX(BusinessUnits!$B:$B,MATCH($C379,BusinessUnits!$A:$A,0)),"")</f>
        <v>HOTEL</v>
      </c>
      <c r="L379" t="str">
        <f>IFERROR(INDEX(Table1[[#All],[Description]],MATCH($C379,BusinessUnits!$A:$A,0)),"")</f>
        <v xml:space="preserve">Transactions related to guest rooms and overall hotel operations. Includes payroll for administrative staff, clerks and interns. </v>
      </c>
      <c r="M379" t="str">
        <f>IFERROR(INDEX(ChartOfAccounts!B378:B463,MATCH($B379,ChartOfAccounts!A378:A463,0)),"")</f>
        <v/>
      </c>
      <c r="N379" t="str">
        <f>IFERROR(INDEX(ChartOfAccounts!D:D,MATCH($B379,ChartOfAccounts!A378:A463,0)),"")</f>
        <v/>
      </c>
      <c r="O379" t="str">
        <f>IFERROR(INDEX(ChartOfAccounts!F:F,MATCH($B379,ChartOfAccounts!A378:A463,0)),"")</f>
        <v/>
      </c>
      <c r="P379" t="str" cm="1">
        <f t="array" ref="P379">IFERROR(INDEX(PreparerInfo!B378:B390,MATCH($D379&amp;$C379,PreparerInfo!A378:A390&amp;PreparerInfo!C378:C390,0)),"")</f>
        <v/>
      </c>
      <c r="Q379" t="str">
        <f>IFERROR(INDEX(Source!B378:B386,MATCH('Case 4 solution'!E379,Source!A378:A386,0)),"")</f>
        <v/>
      </c>
    </row>
    <row r="380" spans="1:17" x14ac:dyDescent="0.3">
      <c r="A380" s="3">
        <v>2033709</v>
      </c>
      <c r="B380">
        <v>14260</v>
      </c>
      <c r="C380">
        <v>1</v>
      </c>
      <c r="D380" s="9">
        <v>101</v>
      </c>
      <c r="E380">
        <v>1002</v>
      </c>
      <c r="F380" s="1">
        <v>44006</v>
      </c>
      <c r="G380" t="s">
        <v>38</v>
      </c>
      <c r="H380" s="4">
        <v>4194.0600000000004</v>
      </c>
      <c r="I380" s="4" t="s">
        <v>16</v>
      </c>
      <c r="J380" s="4">
        <v>4194.0600000000004</v>
      </c>
      <c r="K380" t="str">
        <f>IFERROR(INDEX(BusinessUnits!$B:$B,MATCH($C380,BusinessUnits!$A:$A,0)),"")</f>
        <v>FOOD SERVICE</v>
      </c>
      <c r="L380" t="str">
        <f>IFERROR(INDEX(Table1[[#All],[Description]],MATCH($C380,BusinessUnits!$A:$A,0)),"")</f>
        <v xml:space="preserve">Transactions related to food and beverage service. Includes all guest transactions in the hotel restaurants, catering-related transactions and food service payroll. </v>
      </c>
      <c r="M380" t="str">
        <f>IFERROR(INDEX(ChartOfAccounts!B379:B464,MATCH($B380,ChartOfAccounts!A379:A464,0)),"")</f>
        <v/>
      </c>
      <c r="N380" t="str">
        <f>IFERROR(INDEX(ChartOfAccounts!D:D,MATCH($B380,ChartOfAccounts!A379:A464,0)),"")</f>
        <v/>
      </c>
      <c r="O380" t="str">
        <f>IFERROR(INDEX(ChartOfAccounts!F:F,MATCH($B380,ChartOfAccounts!A379:A464,0)),"")</f>
        <v/>
      </c>
      <c r="P380" t="str" cm="1">
        <f t="array" ref="P380">IFERROR(INDEX(PreparerInfo!B379:B391,MATCH($D380&amp;$C380,PreparerInfo!A379:A391&amp;PreparerInfo!C379:C391,0)),"")</f>
        <v/>
      </c>
      <c r="Q380" t="str">
        <f>IFERROR(INDEX(Source!B379:B387,MATCH('Case 4 solution'!E380,Source!A379:A387,0)),"")</f>
        <v/>
      </c>
    </row>
    <row r="381" spans="1:17" x14ac:dyDescent="0.3">
      <c r="A381" s="3">
        <v>2033709</v>
      </c>
      <c r="B381">
        <v>11845</v>
      </c>
      <c r="C381">
        <v>1</v>
      </c>
      <c r="D381" s="9">
        <v>101</v>
      </c>
      <c r="E381">
        <v>1002</v>
      </c>
      <c r="F381" s="1">
        <v>44006</v>
      </c>
      <c r="G381" t="s">
        <v>38</v>
      </c>
      <c r="H381" s="4" t="s">
        <v>16</v>
      </c>
      <c r="I381" s="4">
        <v>-4194.0600000000004</v>
      </c>
      <c r="J381" s="4">
        <v>-4194.0600000000004</v>
      </c>
      <c r="K381" t="str">
        <f>IFERROR(INDEX(BusinessUnits!$B:$B,MATCH($C381,BusinessUnits!$A:$A,0)),"")</f>
        <v>FOOD SERVICE</v>
      </c>
      <c r="L381" t="str">
        <f>IFERROR(INDEX(Table1[[#All],[Description]],MATCH($C381,BusinessUnits!$A:$A,0)),"")</f>
        <v xml:space="preserve">Transactions related to food and beverage service. Includes all guest transactions in the hotel restaurants, catering-related transactions and food service payroll. </v>
      </c>
      <c r="M381" t="str">
        <f>IFERROR(INDEX(ChartOfAccounts!B380:B465,MATCH($B381,ChartOfAccounts!A380:A465,0)),"")</f>
        <v/>
      </c>
      <c r="N381" t="str">
        <f>IFERROR(INDEX(ChartOfAccounts!D:D,MATCH($B381,ChartOfAccounts!A380:A465,0)),"")</f>
        <v/>
      </c>
      <c r="O381" t="str">
        <f>IFERROR(INDEX(ChartOfAccounts!F:F,MATCH($B381,ChartOfAccounts!A380:A465,0)),"")</f>
        <v/>
      </c>
      <c r="P381" t="str" cm="1">
        <f t="array" ref="P381">IFERROR(INDEX(PreparerInfo!B380:B392,MATCH($D381&amp;$C381,PreparerInfo!A380:A392&amp;PreparerInfo!C380:C392,0)),"")</f>
        <v/>
      </c>
      <c r="Q381" t="str">
        <f>IFERROR(INDEX(Source!B380:B388,MATCH('Case 4 solution'!E381,Source!A380:A388,0)),"")</f>
        <v/>
      </c>
    </row>
    <row r="382" spans="1:17" x14ac:dyDescent="0.3">
      <c r="A382" s="3">
        <v>2033710</v>
      </c>
      <c r="B382">
        <v>14260</v>
      </c>
      <c r="C382">
        <v>1</v>
      </c>
      <c r="D382" s="9">
        <v>101</v>
      </c>
      <c r="E382">
        <v>1002</v>
      </c>
      <c r="F382" s="1">
        <v>44006</v>
      </c>
      <c r="G382" t="s">
        <v>38</v>
      </c>
      <c r="H382" s="4">
        <v>5772.72</v>
      </c>
      <c r="I382" s="4" t="s">
        <v>16</v>
      </c>
      <c r="J382" s="4">
        <v>5772.72</v>
      </c>
      <c r="K382" t="str">
        <f>IFERROR(INDEX(BusinessUnits!$B:$B,MATCH($C382,BusinessUnits!$A:$A,0)),"")</f>
        <v>FOOD SERVICE</v>
      </c>
      <c r="L382" t="str">
        <f>IFERROR(INDEX(Table1[[#All],[Description]],MATCH($C382,BusinessUnits!$A:$A,0)),"")</f>
        <v xml:space="preserve">Transactions related to food and beverage service. Includes all guest transactions in the hotel restaurants, catering-related transactions and food service payroll. </v>
      </c>
      <c r="M382" t="str">
        <f>IFERROR(INDEX(ChartOfAccounts!B381:B466,MATCH($B382,ChartOfAccounts!A381:A466,0)),"")</f>
        <v/>
      </c>
      <c r="N382" t="str">
        <f>IFERROR(INDEX(ChartOfAccounts!D:D,MATCH($B382,ChartOfAccounts!A381:A466,0)),"")</f>
        <v/>
      </c>
      <c r="O382" t="str">
        <f>IFERROR(INDEX(ChartOfAccounts!F:F,MATCH($B382,ChartOfAccounts!A381:A466,0)),"")</f>
        <v/>
      </c>
      <c r="P382" t="str" cm="1">
        <f t="array" ref="P382">IFERROR(INDEX(PreparerInfo!B381:B393,MATCH($D382&amp;$C382,PreparerInfo!A381:A393&amp;PreparerInfo!C381:C393,0)),"")</f>
        <v/>
      </c>
      <c r="Q382" t="str">
        <f>IFERROR(INDEX(Source!B381:B389,MATCH('Case 4 solution'!E382,Source!A381:A389,0)),"")</f>
        <v/>
      </c>
    </row>
    <row r="383" spans="1:17" x14ac:dyDescent="0.3">
      <c r="A383" s="3">
        <v>2033710</v>
      </c>
      <c r="B383">
        <v>11845</v>
      </c>
      <c r="C383">
        <v>1</v>
      </c>
      <c r="D383" s="9">
        <v>101</v>
      </c>
      <c r="E383">
        <v>1002</v>
      </c>
      <c r="F383" s="1">
        <v>44006</v>
      </c>
      <c r="G383" t="s">
        <v>38</v>
      </c>
      <c r="H383" s="4" t="s">
        <v>16</v>
      </c>
      <c r="I383" s="4">
        <v>-5772.72</v>
      </c>
      <c r="J383" s="4">
        <v>-5772.72</v>
      </c>
      <c r="K383" t="str">
        <f>IFERROR(INDEX(BusinessUnits!$B:$B,MATCH($C383,BusinessUnits!$A:$A,0)),"")</f>
        <v>FOOD SERVICE</v>
      </c>
      <c r="L383" t="str">
        <f>IFERROR(INDEX(Table1[[#All],[Description]],MATCH($C383,BusinessUnits!$A:$A,0)),"")</f>
        <v xml:space="preserve">Transactions related to food and beverage service. Includes all guest transactions in the hotel restaurants, catering-related transactions and food service payroll. </v>
      </c>
      <c r="M383" t="str">
        <f>IFERROR(INDEX(ChartOfAccounts!B382:B467,MATCH($B383,ChartOfAccounts!A382:A467,0)),"")</f>
        <v/>
      </c>
      <c r="N383" t="str">
        <f>IFERROR(INDEX(ChartOfAccounts!D:D,MATCH($B383,ChartOfAccounts!A382:A467,0)),"")</f>
        <v/>
      </c>
      <c r="O383" t="str">
        <f>IFERROR(INDEX(ChartOfAccounts!F:F,MATCH($B383,ChartOfAccounts!A382:A467,0)),"")</f>
        <v/>
      </c>
      <c r="P383" t="str" cm="1">
        <f t="array" ref="P383">IFERROR(INDEX(PreparerInfo!B382:B394,MATCH($D383&amp;$C383,PreparerInfo!A382:A394&amp;PreparerInfo!C382:C394,0)),"")</f>
        <v/>
      </c>
      <c r="Q383" t="str">
        <f>IFERROR(INDEX(Source!B382:B390,MATCH('Case 4 solution'!E383,Source!A382:A390,0)),"")</f>
        <v/>
      </c>
    </row>
    <row r="384" spans="1:17" x14ac:dyDescent="0.3">
      <c r="A384" s="3">
        <v>2033711</v>
      </c>
      <c r="B384">
        <v>16200</v>
      </c>
      <c r="C384">
        <v>2</v>
      </c>
      <c r="D384" s="9">
        <v>102</v>
      </c>
      <c r="E384">
        <v>1002</v>
      </c>
      <c r="F384" s="1">
        <v>44006</v>
      </c>
      <c r="G384" t="s">
        <v>282</v>
      </c>
      <c r="H384" s="4">
        <v>14536.31</v>
      </c>
      <c r="I384" s="4"/>
      <c r="J384" s="4">
        <v>14536.31</v>
      </c>
      <c r="K384" t="str">
        <f>IFERROR(INDEX(BusinessUnits!$B:$B,MATCH($C384,BusinessUnits!$A:$A,0)),"")</f>
        <v>HOTEL</v>
      </c>
      <c r="L384" t="str">
        <f>IFERROR(INDEX(Table1[[#All],[Description]],MATCH($C384,BusinessUnits!$A:$A,0)),"")</f>
        <v xml:space="preserve">Transactions related to guest rooms and overall hotel operations. Includes payroll for administrative staff, clerks and interns. </v>
      </c>
      <c r="M384" t="str">
        <f>IFERROR(INDEX(ChartOfAccounts!B383:B468,MATCH($B384,ChartOfAccounts!A383:A468,0)),"")</f>
        <v/>
      </c>
      <c r="N384" t="str">
        <f>IFERROR(INDEX(ChartOfAccounts!D:D,MATCH($B384,ChartOfAccounts!A383:A468,0)),"")</f>
        <v/>
      </c>
      <c r="O384" t="str">
        <f>IFERROR(INDEX(ChartOfAccounts!F:F,MATCH($B384,ChartOfAccounts!A383:A468,0)),"")</f>
        <v/>
      </c>
      <c r="P384" t="str" cm="1">
        <f t="array" ref="P384">IFERROR(INDEX(PreparerInfo!B383:B395,MATCH($D384&amp;$C384,PreparerInfo!A383:A395&amp;PreparerInfo!C383:C395,0)),"")</f>
        <v/>
      </c>
      <c r="Q384" t="str">
        <f>IFERROR(INDEX(Source!B383:B391,MATCH('Case 4 solution'!E384,Source!A383:A391,0)),"")</f>
        <v/>
      </c>
    </row>
    <row r="385" spans="1:17" x14ac:dyDescent="0.3">
      <c r="A385" s="3">
        <v>2033711</v>
      </c>
      <c r="B385" s="2">
        <v>11845</v>
      </c>
      <c r="C385">
        <v>2</v>
      </c>
      <c r="D385" s="9">
        <v>102</v>
      </c>
      <c r="E385">
        <v>1002</v>
      </c>
      <c r="F385" s="1">
        <v>44006</v>
      </c>
      <c r="G385" t="s">
        <v>282</v>
      </c>
      <c r="H385" s="4"/>
      <c r="I385" s="4">
        <v>-14536.31</v>
      </c>
      <c r="J385" s="4">
        <v>-14536.31</v>
      </c>
      <c r="K385" t="str">
        <f>IFERROR(INDEX(BusinessUnits!$B:$B,MATCH($C385,BusinessUnits!$A:$A,0)),"")</f>
        <v>HOTEL</v>
      </c>
      <c r="L385" t="str">
        <f>IFERROR(INDEX(Table1[[#All],[Description]],MATCH($C385,BusinessUnits!$A:$A,0)),"")</f>
        <v xml:space="preserve">Transactions related to guest rooms and overall hotel operations. Includes payroll for administrative staff, clerks and interns. </v>
      </c>
      <c r="M385" t="str">
        <f>IFERROR(INDEX(ChartOfAccounts!B384:B469,MATCH($B385,ChartOfAccounts!A384:A469,0)),"")</f>
        <v/>
      </c>
      <c r="N385" t="str">
        <f>IFERROR(INDEX(ChartOfAccounts!D:D,MATCH($B385,ChartOfAccounts!A384:A469,0)),"")</f>
        <v/>
      </c>
      <c r="O385" t="str">
        <f>IFERROR(INDEX(ChartOfAccounts!F:F,MATCH($B385,ChartOfAccounts!A384:A469,0)),"")</f>
        <v/>
      </c>
      <c r="P385" t="str" cm="1">
        <f t="array" ref="P385">IFERROR(INDEX(PreparerInfo!B384:B396,MATCH($D385&amp;$C385,PreparerInfo!A384:A396&amp;PreparerInfo!C384:C396,0)),"")</f>
        <v/>
      </c>
      <c r="Q385" t="str">
        <f>IFERROR(INDEX(Source!B384:B392,MATCH('Case 4 solution'!E385,Source!A384:A392,0)),"")</f>
        <v/>
      </c>
    </row>
    <row r="386" spans="1:17" x14ac:dyDescent="0.3">
      <c r="A386" s="3">
        <v>2033712</v>
      </c>
      <c r="B386">
        <v>74201</v>
      </c>
      <c r="C386">
        <v>2</v>
      </c>
      <c r="D386" s="9">
        <v>103</v>
      </c>
      <c r="E386">
        <v>1008</v>
      </c>
      <c r="F386" s="1">
        <v>44008</v>
      </c>
      <c r="G386" t="s">
        <v>73</v>
      </c>
      <c r="H386" s="4">
        <v>43426.26</v>
      </c>
      <c r="I386" s="4" t="s">
        <v>16</v>
      </c>
      <c r="J386" s="4">
        <v>43426.26</v>
      </c>
      <c r="K386" t="str">
        <f>IFERROR(INDEX(BusinessUnits!$B:$B,MATCH($C386,BusinessUnits!$A:$A,0)),"")</f>
        <v>HOTEL</v>
      </c>
      <c r="L386" t="str">
        <f>IFERROR(INDEX(Table1[[#All],[Description]],MATCH($C386,BusinessUnits!$A:$A,0)),"")</f>
        <v xml:space="preserve">Transactions related to guest rooms and overall hotel operations. Includes payroll for administrative staff, clerks and interns. </v>
      </c>
      <c r="M386" t="str">
        <f>IFERROR(INDEX(ChartOfAccounts!B385:B470,MATCH($B386,ChartOfAccounts!A385:A470,0)),"")</f>
        <v/>
      </c>
      <c r="N386" t="str">
        <f>IFERROR(INDEX(ChartOfAccounts!D:D,MATCH($B386,ChartOfAccounts!A385:A470,0)),"")</f>
        <v/>
      </c>
      <c r="O386" t="str">
        <f>IFERROR(INDEX(ChartOfAccounts!F:F,MATCH($B386,ChartOfAccounts!A385:A470,0)),"")</f>
        <v/>
      </c>
      <c r="P386" t="str" cm="1">
        <f t="array" ref="P386">IFERROR(INDEX(PreparerInfo!B385:B397,MATCH($D386&amp;$C386,PreparerInfo!A385:A397&amp;PreparerInfo!C385:C397,0)),"")</f>
        <v/>
      </c>
      <c r="Q386" t="str">
        <f>IFERROR(INDEX(Source!B385:B393,MATCH('Case 4 solution'!E386,Source!A385:A393,0)),"")</f>
        <v/>
      </c>
    </row>
    <row r="387" spans="1:17" x14ac:dyDescent="0.3">
      <c r="A387" s="3">
        <v>2033712</v>
      </c>
      <c r="B387">
        <v>74201</v>
      </c>
      <c r="C387">
        <v>2</v>
      </c>
      <c r="D387" s="9">
        <v>103</v>
      </c>
      <c r="E387">
        <v>1008</v>
      </c>
      <c r="F387" s="1">
        <v>44008</v>
      </c>
      <c r="G387" t="s">
        <v>73</v>
      </c>
      <c r="H387" s="4" t="s">
        <v>16</v>
      </c>
      <c r="I387" s="4">
        <v>-43426.26</v>
      </c>
      <c r="J387" s="4">
        <v>-43426.26</v>
      </c>
      <c r="K387" t="str">
        <f>IFERROR(INDEX(BusinessUnits!$B:$B,MATCH($C387,BusinessUnits!$A:$A,0)),"")</f>
        <v>HOTEL</v>
      </c>
      <c r="L387" t="str">
        <f>IFERROR(INDEX(Table1[[#All],[Description]],MATCH($C387,BusinessUnits!$A:$A,0)),"")</f>
        <v xml:space="preserve">Transactions related to guest rooms and overall hotel operations. Includes payroll for administrative staff, clerks and interns. </v>
      </c>
      <c r="M387" t="str">
        <f>IFERROR(INDEX(ChartOfAccounts!B386:B471,MATCH($B387,ChartOfAccounts!A386:A471,0)),"")</f>
        <v/>
      </c>
      <c r="N387" t="str">
        <f>IFERROR(INDEX(ChartOfAccounts!D:D,MATCH($B387,ChartOfAccounts!A386:A471,0)),"")</f>
        <v/>
      </c>
      <c r="O387" t="str">
        <f>IFERROR(INDEX(ChartOfAccounts!F:F,MATCH($B387,ChartOfAccounts!A386:A471,0)),"")</f>
        <v/>
      </c>
      <c r="P387" t="str" cm="1">
        <f t="array" ref="P387">IFERROR(INDEX(PreparerInfo!B386:B398,MATCH($D387&amp;$C387,PreparerInfo!A386:A398&amp;PreparerInfo!C386:C398,0)),"")</f>
        <v/>
      </c>
      <c r="Q387" t="str">
        <f>IFERROR(INDEX(Source!B386:B394,MATCH('Case 4 solution'!E387,Source!A386:A394,0)),"")</f>
        <v/>
      </c>
    </row>
    <row r="388" spans="1:17" x14ac:dyDescent="0.3">
      <c r="A388" s="3">
        <v>2033713</v>
      </c>
      <c r="B388">
        <v>71400</v>
      </c>
      <c r="C388">
        <v>1</v>
      </c>
      <c r="D388" s="9">
        <v>101</v>
      </c>
      <c r="E388">
        <v>1002</v>
      </c>
      <c r="F388" s="1">
        <v>44009</v>
      </c>
      <c r="G388" t="s">
        <v>185</v>
      </c>
      <c r="H388" s="4">
        <v>0.05</v>
      </c>
      <c r="I388" s="4" t="s">
        <v>16</v>
      </c>
      <c r="J388" s="4">
        <v>0.05</v>
      </c>
      <c r="K388" t="str">
        <f>IFERROR(INDEX(BusinessUnits!$B:$B,MATCH($C388,BusinessUnits!$A:$A,0)),"")</f>
        <v>FOOD SERVICE</v>
      </c>
      <c r="L388" t="str">
        <f>IFERROR(INDEX(Table1[[#All],[Description]],MATCH($C388,BusinessUnits!$A:$A,0)),"")</f>
        <v xml:space="preserve">Transactions related to food and beverage service. Includes all guest transactions in the hotel restaurants, catering-related transactions and food service payroll. </v>
      </c>
      <c r="M388" t="str">
        <f>IFERROR(INDEX(ChartOfAccounts!B387:B472,MATCH($B388,ChartOfAccounts!A387:A472,0)),"")</f>
        <v/>
      </c>
      <c r="N388" t="str">
        <f>IFERROR(INDEX(ChartOfAccounts!D:D,MATCH($B388,ChartOfAccounts!A387:A472,0)),"")</f>
        <v/>
      </c>
      <c r="O388" t="str">
        <f>IFERROR(INDEX(ChartOfAccounts!F:F,MATCH($B388,ChartOfAccounts!A387:A472,0)),"")</f>
        <v/>
      </c>
      <c r="P388" t="str" cm="1">
        <f t="array" ref="P388">IFERROR(INDEX(PreparerInfo!B387:B399,MATCH($D388&amp;$C388,PreparerInfo!A387:A399&amp;PreparerInfo!C387:C399,0)),"")</f>
        <v/>
      </c>
      <c r="Q388" t="str">
        <f>IFERROR(INDEX(Source!B387:B395,MATCH('Case 4 solution'!E388,Source!A387:A395,0)),"")</f>
        <v/>
      </c>
    </row>
    <row r="389" spans="1:17" x14ac:dyDescent="0.3">
      <c r="A389" s="3">
        <v>2033713</v>
      </c>
      <c r="B389">
        <v>11845</v>
      </c>
      <c r="C389">
        <v>1</v>
      </c>
      <c r="D389" s="9">
        <v>101</v>
      </c>
      <c r="E389">
        <v>1002</v>
      </c>
      <c r="F389" s="1">
        <v>44009</v>
      </c>
      <c r="G389" t="s">
        <v>185</v>
      </c>
      <c r="H389" s="4" t="s">
        <v>16</v>
      </c>
      <c r="I389" s="4">
        <v>-0.05</v>
      </c>
      <c r="J389" s="4">
        <v>-0.05</v>
      </c>
      <c r="K389" t="str">
        <f>IFERROR(INDEX(BusinessUnits!$B:$B,MATCH($C389,BusinessUnits!$A:$A,0)),"")</f>
        <v>FOOD SERVICE</v>
      </c>
      <c r="L389" t="str">
        <f>IFERROR(INDEX(Table1[[#All],[Description]],MATCH($C389,BusinessUnits!$A:$A,0)),"")</f>
        <v xml:space="preserve">Transactions related to food and beverage service. Includes all guest transactions in the hotel restaurants, catering-related transactions and food service payroll. </v>
      </c>
      <c r="M389" t="str">
        <f>IFERROR(INDEX(ChartOfAccounts!B388:B473,MATCH($B389,ChartOfAccounts!A388:A473,0)),"")</f>
        <v/>
      </c>
      <c r="N389" t="str">
        <f>IFERROR(INDEX(ChartOfAccounts!D:D,MATCH($B389,ChartOfAccounts!A388:A473,0)),"")</f>
        <v/>
      </c>
      <c r="O389" t="str">
        <f>IFERROR(INDEX(ChartOfAccounts!F:F,MATCH($B389,ChartOfAccounts!A388:A473,0)),"")</f>
        <v/>
      </c>
      <c r="P389" t="str" cm="1">
        <f t="array" ref="P389">IFERROR(INDEX(PreparerInfo!B388:B400,MATCH($D389&amp;$C389,PreparerInfo!A388:A400&amp;PreparerInfo!C388:C400,0)),"")</f>
        <v/>
      </c>
      <c r="Q389" t="str">
        <f>IFERROR(INDEX(Source!B388:B396,MATCH('Case 4 solution'!E389,Source!A388:A396,0)),"")</f>
        <v/>
      </c>
    </row>
    <row r="390" spans="1:17" x14ac:dyDescent="0.3">
      <c r="A390" s="3">
        <v>2033714</v>
      </c>
      <c r="B390">
        <v>71400</v>
      </c>
      <c r="C390">
        <v>6</v>
      </c>
      <c r="D390" s="9">
        <v>101</v>
      </c>
      <c r="E390">
        <v>1002</v>
      </c>
      <c r="F390" s="1">
        <v>44009</v>
      </c>
      <c r="G390" t="s">
        <v>185</v>
      </c>
      <c r="H390" s="4">
        <v>4.1500000000000004</v>
      </c>
      <c r="I390" s="4" t="s">
        <v>16</v>
      </c>
      <c r="J390" s="4">
        <v>4.1500000000000004</v>
      </c>
      <c r="K390" t="str">
        <f>IFERROR(INDEX(BusinessUnits!$B:$B,MATCH($C390,BusinessUnits!$A:$A,0)),"")</f>
        <v>MAINTENANCE</v>
      </c>
      <c r="L390" t="str">
        <f>IFERROR(INDEX(Table1[[#All],[Description]],MATCH($C390,BusinessUnits!$A:$A,0)),"")</f>
        <v>Transactions related to the hotel Maintenance Department. Primarily includes payroll for maintenance, grounds keepers and related supplies.</v>
      </c>
      <c r="M390" t="str">
        <f>IFERROR(INDEX(ChartOfAccounts!B389:B474,MATCH($B390,ChartOfAccounts!A389:A474,0)),"")</f>
        <v/>
      </c>
      <c r="N390" t="str">
        <f>IFERROR(INDEX(ChartOfAccounts!D:D,MATCH($B390,ChartOfAccounts!A389:A474,0)),"")</f>
        <v/>
      </c>
      <c r="O390" t="str">
        <f>IFERROR(INDEX(ChartOfAccounts!F:F,MATCH($B390,ChartOfAccounts!A389:A474,0)),"")</f>
        <v/>
      </c>
      <c r="P390" t="str" cm="1">
        <f t="array" ref="P390">IFERROR(INDEX(PreparerInfo!B389:B401,MATCH($D390&amp;$C390,PreparerInfo!A389:A401&amp;PreparerInfo!C389:C401,0)),"")</f>
        <v/>
      </c>
      <c r="Q390" t="str">
        <f>IFERROR(INDEX(Source!B389:B397,MATCH('Case 4 solution'!E390,Source!A389:A397,0)),"")</f>
        <v/>
      </c>
    </row>
    <row r="391" spans="1:17" x14ac:dyDescent="0.3">
      <c r="A391" s="3">
        <v>2033714</v>
      </c>
      <c r="B391">
        <v>11845</v>
      </c>
      <c r="C391">
        <v>6</v>
      </c>
      <c r="D391" s="9">
        <v>101</v>
      </c>
      <c r="E391">
        <v>1002</v>
      </c>
      <c r="F391" s="1">
        <v>44009</v>
      </c>
      <c r="G391" t="s">
        <v>185</v>
      </c>
      <c r="H391" s="4" t="s">
        <v>16</v>
      </c>
      <c r="I391" s="4">
        <v>-4.1500000000000004</v>
      </c>
      <c r="J391" s="4">
        <v>-4.1500000000000004</v>
      </c>
      <c r="K391" t="str">
        <f>IFERROR(INDEX(BusinessUnits!$B:$B,MATCH($C391,BusinessUnits!$A:$A,0)),"")</f>
        <v>MAINTENANCE</v>
      </c>
      <c r="L391" t="str">
        <f>IFERROR(INDEX(Table1[[#All],[Description]],MATCH($C391,BusinessUnits!$A:$A,0)),"")</f>
        <v>Transactions related to the hotel Maintenance Department. Primarily includes payroll for maintenance, grounds keepers and related supplies.</v>
      </c>
      <c r="M391" t="str">
        <f>IFERROR(INDEX(ChartOfAccounts!B390:B475,MATCH($B391,ChartOfAccounts!A390:A475,0)),"")</f>
        <v/>
      </c>
      <c r="N391" t="str">
        <f>IFERROR(INDEX(ChartOfAccounts!D:D,MATCH($B391,ChartOfAccounts!A390:A475,0)),"")</f>
        <v/>
      </c>
      <c r="O391" t="str">
        <f>IFERROR(INDEX(ChartOfAccounts!F:F,MATCH($B391,ChartOfAccounts!A390:A475,0)),"")</f>
        <v/>
      </c>
      <c r="P391" t="str" cm="1">
        <f t="array" ref="P391">IFERROR(INDEX(PreparerInfo!B390:B402,MATCH($D391&amp;$C391,PreparerInfo!A390:A402&amp;PreparerInfo!C390:C402,0)),"")</f>
        <v/>
      </c>
      <c r="Q391" t="str">
        <f>IFERROR(INDEX(Source!B390:B398,MATCH('Case 4 solution'!E391,Source!A390:A398,0)),"")</f>
        <v/>
      </c>
    </row>
    <row r="392" spans="1:17" x14ac:dyDescent="0.3">
      <c r="A392" s="3">
        <v>2033715</v>
      </c>
      <c r="B392">
        <v>14260</v>
      </c>
      <c r="C392">
        <v>1</v>
      </c>
      <c r="D392" s="9">
        <v>102</v>
      </c>
      <c r="E392">
        <v>1002</v>
      </c>
      <c r="F392" s="1">
        <v>44009</v>
      </c>
      <c r="G392" t="s">
        <v>39</v>
      </c>
      <c r="H392" s="4">
        <v>7.75</v>
      </c>
      <c r="I392" s="4" t="s">
        <v>16</v>
      </c>
      <c r="J392" s="4">
        <v>7.75</v>
      </c>
      <c r="K392" t="str">
        <f>IFERROR(INDEX(BusinessUnits!$B:$B,MATCH($C392,BusinessUnits!$A:$A,0)),"")</f>
        <v>FOOD SERVICE</v>
      </c>
      <c r="L392" t="str">
        <f>IFERROR(INDEX(Table1[[#All],[Description]],MATCH($C392,BusinessUnits!$A:$A,0)),"")</f>
        <v xml:space="preserve">Transactions related to food and beverage service. Includes all guest transactions in the hotel restaurants, catering-related transactions and food service payroll. </v>
      </c>
      <c r="M392" t="str">
        <f>IFERROR(INDEX(ChartOfAccounts!B391:B476,MATCH($B392,ChartOfAccounts!A391:A476,0)),"")</f>
        <v/>
      </c>
      <c r="N392" t="str">
        <f>IFERROR(INDEX(ChartOfAccounts!D:D,MATCH($B392,ChartOfAccounts!A391:A476,0)),"")</f>
        <v/>
      </c>
      <c r="O392" t="str">
        <f>IFERROR(INDEX(ChartOfAccounts!F:F,MATCH($B392,ChartOfAccounts!A391:A476,0)),"")</f>
        <v/>
      </c>
      <c r="P392" t="str" cm="1">
        <f t="array" ref="P392">IFERROR(INDEX(PreparerInfo!B391:B403,MATCH($D392&amp;$C392,PreparerInfo!A391:A403&amp;PreparerInfo!C391:C403,0)),"")</f>
        <v/>
      </c>
      <c r="Q392" t="str">
        <f>IFERROR(INDEX(Source!B391:B399,MATCH('Case 4 solution'!E392,Source!A391:A399,0)),"")</f>
        <v/>
      </c>
    </row>
    <row r="393" spans="1:17" x14ac:dyDescent="0.3">
      <c r="A393" s="3">
        <v>2033715</v>
      </c>
      <c r="B393">
        <v>11845</v>
      </c>
      <c r="C393">
        <v>1</v>
      </c>
      <c r="D393" s="9">
        <v>102</v>
      </c>
      <c r="E393">
        <v>1002</v>
      </c>
      <c r="F393" s="1">
        <v>44009</v>
      </c>
      <c r="G393" t="s">
        <v>39</v>
      </c>
      <c r="H393" s="4" t="s">
        <v>16</v>
      </c>
      <c r="I393" s="4">
        <v>-7.75</v>
      </c>
      <c r="J393" s="4">
        <v>-7.75</v>
      </c>
      <c r="K393" t="str">
        <f>IFERROR(INDEX(BusinessUnits!$B:$B,MATCH($C393,BusinessUnits!$A:$A,0)),"")</f>
        <v>FOOD SERVICE</v>
      </c>
      <c r="L393" t="str">
        <f>IFERROR(INDEX(Table1[[#All],[Description]],MATCH($C393,BusinessUnits!$A:$A,0)),"")</f>
        <v xml:space="preserve">Transactions related to food and beverage service. Includes all guest transactions in the hotel restaurants, catering-related transactions and food service payroll. </v>
      </c>
      <c r="M393" t="str">
        <f>IFERROR(INDEX(ChartOfAccounts!B392:B477,MATCH($B393,ChartOfAccounts!A392:A477,0)),"")</f>
        <v/>
      </c>
      <c r="N393" t="str">
        <f>IFERROR(INDEX(ChartOfAccounts!D:D,MATCH($B393,ChartOfAccounts!A392:A477,0)),"")</f>
        <v/>
      </c>
      <c r="O393" t="str">
        <f>IFERROR(INDEX(ChartOfAccounts!F:F,MATCH($B393,ChartOfAccounts!A392:A477,0)),"")</f>
        <v/>
      </c>
      <c r="P393" t="str" cm="1">
        <f t="array" ref="P393">IFERROR(INDEX(PreparerInfo!B392:B404,MATCH($D393&amp;$C393,PreparerInfo!A392:A404&amp;PreparerInfo!C392:C404,0)),"")</f>
        <v/>
      </c>
      <c r="Q393" t="str">
        <f>IFERROR(INDEX(Source!B392:B400,MATCH('Case 4 solution'!E393,Source!A392:A400,0)),"")</f>
        <v/>
      </c>
    </row>
    <row r="394" spans="1:17" x14ac:dyDescent="0.3">
      <c r="A394" s="3">
        <v>2033716</v>
      </c>
      <c r="B394">
        <v>71400</v>
      </c>
      <c r="C394">
        <v>4</v>
      </c>
      <c r="D394" s="9">
        <v>101</v>
      </c>
      <c r="E394">
        <v>1002</v>
      </c>
      <c r="F394" s="1">
        <v>44009</v>
      </c>
      <c r="G394" t="s">
        <v>172</v>
      </c>
      <c r="H394" s="4">
        <v>8</v>
      </c>
      <c r="I394" s="4" t="s">
        <v>16</v>
      </c>
      <c r="J394" s="4">
        <v>8</v>
      </c>
      <c r="K394" t="str">
        <f>IFERROR(INDEX(BusinessUnits!$B:$B,MATCH($C394,BusinessUnits!$A:$A,0)),"")</f>
        <v>HOUSEKEEPING</v>
      </c>
      <c r="L394" t="str">
        <f>IFERROR(INDEX(Table1[[#All],[Description]],MATCH($C394,BusinessUnits!$A:$A,0)),"")</f>
        <v xml:space="preserve">Transactions related to the Housekeeping Department. Primarily includes payroll for housekeepers and housekeeping supplies. </v>
      </c>
      <c r="M394" t="str">
        <f>IFERROR(INDEX(ChartOfAccounts!B393:B478,MATCH($B394,ChartOfAccounts!A393:A478,0)),"")</f>
        <v/>
      </c>
      <c r="N394" t="str">
        <f>IFERROR(INDEX(ChartOfAccounts!D:D,MATCH($B394,ChartOfAccounts!A393:A478,0)),"")</f>
        <v/>
      </c>
      <c r="O394" t="str">
        <f>IFERROR(INDEX(ChartOfAccounts!F:F,MATCH($B394,ChartOfAccounts!A393:A478,0)),"")</f>
        <v/>
      </c>
      <c r="P394" t="str" cm="1">
        <f t="array" ref="P394">IFERROR(INDEX(PreparerInfo!B393:B405,MATCH($D394&amp;$C394,PreparerInfo!A393:A405&amp;PreparerInfo!C393:C405,0)),"")</f>
        <v/>
      </c>
      <c r="Q394" t="str">
        <f>IFERROR(INDEX(Source!B393:B401,MATCH('Case 4 solution'!E394,Source!A393:A401,0)),"")</f>
        <v/>
      </c>
    </row>
    <row r="395" spans="1:17" x14ac:dyDescent="0.3">
      <c r="A395" s="3">
        <v>2033716</v>
      </c>
      <c r="B395">
        <v>11845</v>
      </c>
      <c r="C395">
        <v>4</v>
      </c>
      <c r="D395" s="9">
        <v>101</v>
      </c>
      <c r="E395">
        <v>1002</v>
      </c>
      <c r="F395" s="1">
        <v>44009</v>
      </c>
      <c r="G395" t="s">
        <v>172</v>
      </c>
      <c r="H395" s="4" t="s">
        <v>16</v>
      </c>
      <c r="I395" s="4">
        <v>-8</v>
      </c>
      <c r="J395" s="4">
        <v>-8</v>
      </c>
      <c r="K395" t="str">
        <f>IFERROR(INDEX(BusinessUnits!$B:$B,MATCH($C395,BusinessUnits!$A:$A,0)),"")</f>
        <v>HOUSEKEEPING</v>
      </c>
      <c r="L395" t="str">
        <f>IFERROR(INDEX(Table1[[#All],[Description]],MATCH($C395,BusinessUnits!$A:$A,0)),"")</f>
        <v xml:space="preserve">Transactions related to the Housekeeping Department. Primarily includes payroll for housekeepers and housekeeping supplies. </v>
      </c>
      <c r="M395" t="str">
        <f>IFERROR(INDEX(ChartOfAccounts!B394:B479,MATCH($B395,ChartOfAccounts!A394:A479,0)),"")</f>
        <v/>
      </c>
      <c r="N395" t="str">
        <f>IFERROR(INDEX(ChartOfAccounts!D:D,MATCH($B395,ChartOfAccounts!A394:A479,0)),"")</f>
        <v/>
      </c>
      <c r="O395" t="str">
        <f>IFERROR(INDEX(ChartOfAccounts!F:F,MATCH($B395,ChartOfAccounts!A394:A479,0)),"")</f>
        <v/>
      </c>
      <c r="P395" t="str" cm="1">
        <f t="array" ref="P395">IFERROR(INDEX(PreparerInfo!B394:B406,MATCH($D395&amp;$C395,PreparerInfo!A394:A406&amp;PreparerInfo!C394:C406,0)),"")</f>
        <v/>
      </c>
      <c r="Q395" t="str">
        <f>IFERROR(INDEX(Source!B394:B402,MATCH('Case 4 solution'!E395,Source!A394:A402,0)),"")</f>
        <v/>
      </c>
    </row>
    <row r="396" spans="1:17" x14ac:dyDescent="0.3">
      <c r="A396" s="3">
        <v>2033717</v>
      </c>
      <c r="B396">
        <v>71400</v>
      </c>
      <c r="C396">
        <v>4</v>
      </c>
      <c r="D396" s="9">
        <v>101</v>
      </c>
      <c r="E396">
        <v>1002</v>
      </c>
      <c r="F396" s="1">
        <v>44009</v>
      </c>
      <c r="G396" t="s">
        <v>185</v>
      </c>
      <c r="H396" s="4">
        <v>10.35</v>
      </c>
      <c r="I396" s="4" t="s">
        <v>16</v>
      </c>
      <c r="J396" s="4">
        <v>10.35</v>
      </c>
      <c r="K396" t="str">
        <f>IFERROR(INDEX(BusinessUnits!$B:$B,MATCH($C396,BusinessUnits!$A:$A,0)),"")</f>
        <v>HOUSEKEEPING</v>
      </c>
      <c r="L396" t="str">
        <f>IFERROR(INDEX(Table1[[#All],[Description]],MATCH($C396,BusinessUnits!$A:$A,0)),"")</f>
        <v xml:space="preserve">Transactions related to the Housekeeping Department. Primarily includes payroll for housekeepers and housekeeping supplies. </v>
      </c>
      <c r="M396" t="str">
        <f>IFERROR(INDEX(ChartOfAccounts!B395:B480,MATCH($B396,ChartOfAccounts!A395:A480,0)),"")</f>
        <v/>
      </c>
      <c r="N396" t="str">
        <f>IFERROR(INDEX(ChartOfAccounts!D:D,MATCH($B396,ChartOfAccounts!A395:A480,0)),"")</f>
        <v/>
      </c>
      <c r="O396" t="str">
        <f>IFERROR(INDEX(ChartOfAccounts!F:F,MATCH($B396,ChartOfAccounts!A395:A480,0)),"")</f>
        <v/>
      </c>
      <c r="P396" t="str" cm="1">
        <f t="array" ref="P396">IFERROR(INDEX(PreparerInfo!B395:B407,MATCH($D396&amp;$C396,PreparerInfo!A395:A407&amp;PreparerInfo!C395:C407,0)),"")</f>
        <v/>
      </c>
      <c r="Q396" t="str">
        <f>IFERROR(INDEX(Source!B395:B403,MATCH('Case 4 solution'!E396,Source!A395:A403,0)),"")</f>
        <v/>
      </c>
    </row>
    <row r="397" spans="1:17" x14ac:dyDescent="0.3">
      <c r="A397" s="3">
        <v>2033717</v>
      </c>
      <c r="B397">
        <v>11845</v>
      </c>
      <c r="C397">
        <v>4</v>
      </c>
      <c r="D397" s="9">
        <v>101</v>
      </c>
      <c r="E397">
        <v>1002</v>
      </c>
      <c r="F397" s="1">
        <v>44009</v>
      </c>
      <c r="G397" t="s">
        <v>185</v>
      </c>
      <c r="H397" s="4" t="s">
        <v>16</v>
      </c>
      <c r="I397" s="4">
        <v>-10.35</v>
      </c>
      <c r="J397" s="4">
        <v>-10.35</v>
      </c>
      <c r="K397" t="str">
        <f>IFERROR(INDEX(BusinessUnits!$B:$B,MATCH($C397,BusinessUnits!$A:$A,0)),"")</f>
        <v>HOUSEKEEPING</v>
      </c>
      <c r="L397" t="str">
        <f>IFERROR(INDEX(Table1[[#All],[Description]],MATCH($C397,BusinessUnits!$A:$A,0)),"")</f>
        <v xml:space="preserve">Transactions related to the Housekeeping Department. Primarily includes payroll for housekeepers and housekeeping supplies. </v>
      </c>
      <c r="M397" t="str">
        <f>IFERROR(INDEX(ChartOfAccounts!B396:B481,MATCH($B397,ChartOfAccounts!A396:A481,0)),"")</f>
        <v/>
      </c>
      <c r="N397" t="str">
        <f>IFERROR(INDEX(ChartOfAccounts!D:D,MATCH($B397,ChartOfAccounts!A396:A481,0)),"")</f>
        <v/>
      </c>
      <c r="O397" t="str">
        <f>IFERROR(INDEX(ChartOfAccounts!F:F,MATCH($B397,ChartOfAccounts!A396:A481,0)),"")</f>
        <v/>
      </c>
      <c r="P397" t="str" cm="1">
        <f t="array" ref="P397">IFERROR(INDEX(PreparerInfo!B396:B408,MATCH($D397&amp;$C397,PreparerInfo!A396:A408&amp;PreparerInfo!C396:C408,0)),"")</f>
        <v/>
      </c>
      <c r="Q397" t="str">
        <f>IFERROR(INDEX(Source!B396:B404,MATCH('Case 4 solution'!E397,Source!A396:A404,0)),"")</f>
        <v/>
      </c>
    </row>
    <row r="398" spans="1:17" x14ac:dyDescent="0.3">
      <c r="A398" s="3">
        <v>2033718</v>
      </c>
      <c r="B398">
        <v>71400</v>
      </c>
      <c r="C398">
        <v>2</v>
      </c>
      <c r="D398" s="9">
        <v>101</v>
      </c>
      <c r="E398">
        <v>1002</v>
      </c>
      <c r="F398" s="1">
        <v>44009</v>
      </c>
      <c r="G398" t="s">
        <v>185</v>
      </c>
      <c r="H398" s="4">
        <v>25.35</v>
      </c>
      <c r="I398" s="4" t="s">
        <v>16</v>
      </c>
      <c r="J398" s="4">
        <v>25.35</v>
      </c>
      <c r="K398" t="str">
        <f>IFERROR(INDEX(BusinessUnits!$B:$B,MATCH($C398,BusinessUnits!$A:$A,0)),"")</f>
        <v>HOTEL</v>
      </c>
      <c r="L398" t="str">
        <f>IFERROR(INDEX(Table1[[#All],[Description]],MATCH($C398,BusinessUnits!$A:$A,0)),"")</f>
        <v xml:space="preserve">Transactions related to guest rooms and overall hotel operations. Includes payroll for administrative staff, clerks and interns. </v>
      </c>
      <c r="M398" t="str">
        <f>IFERROR(INDEX(ChartOfAccounts!B397:B482,MATCH($B398,ChartOfAccounts!A397:A482,0)),"")</f>
        <v/>
      </c>
      <c r="N398" t="str">
        <f>IFERROR(INDEX(ChartOfAccounts!D:D,MATCH($B398,ChartOfAccounts!A397:A482,0)),"")</f>
        <v/>
      </c>
      <c r="O398" t="str">
        <f>IFERROR(INDEX(ChartOfAccounts!F:F,MATCH($B398,ChartOfAccounts!A397:A482,0)),"")</f>
        <v/>
      </c>
      <c r="P398" t="str" cm="1">
        <f t="array" ref="P398">IFERROR(INDEX(PreparerInfo!B397:B409,MATCH($D398&amp;$C398,PreparerInfo!A397:A409&amp;PreparerInfo!C397:C409,0)),"")</f>
        <v/>
      </c>
      <c r="Q398" t="str">
        <f>IFERROR(INDEX(Source!B397:B405,MATCH('Case 4 solution'!E398,Source!A397:A405,0)),"")</f>
        <v/>
      </c>
    </row>
    <row r="399" spans="1:17" x14ac:dyDescent="0.3">
      <c r="A399" s="3">
        <v>2033718</v>
      </c>
      <c r="B399">
        <v>11845</v>
      </c>
      <c r="C399">
        <v>2</v>
      </c>
      <c r="D399" s="9">
        <v>101</v>
      </c>
      <c r="E399">
        <v>1002</v>
      </c>
      <c r="F399" s="1">
        <v>44009</v>
      </c>
      <c r="G399" t="s">
        <v>185</v>
      </c>
      <c r="H399" s="4" t="s">
        <v>16</v>
      </c>
      <c r="I399" s="4">
        <v>-25.35</v>
      </c>
      <c r="J399" s="4">
        <v>-25.35</v>
      </c>
      <c r="K399" t="str">
        <f>IFERROR(INDEX(BusinessUnits!$B:$B,MATCH($C399,BusinessUnits!$A:$A,0)),"")</f>
        <v>HOTEL</v>
      </c>
      <c r="L399" t="str">
        <f>IFERROR(INDEX(Table1[[#All],[Description]],MATCH($C399,BusinessUnits!$A:$A,0)),"")</f>
        <v xml:space="preserve">Transactions related to guest rooms and overall hotel operations. Includes payroll for administrative staff, clerks and interns. </v>
      </c>
      <c r="M399" t="str">
        <f>IFERROR(INDEX(ChartOfAccounts!B398:B483,MATCH($B399,ChartOfAccounts!A398:A483,0)),"")</f>
        <v/>
      </c>
      <c r="N399" t="str">
        <f>IFERROR(INDEX(ChartOfAccounts!D:D,MATCH($B399,ChartOfAccounts!A398:A483,0)),"")</f>
        <v/>
      </c>
      <c r="O399" t="str">
        <f>IFERROR(INDEX(ChartOfAccounts!F:F,MATCH($B399,ChartOfAccounts!A398:A483,0)),"")</f>
        <v/>
      </c>
      <c r="P399" t="str" cm="1">
        <f t="array" ref="P399">IFERROR(INDEX(PreparerInfo!B398:B410,MATCH($D399&amp;$C399,PreparerInfo!A398:A410&amp;PreparerInfo!C398:C410,0)),"")</f>
        <v/>
      </c>
      <c r="Q399" t="str">
        <f>IFERROR(INDEX(Source!B398:B406,MATCH('Case 4 solution'!E399,Source!A398:A406,0)),"")</f>
        <v/>
      </c>
    </row>
    <row r="400" spans="1:17" x14ac:dyDescent="0.3">
      <c r="A400" s="3">
        <v>2033719</v>
      </c>
      <c r="B400">
        <v>11845</v>
      </c>
      <c r="C400">
        <v>3</v>
      </c>
      <c r="D400" s="9">
        <v>102</v>
      </c>
      <c r="E400">
        <v>1003</v>
      </c>
      <c r="F400" s="1">
        <v>44009</v>
      </c>
      <c r="G400" t="s">
        <v>15</v>
      </c>
      <c r="H400" s="4">
        <v>44.43</v>
      </c>
      <c r="I400" s="4" t="s">
        <v>16</v>
      </c>
      <c r="J400" s="4">
        <v>44.43</v>
      </c>
      <c r="K400" t="str">
        <f>IFERROR(INDEX(BusinessUnits!$B:$B,MATCH($C400,BusinessUnits!$A:$A,0)),"")</f>
        <v>HOTEL PANTRY</v>
      </c>
      <c r="L400" t="str">
        <f>IFERROR(INDEX(Table1[[#All],[Description]],MATCH($C400,BusinessUnits!$A:$A,0)),"")</f>
        <v>Transactions related to the hotel convenience store, including some food and beverage costs.</v>
      </c>
      <c r="M400" t="str">
        <f>IFERROR(INDEX(ChartOfAccounts!B399:B484,MATCH($B400,ChartOfAccounts!A399:A484,0)),"")</f>
        <v/>
      </c>
      <c r="N400" t="str">
        <f>IFERROR(INDEX(ChartOfAccounts!D:D,MATCH($B400,ChartOfAccounts!A399:A484,0)),"")</f>
        <v/>
      </c>
      <c r="O400" t="str">
        <f>IFERROR(INDEX(ChartOfAccounts!F:F,MATCH($B400,ChartOfAccounts!A399:A484,0)),"")</f>
        <v/>
      </c>
      <c r="P400" t="str" cm="1">
        <f t="array" ref="P400">IFERROR(INDEX(PreparerInfo!B399:B411,MATCH($D400&amp;$C400,PreparerInfo!A399:A411&amp;PreparerInfo!C399:C411,0)),"")</f>
        <v/>
      </c>
      <c r="Q400" t="str">
        <f>IFERROR(INDEX(Source!B399:B407,MATCH('Case 4 solution'!E400,Source!A399:A407,0)),"")</f>
        <v/>
      </c>
    </row>
    <row r="401" spans="1:17" x14ac:dyDescent="0.3">
      <c r="A401" s="3">
        <v>2033719</v>
      </c>
      <c r="B401">
        <v>43440</v>
      </c>
      <c r="C401">
        <v>3</v>
      </c>
      <c r="D401" s="9">
        <v>102</v>
      </c>
      <c r="E401">
        <v>1003</v>
      </c>
      <c r="F401" s="1">
        <v>44009</v>
      </c>
      <c r="G401" t="s">
        <v>15</v>
      </c>
      <c r="H401" s="4" t="s">
        <v>16</v>
      </c>
      <c r="I401" s="4">
        <v>-44.43</v>
      </c>
      <c r="J401" s="4">
        <v>-44.43</v>
      </c>
      <c r="K401" t="str">
        <f>IFERROR(INDEX(BusinessUnits!$B:$B,MATCH($C401,BusinessUnits!$A:$A,0)),"")</f>
        <v>HOTEL PANTRY</v>
      </c>
      <c r="L401" t="str">
        <f>IFERROR(INDEX(Table1[[#All],[Description]],MATCH($C401,BusinessUnits!$A:$A,0)),"")</f>
        <v>Transactions related to the hotel convenience store, including some food and beverage costs.</v>
      </c>
      <c r="M401" t="str">
        <f>IFERROR(INDEX(ChartOfAccounts!B400:B485,MATCH($B401,ChartOfAccounts!A400:A485,0)),"")</f>
        <v/>
      </c>
      <c r="N401" t="str">
        <f>IFERROR(INDEX(ChartOfAccounts!D:D,MATCH($B401,ChartOfAccounts!A400:A485,0)),"")</f>
        <v/>
      </c>
      <c r="O401" t="str">
        <f>IFERROR(INDEX(ChartOfAccounts!F:F,MATCH($B401,ChartOfAccounts!A400:A485,0)),"")</f>
        <v/>
      </c>
      <c r="P401" t="str" cm="1">
        <f t="array" ref="P401">IFERROR(INDEX(PreparerInfo!B400:B412,MATCH($D401&amp;$C401,PreparerInfo!A400:A412&amp;PreparerInfo!C400:C412,0)),"")</f>
        <v/>
      </c>
      <c r="Q401" t="str">
        <f>IFERROR(INDEX(Source!B400:B408,MATCH('Case 4 solution'!E401,Source!A400:A408,0)),"")</f>
        <v/>
      </c>
    </row>
    <row r="402" spans="1:17" x14ac:dyDescent="0.3">
      <c r="A402" s="3">
        <v>2033720</v>
      </c>
      <c r="B402">
        <v>11845</v>
      </c>
      <c r="C402">
        <v>1</v>
      </c>
      <c r="D402" s="9">
        <v>106</v>
      </c>
      <c r="E402">
        <v>1003</v>
      </c>
      <c r="F402" s="1">
        <v>44009</v>
      </c>
      <c r="G402" t="s">
        <v>80</v>
      </c>
      <c r="H402" s="4">
        <v>50</v>
      </c>
      <c r="I402" s="4" t="s">
        <v>16</v>
      </c>
      <c r="J402" s="4">
        <v>50</v>
      </c>
      <c r="K402" t="str">
        <f>IFERROR(INDEX(BusinessUnits!$B:$B,MATCH($C402,BusinessUnits!$A:$A,0)),"")</f>
        <v>FOOD SERVICE</v>
      </c>
      <c r="L402" t="str">
        <f>IFERROR(INDEX(Table1[[#All],[Description]],MATCH($C402,BusinessUnits!$A:$A,0)),"")</f>
        <v xml:space="preserve">Transactions related to food and beverage service. Includes all guest transactions in the hotel restaurants, catering-related transactions and food service payroll. </v>
      </c>
      <c r="M402" t="str">
        <f>IFERROR(INDEX(ChartOfAccounts!B401:B486,MATCH($B402,ChartOfAccounts!A401:A486,0)),"")</f>
        <v/>
      </c>
      <c r="N402" t="str">
        <f>IFERROR(INDEX(ChartOfAccounts!D:D,MATCH($B402,ChartOfAccounts!A401:A486,0)),"")</f>
        <v/>
      </c>
      <c r="O402" t="str">
        <f>IFERROR(INDEX(ChartOfAccounts!F:F,MATCH($B402,ChartOfAccounts!A401:A486,0)),"")</f>
        <v/>
      </c>
      <c r="P402" t="str" cm="1">
        <f t="array" ref="P402">IFERROR(INDEX(PreparerInfo!B401:B413,MATCH($D402&amp;$C402,PreparerInfo!A401:A413&amp;PreparerInfo!C401:C413,0)),"")</f>
        <v/>
      </c>
      <c r="Q402" t="str">
        <f>IFERROR(INDEX(Source!B401:B409,MATCH('Case 4 solution'!E402,Source!A401:A409,0)),"")</f>
        <v/>
      </c>
    </row>
    <row r="403" spans="1:17" x14ac:dyDescent="0.3">
      <c r="A403" s="3">
        <v>2033720</v>
      </c>
      <c r="B403">
        <v>43440</v>
      </c>
      <c r="C403">
        <v>1</v>
      </c>
      <c r="D403" s="9">
        <v>106</v>
      </c>
      <c r="E403">
        <v>1003</v>
      </c>
      <c r="F403" s="1">
        <v>44009</v>
      </c>
      <c r="G403" t="s">
        <v>80</v>
      </c>
      <c r="H403" s="4" t="s">
        <v>16</v>
      </c>
      <c r="I403" s="4">
        <v>-50</v>
      </c>
      <c r="J403" s="4">
        <v>-50</v>
      </c>
      <c r="K403" t="str">
        <f>IFERROR(INDEX(BusinessUnits!$B:$B,MATCH($C403,BusinessUnits!$A:$A,0)),"")</f>
        <v>FOOD SERVICE</v>
      </c>
      <c r="L403" t="str">
        <f>IFERROR(INDEX(Table1[[#All],[Description]],MATCH($C403,BusinessUnits!$A:$A,0)),"")</f>
        <v xml:space="preserve">Transactions related to food and beverage service. Includes all guest transactions in the hotel restaurants, catering-related transactions and food service payroll. </v>
      </c>
      <c r="M403" t="str">
        <f>IFERROR(INDEX(ChartOfAccounts!B402:B487,MATCH($B403,ChartOfAccounts!A402:A487,0)),"")</f>
        <v/>
      </c>
      <c r="N403" t="str">
        <f>IFERROR(INDEX(ChartOfAccounts!D:D,MATCH($B403,ChartOfAccounts!A402:A487,0)),"")</f>
        <v/>
      </c>
      <c r="O403" t="str">
        <f>IFERROR(INDEX(ChartOfAccounts!F:F,MATCH($B403,ChartOfAccounts!A402:A487,0)),"")</f>
        <v/>
      </c>
      <c r="P403" t="str" cm="1">
        <f t="array" ref="P403">IFERROR(INDEX(PreparerInfo!B402:B414,MATCH($D403&amp;$C403,PreparerInfo!A402:A414&amp;PreparerInfo!C402:C414,0)),"")</f>
        <v/>
      </c>
      <c r="Q403" t="str">
        <f>IFERROR(INDEX(Source!B402:B410,MATCH('Case 4 solution'!E403,Source!A402:A410,0)),"")</f>
        <v/>
      </c>
    </row>
    <row r="404" spans="1:17" x14ac:dyDescent="0.3">
      <c r="A404" s="3">
        <v>2033721</v>
      </c>
      <c r="B404">
        <v>71420</v>
      </c>
      <c r="C404">
        <v>2</v>
      </c>
      <c r="D404" s="9">
        <v>101</v>
      </c>
      <c r="E404">
        <v>1002</v>
      </c>
      <c r="F404" s="1">
        <v>44009</v>
      </c>
      <c r="G404" t="s">
        <v>171</v>
      </c>
      <c r="H404" s="4">
        <v>54.61</v>
      </c>
      <c r="I404" s="4" t="s">
        <v>16</v>
      </c>
      <c r="J404" s="4">
        <v>54.61</v>
      </c>
      <c r="K404" t="str">
        <f>IFERROR(INDEX(BusinessUnits!$B:$B,MATCH($C404,BusinessUnits!$A:$A,0)),"")</f>
        <v>HOTEL</v>
      </c>
      <c r="L404" t="str">
        <f>IFERROR(INDEX(Table1[[#All],[Description]],MATCH($C404,BusinessUnits!$A:$A,0)),"")</f>
        <v xml:space="preserve">Transactions related to guest rooms and overall hotel operations. Includes payroll for administrative staff, clerks and interns. </v>
      </c>
      <c r="M404" t="str">
        <f>IFERROR(INDEX(ChartOfAccounts!B403:B488,MATCH($B404,ChartOfAccounts!A403:A488,0)),"")</f>
        <v/>
      </c>
      <c r="N404" t="str">
        <f>IFERROR(INDEX(ChartOfAccounts!D:D,MATCH($B404,ChartOfAccounts!A403:A488,0)),"")</f>
        <v/>
      </c>
      <c r="O404" t="str">
        <f>IFERROR(INDEX(ChartOfAccounts!F:F,MATCH($B404,ChartOfAccounts!A403:A488,0)),"")</f>
        <v/>
      </c>
      <c r="P404" t="str" cm="1">
        <f t="array" ref="P404">IFERROR(INDEX(PreparerInfo!B403:B415,MATCH($D404&amp;$C404,PreparerInfo!A403:A415&amp;PreparerInfo!C403:C415,0)),"")</f>
        <v/>
      </c>
      <c r="Q404" t="str">
        <f>IFERROR(INDEX(Source!B403:B411,MATCH('Case 4 solution'!E404,Source!A403:A411,0)),"")</f>
        <v/>
      </c>
    </row>
    <row r="405" spans="1:17" x14ac:dyDescent="0.3">
      <c r="A405" s="3">
        <v>2033721</v>
      </c>
      <c r="B405">
        <v>11845</v>
      </c>
      <c r="C405">
        <v>2</v>
      </c>
      <c r="D405" s="9">
        <v>101</v>
      </c>
      <c r="E405">
        <v>1002</v>
      </c>
      <c r="F405" s="1">
        <v>44009</v>
      </c>
      <c r="G405" t="s">
        <v>171</v>
      </c>
      <c r="H405" s="4" t="s">
        <v>16</v>
      </c>
      <c r="I405" s="4">
        <v>-54.61</v>
      </c>
      <c r="J405" s="4">
        <v>-54.61</v>
      </c>
      <c r="K405" t="str">
        <f>IFERROR(INDEX(BusinessUnits!$B:$B,MATCH($C405,BusinessUnits!$A:$A,0)),"")</f>
        <v>HOTEL</v>
      </c>
      <c r="L405" t="str">
        <f>IFERROR(INDEX(Table1[[#All],[Description]],MATCH($C405,BusinessUnits!$A:$A,0)),"")</f>
        <v xml:space="preserve">Transactions related to guest rooms and overall hotel operations. Includes payroll for administrative staff, clerks and interns. </v>
      </c>
      <c r="M405" t="str">
        <f>IFERROR(INDEX(ChartOfAccounts!B404:B489,MATCH($B405,ChartOfAccounts!A404:A489,0)),"")</f>
        <v/>
      </c>
      <c r="N405" t="str">
        <f>IFERROR(INDEX(ChartOfAccounts!D:D,MATCH($B405,ChartOfAccounts!A404:A489,0)),"")</f>
        <v/>
      </c>
      <c r="O405" t="str">
        <f>IFERROR(INDEX(ChartOfAccounts!F:F,MATCH($B405,ChartOfAccounts!A404:A489,0)),"")</f>
        <v/>
      </c>
      <c r="P405" t="str" cm="1">
        <f t="array" ref="P405">IFERROR(INDEX(PreparerInfo!B404:B416,MATCH($D405&amp;$C405,PreparerInfo!A404:A416&amp;PreparerInfo!C404:C416,0)),"")</f>
        <v/>
      </c>
      <c r="Q405" t="str">
        <f>IFERROR(INDEX(Source!B404:B412,MATCH('Case 4 solution'!E405,Source!A404:A412,0)),"")</f>
        <v/>
      </c>
    </row>
    <row r="406" spans="1:17" x14ac:dyDescent="0.3">
      <c r="A406" s="3">
        <v>2033722</v>
      </c>
      <c r="B406">
        <v>74220</v>
      </c>
      <c r="C406">
        <v>1</v>
      </c>
      <c r="D406" s="9">
        <v>101</v>
      </c>
      <c r="E406">
        <v>1002</v>
      </c>
      <c r="F406" s="1">
        <v>44009</v>
      </c>
      <c r="G406" t="s">
        <v>172</v>
      </c>
      <c r="H406" s="4">
        <v>55</v>
      </c>
      <c r="I406" s="4" t="s">
        <v>16</v>
      </c>
      <c r="J406" s="4">
        <v>55</v>
      </c>
      <c r="K406" t="str">
        <f>IFERROR(INDEX(BusinessUnits!$B:$B,MATCH($C406,BusinessUnits!$A:$A,0)),"")</f>
        <v>FOOD SERVICE</v>
      </c>
      <c r="L406" t="str">
        <f>IFERROR(INDEX(Table1[[#All],[Description]],MATCH($C406,BusinessUnits!$A:$A,0)),"")</f>
        <v xml:space="preserve">Transactions related to food and beverage service. Includes all guest transactions in the hotel restaurants, catering-related transactions and food service payroll. </v>
      </c>
      <c r="M406" t="str">
        <f>IFERROR(INDEX(ChartOfAccounts!B405:B490,MATCH($B406,ChartOfAccounts!A405:A490,0)),"")</f>
        <v/>
      </c>
      <c r="N406" t="str">
        <f>IFERROR(INDEX(ChartOfAccounts!D:D,MATCH($B406,ChartOfAccounts!A405:A490,0)),"")</f>
        <v/>
      </c>
      <c r="O406" t="str">
        <f>IFERROR(INDEX(ChartOfAccounts!F:F,MATCH($B406,ChartOfAccounts!A405:A490,0)),"")</f>
        <v/>
      </c>
      <c r="P406" t="str" cm="1">
        <f t="array" ref="P406">IFERROR(INDEX(PreparerInfo!B405:B417,MATCH($D406&amp;$C406,PreparerInfo!A405:A417&amp;PreparerInfo!C405:C417,0)),"")</f>
        <v/>
      </c>
      <c r="Q406" t="str">
        <f>IFERROR(INDEX(Source!B405:B413,MATCH('Case 4 solution'!E406,Source!A405:A413,0)),"")</f>
        <v/>
      </c>
    </row>
    <row r="407" spans="1:17" x14ac:dyDescent="0.3">
      <c r="A407" s="3">
        <v>2033722</v>
      </c>
      <c r="B407">
        <v>11845</v>
      </c>
      <c r="C407">
        <v>1</v>
      </c>
      <c r="D407" s="9">
        <v>101</v>
      </c>
      <c r="E407">
        <v>1002</v>
      </c>
      <c r="F407" s="1">
        <v>44009</v>
      </c>
      <c r="G407" t="s">
        <v>172</v>
      </c>
      <c r="H407" s="4" t="s">
        <v>16</v>
      </c>
      <c r="I407" s="4">
        <v>-55</v>
      </c>
      <c r="J407" s="4">
        <v>-55</v>
      </c>
      <c r="K407" t="str">
        <f>IFERROR(INDEX(BusinessUnits!$B:$B,MATCH($C407,BusinessUnits!$A:$A,0)),"")</f>
        <v>FOOD SERVICE</v>
      </c>
      <c r="L407" t="str">
        <f>IFERROR(INDEX(Table1[[#All],[Description]],MATCH($C407,BusinessUnits!$A:$A,0)),"")</f>
        <v xml:space="preserve">Transactions related to food and beverage service. Includes all guest transactions in the hotel restaurants, catering-related transactions and food service payroll. </v>
      </c>
      <c r="M407" t="str">
        <f>IFERROR(INDEX(ChartOfAccounts!B406:B491,MATCH($B407,ChartOfAccounts!A406:A491,0)),"")</f>
        <v/>
      </c>
      <c r="N407" t="str">
        <f>IFERROR(INDEX(ChartOfAccounts!D:D,MATCH($B407,ChartOfAccounts!A406:A491,0)),"")</f>
        <v/>
      </c>
      <c r="O407" t="str">
        <f>IFERROR(INDEX(ChartOfAccounts!F:F,MATCH($B407,ChartOfAccounts!A406:A491,0)),"")</f>
        <v/>
      </c>
      <c r="P407" t="str" cm="1">
        <f t="array" ref="P407">IFERROR(INDEX(PreparerInfo!B406:B418,MATCH($D407&amp;$C407,PreparerInfo!A406:A418&amp;PreparerInfo!C406:C418,0)),"")</f>
        <v/>
      </c>
      <c r="Q407" t="str">
        <f>IFERROR(INDEX(Source!B406:B414,MATCH('Case 4 solution'!E407,Source!A406:A414,0)),"")</f>
        <v/>
      </c>
    </row>
    <row r="408" spans="1:17" x14ac:dyDescent="0.3">
      <c r="A408" s="3">
        <v>2033723</v>
      </c>
      <c r="B408">
        <v>11845</v>
      </c>
      <c r="C408">
        <v>1</v>
      </c>
      <c r="D408" s="9">
        <v>106</v>
      </c>
      <c r="E408">
        <v>1003</v>
      </c>
      <c r="F408" s="1">
        <v>44009</v>
      </c>
      <c r="G408" t="s">
        <v>80</v>
      </c>
      <c r="H408" s="4">
        <v>75</v>
      </c>
      <c r="I408" s="4" t="s">
        <v>16</v>
      </c>
      <c r="J408" s="4">
        <v>75</v>
      </c>
      <c r="K408" t="str">
        <f>IFERROR(INDEX(BusinessUnits!$B:$B,MATCH($C408,BusinessUnits!$A:$A,0)),"")</f>
        <v>FOOD SERVICE</v>
      </c>
      <c r="L408" t="str">
        <f>IFERROR(INDEX(Table1[[#All],[Description]],MATCH($C408,BusinessUnits!$A:$A,0)),"")</f>
        <v xml:space="preserve">Transactions related to food and beverage service. Includes all guest transactions in the hotel restaurants, catering-related transactions and food service payroll. </v>
      </c>
      <c r="M408" t="str">
        <f>IFERROR(INDEX(ChartOfAccounts!B407:B492,MATCH($B408,ChartOfAccounts!A407:A492,0)),"")</f>
        <v/>
      </c>
      <c r="N408" t="str">
        <f>IFERROR(INDEX(ChartOfAccounts!D:D,MATCH($B408,ChartOfAccounts!A407:A492,0)),"")</f>
        <v/>
      </c>
      <c r="O408" t="str">
        <f>IFERROR(INDEX(ChartOfAccounts!F:F,MATCH($B408,ChartOfAccounts!A407:A492,0)),"")</f>
        <v/>
      </c>
      <c r="P408" t="str" cm="1">
        <f t="array" ref="P408">IFERROR(INDEX(PreparerInfo!B407:B419,MATCH($D408&amp;$C408,PreparerInfo!A407:A419&amp;PreparerInfo!C407:C419,0)),"")</f>
        <v/>
      </c>
      <c r="Q408" t="str">
        <f>IFERROR(INDEX(Source!B407:B415,MATCH('Case 4 solution'!E408,Source!A407:A415,0)),"")</f>
        <v/>
      </c>
    </row>
    <row r="409" spans="1:17" x14ac:dyDescent="0.3">
      <c r="A409" s="3">
        <v>2033723</v>
      </c>
      <c r="B409">
        <v>43440</v>
      </c>
      <c r="C409">
        <v>1</v>
      </c>
      <c r="D409" s="9">
        <v>106</v>
      </c>
      <c r="E409">
        <v>1003</v>
      </c>
      <c r="F409" s="1">
        <v>44009</v>
      </c>
      <c r="G409" t="s">
        <v>80</v>
      </c>
      <c r="H409" s="4" t="s">
        <v>16</v>
      </c>
      <c r="I409" s="4">
        <v>-75</v>
      </c>
      <c r="J409" s="4">
        <v>-75</v>
      </c>
      <c r="K409" t="str">
        <f>IFERROR(INDEX(BusinessUnits!$B:$B,MATCH($C409,BusinessUnits!$A:$A,0)),"")</f>
        <v>FOOD SERVICE</v>
      </c>
      <c r="L409" t="str">
        <f>IFERROR(INDEX(Table1[[#All],[Description]],MATCH($C409,BusinessUnits!$A:$A,0)),"")</f>
        <v xml:space="preserve">Transactions related to food and beverage service. Includes all guest transactions in the hotel restaurants, catering-related transactions and food service payroll. </v>
      </c>
      <c r="M409" t="str">
        <f>IFERROR(INDEX(ChartOfAccounts!B408:B493,MATCH($B409,ChartOfAccounts!A408:A493,0)),"")</f>
        <v/>
      </c>
      <c r="N409" t="str">
        <f>IFERROR(INDEX(ChartOfAccounts!D:D,MATCH($B409,ChartOfAccounts!A408:A493,0)),"")</f>
        <v/>
      </c>
      <c r="O409" t="str">
        <f>IFERROR(INDEX(ChartOfAccounts!F:F,MATCH($B409,ChartOfAccounts!A408:A493,0)),"")</f>
        <v/>
      </c>
      <c r="P409" t="str" cm="1">
        <f t="array" ref="P409">IFERROR(INDEX(PreparerInfo!B408:B420,MATCH($D409&amp;$C409,PreparerInfo!A408:A420&amp;PreparerInfo!C408:C420,0)),"")</f>
        <v/>
      </c>
      <c r="Q409" t="str">
        <f>IFERROR(INDEX(Source!B408:B416,MATCH('Case 4 solution'!E409,Source!A408:A416,0)),"")</f>
        <v/>
      </c>
    </row>
    <row r="410" spans="1:17" x14ac:dyDescent="0.3">
      <c r="A410" s="3">
        <v>2033724</v>
      </c>
      <c r="B410">
        <v>11845</v>
      </c>
      <c r="C410">
        <v>3</v>
      </c>
      <c r="D410" s="9">
        <v>102</v>
      </c>
      <c r="E410">
        <v>1001</v>
      </c>
      <c r="F410" s="1">
        <v>44009</v>
      </c>
      <c r="G410" t="s">
        <v>41</v>
      </c>
      <c r="H410" s="4">
        <v>98.84</v>
      </c>
      <c r="I410" s="4" t="s">
        <v>16</v>
      </c>
      <c r="J410" s="4">
        <v>98.84</v>
      </c>
      <c r="K410" t="str">
        <f>IFERROR(INDEX(BusinessUnits!$B:$B,MATCH($C410,BusinessUnits!$A:$A,0)),"")</f>
        <v>HOTEL PANTRY</v>
      </c>
      <c r="L410" t="str">
        <f>IFERROR(INDEX(Table1[[#All],[Description]],MATCH($C410,BusinessUnits!$A:$A,0)),"")</f>
        <v>Transactions related to the hotel convenience store, including some food and beverage costs.</v>
      </c>
      <c r="M410" t="str">
        <f>IFERROR(INDEX(ChartOfAccounts!B409:B494,MATCH($B410,ChartOfAccounts!A409:A494,0)),"")</f>
        <v/>
      </c>
      <c r="N410" t="str">
        <f>IFERROR(INDEX(ChartOfAccounts!D:D,MATCH($B410,ChartOfAccounts!A409:A494,0)),"")</f>
        <v/>
      </c>
      <c r="O410" t="str">
        <f>IFERROR(INDEX(ChartOfAccounts!F:F,MATCH($B410,ChartOfAccounts!A409:A494,0)),"")</f>
        <v/>
      </c>
      <c r="P410" t="str" cm="1">
        <f t="array" ref="P410">IFERROR(INDEX(PreparerInfo!B409:B421,MATCH($D410&amp;$C410,PreparerInfo!A409:A421&amp;PreparerInfo!C409:C421,0)),"")</f>
        <v/>
      </c>
      <c r="Q410" t="str">
        <f>IFERROR(INDEX(Source!B409:B417,MATCH('Case 4 solution'!E410,Source!A409:A417,0)),"")</f>
        <v/>
      </c>
    </row>
    <row r="411" spans="1:17" x14ac:dyDescent="0.3">
      <c r="A411" s="3">
        <v>2033724</v>
      </c>
      <c r="B411">
        <v>43440</v>
      </c>
      <c r="C411">
        <v>3</v>
      </c>
      <c r="D411" s="9">
        <v>102</v>
      </c>
      <c r="E411">
        <v>1001</v>
      </c>
      <c r="F411" s="1">
        <v>44009</v>
      </c>
      <c r="G411" t="s">
        <v>41</v>
      </c>
      <c r="H411" s="4" t="s">
        <v>16</v>
      </c>
      <c r="I411" s="4">
        <v>-98.84</v>
      </c>
      <c r="J411" s="4">
        <v>-98.84</v>
      </c>
      <c r="K411" t="str">
        <f>IFERROR(INDEX(BusinessUnits!$B:$B,MATCH($C411,BusinessUnits!$A:$A,0)),"")</f>
        <v>HOTEL PANTRY</v>
      </c>
      <c r="L411" t="str">
        <f>IFERROR(INDEX(Table1[[#All],[Description]],MATCH($C411,BusinessUnits!$A:$A,0)),"")</f>
        <v>Transactions related to the hotel convenience store, including some food and beverage costs.</v>
      </c>
      <c r="M411" t="str">
        <f>IFERROR(INDEX(ChartOfAccounts!B410:B495,MATCH($B411,ChartOfAccounts!A410:A495,0)),"")</f>
        <v/>
      </c>
      <c r="N411" t="str">
        <f>IFERROR(INDEX(ChartOfAccounts!D:D,MATCH($B411,ChartOfAccounts!A410:A495,0)),"")</f>
        <v/>
      </c>
      <c r="O411" t="str">
        <f>IFERROR(INDEX(ChartOfAccounts!F:F,MATCH($B411,ChartOfAccounts!A410:A495,0)),"")</f>
        <v/>
      </c>
      <c r="P411" t="str" cm="1">
        <f t="array" ref="P411">IFERROR(INDEX(PreparerInfo!B410:B422,MATCH($D411&amp;$C411,PreparerInfo!A410:A422&amp;PreparerInfo!C410:C422,0)),"")</f>
        <v/>
      </c>
      <c r="Q411" t="str">
        <f>IFERROR(INDEX(Source!B410:B418,MATCH('Case 4 solution'!E411,Source!A410:A418,0)),"")</f>
        <v/>
      </c>
    </row>
    <row r="412" spans="1:17" x14ac:dyDescent="0.3">
      <c r="A412" s="3">
        <v>2033725</v>
      </c>
      <c r="B412">
        <v>11845</v>
      </c>
      <c r="C412">
        <v>2</v>
      </c>
      <c r="D412" s="9">
        <v>106</v>
      </c>
      <c r="E412">
        <v>1003</v>
      </c>
      <c r="F412" s="1">
        <v>44009</v>
      </c>
      <c r="G412" t="s">
        <v>81</v>
      </c>
      <c r="H412" s="4">
        <v>99</v>
      </c>
      <c r="I412" s="4" t="s">
        <v>16</v>
      </c>
      <c r="J412" s="4">
        <v>99</v>
      </c>
      <c r="K412" t="str">
        <f>IFERROR(INDEX(BusinessUnits!$B:$B,MATCH($C412,BusinessUnits!$A:$A,0)),"")</f>
        <v>HOTEL</v>
      </c>
      <c r="L412" t="str">
        <f>IFERROR(INDEX(Table1[[#All],[Description]],MATCH($C412,BusinessUnits!$A:$A,0)),"")</f>
        <v xml:space="preserve">Transactions related to guest rooms and overall hotel operations. Includes payroll for administrative staff, clerks and interns. </v>
      </c>
      <c r="M412" t="str">
        <f>IFERROR(INDEX(ChartOfAccounts!B411:B496,MATCH($B412,ChartOfAccounts!A411:A496,0)),"")</f>
        <v/>
      </c>
      <c r="N412" t="str">
        <f>IFERROR(INDEX(ChartOfAccounts!D:D,MATCH($B412,ChartOfAccounts!A411:A496,0)),"")</f>
        <v/>
      </c>
      <c r="O412" t="str">
        <f>IFERROR(INDEX(ChartOfAccounts!F:F,MATCH($B412,ChartOfAccounts!A411:A496,0)),"")</f>
        <v/>
      </c>
      <c r="P412" t="str" cm="1">
        <f t="array" ref="P412">IFERROR(INDEX(PreparerInfo!B411:B423,MATCH($D412&amp;$C412,PreparerInfo!A411:A423&amp;PreparerInfo!C411:C423,0)),"")</f>
        <v/>
      </c>
      <c r="Q412" t="str">
        <f>IFERROR(INDEX(Source!B411:B419,MATCH('Case 4 solution'!E412,Source!A411:A419,0)),"")</f>
        <v/>
      </c>
    </row>
    <row r="413" spans="1:17" x14ac:dyDescent="0.3">
      <c r="A413" s="3">
        <v>2033725</v>
      </c>
      <c r="B413">
        <v>43180</v>
      </c>
      <c r="C413">
        <v>2</v>
      </c>
      <c r="D413" s="9">
        <v>106</v>
      </c>
      <c r="E413">
        <v>1003</v>
      </c>
      <c r="F413" s="1">
        <v>44009</v>
      </c>
      <c r="G413" t="s">
        <v>81</v>
      </c>
      <c r="H413" s="4" t="s">
        <v>16</v>
      </c>
      <c r="I413" s="4">
        <v>-99</v>
      </c>
      <c r="J413" s="4">
        <v>-99</v>
      </c>
      <c r="K413" t="str">
        <f>IFERROR(INDEX(BusinessUnits!$B:$B,MATCH($C413,BusinessUnits!$A:$A,0)),"")</f>
        <v>HOTEL</v>
      </c>
      <c r="L413" t="str">
        <f>IFERROR(INDEX(Table1[[#All],[Description]],MATCH($C413,BusinessUnits!$A:$A,0)),"")</f>
        <v xml:space="preserve">Transactions related to guest rooms and overall hotel operations. Includes payroll for administrative staff, clerks and interns. </v>
      </c>
      <c r="M413" t="str">
        <f>IFERROR(INDEX(ChartOfAccounts!B412:B497,MATCH($B413,ChartOfAccounts!A412:A497,0)),"")</f>
        <v/>
      </c>
      <c r="N413" t="str">
        <f>IFERROR(INDEX(ChartOfAccounts!D:D,MATCH($B413,ChartOfAccounts!A412:A497,0)),"")</f>
        <v/>
      </c>
      <c r="O413" t="str">
        <f>IFERROR(INDEX(ChartOfAccounts!F:F,MATCH($B413,ChartOfAccounts!A412:A497,0)),"")</f>
        <v/>
      </c>
      <c r="P413" t="str" cm="1">
        <f t="array" ref="P413">IFERROR(INDEX(PreparerInfo!B412:B424,MATCH($D413&amp;$C413,PreparerInfo!A412:A424&amp;PreparerInfo!C412:C424,0)),"")</f>
        <v/>
      </c>
      <c r="Q413" t="str">
        <f>IFERROR(INDEX(Source!B412:B420,MATCH('Case 4 solution'!E413,Source!A412:A420,0)),"")</f>
        <v/>
      </c>
    </row>
    <row r="414" spans="1:17" x14ac:dyDescent="0.3">
      <c r="A414" s="3">
        <v>2033726</v>
      </c>
      <c r="B414">
        <v>11845</v>
      </c>
      <c r="C414">
        <v>2</v>
      </c>
      <c r="D414" s="9">
        <v>104</v>
      </c>
      <c r="E414">
        <v>1003</v>
      </c>
      <c r="F414" s="1">
        <v>44009</v>
      </c>
      <c r="G414" t="s">
        <v>234</v>
      </c>
      <c r="H414" s="4">
        <v>99</v>
      </c>
      <c r="I414" s="4" t="s">
        <v>16</v>
      </c>
      <c r="J414" s="4">
        <v>99</v>
      </c>
      <c r="K414" t="str">
        <f>IFERROR(INDEX(BusinessUnits!$B:$B,MATCH($C414,BusinessUnits!$A:$A,0)),"")</f>
        <v>HOTEL</v>
      </c>
      <c r="L414" t="str">
        <f>IFERROR(INDEX(Table1[[#All],[Description]],MATCH($C414,BusinessUnits!$A:$A,0)),"")</f>
        <v xml:space="preserve">Transactions related to guest rooms and overall hotel operations. Includes payroll for administrative staff, clerks and interns. </v>
      </c>
      <c r="M414" t="str">
        <f>IFERROR(INDEX(ChartOfAccounts!B413:B498,MATCH($B414,ChartOfAccounts!A413:A498,0)),"")</f>
        <v/>
      </c>
      <c r="N414" t="str">
        <f>IFERROR(INDEX(ChartOfAccounts!D:D,MATCH($B414,ChartOfAccounts!A413:A498,0)),"")</f>
        <v/>
      </c>
      <c r="O414" t="str">
        <f>IFERROR(INDEX(ChartOfAccounts!F:F,MATCH($B414,ChartOfAccounts!A413:A498,0)),"")</f>
        <v/>
      </c>
      <c r="P414" t="str" cm="1">
        <f t="array" ref="P414">IFERROR(INDEX(PreparerInfo!B413:B425,MATCH($D414&amp;$C414,PreparerInfo!A413:A425&amp;PreparerInfo!C413:C425,0)),"")</f>
        <v/>
      </c>
      <c r="Q414" t="str">
        <f>IFERROR(INDEX(Source!B413:B421,MATCH('Case 4 solution'!E414,Source!A413:A421,0)),"")</f>
        <v/>
      </c>
    </row>
    <row r="415" spans="1:17" x14ac:dyDescent="0.3">
      <c r="A415" s="3">
        <v>2033726</v>
      </c>
      <c r="B415">
        <v>43180</v>
      </c>
      <c r="C415">
        <v>2</v>
      </c>
      <c r="D415" s="9">
        <v>104</v>
      </c>
      <c r="E415">
        <v>1003</v>
      </c>
      <c r="F415" s="1">
        <v>44009</v>
      </c>
      <c r="G415" t="s">
        <v>234</v>
      </c>
      <c r="H415" s="4" t="s">
        <v>16</v>
      </c>
      <c r="I415" s="4">
        <v>-99</v>
      </c>
      <c r="J415" s="4">
        <v>-99</v>
      </c>
      <c r="K415" t="str">
        <f>IFERROR(INDEX(BusinessUnits!$B:$B,MATCH($C415,BusinessUnits!$A:$A,0)),"")</f>
        <v>HOTEL</v>
      </c>
      <c r="L415" t="str">
        <f>IFERROR(INDEX(Table1[[#All],[Description]],MATCH($C415,BusinessUnits!$A:$A,0)),"")</f>
        <v xml:space="preserve">Transactions related to guest rooms and overall hotel operations. Includes payroll for administrative staff, clerks and interns. </v>
      </c>
      <c r="M415" t="str">
        <f>IFERROR(INDEX(ChartOfAccounts!B414:B499,MATCH($B415,ChartOfAccounts!A414:A499,0)),"")</f>
        <v/>
      </c>
      <c r="N415" t="str">
        <f>IFERROR(INDEX(ChartOfAccounts!D:D,MATCH($B415,ChartOfAccounts!A414:A499,0)),"")</f>
        <v/>
      </c>
      <c r="O415" t="str">
        <f>IFERROR(INDEX(ChartOfAccounts!F:F,MATCH($B415,ChartOfAccounts!A414:A499,0)),"")</f>
        <v/>
      </c>
      <c r="P415" t="str" cm="1">
        <f t="array" ref="P415">IFERROR(INDEX(PreparerInfo!B414:B426,MATCH($D415&amp;$C415,PreparerInfo!A414:A426&amp;PreparerInfo!C414:C426,0)),"")</f>
        <v/>
      </c>
      <c r="Q415" t="str">
        <f>IFERROR(INDEX(Source!B414:B422,MATCH('Case 4 solution'!E415,Source!A414:A422,0)),"")</f>
        <v/>
      </c>
    </row>
    <row r="416" spans="1:17" x14ac:dyDescent="0.3">
      <c r="A416" s="3">
        <v>2033727</v>
      </c>
      <c r="B416">
        <v>11845</v>
      </c>
      <c r="C416">
        <v>2</v>
      </c>
      <c r="D416" s="9">
        <v>104</v>
      </c>
      <c r="E416">
        <v>1003</v>
      </c>
      <c r="F416" s="1">
        <v>44009</v>
      </c>
      <c r="G416" t="s">
        <v>235</v>
      </c>
      <c r="H416" s="4">
        <v>99</v>
      </c>
      <c r="I416" s="4" t="s">
        <v>16</v>
      </c>
      <c r="J416" s="4">
        <v>99</v>
      </c>
      <c r="K416" t="str">
        <f>IFERROR(INDEX(BusinessUnits!$B:$B,MATCH($C416,BusinessUnits!$A:$A,0)),"")</f>
        <v>HOTEL</v>
      </c>
      <c r="L416" t="str">
        <f>IFERROR(INDEX(Table1[[#All],[Description]],MATCH($C416,BusinessUnits!$A:$A,0)),"")</f>
        <v xml:space="preserve">Transactions related to guest rooms and overall hotel operations. Includes payroll for administrative staff, clerks and interns. </v>
      </c>
      <c r="M416" t="str">
        <f>IFERROR(INDEX(ChartOfAccounts!B415:B500,MATCH($B416,ChartOfAccounts!A415:A500,0)),"")</f>
        <v/>
      </c>
      <c r="N416" t="str">
        <f>IFERROR(INDEX(ChartOfAccounts!D:D,MATCH($B416,ChartOfAccounts!A415:A500,0)),"")</f>
        <v/>
      </c>
      <c r="O416" t="str">
        <f>IFERROR(INDEX(ChartOfAccounts!F:F,MATCH($B416,ChartOfAccounts!A415:A500,0)),"")</f>
        <v/>
      </c>
      <c r="P416" t="str" cm="1">
        <f t="array" ref="P416">IFERROR(INDEX(PreparerInfo!B415:B427,MATCH($D416&amp;$C416,PreparerInfo!A415:A427&amp;PreparerInfo!C415:C427,0)),"")</f>
        <v/>
      </c>
      <c r="Q416" t="str">
        <f>IFERROR(INDEX(Source!B415:B423,MATCH('Case 4 solution'!E416,Source!A415:A423,0)),"")</f>
        <v/>
      </c>
    </row>
    <row r="417" spans="1:17" x14ac:dyDescent="0.3">
      <c r="A417" s="3">
        <v>2033727</v>
      </c>
      <c r="B417">
        <v>43180</v>
      </c>
      <c r="C417">
        <v>2</v>
      </c>
      <c r="D417" s="9">
        <v>104</v>
      </c>
      <c r="E417">
        <v>1003</v>
      </c>
      <c r="F417" s="1">
        <v>44009</v>
      </c>
      <c r="G417" t="s">
        <v>235</v>
      </c>
      <c r="H417" s="4" t="s">
        <v>16</v>
      </c>
      <c r="I417" s="4">
        <v>-99</v>
      </c>
      <c r="J417" s="4">
        <v>-99</v>
      </c>
      <c r="K417" t="str">
        <f>IFERROR(INDEX(BusinessUnits!$B:$B,MATCH($C417,BusinessUnits!$A:$A,0)),"")</f>
        <v>HOTEL</v>
      </c>
      <c r="L417" t="str">
        <f>IFERROR(INDEX(Table1[[#All],[Description]],MATCH($C417,BusinessUnits!$A:$A,0)),"")</f>
        <v xml:space="preserve">Transactions related to guest rooms and overall hotel operations. Includes payroll for administrative staff, clerks and interns. </v>
      </c>
      <c r="M417" t="str">
        <f>IFERROR(INDEX(ChartOfAccounts!B416:B501,MATCH($B417,ChartOfAccounts!A416:A501,0)),"")</f>
        <v/>
      </c>
      <c r="N417" t="str">
        <f>IFERROR(INDEX(ChartOfAccounts!D:D,MATCH($B417,ChartOfAccounts!A416:A501,0)),"")</f>
        <v/>
      </c>
      <c r="O417" t="str">
        <f>IFERROR(INDEX(ChartOfAccounts!F:F,MATCH($B417,ChartOfAccounts!A416:A501,0)),"")</f>
        <v/>
      </c>
      <c r="P417" t="str" cm="1">
        <f t="array" ref="P417">IFERROR(INDEX(PreparerInfo!B416:B428,MATCH($D417&amp;$C417,PreparerInfo!A416:A428&amp;PreparerInfo!C416:C428,0)),"")</f>
        <v/>
      </c>
      <c r="Q417" t="str">
        <f>IFERROR(INDEX(Source!B416:B424,MATCH('Case 4 solution'!E417,Source!A416:A424,0)),"")</f>
        <v/>
      </c>
    </row>
    <row r="418" spans="1:17" x14ac:dyDescent="0.3">
      <c r="A418" s="3">
        <v>2033728</v>
      </c>
      <c r="B418">
        <v>11845</v>
      </c>
      <c r="C418">
        <v>3</v>
      </c>
      <c r="D418" s="9">
        <v>102</v>
      </c>
      <c r="E418">
        <v>1001</v>
      </c>
      <c r="F418" s="1">
        <v>44009</v>
      </c>
      <c r="G418" t="s">
        <v>41</v>
      </c>
      <c r="H418" s="4">
        <v>112.7</v>
      </c>
      <c r="I418" s="4" t="s">
        <v>16</v>
      </c>
      <c r="J418" s="4">
        <v>112.7</v>
      </c>
      <c r="K418" t="str">
        <f>IFERROR(INDEX(BusinessUnits!$B:$B,MATCH($C418,BusinessUnits!$A:$A,0)),"")</f>
        <v>HOTEL PANTRY</v>
      </c>
      <c r="L418" t="str">
        <f>IFERROR(INDEX(Table1[[#All],[Description]],MATCH($C418,BusinessUnits!$A:$A,0)),"")</f>
        <v>Transactions related to the hotel convenience store, including some food and beverage costs.</v>
      </c>
      <c r="M418" t="str">
        <f>IFERROR(INDEX(ChartOfAccounts!B417:B502,MATCH($B418,ChartOfAccounts!A417:A502,0)),"")</f>
        <v/>
      </c>
      <c r="N418" t="str">
        <f>IFERROR(INDEX(ChartOfAccounts!D:D,MATCH($B418,ChartOfAccounts!A417:A502,0)),"")</f>
        <v/>
      </c>
      <c r="O418" t="str">
        <f>IFERROR(INDEX(ChartOfAccounts!F:F,MATCH($B418,ChartOfAccounts!A417:A502,0)),"")</f>
        <v/>
      </c>
      <c r="P418" t="str" cm="1">
        <f t="array" ref="P418">IFERROR(INDEX(PreparerInfo!B417:B429,MATCH($D418&amp;$C418,PreparerInfo!A417:A429&amp;PreparerInfo!C417:C429,0)),"")</f>
        <v/>
      </c>
      <c r="Q418" t="str">
        <f>IFERROR(INDEX(Source!B417:B425,MATCH('Case 4 solution'!E418,Source!A417:A425,0)),"")</f>
        <v/>
      </c>
    </row>
    <row r="419" spans="1:17" x14ac:dyDescent="0.3">
      <c r="A419" s="3">
        <v>2033728</v>
      </c>
      <c r="B419">
        <v>43440</v>
      </c>
      <c r="C419">
        <v>3</v>
      </c>
      <c r="D419" s="9">
        <v>102</v>
      </c>
      <c r="E419">
        <v>1001</v>
      </c>
      <c r="F419" s="1">
        <v>44009</v>
      </c>
      <c r="G419" t="s">
        <v>41</v>
      </c>
      <c r="H419" s="4" t="s">
        <v>16</v>
      </c>
      <c r="I419" s="4">
        <v>-112.7</v>
      </c>
      <c r="J419" s="4">
        <v>-112.7</v>
      </c>
      <c r="K419" t="str">
        <f>IFERROR(INDEX(BusinessUnits!$B:$B,MATCH($C419,BusinessUnits!$A:$A,0)),"")</f>
        <v>HOTEL PANTRY</v>
      </c>
      <c r="L419" t="str">
        <f>IFERROR(INDEX(Table1[[#All],[Description]],MATCH($C419,BusinessUnits!$A:$A,0)),"")</f>
        <v>Transactions related to the hotel convenience store, including some food and beverage costs.</v>
      </c>
      <c r="M419" t="str">
        <f>IFERROR(INDEX(ChartOfAccounts!B418:B503,MATCH($B419,ChartOfAccounts!A418:A503,0)),"")</f>
        <v/>
      </c>
      <c r="N419" t="str">
        <f>IFERROR(INDEX(ChartOfAccounts!D:D,MATCH($B419,ChartOfAccounts!A418:A503,0)),"")</f>
        <v/>
      </c>
      <c r="O419" t="str">
        <f>IFERROR(INDEX(ChartOfAccounts!F:F,MATCH($B419,ChartOfAccounts!A418:A503,0)),"")</f>
        <v/>
      </c>
      <c r="P419" t="str" cm="1">
        <f t="array" ref="P419">IFERROR(INDEX(PreparerInfo!B418:B430,MATCH($D419&amp;$C419,PreparerInfo!A418:A430&amp;PreparerInfo!C418:C430,0)),"")</f>
        <v/>
      </c>
      <c r="Q419" t="str">
        <f>IFERROR(INDEX(Source!B418:B426,MATCH('Case 4 solution'!E419,Source!A418:A426,0)),"")</f>
        <v/>
      </c>
    </row>
    <row r="420" spans="1:17" x14ac:dyDescent="0.3">
      <c r="A420" s="3">
        <v>2033729</v>
      </c>
      <c r="B420">
        <v>43180</v>
      </c>
      <c r="C420">
        <v>2</v>
      </c>
      <c r="D420" s="9">
        <v>102</v>
      </c>
      <c r="E420">
        <v>1002</v>
      </c>
      <c r="F420" s="1">
        <v>44009</v>
      </c>
      <c r="G420" t="s">
        <v>236</v>
      </c>
      <c r="H420" s="4">
        <v>170</v>
      </c>
      <c r="I420" s="4" t="s">
        <v>16</v>
      </c>
      <c r="J420" s="4">
        <v>170</v>
      </c>
      <c r="K420" t="str">
        <f>IFERROR(INDEX(BusinessUnits!$B:$B,MATCH($C420,BusinessUnits!$A:$A,0)),"")</f>
        <v>HOTEL</v>
      </c>
      <c r="L420" t="str">
        <f>IFERROR(INDEX(Table1[[#All],[Description]],MATCH($C420,BusinessUnits!$A:$A,0)),"")</f>
        <v xml:space="preserve">Transactions related to guest rooms and overall hotel operations. Includes payroll for administrative staff, clerks and interns. </v>
      </c>
      <c r="M420" t="str">
        <f>IFERROR(INDEX(ChartOfAccounts!B419:B504,MATCH($B420,ChartOfAccounts!A419:A504,0)),"")</f>
        <v/>
      </c>
      <c r="N420" t="str">
        <f>IFERROR(INDEX(ChartOfAccounts!D:D,MATCH($B420,ChartOfAccounts!A419:A504,0)),"")</f>
        <v/>
      </c>
      <c r="O420" t="str">
        <f>IFERROR(INDEX(ChartOfAccounts!F:F,MATCH($B420,ChartOfAccounts!A419:A504,0)),"")</f>
        <v/>
      </c>
      <c r="P420" t="str" cm="1">
        <f t="array" ref="P420">IFERROR(INDEX(PreparerInfo!B419:B431,MATCH($D420&amp;$C420,PreparerInfo!A419:A431&amp;PreparerInfo!C419:C431,0)),"")</f>
        <v/>
      </c>
      <c r="Q420" t="str">
        <f>IFERROR(INDEX(Source!B419:B427,MATCH('Case 4 solution'!E420,Source!A419:A427,0)),"")</f>
        <v/>
      </c>
    </row>
    <row r="421" spans="1:17" x14ac:dyDescent="0.3">
      <c r="A421" s="3">
        <v>2033729</v>
      </c>
      <c r="B421">
        <v>11845</v>
      </c>
      <c r="C421">
        <v>2</v>
      </c>
      <c r="D421" s="9">
        <v>102</v>
      </c>
      <c r="E421">
        <v>1002</v>
      </c>
      <c r="F421" s="1">
        <v>44009</v>
      </c>
      <c r="G421" t="s">
        <v>236</v>
      </c>
      <c r="H421" s="4" t="s">
        <v>16</v>
      </c>
      <c r="I421" s="4">
        <v>-170</v>
      </c>
      <c r="J421" s="4">
        <v>-170</v>
      </c>
      <c r="K421" t="str">
        <f>IFERROR(INDEX(BusinessUnits!$B:$B,MATCH($C421,BusinessUnits!$A:$A,0)),"")</f>
        <v>HOTEL</v>
      </c>
      <c r="L421" t="str">
        <f>IFERROR(INDEX(Table1[[#All],[Description]],MATCH($C421,BusinessUnits!$A:$A,0)),"")</f>
        <v xml:space="preserve">Transactions related to guest rooms and overall hotel operations. Includes payroll for administrative staff, clerks and interns. </v>
      </c>
      <c r="M421" t="str">
        <f>IFERROR(INDEX(ChartOfAccounts!B420:B505,MATCH($B421,ChartOfAccounts!A420:A505,0)),"")</f>
        <v/>
      </c>
      <c r="N421" t="str">
        <f>IFERROR(INDEX(ChartOfAccounts!D:D,MATCH($B421,ChartOfAccounts!A420:A505,0)),"")</f>
        <v/>
      </c>
      <c r="O421" t="str">
        <f>IFERROR(INDEX(ChartOfAccounts!F:F,MATCH($B421,ChartOfAccounts!A420:A505,0)),"")</f>
        <v/>
      </c>
      <c r="P421" t="str" cm="1">
        <f t="array" ref="P421">IFERROR(INDEX(PreparerInfo!B420:B432,MATCH($D421&amp;$C421,PreparerInfo!A420:A432&amp;PreparerInfo!C420:C432,0)),"")</f>
        <v/>
      </c>
      <c r="Q421" t="str">
        <f>IFERROR(INDEX(Source!B420:B428,MATCH('Case 4 solution'!E421,Source!A420:A428,0)),"")</f>
        <v/>
      </c>
    </row>
    <row r="422" spans="1:17" x14ac:dyDescent="0.3">
      <c r="A422" s="3">
        <v>2033730</v>
      </c>
      <c r="B422">
        <v>11845</v>
      </c>
      <c r="C422">
        <v>1</v>
      </c>
      <c r="D422" s="9">
        <v>102</v>
      </c>
      <c r="E422">
        <v>1001</v>
      </c>
      <c r="F422" s="1">
        <v>44009</v>
      </c>
      <c r="G422" t="s">
        <v>41</v>
      </c>
      <c r="H422" s="4">
        <v>175.56</v>
      </c>
      <c r="I422" s="4" t="s">
        <v>16</v>
      </c>
      <c r="J422" s="4">
        <v>175.56</v>
      </c>
      <c r="K422" t="str">
        <f>IFERROR(INDEX(BusinessUnits!$B:$B,MATCH($C422,BusinessUnits!$A:$A,0)),"")</f>
        <v>FOOD SERVICE</v>
      </c>
      <c r="L422" t="str">
        <f>IFERROR(INDEX(Table1[[#All],[Description]],MATCH($C422,BusinessUnits!$A:$A,0)),"")</f>
        <v xml:space="preserve">Transactions related to food and beverage service. Includes all guest transactions in the hotel restaurants, catering-related transactions and food service payroll. </v>
      </c>
      <c r="M422" t="str">
        <f>IFERROR(INDEX(ChartOfAccounts!B421:B506,MATCH($B422,ChartOfAccounts!A421:A506,0)),"")</f>
        <v/>
      </c>
      <c r="N422" t="str">
        <f>IFERROR(INDEX(ChartOfAccounts!D:D,MATCH($B422,ChartOfAccounts!A421:A506,0)),"")</f>
        <v/>
      </c>
      <c r="O422" t="str">
        <f>IFERROR(INDEX(ChartOfAccounts!F:F,MATCH($B422,ChartOfAccounts!A421:A506,0)),"")</f>
        <v/>
      </c>
      <c r="P422" t="str" cm="1">
        <f t="array" ref="P422">IFERROR(INDEX(PreparerInfo!B421:B433,MATCH($D422&amp;$C422,PreparerInfo!A421:A433&amp;PreparerInfo!C421:C433,0)),"")</f>
        <v/>
      </c>
      <c r="Q422" t="str">
        <f>IFERROR(INDEX(Source!B421:B429,MATCH('Case 4 solution'!E422,Source!A421:A429,0)),"")</f>
        <v/>
      </c>
    </row>
    <row r="423" spans="1:17" x14ac:dyDescent="0.3">
      <c r="A423" s="3">
        <v>2033730</v>
      </c>
      <c r="B423">
        <v>43310</v>
      </c>
      <c r="C423">
        <v>1</v>
      </c>
      <c r="D423" s="9">
        <v>102</v>
      </c>
      <c r="E423">
        <v>1001</v>
      </c>
      <c r="F423" s="1">
        <v>44009</v>
      </c>
      <c r="G423" t="s">
        <v>41</v>
      </c>
      <c r="H423" s="4" t="s">
        <v>16</v>
      </c>
      <c r="I423" s="4">
        <v>-175.56</v>
      </c>
      <c r="J423" s="4">
        <v>-175.56</v>
      </c>
      <c r="K423" t="str">
        <f>IFERROR(INDEX(BusinessUnits!$B:$B,MATCH($C423,BusinessUnits!$A:$A,0)),"")</f>
        <v>FOOD SERVICE</v>
      </c>
      <c r="L423" t="str">
        <f>IFERROR(INDEX(Table1[[#All],[Description]],MATCH($C423,BusinessUnits!$A:$A,0)),"")</f>
        <v xml:space="preserve">Transactions related to food and beverage service. Includes all guest transactions in the hotel restaurants, catering-related transactions and food service payroll. </v>
      </c>
      <c r="M423" t="str">
        <f>IFERROR(INDEX(ChartOfAccounts!B422:B507,MATCH($B423,ChartOfAccounts!A422:A507,0)),"")</f>
        <v/>
      </c>
      <c r="N423" t="str">
        <f>IFERROR(INDEX(ChartOfAccounts!D:D,MATCH($B423,ChartOfAccounts!A422:A507,0)),"")</f>
        <v/>
      </c>
      <c r="O423" t="str">
        <f>IFERROR(INDEX(ChartOfAccounts!F:F,MATCH($B423,ChartOfAccounts!A422:A507,0)),"")</f>
        <v/>
      </c>
      <c r="P423" t="str" cm="1">
        <f t="array" ref="P423">IFERROR(INDEX(PreparerInfo!B422:B434,MATCH($D423&amp;$C423,PreparerInfo!A422:A434&amp;PreparerInfo!C422:C434,0)),"")</f>
        <v/>
      </c>
      <c r="Q423" t="str">
        <f>IFERROR(INDEX(Source!B422:B430,MATCH('Case 4 solution'!E423,Source!A422:A430,0)),"")</f>
        <v/>
      </c>
    </row>
    <row r="424" spans="1:17" x14ac:dyDescent="0.3">
      <c r="A424" s="3">
        <v>2033731</v>
      </c>
      <c r="B424">
        <v>14260</v>
      </c>
      <c r="C424">
        <v>1</v>
      </c>
      <c r="D424" s="9">
        <v>102</v>
      </c>
      <c r="E424">
        <v>1002</v>
      </c>
      <c r="F424" s="1">
        <v>44009</v>
      </c>
      <c r="G424" t="s">
        <v>47</v>
      </c>
      <c r="H424" s="4">
        <v>188.71</v>
      </c>
      <c r="I424" s="4" t="s">
        <v>16</v>
      </c>
      <c r="J424" s="4">
        <v>188.71</v>
      </c>
      <c r="K424" t="str">
        <f>IFERROR(INDEX(BusinessUnits!$B:$B,MATCH($C424,BusinessUnits!$A:$A,0)),"")</f>
        <v>FOOD SERVICE</v>
      </c>
      <c r="L424" t="str">
        <f>IFERROR(INDEX(Table1[[#All],[Description]],MATCH($C424,BusinessUnits!$A:$A,0)),"")</f>
        <v xml:space="preserve">Transactions related to food and beverage service. Includes all guest transactions in the hotel restaurants, catering-related transactions and food service payroll. </v>
      </c>
      <c r="M424" t="str">
        <f>IFERROR(INDEX(ChartOfAccounts!B423:B508,MATCH($B424,ChartOfAccounts!A423:A508,0)),"")</f>
        <v/>
      </c>
      <c r="N424" t="str">
        <f>IFERROR(INDEX(ChartOfAccounts!D:D,MATCH($B424,ChartOfAccounts!A423:A508,0)),"")</f>
        <v/>
      </c>
      <c r="O424" t="str">
        <f>IFERROR(INDEX(ChartOfAccounts!F:F,MATCH($B424,ChartOfAccounts!A423:A508,0)),"")</f>
        <v/>
      </c>
      <c r="P424" t="str" cm="1">
        <f t="array" ref="P424">IFERROR(INDEX(PreparerInfo!B423:B435,MATCH($D424&amp;$C424,PreparerInfo!A423:A435&amp;PreparerInfo!C423:C435,0)),"")</f>
        <v/>
      </c>
      <c r="Q424" t="str">
        <f>IFERROR(INDEX(Source!B423:B431,MATCH('Case 4 solution'!E424,Source!A423:A431,0)),"")</f>
        <v/>
      </c>
    </row>
    <row r="425" spans="1:17" x14ac:dyDescent="0.3">
      <c r="A425" s="3">
        <v>2033731</v>
      </c>
      <c r="B425">
        <v>11845</v>
      </c>
      <c r="C425">
        <v>1</v>
      </c>
      <c r="D425" s="9">
        <v>102</v>
      </c>
      <c r="E425">
        <v>1002</v>
      </c>
      <c r="F425" s="1">
        <v>44009</v>
      </c>
      <c r="G425" t="s">
        <v>47</v>
      </c>
      <c r="H425" s="4" t="s">
        <v>16</v>
      </c>
      <c r="I425" s="4">
        <v>-188.71</v>
      </c>
      <c r="J425" s="4">
        <v>-188.71</v>
      </c>
      <c r="K425" t="str">
        <f>IFERROR(INDEX(BusinessUnits!$B:$B,MATCH($C425,BusinessUnits!$A:$A,0)),"")</f>
        <v>FOOD SERVICE</v>
      </c>
      <c r="L425" t="str">
        <f>IFERROR(INDEX(Table1[[#All],[Description]],MATCH($C425,BusinessUnits!$A:$A,0)),"")</f>
        <v xml:space="preserve">Transactions related to food and beverage service. Includes all guest transactions in the hotel restaurants, catering-related transactions and food service payroll. </v>
      </c>
      <c r="M425" t="str">
        <f>IFERROR(INDEX(ChartOfAccounts!B424:B509,MATCH($B425,ChartOfAccounts!A424:A509,0)),"")</f>
        <v/>
      </c>
      <c r="N425" t="str">
        <f>IFERROR(INDEX(ChartOfAccounts!D:D,MATCH($B425,ChartOfAccounts!A424:A509,0)),"")</f>
        <v/>
      </c>
      <c r="O425" t="str">
        <f>IFERROR(INDEX(ChartOfAccounts!F:F,MATCH($B425,ChartOfAccounts!A424:A509,0)),"")</f>
        <v/>
      </c>
      <c r="P425" t="str" cm="1">
        <f t="array" ref="P425">IFERROR(INDEX(PreparerInfo!B424:B436,MATCH($D425&amp;$C425,PreparerInfo!A424:A436&amp;PreparerInfo!C424:C436,0)),"")</f>
        <v/>
      </c>
      <c r="Q425" t="str">
        <f>IFERROR(INDEX(Source!B424:B432,MATCH('Case 4 solution'!E425,Source!A424:A432,0)),"")</f>
        <v/>
      </c>
    </row>
    <row r="426" spans="1:17" x14ac:dyDescent="0.3">
      <c r="A426" s="3">
        <v>2033732</v>
      </c>
      <c r="B426">
        <v>71400</v>
      </c>
      <c r="C426">
        <v>1</v>
      </c>
      <c r="D426" s="9">
        <v>101</v>
      </c>
      <c r="E426">
        <v>1002</v>
      </c>
      <c r="F426" s="1">
        <v>44009</v>
      </c>
      <c r="G426" t="s">
        <v>172</v>
      </c>
      <c r="H426" s="4">
        <v>190</v>
      </c>
      <c r="I426" s="4" t="s">
        <v>16</v>
      </c>
      <c r="J426" s="4">
        <v>190</v>
      </c>
      <c r="K426" t="str">
        <f>IFERROR(INDEX(BusinessUnits!$B:$B,MATCH($C426,BusinessUnits!$A:$A,0)),"")</f>
        <v>FOOD SERVICE</v>
      </c>
      <c r="L426" t="str">
        <f>IFERROR(INDEX(Table1[[#All],[Description]],MATCH($C426,BusinessUnits!$A:$A,0)),"")</f>
        <v xml:space="preserve">Transactions related to food and beverage service. Includes all guest transactions in the hotel restaurants, catering-related transactions and food service payroll. </v>
      </c>
      <c r="M426" t="str">
        <f>IFERROR(INDEX(ChartOfAccounts!B425:B510,MATCH($B426,ChartOfAccounts!A425:A510,0)),"")</f>
        <v/>
      </c>
      <c r="N426" t="str">
        <f>IFERROR(INDEX(ChartOfAccounts!D:D,MATCH($B426,ChartOfAccounts!A425:A510,0)),"")</f>
        <v/>
      </c>
      <c r="O426" t="str">
        <f>IFERROR(INDEX(ChartOfAccounts!F:F,MATCH($B426,ChartOfAccounts!A425:A510,0)),"")</f>
        <v/>
      </c>
      <c r="P426" t="str" cm="1">
        <f t="array" ref="P426">IFERROR(INDEX(PreparerInfo!B425:B437,MATCH($D426&amp;$C426,PreparerInfo!A425:A437&amp;PreparerInfo!C425:C437,0)),"")</f>
        <v/>
      </c>
      <c r="Q426" t="str">
        <f>IFERROR(INDEX(Source!B425:B433,MATCH('Case 4 solution'!E426,Source!A425:A433,0)),"")</f>
        <v/>
      </c>
    </row>
    <row r="427" spans="1:17" x14ac:dyDescent="0.3">
      <c r="A427" s="3">
        <v>2033732</v>
      </c>
      <c r="B427">
        <v>11845</v>
      </c>
      <c r="C427">
        <v>1</v>
      </c>
      <c r="D427" s="9">
        <v>101</v>
      </c>
      <c r="E427">
        <v>1002</v>
      </c>
      <c r="F427" s="1">
        <v>44009</v>
      </c>
      <c r="G427" t="s">
        <v>172</v>
      </c>
      <c r="H427" s="4" t="s">
        <v>16</v>
      </c>
      <c r="I427" s="4">
        <v>-190</v>
      </c>
      <c r="J427" s="4">
        <v>-190</v>
      </c>
      <c r="K427" t="str">
        <f>IFERROR(INDEX(BusinessUnits!$B:$B,MATCH($C427,BusinessUnits!$A:$A,0)),"")</f>
        <v>FOOD SERVICE</v>
      </c>
      <c r="L427" t="str">
        <f>IFERROR(INDEX(Table1[[#All],[Description]],MATCH($C427,BusinessUnits!$A:$A,0)),"")</f>
        <v xml:space="preserve">Transactions related to food and beverage service. Includes all guest transactions in the hotel restaurants, catering-related transactions and food service payroll. </v>
      </c>
      <c r="M427" t="str">
        <f>IFERROR(INDEX(ChartOfAccounts!B426:B511,MATCH($B427,ChartOfAccounts!A426:A511,0)),"")</f>
        <v/>
      </c>
      <c r="N427" t="str">
        <f>IFERROR(INDEX(ChartOfAccounts!D:D,MATCH($B427,ChartOfAccounts!A426:A511,0)),"")</f>
        <v/>
      </c>
      <c r="O427" t="str">
        <f>IFERROR(INDEX(ChartOfAccounts!F:F,MATCH($B427,ChartOfAccounts!A426:A511,0)),"")</f>
        <v/>
      </c>
      <c r="P427" t="str" cm="1">
        <f t="array" ref="P427">IFERROR(INDEX(PreparerInfo!B426:B438,MATCH($D427&amp;$C427,PreparerInfo!A426:A438&amp;PreparerInfo!C426:C438,0)),"")</f>
        <v/>
      </c>
      <c r="Q427" t="str">
        <f>IFERROR(INDEX(Source!B426:B434,MATCH('Case 4 solution'!E427,Source!A426:A434,0)),"")</f>
        <v/>
      </c>
    </row>
    <row r="428" spans="1:17" x14ac:dyDescent="0.3">
      <c r="A428" s="3">
        <v>2033733</v>
      </c>
      <c r="B428">
        <v>11845</v>
      </c>
      <c r="C428">
        <v>2</v>
      </c>
      <c r="D428" s="9">
        <v>104</v>
      </c>
      <c r="E428">
        <v>1003</v>
      </c>
      <c r="F428" s="1">
        <v>44009</v>
      </c>
      <c r="G428" t="s">
        <v>237</v>
      </c>
      <c r="H428" s="4">
        <v>198</v>
      </c>
      <c r="I428" s="4" t="s">
        <v>16</v>
      </c>
      <c r="J428" s="4">
        <v>198</v>
      </c>
      <c r="K428" t="str">
        <f>IFERROR(INDEX(BusinessUnits!$B:$B,MATCH($C428,BusinessUnits!$A:$A,0)),"")</f>
        <v>HOTEL</v>
      </c>
      <c r="L428" t="str">
        <f>IFERROR(INDEX(Table1[[#All],[Description]],MATCH($C428,BusinessUnits!$A:$A,0)),"")</f>
        <v xml:space="preserve">Transactions related to guest rooms and overall hotel operations. Includes payroll for administrative staff, clerks and interns. </v>
      </c>
      <c r="M428" t="str">
        <f>IFERROR(INDEX(ChartOfAccounts!B427:B512,MATCH($B428,ChartOfAccounts!A427:A512,0)),"")</f>
        <v/>
      </c>
      <c r="N428" t="str">
        <f>IFERROR(INDEX(ChartOfAccounts!D:D,MATCH($B428,ChartOfAccounts!A427:A512,0)),"")</f>
        <v/>
      </c>
      <c r="O428" t="str">
        <f>IFERROR(INDEX(ChartOfAccounts!F:F,MATCH($B428,ChartOfAccounts!A427:A512,0)),"")</f>
        <v/>
      </c>
      <c r="P428" t="str" cm="1">
        <f t="array" ref="P428">IFERROR(INDEX(PreparerInfo!B427:B439,MATCH($D428&amp;$C428,PreparerInfo!A427:A439&amp;PreparerInfo!C427:C439,0)),"")</f>
        <v/>
      </c>
      <c r="Q428" t="str">
        <f>IFERROR(INDEX(Source!B427:B435,MATCH('Case 4 solution'!E428,Source!A427:A435,0)),"")</f>
        <v/>
      </c>
    </row>
    <row r="429" spans="1:17" x14ac:dyDescent="0.3">
      <c r="A429" s="3">
        <v>2033733</v>
      </c>
      <c r="B429">
        <v>43180</v>
      </c>
      <c r="C429">
        <v>2</v>
      </c>
      <c r="D429" s="9">
        <v>104</v>
      </c>
      <c r="E429">
        <v>1003</v>
      </c>
      <c r="F429" s="1">
        <v>44009</v>
      </c>
      <c r="G429" t="s">
        <v>237</v>
      </c>
      <c r="H429" s="4" t="s">
        <v>16</v>
      </c>
      <c r="I429" s="4">
        <v>-198</v>
      </c>
      <c r="J429" s="4">
        <v>-198</v>
      </c>
      <c r="K429" t="str">
        <f>IFERROR(INDEX(BusinessUnits!$B:$B,MATCH($C429,BusinessUnits!$A:$A,0)),"")</f>
        <v>HOTEL</v>
      </c>
      <c r="L429" t="str">
        <f>IFERROR(INDEX(Table1[[#All],[Description]],MATCH($C429,BusinessUnits!$A:$A,0)),"")</f>
        <v xml:space="preserve">Transactions related to guest rooms and overall hotel operations. Includes payroll for administrative staff, clerks and interns. </v>
      </c>
      <c r="M429" t="str">
        <f>IFERROR(INDEX(ChartOfAccounts!B428:B513,MATCH($B429,ChartOfAccounts!A428:A513,0)),"")</f>
        <v/>
      </c>
      <c r="N429" t="str">
        <f>IFERROR(INDEX(ChartOfAccounts!D:D,MATCH($B429,ChartOfAccounts!A428:A513,0)),"")</f>
        <v/>
      </c>
      <c r="O429" t="str">
        <f>IFERROR(INDEX(ChartOfAccounts!F:F,MATCH($B429,ChartOfAccounts!A428:A513,0)),"")</f>
        <v/>
      </c>
      <c r="P429" t="str" cm="1">
        <f t="array" ref="P429">IFERROR(INDEX(PreparerInfo!B428:B440,MATCH($D429&amp;$C429,PreparerInfo!A428:A440&amp;PreparerInfo!C428:C440,0)),"")</f>
        <v/>
      </c>
      <c r="Q429" t="str">
        <f>IFERROR(INDEX(Source!B428:B436,MATCH('Case 4 solution'!E429,Source!A428:A436,0)),"")</f>
        <v/>
      </c>
    </row>
    <row r="430" spans="1:17" x14ac:dyDescent="0.3">
      <c r="A430" s="3">
        <v>2033734</v>
      </c>
      <c r="B430">
        <v>74200</v>
      </c>
      <c r="C430">
        <v>2</v>
      </c>
      <c r="D430" s="9">
        <v>101</v>
      </c>
      <c r="E430">
        <v>1002</v>
      </c>
      <c r="F430" s="1">
        <v>44009</v>
      </c>
      <c r="G430" t="s">
        <v>172</v>
      </c>
      <c r="H430" s="4">
        <v>216</v>
      </c>
      <c r="I430" s="4" t="s">
        <v>16</v>
      </c>
      <c r="J430" s="4">
        <v>216</v>
      </c>
      <c r="K430" t="str">
        <f>IFERROR(INDEX(BusinessUnits!$B:$B,MATCH($C430,BusinessUnits!$A:$A,0)),"")</f>
        <v>HOTEL</v>
      </c>
      <c r="L430" t="str">
        <f>IFERROR(INDEX(Table1[[#All],[Description]],MATCH($C430,BusinessUnits!$A:$A,0)),"")</f>
        <v xml:space="preserve">Transactions related to guest rooms and overall hotel operations. Includes payroll for administrative staff, clerks and interns. </v>
      </c>
      <c r="M430" t="str">
        <f>IFERROR(INDEX(ChartOfAccounts!B429:B514,MATCH($B430,ChartOfAccounts!A429:A514,0)),"")</f>
        <v/>
      </c>
      <c r="N430" t="str">
        <f>IFERROR(INDEX(ChartOfAccounts!D:D,MATCH($B430,ChartOfAccounts!A429:A514,0)),"")</f>
        <v/>
      </c>
      <c r="O430" t="str">
        <f>IFERROR(INDEX(ChartOfAccounts!F:F,MATCH($B430,ChartOfAccounts!A429:A514,0)),"")</f>
        <v/>
      </c>
      <c r="P430" t="str" cm="1">
        <f t="array" ref="P430">IFERROR(INDEX(PreparerInfo!B429:B441,MATCH($D430&amp;$C430,PreparerInfo!A429:A441&amp;PreparerInfo!C429:C441,0)),"")</f>
        <v/>
      </c>
      <c r="Q430" t="str">
        <f>IFERROR(INDEX(Source!B429:B437,MATCH('Case 4 solution'!E430,Source!A429:A437,0)),"")</f>
        <v/>
      </c>
    </row>
    <row r="431" spans="1:17" x14ac:dyDescent="0.3">
      <c r="A431" s="3">
        <v>2033734</v>
      </c>
      <c r="B431">
        <v>11845</v>
      </c>
      <c r="C431">
        <v>2</v>
      </c>
      <c r="D431" s="9">
        <v>101</v>
      </c>
      <c r="E431">
        <v>1002</v>
      </c>
      <c r="F431" s="1">
        <v>44009</v>
      </c>
      <c r="G431" t="s">
        <v>172</v>
      </c>
      <c r="H431" s="4" t="s">
        <v>16</v>
      </c>
      <c r="I431" s="4">
        <v>-216</v>
      </c>
      <c r="J431" s="4">
        <v>-216</v>
      </c>
      <c r="K431" t="str">
        <f>IFERROR(INDEX(BusinessUnits!$B:$B,MATCH($C431,BusinessUnits!$A:$A,0)),"")</f>
        <v>HOTEL</v>
      </c>
      <c r="L431" t="str">
        <f>IFERROR(INDEX(Table1[[#All],[Description]],MATCH($C431,BusinessUnits!$A:$A,0)),"")</f>
        <v xml:space="preserve">Transactions related to guest rooms and overall hotel operations. Includes payroll for administrative staff, clerks and interns. </v>
      </c>
      <c r="M431" t="str">
        <f>IFERROR(INDEX(ChartOfAccounts!B430:B515,MATCH($B431,ChartOfAccounts!A430:A515,0)),"")</f>
        <v/>
      </c>
      <c r="N431" t="str">
        <f>IFERROR(INDEX(ChartOfAccounts!D:D,MATCH($B431,ChartOfAccounts!A430:A515,0)),"")</f>
        <v/>
      </c>
      <c r="O431" t="str">
        <f>IFERROR(INDEX(ChartOfAccounts!F:F,MATCH($B431,ChartOfAccounts!A430:A515,0)),"")</f>
        <v/>
      </c>
      <c r="P431" t="str" cm="1">
        <f t="array" ref="P431">IFERROR(INDEX(PreparerInfo!B430:B442,MATCH($D431&amp;$C431,PreparerInfo!A430:A442&amp;PreparerInfo!C430:C442,0)),"")</f>
        <v/>
      </c>
      <c r="Q431" t="str">
        <f>IFERROR(INDEX(Source!B430:B438,MATCH('Case 4 solution'!E431,Source!A430:A438,0)),"")</f>
        <v/>
      </c>
    </row>
    <row r="432" spans="1:17" x14ac:dyDescent="0.3">
      <c r="A432" s="3">
        <v>2033735</v>
      </c>
      <c r="B432">
        <v>14250</v>
      </c>
      <c r="C432">
        <v>3</v>
      </c>
      <c r="D432" s="9">
        <v>102</v>
      </c>
      <c r="E432">
        <v>1002</v>
      </c>
      <c r="F432" s="1">
        <v>44009</v>
      </c>
      <c r="G432" t="s">
        <v>47</v>
      </c>
      <c r="H432" s="4">
        <v>226.49</v>
      </c>
      <c r="I432" s="4" t="s">
        <v>16</v>
      </c>
      <c r="J432" s="4">
        <v>226.49</v>
      </c>
      <c r="K432" t="str">
        <f>IFERROR(INDEX(BusinessUnits!$B:$B,MATCH($C432,BusinessUnits!$A:$A,0)),"")</f>
        <v>HOTEL PANTRY</v>
      </c>
      <c r="L432" t="str">
        <f>IFERROR(INDEX(Table1[[#All],[Description]],MATCH($C432,BusinessUnits!$A:$A,0)),"")</f>
        <v>Transactions related to the hotel convenience store, including some food and beverage costs.</v>
      </c>
      <c r="M432" t="str">
        <f>IFERROR(INDEX(ChartOfAccounts!B431:B516,MATCH($B432,ChartOfAccounts!A431:A516,0)),"")</f>
        <v/>
      </c>
      <c r="N432" t="str">
        <f>IFERROR(INDEX(ChartOfAccounts!D:D,MATCH($B432,ChartOfAccounts!A431:A516,0)),"")</f>
        <v/>
      </c>
      <c r="O432" t="str">
        <f>IFERROR(INDEX(ChartOfAccounts!F:F,MATCH($B432,ChartOfAccounts!A431:A516,0)),"")</f>
        <v/>
      </c>
      <c r="P432" t="str" cm="1">
        <f t="array" ref="P432">IFERROR(INDEX(PreparerInfo!B431:B443,MATCH($D432&amp;$C432,PreparerInfo!A431:A443&amp;PreparerInfo!C431:C443,0)),"")</f>
        <v/>
      </c>
      <c r="Q432" t="str">
        <f>IFERROR(INDEX(Source!B431:B439,MATCH('Case 4 solution'!E432,Source!A431:A439,0)),"")</f>
        <v/>
      </c>
    </row>
    <row r="433" spans="1:17" x14ac:dyDescent="0.3">
      <c r="A433" s="3">
        <v>2033735</v>
      </c>
      <c r="B433">
        <v>11845</v>
      </c>
      <c r="C433">
        <v>3</v>
      </c>
      <c r="D433" s="9">
        <v>102</v>
      </c>
      <c r="E433">
        <v>1002</v>
      </c>
      <c r="F433" s="1">
        <v>44009</v>
      </c>
      <c r="G433" t="s">
        <v>47</v>
      </c>
      <c r="H433" s="4" t="s">
        <v>16</v>
      </c>
      <c r="I433" s="4">
        <v>-226.49</v>
      </c>
      <c r="J433" s="4">
        <v>-226.49</v>
      </c>
      <c r="K433" t="str">
        <f>IFERROR(INDEX(BusinessUnits!$B:$B,MATCH($C433,BusinessUnits!$A:$A,0)),"")</f>
        <v>HOTEL PANTRY</v>
      </c>
      <c r="L433" t="str">
        <f>IFERROR(INDEX(Table1[[#All],[Description]],MATCH($C433,BusinessUnits!$A:$A,0)),"")</f>
        <v>Transactions related to the hotel convenience store, including some food and beverage costs.</v>
      </c>
      <c r="M433" t="str">
        <f>IFERROR(INDEX(ChartOfAccounts!B432:B517,MATCH($B433,ChartOfAccounts!A432:A517,0)),"")</f>
        <v/>
      </c>
      <c r="N433" t="str">
        <f>IFERROR(INDEX(ChartOfAccounts!D:D,MATCH($B433,ChartOfAccounts!A432:A517,0)),"")</f>
        <v/>
      </c>
      <c r="O433" t="str">
        <f>IFERROR(INDEX(ChartOfAccounts!F:F,MATCH($B433,ChartOfAccounts!A432:A517,0)),"")</f>
        <v/>
      </c>
      <c r="P433" t="str" cm="1">
        <f t="array" ref="P433">IFERROR(INDEX(PreparerInfo!B432:B444,MATCH($D433&amp;$C433,PreparerInfo!A432:A444&amp;PreparerInfo!C432:C444,0)),"")</f>
        <v/>
      </c>
      <c r="Q433" t="str">
        <f>IFERROR(INDEX(Source!B432:B440,MATCH('Case 4 solution'!E433,Source!A432:A440,0)),"")</f>
        <v/>
      </c>
    </row>
    <row r="434" spans="1:17" x14ac:dyDescent="0.3">
      <c r="A434" s="3">
        <v>2033736</v>
      </c>
      <c r="B434">
        <v>11845</v>
      </c>
      <c r="C434">
        <v>2</v>
      </c>
      <c r="D434" s="9">
        <v>104</v>
      </c>
      <c r="E434">
        <v>1003</v>
      </c>
      <c r="F434" s="1">
        <v>44009</v>
      </c>
      <c r="G434" t="s">
        <v>41</v>
      </c>
      <c r="H434" s="4">
        <v>263</v>
      </c>
      <c r="I434" s="4" t="s">
        <v>16</v>
      </c>
      <c r="J434" s="4">
        <v>263</v>
      </c>
      <c r="K434" t="str">
        <f>IFERROR(INDEX(BusinessUnits!$B:$B,MATCH($C434,BusinessUnits!$A:$A,0)),"")</f>
        <v>HOTEL</v>
      </c>
      <c r="L434" t="str">
        <f>IFERROR(INDEX(Table1[[#All],[Description]],MATCH($C434,BusinessUnits!$A:$A,0)),"")</f>
        <v xml:space="preserve">Transactions related to guest rooms and overall hotel operations. Includes payroll for administrative staff, clerks and interns. </v>
      </c>
      <c r="M434" t="str">
        <f>IFERROR(INDEX(ChartOfAccounts!B433:B518,MATCH($B434,ChartOfAccounts!A433:A518,0)),"")</f>
        <v/>
      </c>
      <c r="N434" t="str">
        <f>IFERROR(INDEX(ChartOfAccounts!D:D,MATCH($B434,ChartOfAccounts!A433:A518,0)),"")</f>
        <v/>
      </c>
      <c r="O434" t="str">
        <f>IFERROR(INDEX(ChartOfAccounts!F:F,MATCH($B434,ChartOfAccounts!A433:A518,0)),"")</f>
        <v/>
      </c>
      <c r="P434" t="str" cm="1">
        <f t="array" ref="P434">IFERROR(INDEX(PreparerInfo!B433:B445,MATCH($D434&amp;$C434,PreparerInfo!A433:A445&amp;PreparerInfo!C433:C445,0)),"")</f>
        <v/>
      </c>
      <c r="Q434" t="str">
        <f>IFERROR(INDEX(Source!B433:B441,MATCH('Case 4 solution'!E434,Source!A433:A441,0)),"")</f>
        <v/>
      </c>
    </row>
    <row r="435" spans="1:17" x14ac:dyDescent="0.3">
      <c r="A435" s="3">
        <v>2033736</v>
      </c>
      <c r="B435">
        <v>43180</v>
      </c>
      <c r="C435">
        <v>2</v>
      </c>
      <c r="D435" s="9">
        <v>104</v>
      </c>
      <c r="E435">
        <v>1003</v>
      </c>
      <c r="F435" s="1">
        <v>44009</v>
      </c>
      <c r="G435" t="s">
        <v>41</v>
      </c>
      <c r="H435" s="4" t="s">
        <v>16</v>
      </c>
      <c r="I435" s="4">
        <v>-263</v>
      </c>
      <c r="J435" s="4">
        <v>-263</v>
      </c>
      <c r="K435" t="str">
        <f>IFERROR(INDEX(BusinessUnits!$B:$B,MATCH($C435,BusinessUnits!$A:$A,0)),"")</f>
        <v>HOTEL</v>
      </c>
      <c r="L435" t="str">
        <f>IFERROR(INDEX(Table1[[#All],[Description]],MATCH($C435,BusinessUnits!$A:$A,0)),"")</f>
        <v xml:space="preserve">Transactions related to guest rooms and overall hotel operations. Includes payroll for administrative staff, clerks and interns. </v>
      </c>
      <c r="M435" t="str">
        <f>IFERROR(INDEX(ChartOfAccounts!B434:B519,MATCH($B435,ChartOfAccounts!A434:A519,0)),"")</f>
        <v/>
      </c>
      <c r="N435" t="str">
        <f>IFERROR(INDEX(ChartOfAccounts!D:D,MATCH($B435,ChartOfAccounts!A434:A519,0)),"")</f>
        <v/>
      </c>
      <c r="O435" t="str">
        <f>IFERROR(INDEX(ChartOfAccounts!F:F,MATCH($B435,ChartOfAccounts!A434:A519,0)),"")</f>
        <v/>
      </c>
      <c r="P435" t="str" cm="1">
        <f t="array" ref="P435">IFERROR(INDEX(PreparerInfo!B434:B446,MATCH($D435&amp;$C435,PreparerInfo!A434:A446&amp;PreparerInfo!C434:C446,0)),"")</f>
        <v/>
      </c>
      <c r="Q435" t="str">
        <f>IFERROR(INDEX(Source!B434:B442,MATCH('Case 4 solution'!E435,Source!A434:A442,0)),"")</f>
        <v/>
      </c>
    </row>
    <row r="436" spans="1:17" x14ac:dyDescent="0.3">
      <c r="A436" s="3">
        <v>2033737</v>
      </c>
      <c r="B436">
        <v>14260</v>
      </c>
      <c r="C436">
        <v>1</v>
      </c>
      <c r="D436" s="9">
        <v>102</v>
      </c>
      <c r="E436">
        <v>1002</v>
      </c>
      <c r="F436" s="1">
        <v>44009</v>
      </c>
      <c r="G436" t="s">
        <v>210</v>
      </c>
      <c r="H436" s="4">
        <v>266.98</v>
      </c>
      <c r="I436" s="4" t="s">
        <v>16</v>
      </c>
      <c r="J436" s="4">
        <v>266.98</v>
      </c>
      <c r="K436" t="str">
        <f>IFERROR(INDEX(BusinessUnits!$B:$B,MATCH($C436,BusinessUnits!$A:$A,0)),"")</f>
        <v>FOOD SERVICE</v>
      </c>
      <c r="L436" t="str">
        <f>IFERROR(INDEX(Table1[[#All],[Description]],MATCH($C436,BusinessUnits!$A:$A,0)),"")</f>
        <v xml:space="preserve">Transactions related to food and beverage service. Includes all guest transactions in the hotel restaurants, catering-related transactions and food service payroll. </v>
      </c>
      <c r="M436" t="str">
        <f>IFERROR(INDEX(ChartOfAccounts!B435:B520,MATCH($B436,ChartOfAccounts!A435:A520,0)),"")</f>
        <v/>
      </c>
      <c r="N436" t="str">
        <f>IFERROR(INDEX(ChartOfAccounts!D:D,MATCH($B436,ChartOfAccounts!A435:A520,0)),"")</f>
        <v/>
      </c>
      <c r="O436" t="str">
        <f>IFERROR(INDEX(ChartOfAccounts!F:F,MATCH($B436,ChartOfAccounts!A435:A520,0)),"")</f>
        <v/>
      </c>
      <c r="P436" t="str" cm="1">
        <f t="array" ref="P436">IFERROR(INDEX(PreparerInfo!B435:B447,MATCH($D436&amp;$C436,PreparerInfo!A435:A447&amp;PreparerInfo!C435:C447,0)),"")</f>
        <v/>
      </c>
      <c r="Q436" t="str">
        <f>IFERROR(INDEX(Source!B435:B443,MATCH('Case 4 solution'!E436,Source!A435:A443,0)),"")</f>
        <v/>
      </c>
    </row>
    <row r="437" spans="1:17" x14ac:dyDescent="0.3">
      <c r="A437" s="3">
        <v>2033737</v>
      </c>
      <c r="B437">
        <v>11845</v>
      </c>
      <c r="C437">
        <v>1</v>
      </c>
      <c r="D437" s="9">
        <v>102</v>
      </c>
      <c r="E437">
        <v>1002</v>
      </c>
      <c r="F437" s="1">
        <v>44009</v>
      </c>
      <c r="G437" t="s">
        <v>210</v>
      </c>
      <c r="H437" s="4" t="s">
        <v>16</v>
      </c>
      <c r="I437" s="4">
        <v>-266.98</v>
      </c>
      <c r="J437" s="4">
        <v>-266.98</v>
      </c>
      <c r="K437" t="str">
        <f>IFERROR(INDEX(BusinessUnits!$B:$B,MATCH($C437,BusinessUnits!$A:$A,0)),"")</f>
        <v>FOOD SERVICE</v>
      </c>
      <c r="L437" t="str">
        <f>IFERROR(INDEX(Table1[[#All],[Description]],MATCH($C437,BusinessUnits!$A:$A,0)),"")</f>
        <v xml:space="preserve">Transactions related to food and beverage service. Includes all guest transactions in the hotel restaurants, catering-related transactions and food service payroll. </v>
      </c>
      <c r="M437" t="str">
        <f>IFERROR(INDEX(ChartOfAccounts!B436:B521,MATCH($B437,ChartOfAccounts!A436:A521,0)),"")</f>
        <v/>
      </c>
      <c r="N437" t="str">
        <f>IFERROR(INDEX(ChartOfAccounts!D:D,MATCH($B437,ChartOfAccounts!A436:A521,0)),"")</f>
        <v/>
      </c>
      <c r="O437" t="str">
        <f>IFERROR(INDEX(ChartOfAccounts!F:F,MATCH($B437,ChartOfAccounts!A436:A521,0)),"")</f>
        <v/>
      </c>
      <c r="P437" t="str" cm="1">
        <f t="array" ref="P437">IFERROR(INDEX(PreparerInfo!B436:B448,MATCH($D437&amp;$C437,PreparerInfo!A436:A448&amp;PreparerInfo!C436:C448,0)),"")</f>
        <v/>
      </c>
      <c r="Q437" t="str">
        <f>IFERROR(INDEX(Source!B436:B444,MATCH('Case 4 solution'!E437,Source!A436:A444,0)),"")</f>
        <v/>
      </c>
    </row>
    <row r="438" spans="1:17" x14ac:dyDescent="0.3">
      <c r="A438" s="3">
        <v>2033738</v>
      </c>
      <c r="B438">
        <v>14260</v>
      </c>
      <c r="C438">
        <v>1</v>
      </c>
      <c r="D438" s="9">
        <v>102</v>
      </c>
      <c r="E438">
        <v>1002</v>
      </c>
      <c r="F438" s="1">
        <v>44009</v>
      </c>
      <c r="G438" t="s">
        <v>214</v>
      </c>
      <c r="H438" s="4">
        <v>267.12</v>
      </c>
      <c r="I438" s="4" t="s">
        <v>16</v>
      </c>
      <c r="J438" s="4">
        <v>267.12</v>
      </c>
      <c r="K438" t="str">
        <f>IFERROR(INDEX(BusinessUnits!$B:$B,MATCH($C438,BusinessUnits!$A:$A,0)),"")</f>
        <v>FOOD SERVICE</v>
      </c>
      <c r="L438" t="str">
        <f>IFERROR(INDEX(Table1[[#All],[Description]],MATCH($C438,BusinessUnits!$A:$A,0)),"")</f>
        <v xml:space="preserve">Transactions related to food and beverage service. Includes all guest transactions in the hotel restaurants, catering-related transactions and food service payroll. </v>
      </c>
      <c r="M438" t="str">
        <f>IFERROR(INDEX(ChartOfAccounts!B437:B522,MATCH($B438,ChartOfAccounts!A437:A522,0)),"")</f>
        <v/>
      </c>
      <c r="N438" t="str">
        <f>IFERROR(INDEX(ChartOfAccounts!D:D,MATCH($B438,ChartOfAccounts!A437:A522,0)),"")</f>
        <v/>
      </c>
      <c r="O438" t="str">
        <f>IFERROR(INDEX(ChartOfAccounts!F:F,MATCH($B438,ChartOfAccounts!A437:A522,0)),"")</f>
        <v/>
      </c>
      <c r="P438" t="str" cm="1">
        <f t="array" ref="P438">IFERROR(INDEX(PreparerInfo!B437:B449,MATCH($D438&amp;$C438,PreparerInfo!A437:A449&amp;PreparerInfo!C437:C449,0)),"")</f>
        <v/>
      </c>
      <c r="Q438" t="str">
        <f>IFERROR(INDEX(Source!B437:B445,MATCH('Case 4 solution'!E438,Source!A437:A445,0)),"")</f>
        <v/>
      </c>
    </row>
    <row r="439" spans="1:17" x14ac:dyDescent="0.3">
      <c r="A439" s="3">
        <v>2033738</v>
      </c>
      <c r="B439">
        <v>11845</v>
      </c>
      <c r="C439">
        <v>1</v>
      </c>
      <c r="D439" s="9">
        <v>102</v>
      </c>
      <c r="E439">
        <v>1002</v>
      </c>
      <c r="F439" s="1">
        <v>44009</v>
      </c>
      <c r="G439" t="s">
        <v>214</v>
      </c>
      <c r="H439" s="4" t="s">
        <v>16</v>
      </c>
      <c r="I439" s="4">
        <v>-267.12</v>
      </c>
      <c r="J439" s="4">
        <v>-267.12</v>
      </c>
      <c r="K439" t="str">
        <f>IFERROR(INDEX(BusinessUnits!$B:$B,MATCH($C439,BusinessUnits!$A:$A,0)),"")</f>
        <v>FOOD SERVICE</v>
      </c>
      <c r="L439" t="str">
        <f>IFERROR(INDEX(Table1[[#All],[Description]],MATCH($C439,BusinessUnits!$A:$A,0)),"")</f>
        <v xml:space="preserve">Transactions related to food and beverage service. Includes all guest transactions in the hotel restaurants, catering-related transactions and food service payroll. </v>
      </c>
      <c r="M439" t="str">
        <f>IFERROR(INDEX(ChartOfAccounts!B438:B523,MATCH($B439,ChartOfAccounts!A438:A523,0)),"")</f>
        <v/>
      </c>
      <c r="N439" t="str">
        <f>IFERROR(INDEX(ChartOfAccounts!D:D,MATCH($B439,ChartOfAccounts!A438:A523,0)),"")</f>
        <v/>
      </c>
      <c r="O439" t="str">
        <f>IFERROR(INDEX(ChartOfAccounts!F:F,MATCH($B439,ChartOfAccounts!A438:A523,0)),"")</f>
        <v/>
      </c>
      <c r="P439" t="str" cm="1">
        <f t="array" ref="P439">IFERROR(INDEX(PreparerInfo!B438:B450,MATCH($D439&amp;$C439,PreparerInfo!A438:A450&amp;PreparerInfo!C438:C450,0)),"")</f>
        <v/>
      </c>
      <c r="Q439" t="str">
        <f>IFERROR(INDEX(Source!B438:B446,MATCH('Case 4 solution'!E439,Source!A438:A446,0)),"")</f>
        <v/>
      </c>
    </row>
    <row r="440" spans="1:17" x14ac:dyDescent="0.3">
      <c r="A440" s="3">
        <v>2033739</v>
      </c>
      <c r="B440">
        <v>43180</v>
      </c>
      <c r="C440">
        <v>2</v>
      </c>
      <c r="D440" s="9">
        <v>102</v>
      </c>
      <c r="E440">
        <v>1002</v>
      </c>
      <c r="F440" s="1">
        <v>44009</v>
      </c>
      <c r="G440" t="s">
        <v>211</v>
      </c>
      <c r="H440" s="4">
        <v>357</v>
      </c>
      <c r="I440" s="4" t="s">
        <v>16</v>
      </c>
      <c r="J440" s="4">
        <v>357</v>
      </c>
      <c r="K440" t="str">
        <f>IFERROR(INDEX(BusinessUnits!$B:$B,MATCH($C440,BusinessUnits!$A:$A,0)),"")</f>
        <v>HOTEL</v>
      </c>
      <c r="L440" t="str">
        <f>IFERROR(INDEX(Table1[[#All],[Description]],MATCH($C440,BusinessUnits!$A:$A,0)),"")</f>
        <v xml:space="preserve">Transactions related to guest rooms and overall hotel operations. Includes payroll for administrative staff, clerks and interns. </v>
      </c>
      <c r="M440" t="str">
        <f>IFERROR(INDEX(ChartOfAccounts!B439:B524,MATCH($B440,ChartOfAccounts!A439:A524,0)),"")</f>
        <v/>
      </c>
      <c r="N440" t="str">
        <f>IFERROR(INDEX(ChartOfAccounts!D:D,MATCH($B440,ChartOfAccounts!A439:A524,0)),"")</f>
        <v/>
      </c>
      <c r="O440" t="str">
        <f>IFERROR(INDEX(ChartOfAccounts!F:F,MATCH($B440,ChartOfAccounts!A439:A524,0)),"")</f>
        <v/>
      </c>
      <c r="P440" t="str" cm="1">
        <f t="array" ref="P440">IFERROR(INDEX(PreparerInfo!B439:B451,MATCH($D440&amp;$C440,PreparerInfo!A439:A451&amp;PreparerInfo!C439:C451,0)),"")</f>
        <v/>
      </c>
      <c r="Q440" t="str">
        <f>IFERROR(INDEX(Source!B439:B447,MATCH('Case 4 solution'!E440,Source!A439:A447,0)),"")</f>
        <v/>
      </c>
    </row>
    <row r="441" spans="1:17" x14ac:dyDescent="0.3">
      <c r="A441" s="3">
        <v>2033739</v>
      </c>
      <c r="B441">
        <v>11845</v>
      </c>
      <c r="C441">
        <v>2</v>
      </c>
      <c r="D441" s="9">
        <v>102</v>
      </c>
      <c r="E441">
        <v>1002</v>
      </c>
      <c r="F441" s="1">
        <v>44009</v>
      </c>
      <c r="G441" t="s">
        <v>211</v>
      </c>
      <c r="H441" s="4" t="s">
        <v>16</v>
      </c>
      <c r="I441" s="4">
        <v>-357</v>
      </c>
      <c r="J441" s="4">
        <v>-357</v>
      </c>
      <c r="K441" t="str">
        <f>IFERROR(INDEX(BusinessUnits!$B:$B,MATCH($C441,BusinessUnits!$A:$A,0)),"")</f>
        <v>HOTEL</v>
      </c>
      <c r="L441" t="str">
        <f>IFERROR(INDEX(Table1[[#All],[Description]],MATCH($C441,BusinessUnits!$A:$A,0)),"")</f>
        <v xml:space="preserve">Transactions related to guest rooms and overall hotel operations. Includes payroll for administrative staff, clerks and interns. </v>
      </c>
      <c r="M441" t="str">
        <f>IFERROR(INDEX(ChartOfAccounts!B440:B525,MATCH($B441,ChartOfAccounts!A440:A525,0)),"")</f>
        <v/>
      </c>
      <c r="N441" t="str">
        <f>IFERROR(INDEX(ChartOfAccounts!D:D,MATCH($B441,ChartOfAccounts!A440:A525,0)),"")</f>
        <v/>
      </c>
      <c r="O441" t="str">
        <f>IFERROR(INDEX(ChartOfAccounts!F:F,MATCH($B441,ChartOfAccounts!A440:A525,0)),"")</f>
        <v/>
      </c>
      <c r="P441" t="str" cm="1">
        <f t="array" ref="P441">IFERROR(INDEX(PreparerInfo!B440:B452,MATCH($D441&amp;$C441,PreparerInfo!A440:A452&amp;PreparerInfo!C440:C452,0)),"")</f>
        <v/>
      </c>
      <c r="Q441" t="str">
        <f>IFERROR(INDEX(Source!B440:B448,MATCH('Case 4 solution'!E441,Source!A440:A448,0)),"")</f>
        <v/>
      </c>
    </row>
    <row r="442" spans="1:17" x14ac:dyDescent="0.3">
      <c r="A442" s="3">
        <v>2033740</v>
      </c>
      <c r="B442">
        <v>11845</v>
      </c>
      <c r="C442">
        <v>1</v>
      </c>
      <c r="D442" s="9">
        <v>106</v>
      </c>
      <c r="E442">
        <v>1003</v>
      </c>
      <c r="F442" s="1">
        <v>44009</v>
      </c>
      <c r="G442" t="s">
        <v>80</v>
      </c>
      <c r="H442" s="4">
        <v>362.96</v>
      </c>
      <c r="I442" s="4" t="s">
        <v>16</v>
      </c>
      <c r="J442" s="4">
        <v>362.96</v>
      </c>
      <c r="K442" t="str">
        <f>IFERROR(INDEX(BusinessUnits!$B:$B,MATCH($C442,BusinessUnits!$A:$A,0)),"")</f>
        <v>FOOD SERVICE</v>
      </c>
      <c r="L442" t="str">
        <f>IFERROR(INDEX(Table1[[#All],[Description]],MATCH($C442,BusinessUnits!$A:$A,0)),"")</f>
        <v xml:space="preserve">Transactions related to food and beverage service. Includes all guest transactions in the hotel restaurants, catering-related transactions and food service payroll. </v>
      </c>
      <c r="M442" t="str">
        <f>IFERROR(INDEX(ChartOfAccounts!B441:B526,MATCH($B442,ChartOfAccounts!A441:A526,0)),"")</f>
        <v/>
      </c>
      <c r="N442" t="str">
        <f>IFERROR(INDEX(ChartOfAccounts!D:D,MATCH($B442,ChartOfAccounts!A441:A526,0)),"")</f>
        <v/>
      </c>
      <c r="O442" t="str">
        <f>IFERROR(INDEX(ChartOfAccounts!F:F,MATCH($B442,ChartOfAccounts!A441:A526,0)),"")</f>
        <v/>
      </c>
      <c r="P442" t="str" cm="1">
        <f t="array" ref="P442">IFERROR(INDEX(PreparerInfo!B441:B453,MATCH($D442&amp;$C442,PreparerInfo!A441:A453&amp;PreparerInfo!C441:C453,0)),"")</f>
        <v/>
      </c>
      <c r="Q442" t="str">
        <f>IFERROR(INDEX(Source!B441:B449,MATCH('Case 4 solution'!E442,Source!A441:A449,0)),"")</f>
        <v/>
      </c>
    </row>
    <row r="443" spans="1:17" x14ac:dyDescent="0.3">
      <c r="A443" s="3">
        <v>2033740</v>
      </c>
      <c r="B443">
        <v>43310</v>
      </c>
      <c r="C443">
        <v>1</v>
      </c>
      <c r="D443" s="9">
        <v>106</v>
      </c>
      <c r="E443">
        <v>1003</v>
      </c>
      <c r="F443" s="1">
        <v>44009</v>
      </c>
      <c r="G443" t="s">
        <v>80</v>
      </c>
      <c r="H443" s="4" t="s">
        <v>16</v>
      </c>
      <c r="I443" s="4">
        <v>-362.96</v>
      </c>
      <c r="J443" s="4">
        <v>-362.96</v>
      </c>
      <c r="K443" t="str">
        <f>IFERROR(INDEX(BusinessUnits!$B:$B,MATCH($C443,BusinessUnits!$A:$A,0)),"")</f>
        <v>FOOD SERVICE</v>
      </c>
      <c r="L443" t="str">
        <f>IFERROR(INDEX(Table1[[#All],[Description]],MATCH($C443,BusinessUnits!$A:$A,0)),"")</f>
        <v xml:space="preserve">Transactions related to food and beverage service. Includes all guest transactions in the hotel restaurants, catering-related transactions and food service payroll. </v>
      </c>
      <c r="M443" t="str">
        <f>IFERROR(INDEX(ChartOfAccounts!B442:B527,MATCH($B443,ChartOfAccounts!A442:A527,0)),"")</f>
        <v/>
      </c>
      <c r="N443" t="str">
        <f>IFERROR(INDEX(ChartOfAccounts!D:D,MATCH($B443,ChartOfAccounts!A442:A527,0)),"")</f>
        <v/>
      </c>
      <c r="O443" t="str">
        <f>IFERROR(INDEX(ChartOfAccounts!F:F,MATCH($B443,ChartOfAccounts!A442:A527,0)),"")</f>
        <v/>
      </c>
      <c r="P443" t="str" cm="1">
        <f t="array" ref="P443">IFERROR(INDEX(PreparerInfo!B442:B454,MATCH($D443&amp;$C443,PreparerInfo!A442:A454&amp;PreparerInfo!C442:C454,0)),"")</f>
        <v/>
      </c>
      <c r="Q443" t="str">
        <f>IFERROR(INDEX(Source!B442:B450,MATCH('Case 4 solution'!E443,Source!A442:A450,0)),"")</f>
        <v/>
      </c>
    </row>
    <row r="444" spans="1:17" x14ac:dyDescent="0.3">
      <c r="A444" s="3">
        <v>2033741</v>
      </c>
      <c r="B444">
        <v>14260</v>
      </c>
      <c r="C444">
        <v>1</v>
      </c>
      <c r="D444" s="9">
        <v>102</v>
      </c>
      <c r="E444">
        <v>1002</v>
      </c>
      <c r="F444" s="1">
        <v>44009</v>
      </c>
      <c r="G444" t="s">
        <v>214</v>
      </c>
      <c r="H444" s="4">
        <v>374.4</v>
      </c>
      <c r="I444" s="4" t="s">
        <v>16</v>
      </c>
      <c r="J444" s="4">
        <v>374.4</v>
      </c>
      <c r="K444" t="str">
        <f>IFERROR(INDEX(BusinessUnits!$B:$B,MATCH($C444,BusinessUnits!$A:$A,0)),"")</f>
        <v>FOOD SERVICE</v>
      </c>
      <c r="L444" t="str">
        <f>IFERROR(INDEX(Table1[[#All],[Description]],MATCH($C444,BusinessUnits!$A:$A,0)),"")</f>
        <v xml:space="preserve">Transactions related to food and beverage service. Includes all guest transactions in the hotel restaurants, catering-related transactions and food service payroll. </v>
      </c>
      <c r="M444" t="str">
        <f>IFERROR(INDEX(ChartOfAccounts!B443:B528,MATCH($B444,ChartOfAccounts!A443:A528,0)),"")</f>
        <v/>
      </c>
      <c r="N444" t="str">
        <f>IFERROR(INDEX(ChartOfAccounts!D:D,MATCH($B444,ChartOfAccounts!A443:A528,0)),"")</f>
        <v/>
      </c>
      <c r="O444" t="str">
        <f>IFERROR(INDEX(ChartOfAccounts!F:F,MATCH($B444,ChartOfAccounts!A443:A528,0)),"")</f>
        <v/>
      </c>
      <c r="P444" t="str" cm="1">
        <f t="array" ref="P444">IFERROR(INDEX(PreparerInfo!B443:B455,MATCH($D444&amp;$C444,PreparerInfo!A443:A455&amp;PreparerInfo!C443:C455,0)),"")</f>
        <v/>
      </c>
      <c r="Q444" t="str">
        <f>IFERROR(INDEX(Source!B443:B451,MATCH('Case 4 solution'!E444,Source!A443:A451,0)),"")</f>
        <v/>
      </c>
    </row>
    <row r="445" spans="1:17" x14ac:dyDescent="0.3">
      <c r="A445" s="3">
        <v>2033741</v>
      </c>
      <c r="B445">
        <v>11845</v>
      </c>
      <c r="C445">
        <v>1</v>
      </c>
      <c r="D445" s="9">
        <v>102</v>
      </c>
      <c r="E445">
        <v>1002</v>
      </c>
      <c r="F445" s="1">
        <v>44009</v>
      </c>
      <c r="G445" t="s">
        <v>214</v>
      </c>
      <c r="H445" s="4" t="s">
        <v>16</v>
      </c>
      <c r="I445" s="4">
        <v>-374.4</v>
      </c>
      <c r="J445" s="4">
        <v>-374.4</v>
      </c>
      <c r="K445" t="str">
        <f>IFERROR(INDEX(BusinessUnits!$B:$B,MATCH($C445,BusinessUnits!$A:$A,0)),"")</f>
        <v>FOOD SERVICE</v>
      </c>
      <c r="L445" t="str">
        <f>IFERROR(INDEX(Table1[[#All],[Description]],MATCH($C445,BusinessUnits!$A:$A,0)),"")</f>
        <v xml:space="preserve">Transactions related to food and beverage service. Includes all guest transactions in the hotel restaurants, catering-related transactions and food service payroll. </v>
      </c>
      <c r="M445" t="str">
        <f>IFERROR(INDEX(ChartOfAccounts!B444:B529,MATCH($B445,ChartOfAccounts!A444:A529,0)),"")</f>
        <v/>
      </c>
      <c r="N445" t="str">
        <f>IFERROR(INDEX(ChartOfAccounts!D:D,MATCH($B445,ChartOfAccounts!A444:A529,0)),"")</f>
        <v/>
      </c>
      <c r="O445" t="str">
        <f>IFERROR(INDEX(ChartOfAccounts!F:F,MATCH($B445,ChartOfAccounts!A444:A529,0)),"")</f>
        <v/>
      </c>
      <c r="P445" t="str" cm="1">
        <f t="array" ref="P445">IFERROR(INDEX(PreparerInfo!B444:B456,MATCH($D445&amp;$C445,PreparerInfo!A444:A456&amp;PreparerInfo!C444:C456,0)),"")</f>
        <v/>
      </c>
      <c r="Q445" t="str">
        <f>IFERROR(INDEX(Source!B444:B452,MATCH('Case 4 solution'!E445,Source!A444:A452,0)),"")</f>
        <v/>
      </c>
    </row>
    <row r="446" spans="1:17" x14ac:dyDescent="0.3">
      <c r="A446" s="3">
        <v>2033742</v>
      </c>
      <c r="B446">
        <v>11845</v>
      </c>
      <c r="C446">
        <v>2</v>
      </c>
      <c r="D446" s="9">
        <v>104</v>
      </c>
      <c r="E446">
        <v>1003</v>
      </c>
      <c r="F446" s="1">
        <v>44009</v>
      </c>
      <c r="G446" t="s">
        <v>41</v>
      </c>
      <c r="H446" s="4">
        <v>396</v>
      </c>
      <c r="I446" s="4" t="s">
        <v>16</v>
      </c>
      <c r="J446" s="4">
        <v>396</v>
      </c>
      <c r="K446" t="str">
        <f>IFERROR(INDEX(BusinessUnits!$B:$B,MATCH($C446,BusinessUnits!$A:$A,0)),"")</f>
        <v>HOTEL</v>
      </c>
      <c r="L446" t="str">
        <f>IFERROR(INDEX(Table1[[#All],[Description]],MATCH($C446,BusinessUnits!$A:$A,0)),"")</f>
        <v xml:space="preserve">Transactions related to guest rooms and overall hotel operations. Includes payroll for administrative staff, clerks and interns. </v>
      </c>
      <c r="M446" t="str">
        <f>IFERROR(INDEX(ChartOfAccounts!B445:B530,MATCH($B446,ChartOfAccounts!A445:A530,0)),"")</f>
        <v/>
      </c>
      <c r="N446" t="str">
        <f>IFERROR(INDEX(ChartOfAccounts!D:D,MATCH($B446,ChartOfAccounts!A445:A530,0)),"")</f>
        <v/>
      </c>
      <c r="O446" t="str">
        <f>IFERROR(INDEX(ChartOfAccounts!F:F,MATCH($B446,ChartOfAccounts!A445:A530,0)),"")</f>
        <v/>
      </c>
      <c r="P446" t="str" cm="1">
        <f t="array" ref="P446">IFERROR(INDEX(PreparerInfo!B445:B457,MATCH($D446&amp;$C446,PreparerInfo!A445:A457&amp;PreparerInfo!C445:C457,0)),"")</f>
        <v/>
      </c>
      <c r="Q446" t="str">
        <f>IFERROR(INDEX(Source!B445:B453,MATCH('Case 4 solution'!E446,Source!A445:A453,0)),"")</f>
        <v/>
      </c>
    </row>
    <row r="447" spans="1:17" x14ac:dyDescent="0.3">
      <c r="A447" s="3">
        <v>2033742</v>
      </c>
      <c r="B447">
        <v>43180</v>
      </c>
      <c r="C447">
        <v>2</v>
      </c>
      <c r="D447" s="9">
        <v>104</v>
      </c>
      <c r="E447">
        <v>1003</v>
      </c>
      <c r="F447" s="1">
        <v>44009</v>
      </c>
      <c r="G447" t="s">
        <v>41</v>
      </c>
      <c r="H447" s="4" t="s">
        <v>16</v>
      </c>
      <c r="I447" s="4">
        <v>-396</v>
      </c>
      <c r="J447" s="4">
        <v>-396</v>
      </c>
      <c r="K447" t="str">
        <f>IFERROR(INDEX(BusinessUnits!$B:$B,MATCH($C447,BusinessUnits!$A:$A,0)),"")</f>
        <v>HOTEL</v>
      </c>
      <c r="L447" t="str">
        <f>IFERROR(INDEX(Table1[[#All],[Description]],MATCH($C447,BusinessUnits!$A:$A,0)),"")</f>
        <v xml:space="preserve">Transactions related to guest rooms and overall hotel operations. Includes payroll for administrative staff, clerks and interns. </v>
      </c>
      <c r="M447" t="str">
        <f>IFERROR(INDEX(ChartOfAccounts!B446:B531,MATCH($B447,ChartOfAccounts!A446:A531,0)),"")</f>
        <v/>
      </c>
      <c r="N447" t="str">
        <f>IFERROR(INDEX(ChartOfAccounts!D:D,MATCH($B447,ChartOfAccounts!A446:A531,0)),"")</f>
        <v/>
      </c>
      <c r="O447" t="str">
        <f>IFERROR(INDEX(ChartOfAccounts!F:F,MATCH($B447,ChartOfAccounts!A446:A531,0)),"")</f>
        <v/>
      </c>
      <c r="P447" t="str" cm="1">
        <f t="array" ref="P447">IFERROR(INDEX(PreparerInfo!B446:B458,MATCH($D447&amp;$C447,PreparerInfo!A446:A458&amp;PreparerInfo!C446:C458,0)),"")</f>
        <v/>
      </c>
      <c r="Q447" t="str">
        <f>IFERROR(INDEX(Source!B446:B454,MATCH('Case 4 solution'!E447,Source!A446:A454,0)),"")</f>
        <v/>
      </c>
    </row>
    <row r="448" spans="1:17" x14ac:dyDescent="0.3">
      <c r="A448" s="3">
        <v>2033743</v>
      </c>
      <c r="B448">
        <v>14260</v>
      </c>
      <c r="C448">
        <v>1</v>
      </c>
      <c r="D448" s="9">
        <v>102</v>
      </c>
      <c r="E448">
        <v>1002</v>
      </c>
      <c r="F448" s="1">
        <v>44009</v>
      </c>
      <c r="G448" t="s">
        <v>47</v>
      </c>
      <c r="H448" s="4">
        <v>396.12</v>
      </c>
      <c r="I448" s="4" t="s">
        <v>16</v>
      </c>
      <c r="J448" s="4">
        <v>396.12</v>
      </c>
      <c r="K448" t="str">
        <f>IFERROR(INDEX(BusinessUnits!$B:$B,MATCH($C448,BusinessUnits!$A:$A,0)),"")</f>
        <v>FOOD SERVICE</v>
      </c>
      <c r="L448" t="str">
        <f>IFERROR(INDEX(Table1[[#All],[Description]],MATCH($C448,BusinessUnits!$A:$A,0)),"")</f>
        <v xml:space="preserve">Transactions related to food and beverage service. Includes all guest transactions in the hotel restaurants, catering-related transactions and food service payroll. </v>
      </c>
      <c r="M448" t="str">
        <f>IFERROR(INDEX(ChartOfAccounts!B447:B532,MATCH($B448,ChartOfAccounts!A447:A532,0)),"")</f>
        <v/>
      </c>
      <c r="N448" t="str">
        <f>IFERROR(INDEX(ChartOfAccounts!D:D,MATCH($B448,ChartOfAccounts!A447:A532,0)),"")</f>
        <v/>
      </c>
      <c r="O448" t="str">
        <f>IFERROR(INDEX(ChartOfAccounts!F:F,MATCH($B448,ChartOfAccounts!A447:A532,0)),"")</f>
        <v/>
      </c>
      <c r="P448" t="str" cm="1">
        <f t="array" ref="P448">IFERROR(INDEX(PreparerInfo!B447:B459,MATCH($D448&amp;$C448,PreparerInfo!A447:A459&amp;PreparerInfo!C447:C459,0)),"")</f>
        <v/>
      </c>
      <c r="Q448" t="str">
        <f>IFERROR(INDEX(Source!B447:B455,MATCH('Case 4 solution'!E448,Source!A447:A455,0)),"")</f>
        <v/>
      </c>
    </row>
    <row r="449" spans="1:17" x14ac:dyDescent="0.3">
      <c r="A449" s="3">
        <v>2033743</v>
      </c>
      <c r="B449">
        <v>11845</v>
      </c>
      <c r="C449">
        <v>1</v>
      </c>
      <c r="D449" s="9">
        <v>102</v>
      </c>
      <c r="E449">
        <v>1002</v>
      </c>
      <c r="F449" s="1">
        <v>44009</v>
      </c>
      <c r="G449" t="s">
        <v>47</v>
      </c>
      <c r="H449" s="4" t="s">
        <v>16</v>
      </c>
      <c r="I449" s="4">
        <v>-396.12</v>
      </c>
      <c r="J449" s="4">
        <v>-396.12</v>
      </c>
      <c r="K449" t="str">
        <f>IFERROR(INDEX(BusinessUnits!$B:$B,MATCH($C449,BusinessUnits!$A:$A,0)),"")</f>
        <v>FOOD SERVICE</v>
      </c>
      <c r="L449" t="str">
        <f>IFERROR(INDEX(Table1[[#All],[Description]],MATCH($C449,BusinessUnits!$A:$A,0)),"")</f>
        <v xml:space="preserve">Transactions related to food and beverage service. Includes all guest transactions in the hotel restaurants, catering-related transactions and food service payroll. </v>
      </c>
      <c r="M449" t="str">
        <f>IFERROR(INDEX(ChartOfAccounts!B448:B533,MATCH($B449,ChartOfAccounts!A448:A533,0)),"")</f>
        <v/>
      </c>
      <c r="N449" t="str">
        <f>IFERROR(INDEX(ChartOfAccounts!D:D,MATCH($B449,ChartOfAccounts!A448:A533,0)),"")</f>
        <v/>
      </c>
      <c r="O449" t="str">
        <f>IFERROR(INDEX(ChartOfAccounts!F:F,MATCH($B449,ChartOfAccounts!A448:A533,0)),"")</f>
        <v/>
      </c>
      <c r="P449" t="str" cm="1">
        <f t="array" ref="P449">IFERROR(INDEX(PreparerInfo!B448:B460,MATCH($D449&amp;$C449,PreparerInfo!A448:A460&amp;PreparerInfo!C448:C460,0)),"")</f>
        <v/>
      </c>
      <c r="Q449" t="str">
        <f>IFERROR(INDEX(Source!B448:B456,MATCH('Case 4 solution'!E449,Source!A448:A456,0)),"")</f>
        <v/>
      </c>
    </row>
    <row r="450" spans="1:17" x14ac:dyDescent="0.3">
      <c r="A450" s="3">
        <v>2033744</v>
      </c>
      <c r="B450">
        <v>14260</v>
      </c>
      <c r="C450">
        <v>1</v>
      </c>
      <c r="D450" s="9">
        <v>102</v>
      </c>
      <c r="E450">
        <v>1002</v>
      </c>
      <c r="F450" s="1">
        <v>44009</v>
      </c>
      <c r="G450" t="s">
        <v>43</v>
      </c>
      <c r="H450" s="4">
        <v>497.59</v>
      </c>
      <c r="I450" s="4" t="s">
        <v>16</v>
      </c>
      <c r="J450" s="4">
        <v>497.59</v>
      </c>
      <c r="K450" t="str">
        <f>IFERROR(INDEX(BusinessUnits!$B:$B,MATCH($C450,BusinessUnits!$A:$A,0)),"")</f>
        <v>FOOD SERVICE</v>
      </c>
      <c r="L450" t="str">
        <f>IFERROR(INDEX(Table1[[#All],[Description]],MATCH($C450,BusinessUnits!$A:$A,0)),"")</f>
        <v xml:space="preserve">Transactions related to food and beverage service. Includes all guest transactions in the hotel restaurants, catering-related transactions and food service payroll. </v>
      </c>
      <c r="M450" t="str">
        <f>IFERROR(INDEX(ChartOfAccounts!B449:B534,MATCH($B450,ChartOfAccounts!A449:A534,0)),"")</f>
        <v/>
      </c>
      <c r="N450" t="str">
        <f>IFERROR(INDEX(ChartOfAccounts!D:D,MATCH($B450,ChartOfAccounts!A449:A534,0)),"")</f>
        <v/>
      </c>
      <c r="O450" t="str">
        <f>IFERROR(INDEX(ChartOfAccounts!F:F,MATCH($B450,ChartOfAccounts!A449:A534,0)),"")</f>
        <v/>
      </c>
      <c r="P450" t="str" cm="1">
        <f t="array" ref="P450">IFERROR(INDEX(PreparerInfo!B449:B461,MATCH($D450&amp;$C450,PreparerInfo!A449:A461&amp;PreparerInfo!C449:C461,0)),"")</f>
        <v/>
      </c>
      <c r="Q450" t="str">
        <f>IFERROR(INDEX(Source!B449:B457,MATCH('Case 4 solution'!E450,Source!A449:A457,0)),"")</f>
        <v/>
      </c>
    </row>
    <row r="451" spans="1:17" x14ac:dyDescent="0.3">
      <c r="A451" s="3">
        <v>2033744</v>
      </c>
      <c r="B451">
        <v>11845</v>
      </c>
      <c r="C451">
        <v>1</v>
      </c>
      <c r="D451" s="9">
        <v>102</v>
      </c>
      <c r="E451">
        <v>1002</v>
      </c>
      <c r="F451" s="1">
        <v>44009</v>
      </c>
      <c r="G451" t="s">
        <v>43</v>
      </c>
      <c r="H451" s="4" t="s">
        <v>16</v>
      </c>
      <c r="I451" s="4">
        <v>-497.59</v>
      </c>
      <c r="J451" s="4">
        <v>-497.59</v>
      </c>
      <c r="K451" t="str">
        <f>IFERROR(INDEX(BusinessUnits!$B:$B,MATCH($C451,BusinessUnits!$A:$A,0)),"")</f>
        <v>FOOD SERVICE</v>
      </c>
      <c r="L451" t="str">
        <f>IFERROR(INDEX(Table1[[#All],[Description]],MATCH($C451,BusinessUnits!$A:$A,0)),"")</f>
        <v xml:space="preserve">Transactions related to food and beverage service. Includes all guest transactions in the hotel restaurants, catering-related transactions and food service payroll. </v>
      </c>
      <c r="M451" t="str">
        <f>IFERROR(INDEX(ChartOfAccounts!B450:B535,MATCH($B451,ChartOfAccounts!A450:A535,0)),"")</f>
        <v/>
      </c>
      <c r="N451" t="str">
        <f>IFERROR(INDEX(ChartOfAccounts!D:D,MATCH($B451,ChartOfAccounts!A450:A535,0)),"")</f>
        <v/>
      </c>
      <c r="O451" t="str">
        <f>IFERROR(INDEX(ChartOfAccounts!F:F,MATCH($B451,ChartOfAccounts!A450:A535,0)),"")</f>
        <v/>
      </c>
      <c r="P451" t="str" cm="1">
        <f t="array" ref="P451">IFERROR(INDEX(PreparerInfo!B450:B462,MATCH($D451&amp;$C451,PreparerInfo!A450:A462&amp;PreparerInfo!C450:C462,0)),"")</f>
        <v/>
      </c>
      <c r="Q451" t="str">
        <f>IFERROR(INDEX(Source!B450:B458,MATCH('Case 4 solution'!E451,Source!A450:A458,0)),"")</f>
        <v/>
      </c>
    </row>
    <row r="452" spans="1:17" x14ac:dyDescent="0.3">
      <c r="A452" s="3">
        <v>2033745</v>
      </c>
      <c r="B452">
        <v>14260</v>
      </c>
      <c r="C452">
        <v>1</v>
      </c>
      <c r="D452" s="9">
        <v>102</v>
      </c>
      <c r="E452">
        <v>1002</v>
      </c>
      <c r="F452" s="1">
        <v>44009</v>
      </c>
      <c r="G452" t="s">
        <v>39</v>
      </c>
      <c r="H452" s="4">
        <v>539.96</v>
      </c>
      <c r="I452" s="4" t="s">
        <v>16</v>
      </c>
      <c r="J452" s="4">
        <v>539.96</v>
      </c>
      <c r="K452" t="str">
        <f>IFERROR(INDEX(BusinessUnits!$B:$B,MATCH($C452,BusinessUnits!$A:$A,0)),"")</f>
        <v>FOOD SERVICE</v>
      </c>
      <c r="L452" t="str">
        <f>IFERROR(INDEX(Table1[[#All],[Description]],MATCH($C452,BusinessUnits!$A:$A,0)),"")</f>
        <v xml:space="preserve">Transactions related to food and beverage service. Includes all guest transactions in the hotel restaurants, catering-related transactions and food service payroll. </v>
      </c>
      <c r="M452" t="str">
        <f>IFERROR(INDEX(ChartOfAccounts!B451:B536,MATCH($B452,ChartOfAccounts!A451:A536,0)),"")</f>
        <v/>
      </c>
      <c r="N452" t="str">
        <f>IFERROR(INDEX(ChartOfAccounts!D:D,MATCH($B452,ChartOfAccounts!A451:A536,0)),"")</f>
        <v/>
      </c>
      <c r="O452" t="str">
        <f>IFERROR(INDEX(ChartOfAccounts!F:F,MATCH($B452,ChartOfAccounts!A451:A536,0)),"")</f>
        <v/>
      </c>
      <c r="P452" t="str" cm="1">
        <f t="array" ref="P452">IFERROR(INDEX(PreparerInfo!B451:B463,MATCH($D452&amp;$C452,PreparerInfo!A451:A463&amp;PreparerInfo!C451:C463,0)),"")</f>
        <v/>
      </c>
      <c r="Q452" t="str">
        <f>IFERROR(INDEX(Source!B451:B459,MATCH('Case 4 solution'!E452,Source!A451:A459,0)),"")</f>
        <v/>
      </c>
    </row>
    <row r="453" spans="1:17" x14ac:dyDescent="0.3">
      <c r="A453" s="3">
        <v>2033745</v>
      </c>
      <c r="B453">
        <v>11845</v>
      </c>
      <c r="C453">
        <v>1</v>
      </c>
      <c r="D453" s="9">
        <v>102</v>
      </c>
      <c r="E453">
        <v>1002</v>
      </c>
      <c r="F453" s="1">
        <v>44009</v>
      </c>
      <c r="G453" t="s">
        <v>39</v>
      </c>
      <c r="H453" s="4" t="s">
        <v>16</v>
      </c>
      <c r="I453" s="4">
        <v>-539.96</v>
      </c>
      <c r="J453" s="4">
        <v>-539.96</v>
      </c>
      <c r="K453" t="str">
        <f>IFERROR(INDEX(BusinessUnits!$B:$B,MATCH($C453,BusinessUnits!$A:$A,0)),"")</f>
        <v>FOOD SERVICE</v>
      </c>
      <c r="L453" t="str">
        <f>IFERROR(INDEX(Table1[[#All],[Description]],MATCH($C453,BusinessUnits!$A:$A,0)),"")</f>
        <v xml:space="preserve">Transactions related to food and beverage service. Includes all guest transactions in the hotel restaurants, catering-related transactions and food service payroll. </v>
      </c>
      <c r="M453" t="str">
        <f>IFERROR(INDEX(ChartOfAccounts!B452:B537,MATCH($B453,ChartOfAccounts!A452:A537,0)),"")</f>
        <v/>
      </c>
      <c r="N453" t="str">
        <f>IFERROR(INDEX(ChartOfAccounts!D:D,MATCH($B453,ChartOfAccounts!A452:A537,0)),"")</f>
        <v/>
      </c>
      <c r="O453" t="str">
        <f>IFERROR(INDEX(ChartOfAccounts!F:F,MATCH($B453,ChartOfAccounts!A452:A537,0)),"")</f>
        <v/>
      </c>
      <c r="P453" t="str" cm="1">
        <f t="array" ref="P453">IFERROR(INDEX(PreparerInfo!B452:B464,MATCH($D453&amp;$C453,PreparerInfo!A452:A464&amp;PreparerInfo!C452:C464,0)),"")</f>
        <v/>
      </c>
      <c r="Q453" t="str">
        <f>IFERROR(INDEX(Source!B452:B460,MATCH('Case 4 solution'!E453,Source!A452:A460,0)),"")</f>
        <v/>
      </c>
    </row>
    <row r="454" spans="1:17" x14ac:dyDescent="0.3">
      <c r="A454" s="3">
        <v>2033746</v>
      </c>
      <c r="B454">
        <v>72712</v>
      </c>
      <c r="C454">
        <v>2</v>
      </c>
      <c r="D454" s="9">
        <v>101</v>
      </c>
      <c r="E454">
        <v>1002</v>
      </c>
      <c r="F454" s="1">
        <v>44009</v>
      </c>
      <c r="G454" t="s">
        <v>238</v>
      </c>
      <c r="H454" s="4">
        <v>553.27</v>
      </c>
      <c r="I454" s="4" t="s">
        <v>16</v>
      </c>
      <c r="J454" s="4">
        <v>553.27</v>
      </c>
      <c r="K454" t="str">
        <f>IFERROR(INDEX(BusinessUnits!$B:$B,MATCH($C454,BusinessUnits!$A:$A,0)),"")</f>
        <v>HOTEL</v>
      </c>
      <c r="L454" t="str">
        <f>IFERROR(INDEX(Table1[[#All],[Description]],MATCH($C454,BusinessUnits!$A:$A,0)),"")</f>
        <v xml:space="preserve">Transactions related to guest rooms and overall hotel operations. Includes payroll for administrative staff, clerks and interns. </v>
      </c>
      <c r="M454" t="str">
        <f>IFERROR(INDEX(ChartOfAccounts!B453:B538,MATCH($B454,ChartOfAccounts!A453:A538,0)),"")</f>
        <v/>
      </c>
      <c r="N454" t="str">
        <f>IFERROR(INDEX(ChartOfAccounts!D:D,MATCH($B454,ChartOfAccounts!A453:A538,0)),"")</f>
        <v/>
      </c>
      <c r="O454" t="str">
        <f>IFERROR(INDEX(ChartOfAccounts!F:F,MATCH($B454,ChartOfAccounts!A453:A538,0)),"")</f>
        <v/>
      </c>
      <c r="P454" t="str" cm="1">
        <f t="array" ref="P454">IFERROR(INDEX(PreparerInfo!B453:B465,MATCH($D454&amp;$C454,PreparerInfo!A453:A465&amp;PreparerInfo!C453:C465,0)),"")</f>
        <v/>
      </c>
      <c r="Q454" t="str">
        <f>IFERROR(INDEX(Source!B453:B461,MATCH('Case 4 solution'!E454,Source!A453:A461,0)),"")</f>
        <v/>
      </c>
    </row>
    <row r="455" spans="1:17" x14ac:dyDescent="0.3">
      <c r="A455" s="3">
        <v>2033746</v>
      </c>
      <c r="B455">
        <v>11845</v>
      </c>
      <c r="C455">
        <v>2</v>
      </c>
      <c r="D455" s="9">
        <v>101</v>
      </c>
      <c r="E455">
        <v>1002</v>
      </c>
      <c r="F455" s="1">
        <v>44009</v>
      </c>
      <c r="G455" t="s">
        <v>238</v>
      </c>
      <c r="H455" s="4" t="s">
        <v>16</v>
      </c>
      <c r="I455" s="4">
        <v>-553.27</v>
      </c>
      <c r="J455" s="4">
        <v>-553.27</v>
      </c>
      <c r="K455" t="str">
        <f>IFERROR(INDEX(BusinessUnits!$B:$B,MATCH($C455,BusinessUnits!$A:$A,0)),"")</f>
        <v>HOTEL</v>
      </c>
      <c r="L455" t="str">
        <f>IFERROR(INDEX(Table1[[#All],[Description]],MATCH($C455,BusinessUnits!$A:$A,0)),"")</f>
        <v xml:space="preserve">Transactions related to guest rooms and overall hotel operations. Includes payroll for administrative staff, clerks and interns. </v>
      </c>
      <c r="M455" t="str">
        <f>IFERROR(INDEX(ChartOfAccounts!B454:B539,MATCH($B455,ChartOfAccounts!A454:A539,0)),"")</f>
        <v/>
      </c>
      <c r="N455" t="str">
        <f>IFERROR(INDEX(ChartOfAccounts!D:D,MATCH($B455,ChartOfAccounts!A454:A539,0)),"")</f>
        <v/>
      </c>
      <c r="O455" t="str">
        <f>IFERROR(INDEX(ChartOfAccounts!F:F,MATCH($B455,ChartOfAccounts!A454:A539,0)),"")</f>
        <v/>
      </c>
      <c r="P455" t="str" cm="1">
        <f t="array" ref="P455">IFERROR(INDEX(PreparerInfo!B454:B466,MATCH($D455&amp;$C455,PreparerInfo!A454:A466&amp;PreparerInfo!C454:C466,0)),"")</f>
        <v/>
      </c>
      <c r="Q455" t="str">
        <f>IFERROR(INDEX(Source!B454:B462,MATCH('Case 4 solution'!E455,Source!A454:A462,0)),"")</f>
        <v/>
      </c>
    </row>
    <row r="456" spans="1:17" x14ac:dyDescent="0.3">
      <c r="A456" s="3">
        <v>2033747</v>
      </c>
      <c r="B456">
        <v>71400</v>
      </c>
      <c r="C456">
        <v>2</v>
      </c>
      <c r="D456" s="9">
        <v>101</v>
      </c>
      <c r="E456">
        <v>1002</v>
      </c>
      <c r="F456" s="1">
        <v>44009</v>
      </c>
      <c r="G456" t="s">
        <v>172</v>
      </c>
      <c r="H456" s="4">
        <v>566.99</v>
      </c>
      <c r="I456" s="4" t="s">
        <v>16</v>
      </c>
      <c r="J456" s="4">
        <v>566.99</v>
      </c>
      <c r="K456" t="str">
        <f>IFERROR(INDEX(BusinessUnits!$B:$B,MATCH($C456,BusinessUnits!$A:$A,0)),"")</f>
        <v>HOTEL</v>
      </c>
      <c r="L456" t="str">
        <f>IFERROR(INDEX(Table1[[#All],[Description]],MATCH($C456,BusinessUnits!$A:$A,0)),"")</f>
        <v xml:space="preserve">Transactions related to guest rooms and overall hotel operations. Includes payroll for administrative staff, clerks and interns. </v>
      </c>
      <c r="M456" t="str">
        <f>IFERROR(INDEX(ChartOfAccounts!B455:B540,MATCH($B456,ChartOfAccounts!A455:A540,0)),"")</f>
        <v/>
      </c>
      <c r="N456" t="str">
        <f>IFERROR(INDEX(ChartOfAccounts!D:D,MATCH($B456,ChartOfAccounts!A455:A540,0)),"")</f>
        <v/>
      </c>
      <c r="O456" t="str">
        <f>IFERROR(INDEX(ChartOfAccounts!F:F,MATCH($B456,ChartOfAccounts!A455:A540,0)),"")</f>
        <v/>
      </c>
      <c r="P456" t="str" cm="1">
        <f t="array" ref="P456">IFERROR(INDEX(PreparerInfo!B455:B467,MATCH($D456&amp;$C456,PreparerInfo!A455:A467&amp;PreparerInfo!C455:C467,0)),"")</f>
        <v/>
      </c>
      <c r="Q456" t="str">
        <f>IFERROR(INDEX(Source!B455:B463,MATCH('Case 4 solution'!E456,Source!A455:A463,0)),"")</f>
        <v/>
      </c>
    </row>
    <row r="457" spans="1:17" x14ac:dyDescent="0.3">
      <c r="A457" s="3">
        <v>2033747</v>
      </c>
      <c r="B457">
        <v>11845</v>
      </c>
      <c r="C457">
        <v>2</v>
      </c>
      <c r="D457" s="9">
        <v>101</v>
      </c>
      <c r="E457">
        <v>1002</v>
      </c>
      <c r="F457" s="1">
        <v>44009</v>
      </c>
      <c r="G457" t="s">
        <v>172</v>
      </c>
      <c r="H457" s="4" t="s">
        <v>16</v>
      </c>
      <c r="I457" s="4">
        <v>-566.99</v>
      </c>
      <c r="J457" s="4">
        <v>-566.99</v>
      </c>
      <c r="K457" t="str">
        <f>IFERROR(INDEX(BusinessUnits!$B:$B,MATCH($C457,BusinessUnits!$A:$A,0)),"")</f>
        <v>HOTEL</v>
      </c>
      <c r="L457" t="str">
        <f>IFERROR(INDEX(Table1[[#All],[Description]],MATCH($C457,BusinessUnits!$A:$A,0)),"")</f>
        <v xml:space="preserve">Transactions related to guest rooms and overall hotel operations. Includes payroll for administrative staff, clerks and interns. </v>
      </c>
      <c r="M457" t="str">
        <f>IFERROR(INDEX(ChartOfAccounts!B456:B541,MATCH($B457,ChartOfAccounts!A456:A541,0)),"")</f>
        <v/>
      </c>
      <c r="N457" t="str">
        <f>IFERROR(INDEX(ChartOfAccounts!D:D,MATCH($B457,ChartOfAccounts!A456:A541,0)),"")</f>
        <v/>
      </c>
      <c r="O457" t="str">
        <f>IFERROR(INDEX(ChartOfAccounts!F:F,MATCH($B457,ChartOfAccounts!A456:A541,0)),"")</f>
        <v/>
      </c>
      <c r="P457" t="str" cm="1">
        <f t="array" ref="P457">IFERROR(INDEX(PreparerInfo!B456:B468,MATCH($D457&amp;$C457,PreparerInfo!A456:A468&amp;PreparerInfo!C456:C468,0)),"")</f>
        <v/>
      </c>
      <c r="Q457" t="str">
        <f>IFERROR(INDEX(Source!B456:B464,MATCH('Case 4 solution'!E457,Source!A456:A464,0)),"")</f>
        <v/>
      </c>
    </row>
    <row r="458" spans="1:17" x14ac:dyDescent="0.3">
      <c r="A458" s="3">
        <v>2033748</v>
      </c>
      <c r="B458">
        <v>14260</v>
      </c>
      <c r="C458">
        <v>1</v>
      </c>
      <c r="D458" s="9">
        <v>102</v>
      </c>
      <c r="E458">
        <v>1002</v>
      </c>
      <c r="F458" s="1">
        <v>44009</v>
      </c>
      <c r="G458" t="s">
        <v>39</v>
      </c>
      <c r="H458" s="4">
        <v>584.45000000000005</v>
      </c>
      <c r="I458" s="4" t="s">
        <v>16</v>
      </c>
      <c r="J458" s="4">
        <v>584.45000000000005</v>
      </c>
      <c r="K458" t="str">
        <f>IFERROR(INDEX(BusinessUnits!$B:$B,MATCH($C458,BusinessUnits!$A:$A,0)),"")</f>
        <v>FOOD SERVICE</v>
      </c>
      <c r="L458" t="str">
        <f>IFERROR(INDEX(Table1[[#All],[Description]],MATCH($C458,BusinessUnits!$A:$A,0)),"")</f>
        <v xml:space="preserve">Transactions related to food and beverage service. Includes all guest transactions in the hotel restaurants, catering-related transactions and food service payroll. </v>
      </c>
      <c r="M458" t="str">
        <f>IFERROR(INDEX(ChartOfAccounts!B457:B542,MATCH($B458,ChartOfAccounts!A457:A542,0)),"")</f>
        <v/>
      </c>
      <c r="N458" t="str">
        <f>IFERROR(INDEX(ChartOfAccounts!D:D,MATCH($B458,ChartOfAccounts!A457:A542,0)),"")</f>
        <v/>
      </c>
      <c r="O458" t="str">
        <f>IFERROR(INDEX(ChartOfAccounts!F:F,MATCH($B458,ChartOfAccounts!A457:A542,0)),"")</f>
        <v/>
      </c>
      <c r="P458" t="str" cm="1">
        <f t="array" ref="P458">IFERROR(INDEX(PreparerInfo!B457:B469,MATCH($D458&amp;$C458,PreparerInfo!A457:A469&amp;PreparerInfo!C457:C469,0)),"")</f>
        <v/>
      </c>
      <c r="Q458" t="str">
        <f>IFERROR(INDEX(Source!B457:B465,MATCH('Case 4 solution'!E458,Source!A457:A465,0)),"")</f>
        <v/>
      </c>
    </row>
    <row r="459" spans="1:17" x14ac:dyDescent="0.3">
      <c r="A459" s="3">
        <v>2033748</v>
      </c>
      <c r="B459">
        <v>11845</v>
      </c>
      <c r="C459">
        <v>1</v>
      </c>
      <c r="D459" s="9">
        <v>102</v>
      </c>
      <c r="E459">
        <v>1002</v>
      </c>
      <c r="F459" s="1">
        <v>44009</v>
      </c>
      <c r="G459" t="s">
        <v>39</v>
      </c>
      <c r="H459" s="4" t="s">
        <v>16</v>
      </c>
      <c r="I459" s="4">
        <v>-584.45000000000005</v>
      </c>
      <c r="J459" s="4">
        <v>-584.45000000000005</v>
      </c>
      <c r="K459" t="str">
        <f>IFERROR(INDEX(BusinessUnits!$B:$B,MATCH($C459,BusinessUnits!$A:$A,0)),"")</f>
        <v>FOOD SERVICE</v>
      </c>
      <c r="L459" t="str">
        <f>IFERROR(INDEX(Table1[[#All],[Description]],MATCH($C459,BusinessUnits!$A:$A,0)),"")</f>
        <v xml:space="preserve">Transactions related to food and beverage service. Includes all guest transactions in the hotel restaurants, catering-related transactions and food service payroll. </v>
      </c>
      <c r="M459" t="str">
        <f>IFERROR(INDEX(ChartOfAccounts!B458:B543,MATCH($B459,ChartOfAccounts!A458:A543,0)),"")</f>
        <v/>
      </c>
      <c r="N459" t="str">
        <f>IFERROR(INDEX(ChartOfAccounts!D:D,MATCH($B459,ChartOfAccounts!A458:A543,0)),"")</f>
        <v/>
      </c>
      <c r="O459" t="str">
        <f>IFERROR(INDEX(ChartOfAccounts!F:F,MATCH($B459,ChartOfAccounts!A458:A543,0)),"")</f>
        <v/>
      </c>
      <c r="P459" t="str" cm="1">
        <f t="array" ref="P459">IFERROR(INDEX(PreparerInfo!B458:B470,MATCH($D459&amp;$C459,PreparerInfo!A458:A470&amp;PreparerInfo!C458:C470,0)),"")</f>
        <v/>
      </c>
      <c r="Q459" t="str">
        <f>IFERROR(INDEX(Source!B458:B466,MATCH('Case 4 solution'!E459,Source!A458:A466,0)),"")</f>
        <v/>
      </c>
    </row>
    <row r="460" spans="1:17" x14ac:dyDescent="0.3">
      <c r="A460" s="3">
        <v>2033749</v>
      </c>
      <c r="B460">
        <v>14260</v>
      </c>
      <c r="C460">
        <v>1</v>
      </c>
      <c r="D460" s="9">
        <v>102</v>
      </c>
      <c r="E460">
        <v>1002</v>
      </c>
      <c r="F460" s="1">
        <v>44009</v>
      </c>
      <c r="G460" t="s">
        <v>126</v>
      </c>
      <c r="H460" s="4">
        <v>699.11</v>
      </c>
      <c r="I460" s="4" t="s">
        <v>16</v>
      </c>
      <c r="J460" s="4">
        <v>699.11</v>
      </c>
      <c r="K460" t="str">
        <f>IFERROR(INDEX(BusinessUnits!$B:$B,MATCH($C460,BusinessUnits!$A:$A,0)),"")</f>
        <v>FOOD SERVICE</v>
      </c>
      <c r="L460" t="str">
        <f>IFERROR(INDEX(Table1[[#All],[Description]],MATCH($C460,BusinessUnits!$A:$A,0)),"")</f>
        <v xml:space="preserve">Transactions related to food and beverage service. Includes all guest transactions in the hotel restaurants, catering-related transactions and food service payroll. </v>
      </c>
      <c r="M460" t="str">
        <f>IFERROR(INDEX(ChartOfAccounts!B459:B544,MATCH($B460,ChartOfAccounts!A459:A544,0)),"")</f>
        <v/>
      </c>
      <c r="N460" t="str">
        <f>IFERROR(INDEX(ChartOfAccounts!D:D,MATCH($B460,ChartOfAccounts!A459:A544,0)),"")</f>
        <v/>
      </c>
      <c r="O460" t="str">
        <f>IFERROR(INDEX(ChartOfAccounts!F:F,MATCH($B460,ChartOfAccounts!A459:A544,0)),"")</f>
        <v/>
      </c>
      <c r="P460" t="str" cm="1">
        <f t="array" ref="P460">IFERROR(INDEX(PreparerInfo!B459:B471,MATCH($D460&amp;$C460,PreparerInfo!A459:A471&amp;PreparerInfo!C459:C471,0)),"")</f>
        <v/>
      </c>
      <c r="Q460" t="str">
        <f>IFERROR(INDEX(Source!B459:B467,MATCH('Case 4 solution'!E460,Source!A459:A467,0)),"")</f>
        <v/>
      </c>
    </row>
    <row r="461" spans="1:17" x14ac:dyDescent="0.3">
      <c r="A461" s="3">
        <v>2033749</v>
      </c>
      <c r="B461">
        <v>11845</v>
      </c>
      <c r="C461">
        <v>1</v>
      </c>
      <c r="D461" s="9">
        <v>102</v>
      </c>
      <c r="E461">
        <v>1002</v>
      </c>
      <c r="F461" s="1">
        <v>44009</v>
      </c>
      <c r="G461" t="s">
        <v>126</v>
      </c>
      <c r="H461" s="4" t="s">
        <v>16</v>
      </c>
      <c r="I461" s="4">
        <v>-699.11</v>
      </c>
      <c r="J461" s="4">
        <v>-699.11</v>
      </c>
      <c r="K461" t="str">
        <f>IFERROR(INDEX(BusinessUnits!$B:$B,MATCH($C461,BusinessUnits!$A:$A,0)),"")</f>
        <v>FOOD SERVICE</v>
      </c>
      <c r="L461" t="str">
        <f>IFERROR(INDEX(Table1[[#All],[Description]],MATCH($C461,BusinessUnits!$A:$A,0)),"")</f>
        <v xml:space="preserve">Transactions related to food and beverage service. Includes all guest transactions in the hotel restaurants, catering-related transactions and food service payroll. </v>
      </c>
      <c r="M461" t="str">
        <f>IFERROR(INDEX(ChartOfAccounts!B460:B545,MATCH($B461,ChartOfAccounts!A460:A545,0)),"")</f>
        <v/>
      </c>
      <c r="N461" t="str">
        <f>IFERROR(INDEX(ChartOfAccounts!D:D,MATCH($B461,ChartOfAccounts!A460:A545,0)),"")</f>
        <v/>
      </c>
      <c r="O461" t="str">
        <f>IFERROR(INDEX(ChartOfAccounts!F:F,MATCH($B461,ChartOfAccounts!A460:A545,0)),"")</f>
        <v/>
      </c>
      <c r="P461" t="str" cm="1">
        <f t="array" ref="P461">IFERROR(INDEX(PreparerInfo!B460:B472,MATCH($D461&amp;$C461,PreparerInfo!A460:A472&amp;PreparerInfo!C460:C472,0)),"")</f>
        <v/>
      </c>
      <c r="Q461" t="str">
        <f>IFERROR(INDEX(Source!B460:B468,MATCH('Case 4 solution'!E461,Source!A460:A468,0)),"")</f>
        <v/>
      </c>
    </row>
    <row r="462" spans="1:17" x14ac:dyDescent="0.3">
      <c r="A462" s="3">
        <v>2033750</v>
      </c>
      <c r="B462">
        <v>11845</v>
      </c>
      <c r="C462">
        <v>1</v>
      </c>
      <c r="D462" s="9">
        <v>102</v>
      </c>
      <c r="E462">
        <v>1001</v>
      </c>
      <c r="F462" s="1">
        <v>44009</v>
      </c>
      <c r="G462" t="s">
        <v>41</v>
      </c>
      <c r="H462" s="4">
        <v>785.17</v>
      </c>
      <c r="I462" s="4" t="s">
        <v>16</v>
      </c>
      <c r="J462" s="4">
        <v>785.17</v>
      </c>
      <c r="K462" t="str">
        <f>IFERROR(INDEX(BusinessUnits!$B:$B,MATCH($C462,BusinessUnits!$A:$A,0)),"")</f>
        <v>FOOD SERVICE</v>
      </c>
      <c r="L462" t="str">
        <f>IFERROR(INDEX(Table1[[#All],[Description]],MATCH($C462,BusinessUnits!$A:$A,0)),"")</f>
        <v xml:space="preserve">Transactions related to food and beverage service. Includes all guest transactions in the hotel restaurants, catering-related transactions and food service payroll. </v>
      </c>
      <c r="M462" t="str">
        <f>IFERROR(INDEX(ChartOfAccounts!B461:B546,MATCH($B462,ChartOfAccounts!A461:A546,0)),"")</f>
        <v/>
      </c>
      <c r="N462" t="str">
        <f>IFERROR(INDEX(ChartOfAccounts!D:D,MATCH($B462,ChartOfAccounts!A461:A546,0)),"")</f>
        <v/>
      </c>
      <c r="O462" t="str">
        <f>IFERROR(INDEX(ChartOfAccounts!F:F,MATCH($B462,ChartOfAccounts!A461:A546,0)),"")</f>
        <v/>
      </c>
      <c r="P462" t="str" cm="1">
        <f t="array" ref="P462">IFERROR(INDEX(PreparerInfo!B461:B473,MATCH($D462&amp;$C462,PreparerInfo!A461:A473&amp;PreparerInfo!C461:C473,0)),"")</f>
        <v/>
      </c>
      <c r="Q462" t="str">
        <f>IFERROR(INDEX(Source!B461:B469,MATCH('Case 4 solution'!E462,Source!A461:A469,0)),"")</f>
        <v/>
      </c>
    </row>
    <row r="463" spans="1:17" x14ac:dyDescent="0.3">
      <c r="A463" s="3">
        <v>2033750</v>
      </c>
      <c r="B463">
        <v>43310</v>
      </c>
      <c r="C463">
        <v>1</v>
      </c>
      <c r="D463" s="9">
        <v>102</v>
      </c>
      <c r="E463">
        <v>1001</v>
      </c>
      <c r="F463" s="1">
        <v>44009</v>
      </c>
      <c r="G463" t="s">
        <v>41</v>
      </c>
      <c r="H463" s="4" t="s">
        <v>16</v>
      </c>
      <c r="I463" s="4">
        <v>-785.17</v>
      </c>
      <c r="J463" s="4">
        <v>-785.17</v>
      </c>
      <c r="K463" t="str">
        <f>IFERROR(INDEX(BusinessUnits!$B:$B,MATCH($C463,BusinessUnits!$A:$A,0)),"")</f>
        <v>FOOD SERVICE</v>
      </c>
      <c r="L463" t="str">
        <f>IFERROR(INDEX(Table1[[#All],[Description]],MATCH($C463,BusinessUnits!$A:$A,0)),"")</f>
        <v xml:space="preserve">Transactions related to food and beverage service. Includes all guest transactions in the hotel restaurants, catering-related transactions and food service payroll. </v>
      </c>
      <c r="M463" t="str">
        <f>IFERROR(INDEX(ChartOfAccounts!B462:B547,MATCH($B463,ChartOfAccounts!A462:A547,0)),"")</f>
        <v/>
      </c>
      <c r="N463" t="str">
        <f>IFERROR(INDEX(ChartOfAccounts!D:D,MATCH($B463,ChartOfAccounts!A462:A547,0)),"")</f>
        <v/>
      </c>
      <c r="O463" t="str">
        <f>IFERROR(INDEX(ChartOfAccounts!F:F,MATCH($B463,ChartOfAccounts!A462:A547,0)),"")</f>
        <v/>
      </c>
      <c r="P463" t="str" cm="1">
        <f t="array" ref="P463">IFERROR(INDEX(PreparerInfo!B462:B474,MATCH($D463&amp;$C463,PreparerInfo!A462:A474&amp;PreparerInfo!C462:C474,0)),"")</f>
        <v/>
      </c>
      <c r="Q463" t="str">
        <f>IFERROR(INDEX(Source!B462:B470,MATCH('Case 4 solution'!E463,Source!A462:A470,0)),"")</f>
        <v/>
      </c>
    </row>
    <row r="464" spans="1:17" x14ac:dyDescent="0.3">
      <c r="A464" s="3">
        <v>2033751</v>
      </c>
      <c r="B464">
        <v>11845</v>
      </c>
      <c r="C464">
        <v>1</v>
      </c>
      <c r="D464" s="9">
        <v>106</v>
      </c>
      <c r="E464">
        <v>1003</v>
      </c>
      <c r="F464" s="1">
        <v>44009</v>
      </c>
      <c r="G464" t="s">
        <v>80</v>
      </c>
      <c r="H464" s="4">
        <v>829.14</v>
      </c>
      <c r="I464" s="4" t="s">
        <v>16</v>
      </c>
      <c r="J464" s="4">
        <v>829.14</v>
      </c>
      <c r="K464" t="str">
        <f>IFERROR(INDEX(BusinessUnits!$B:$B,MATCH($C464,BusinessUnits!$A:$A,0)),"")</f>
        <v>FOOD SERVICE</v>
      </c>
      <c r="L464" t="str">
        <f>IFERROR(INDEX(Table1[[#All],[Description]],MATCH($C464,BusinessUnits!$A:$A,0)),"")</f>
        <v xml:space="preserve">Transactions related to food and beverage service. Includes all guest transactions in the hotel restaurants, catering-related transactions and food service payroll. </v>
      </c>
      <c r="M464" t="str">
        <f>IFERROR(INDEX(ChartOfAccounts!B463:B548,MATCH($B464,ChartOfAccounts!A463:A548,0)),"")</f>
        <v/>
      </c>
      <c r="N464" t="str">
        <f>IFERROR(INDEX(ChartOfAccounts!D:D,MATCH($B464,ChartOfAccounts!A463:A548,0)),"")</f>
        <v/>
      </c>
      <c r="O464" t="str">
        <f>IFERROR(INDEX(ChartOfAccounts!F:F,MATCH($B464,ChartOfAccounts!A463:A548,0)),"")</f>
        <v/>
      </c>
      <c r="P464" t="str" cm="1">
        <f t="array" ref="P464">IFERROR(INDEX(PreparerInfo!B463:B475,MATCH($D464&amp;$C464,PreparerInfo!A463:A475&amp;PreparerInfo!C463:C475,0)),"")</f>
        <v/>
      </c>
      <c r="Q464" t="str">
        <f>IFERROR(INDEX(Source!B463:B471,MATCH('Case 4 solution'!E464,Source!A463:A471,0)),"")</f>
        <v/>
      </c>
    </row>
    <row r="465" spans="1:17" x14ac:dyDescent="0.3">
      <c r="A465" s="3">
        <v>2033751</v>
      </c>
      <c r="B465">
        <v>43310</v>
      </c>
      <c r="C465">
        <v>1</v>
      </c>
      <c r="D465" s="9">
        <v>106</v>
      </c>
      <c r="E465">
        <v>1003</v>
      </c>
      <c r="F465" s="1">
        <v>44009</v>
      </c>
      <c r="G465" t="s">
        <v>80</v>
      </c>
      <c r="H465" s="4" t="s">
        <v>16</v>
      </c>
      <c r="I465" s="4">
        <v>-829.14</v>
      </c>
      <c r="J465" s="4">
        <v>-829.14</v>
      </c>
      <c r="K465" t="str">
        <f>IFERROR(INDEX(BusinessUnits!$B:$B,MATCH($C465,BusinessUnits!$A:$A,0)),"")</f>
        <v>FOOD SERVICE</v>
      </c>
      <c r="L465" t="str">
        <f>IFERROR(INDEX(Table1[[#All],[Description]],MATCH($C465,BusinessUnits!$A:$A,0)),"")</f>
        <v xml:space="preserve">Transactions related to food and beverage service. Includes all guest transactions in the hotel restaurants, catering-related transactions and food service payroll. </v>
      </c>
      <c r="M465" t="str">
        <f>IFERROR(INDEX(ChartOfAccounts!B464:B549,MATCH($B465,ChartOfAccounts!A464:A549,0)),"")</f>
        <v/>
      </c>
      <c r="N465" t="str">
        <f>IFERROR(INDEX(ChartOfAccounts!D:D,MATCH($B465,ChartOfAccounts!A464:A549,0)),"")</f>
        <v/>
      </c>
      <c r="O465" t="str">
        <f>IFERROR(INDEX(ChartOfAccounts!F:F,MATCH($B465,ChartOfAccounts!A464:A549,0)),"")</f>
        <v/>
      </c>
      <c r="P465" t="str" cm="1">
        <f t="array" ref="P465">IFERROR(INDEX(PreparerInfo!B464:B476,MATCH($D465&amp;$C465,PreparerInfo!A464:A476&amp;PreparerInfo!C464:C476,0)),"")</f>
        <v/>
      </c>
      <c r="Q465" t="str">
        <f>IFERROR(INDEX(Source!B464:B472,MATCH('Case 4 solution'!E465,Source!A464:A472,0)),"")</f>
        <v/>
      </c>
    </row>
    <row r="466" spans="1:17" x14ac:dyDescent="0.3">
      <c r="A466" s="3">
        <v>2033752</v>
      </c>
      <c r="B466">
        <v>14250</v>
      </c>
      <c r="C466">
        <v>3</v>
      </c>
      <c r="D466" s="9">
        <v>101</v>
      </c>
      <c r="E466">
        <v>1001</v>
      </c>
      <c r="F466" s="1">
        <v>44009</v>
      </c>
      <c r="G466" t="s">
        <v>172</v>
      </c>
      <c r="H466" s="4">
        <v>894.27</v>
      </c>
      <c r="I466" s="4" t="s">
        <v>16</v>
      </c>
      <c r="J466" s="4">
        <v>894.27</v>
      </c>
      <c r="K466" t="str">
        <f>IFERROR(INDEX(BusinessUnits!$B:$B,MATCH($C466,BusinessUnits!$A:$A,0)),"")</f>
        <v>HOTEL PANTRY</v>
      </c>
      <c r="L466" t="str">
        <f>IFERROR(INDEX(Table1[[#All],[Description]],MATCH($C466,BusinessUnits!$A:$A,0)),"")</f>
        <v>Transactions related to the hotel convenience store, including some food and beverage costs.</v>
      </c>
      <c r="M466" t="str">
        <f>IFERROR(INDEX(ChartOfAccounts!B465:B550,MATCH($B466,ChartOfAccounts!A465:A550,0)),"")</f>
        <v/>
      </c>
      <c r="N466" t="str">
        <f>IFERROR(INDEX(ChartOfAccounts!D:D,MATCH($B466,ChartOfAccounts!A465:A550,0)),"")</f>
        <v/>
      </c>
      <c r="O466" t="str">
        <f>IFERROR(INDEX(ChartOfAccounts!F:F,MATCH($B466,ChartOfAccounts!A465:A550,0)),"")</f>
        <v/>
      </c>
      <c r="P466" t="str" cm="1">
        <f t="array" ref="P466">IFERROR(INDEX(PreparerInfo!B465:B477,MATCH($D466&amp;$C466,PreparerInfo!A465:A477&amp;PreparerInfo!C465:C477,0)),"")</f>
        <v/>
      </c>
      <c r="Q466" t="str">
        <f>IFERROR(INDEX(Source!B465:B473,MATCH('Case 4 solution'!E466,Source!A465:A473,0)),"")</f>
        <v/>
      </c>
    </row>
    <row r="467" spans="1:17" x14ac:dyDescent="0.3">
      <c r="A467" s="3">
        <v>2033752</v>
      </c>
      <c r="B467">
        <v>11845</v>
      </c>
      <c r="C467">
        <v>3</v>
      </c>
      <c r="D467" s="9">
        <v>101</v>
      </c>
      <c r="E467">
        <v>1001</v>
      </c>
      <c r="F467" s="1">
        <v>44009</v>
      </c>
      <c r="G467" t="s">
        <v>172</v>
      </c>
      <c r="H467" s="4" t="s">
        <v>16</v>
      </c>
      <c r="I467" s="4">
        <v>-894.27</v>
      </c>
      <c r="J467" s="4">
        <v>-894.27</v>
      </c>
      <c r="K467" t="str">
        <f>IFERROR(INDEX(BusinessUnits!$B:$B,MATCH($C467,BusinessUnits!$A:$A,0)),"")</f>
        <v>HOTEL PANTRY</v>
      </c>
      <c r="L467" t="str">
        <f>IFERROR(INDEX(Table1[[#All],[Description]],MATCH($C467,BusinessUnits!$A:$A,0)),"")</f>
        <v>Transactions related to the hotel convenience store, including some food and beverage costs.</v>
      </c>
      <c r="M467" t="str">
        <f>IFERROR(INDEX(ChartOfAccounts!B466:B551,MATCH($B467,ChartOfAccounts!A466:A551,0)),"")</f>
        <v/>
      </c>
      <c r="N467" t="str">
        <f>IFERROR(INDEX(ChartOfAccounts!D:D,MATCH($B467,ChartOfAccounts!A466:A551,0)),"")</f>
        <v/>
      </c>
      <c r="O467" t="str">
        <f>IFERROR(INDEX(ChartOfAccounts!F:F,MATCH($B467,ChartOfAccounts!A466:A551,0)),"")</f>
        <v/>
      </c>
      <c r="P467" t="str" cm="1">
        <f t="array" ref="P467">IFERROR(INDEX(PreparerInfo!B466:B478,MATCH($D467&amp;$C467,PreparerInfo!A466:A478&amp;PreparerInfo!C466:C478,0)),"")</f>
        <v/>
      </c>
      <c r="Q467" t="str">
        <f>IFERROR(INDEX(Source!B466:B474,MATCH('Case 4 solution'!E467,Source!A466:A474,0)),"")</f>
        <v/>
      </c>
    </row>
    <row r="468" spans="1:17" x14ac:dyDescent="0.3">
      <c r="A468" s="3">
        <v>2033753</v>
      </c>
      <c r="B468">
        <v>11845</v>
      </c>
      <c r="C468">
        <v>1</v>
      </c>
      <c r="D468" s="9">
        <v>102</v>
      </c>
      <c r="E468">
        <v>1001</v>
      </c>
      <c r="F468" s="1">
        <v>44009</v>
      </c>
      <c r="G468" t="s">
        <v>41</v>
      </c>
      <c r="H468" s="4">
        <v>1162.6199999999999</v>
      </c>
      <c r="I468" s="4" t="s">
        <v>16</v>
      </c>
      <c r="J468" s="4">
        <v>1162.6199999999999</v>
      </c>
      <c r="K468" t="str">
        <f>IFERROR(INDEX(BusinessUnits!$B:$B,MATCH($C468,BusinessUnits!$A:$A,0)),"")</f>
        <v>FOOD SERVICE</v>
      </c>
      <c r="L468" t="str">
        <f>IFERROR(INDEX(Table1[[#All],[Description]],MATCH($C468,BusinessUnits!$A:$A,0)),"")</f>
        <v xml:space="preserve">Transactions related to food and beverage service. Includes all guest transactions in the hotel restaurants, catering-related transactions and food service payroll. </v>
      </c>
      <c r="M468" t="str">
        <f>IFERROR(INDEX(ChartOfAccounts!B467:B552,MATCH($B468,ChartOfAccounts!A467:A552,0)),"")</f>
        <v/>
      </c>
      <c r="N468" t="str">
        <f>IFERROR(INDEX(ChartOfAccounts!D:D,MATCH($B468,ChartOfAccounts!A467:A552,0)),"")</f>
        <v/>
      </c>
      <c r="O468" t="str">
        <f>IFERROR(INDEX(ChartOfAccounts!F:F,MATCH($B468,ChartOfAccounts!A467:A552,0)),"")</f>
        <v/>
      </c>
      <c r="P468" t="str" cm="1">
        <f t="array" ref="P468">IFERROR(INDEX(PreparerInfo!B467:B479,MATCH($D468&amp;$C468,PreparerInfo!A467:A479&amp;PreparerInfo!C467:C479,0)),"")</f>
        <v/>
      </c>
      <c r="Q468" t="str">
        <f>IFERROR(INDEX(Source!B467:B475,MATCH('Case 4 solution'!E468,Source!A467:A475,0)),"")</f>
        <v/>
      </c>
    </row>
    <row r="469" spans="1:17" x14ac:dyDescent="0.3">
      <c r="A469" s="3">
        <v>2033753</v>
      </c>
      <c r="B469">
        <v>43310</v>
      </c>
      <c r="C469">
        <v>1</v>
      </c>
      <c r="D469" s="9">
        <v>102</v>
      </c>
      <c r="E469">
        <v>1001</v>
      </c>
      <c r="F469" s="1">
        <v>44009</v>
      </c>
      <c r="G469" t="s">
        <v>41</v>
      </c>
      <c r="H469" s="4" t="s">
        <v>16</v>
      </c>
      <c r="I469" s="4">
        <v>-1162.6199999999999</v>
      </c>
      <c r="J469" s="4">
        <v>-1162.6199999999999</v>
      </c>
      <c r="K469" t="str">
        <f>IFERROR(INDEX(BusinessUnits!$B:$B,MATCH($C469,BusinessUnits!$A:$A,0)),"")</f>
        <v>FOOD SERVICE</v>
      </c>
      <c r="L469" t="str">
        <f>IFERROR(INDEX(Table1[[#All],[Description]],MATCH($C469,BusinessUnits!$A:$A,0)),"")</f>
        <v xml:space="preserve">Transactions related to food and beverage service. Includes all guest transactions in the hotel restaurants, catering-related transactions and food service payroll. </v>
      </c>
      <c r="M469" t="str">
        <f>IFERROR(INDEX(ChartOfAccounts!B468:B553,MATCH($B469,ChartOfAccounts!A468:A553,0)),"")</f>
        <v/>
      </c>
      <c r="N469" t="str">
        <f>IFERROR(INDEX(ChartOfAccounts!D:D,MATCH($B469,ChartOfAccounts!A468:A553,0)),"")</f>
        <v/>
      </c>
      <c r="O469" t="str">
        <f>IFERROR(INDEX(ChartOfAccounts!F:F,MATCH($B469,ChartOfAccounts!A468:A553,0)),"")</f>
        <v/>
      </c>
      <c r="P469" t="str" cm="1">
        <f t="array" ref="P469">IFERROR(INDEX(PreparerInfo!B468:B480,MATCH($D469&amp;$C469,PreparerInfo!A468:A480&amp;PreparerInfo!C468:C480,0)),"")</f>
        <v/>
      </c>
      <c r="Q469" t="str">
        <f>IFERROR(INDEX(Source!B468:B476,MATCH('Case 4 solution'!E469,Source!A468:A476,0)),"")</f>
        <v/>
      </c>
    </row>
    <row r="470" spans="1:17" x14ac:dyDescent="0.3">
      <c r="A470" s="3">
        <v>2033754</v>
      </c>
      <c r="B470">
        <v>43180</v>
      </c>
      <c r="C470">
        <v>2</v>
      </c>
      <c r="D470" s="9">
        <v>101</v>
      </c>
      <c r="E470">
        <v>1002</v>
      </c>
      <c r="F470" s="1">
        <v>44009</v>
      </c>
      <c r="G470" t="s">
        <v>239</v>
      </c>
      <c r="H470" s="4">
        <v>1220</v>
      </c>
      <c r="I470" s="4" t="s">
        <v>16</v>
      </c>
      <c r="J470" s="4">
        <v>1220</v>
      </c>
      <c r="K470" t="str">
        <f>IFERROR(INDEX(BusinessUnits!$B:$B,MATCH($C470,BusinessUnits!$A:$A,0)),"")</f>
        <v>HOTEL</v>
      </c>
      <c r="L470" t="str">
        <f>IFERROR(INDEX(Table1[[#All],[Description]],MATCH($C470,BusinessUnits!$A:$A,0)),"")</f>
        <v xml:space="preserve">Transactions related to guest rooms and overall hotel operations. Includes payroll for administrative staff, clerks and interns. </v>
      </c>
      <c r="M470" t="str">
        <f>IFERROR(INDEX(ChartOfAccounts!B469:B554,MATCH($B470,ChartOfAccounts!A469:A554,0)),"")</f>
        <v/>
      </c>
      <c r="N470" t="str">
        <f>IFERROR(INDEX(ChartOfAccounts!D:D,MATCH($B470,ChartOfAccounts!A469:A554,0)),"")</f>
        <v/>
      </c>
      <c r="O470" t="str">
        <f>IFERROR(INDEX(ChartOfAccounts!F:F,MATCH($B470,ChartOfAccounts!A469:A554,0)),"")</f>
        <v/>
      </c>
      <c r="P470" t="str" cm="1">
        <f t="array" ref="P470">IFERROR(INDEX(PreparerInfo!B469:B481,MATCH($D470&amp;$C470,PreparerInfo!A469:A481&amp;PreparerInfo!C469:C481,0)),"")</f>
        <v/>
      </c>
      <c r="Q470" t="str">
        <f>IFERROR(INDEX(Source!B469:B477,MATCH('Case 4 solution'!E470,Source!A469:A477,0)),"")</f>
        <v/>
      </c>
    </row>
    <row r="471" spans="1:17" x14ac:dyDescent="0.3">
      <c r="A471" s="3">
        <v>2033754</v>
      </c>
      <c r="B471">
        <v>11845</v>
      </c>
      <c r="C471">
        <v>2</v>
      </c>
      <c r="D471" s="9">
        <v>101</v>
      </c>
      <c r="E471">
        <v>1002</v>
      </c>
      <c r="F471" s="1">
        <v>44009</v>
      </c>
      <c r="G471" t="s">
        <v>239</v>
      </c>
      <c r="H471" s="4" t="s">
        <v>16</v>
      </c>
      <c r="I471" s="4">
        <v>-1220</v>
      </c>
      <c r="J471" s="4">
        <v>-1220</v>
      </c>
      <c r="K471" t="str">
        <f>IFERROR(INDEX(BusinessUnits!$B:$B,MATCH($C471,BusinessUnits!$A:$A,0)),"")</f>
        <v>HOTEL</v>
      </c>
      <c r="L471" t="str">
        <f>IFERROR(INDEX(Table1[[#All],[Description]],MATCH($C471,BusinessUnits!$A:$A,0)),"")</f>
        <v xml:space="preserve">Transactions related to guest rooms and overall hotel operations. Includes payroll for administrative staff, clerks and interns. </v>
      </c>
      <c r="M471" t="str">
        <f>IFERROR(INDEX(ChartOfAccounts!B470:B555,MATCH($B471,ChartOfAccounts!A470:A555,0)),"")</f>
        <v/>
      </c>
      <c r="N471" t="str">
        <f>IFERROR(INDEX(ChartOfAccounts!D:D,MATCH($B471,ChartOfAccounts!A470:A555,0)),"")</f>
        <v/>
      </c>
      <c r="O471" t="str">
        <f>IFERROR(INDEX(ChartOfAccounts!F:F,MATCH($B471,ChartOfAccounts!A470:A555,0)),"")</f>
        <v/>
      </c>
      <c r="P471" t="str" cm="1">
        <f t="array" ref="P471">IFERROR(INDEX(PreparerInfo!B470:B482,MATCH($D471&amp;$C471,PreparerInfo!A470:A482&amp;PreparerInfo!C470:C482,0)),"")</f>
        <v/>
      </c>
      <c r="Q471" t="str">
        <f>IFERROR(INDEX(Source!B470:B478,MATCH('Case 4 solution'!E471,Source!A470:A478,0)),"")</f>
        <v/>
      </c>
    </row>
    <row r="472" spans="1:17" x14ac:dyDescent="0.3">
      <c r="A472" s="3">
        <v>2033755</v>
      </c>
      <c r="B472">
        <v>43180</v>
      </c>
      <c r="C472">
        <v>2</v>
      </c>
      <c r="D472" s="9">
        <v>101</v>
      </c>
      <c r="E472">
        <v>1002</v>
      </c>
      <c r="F472" s="1">
        <v>44009</v>
      </c>
      <c r="G472" t="s">
        <v>239</v>
      </c>
      <c r="H472" s="4">
        <v>1490.8</v>
      </c>
      <c r="I472" s="4" t="s">
        <v>16</v>
      </c>
      <c r="J472" s="4">
        <v>1490.8</v>
      </c>
      <c r="K472" t="str">
        <f>IFERROR(INDEX(BusinessUnits!$B:$B,MATCH($C472,BusinessUnits!$A:$A,0)),"")</f>
        <v>HOTEL</v>
      </c>
      <c r="L472" t="str">
        <f>IFERROR(INDEX(Table1[[#All],[Description]],MATCH($C472,BusinessUnits!$A:$A,0)),"")</f>
        <v xml:space="preserve">Transactions related to guest rooms and overall hotel operations. Includes payroll for administrative staff, clerks and interns. </v>
      </c>
      <c r="M472" t="str">
        <f>IFERROR(INDEX(ChartOfAccounts!B471:B556,MATCH($B472,ChartOfAccounts!A471:A556,0)),"")</f>
        <v/>
      </c>
      <c r="N472" t="str">
        <f>IFERROR(INDEX(ChartOfAccounts!D:D,MATCH($B472,ChartOfAccounts!A471:A556,0)),"")</f>
        <v/>
      </c>
      <c r="O472" t="str">
        <f>IFERROR(INDEX(ChartOfAccounts!F:F,MATCH($B472,ChartOfAccounts!A471:A556,0)),"")</f>
        <v/>
      </c>
      <c r="P472" t="str" cm="1">
        <f t="array" ref="P472">IFERROR(INDEX(PreparerInfo!B471:B483,MATCH($D472&amp;$C472,PreparerInfo!A471:A483&amp;PreparerInfo!C471:C483,0)),"")</f>
        <v/>
      </c>
      <c r="Q472" t="str">
        <f>IFERROR(INDEX(Source!B471:B479,MATCH('Case 4 solution'!E472,Source!A471:A479,0)),"")</f>
        <v/>
      </c>
    </row>
    <row r="473" spans="1:17" x14ac:dyDescent="0.3">
      <c r="A473" s="3">
        <v>2033755</v>
      </c>
      <c r="B473">
        <v>11845</v>
      </c>
      <c r="C473">
        <v>2</v>
      </c>
      <c r="D473" s="9">
        <v>101</v>
      </c>
      <c r="E473">
        <v>1002</v>
      </c>
      <c r="F473" s="1">
        <v>44009</v>
      </c>
      <c r="G473" t="s">
        <v>239</v>
      </c>
      <c r="H473" s="4" t="s">
        <v>16</v>
      </c>
      <c r="I473" s="4">
        <v>-1490.8</v>
      </c>
      <c r="J473" s="4">
        <v>-1490.8</v>
      </c>
      <c r="K473" t="str">
        <f>IFERROR(INDEX(BusinessUnits!$B:$B,MATCH($C473,BusinessUnits!$A:$A,0)),"")</f>
        <v>HOTEL</v>
      </c>
      <c r="L473" t="str">
        <f>IFERROR(INDEX(Table1[[#All],[Description]],MATCH($C473,BusinessUnits!$A:$A,0)),"")</f>
        <v xml:space="preserve">Transactions related to guest rooms and overall hotel operations. Includes payroll for administrative staff, clerks and interns. </v>
      </c>
      <c r="M473" t="str">
        <f>IFERROR(INDEX(ChartOfAccounts!B472:B557,MATCH($B473,ChartOfAccounts!A472:A557,0)),"")</f>
        <v/>
      </c>
      <c r="N473" t="str">
        <f>IFERROR(INDEX(ChartOfAccounts!D:D,MATCH($B473,ChartOfAccounts!A472:A557,0)),"")</f>
        <v/>
      </c>
      <c r="O473" t="str">
        <f>IFERROR(INDEX(ChartOfAccounts!F:F,MATCH($B473,ChartOfAccounts!A472:A557,0)),"")</f>
        <v/>
      </c>
      <c r="P473" t="str" cm="1">
        <f t="array" ref="P473">IFERROR(INDEX(PreparerInfo!B472:B484,MATCH($D473&amp;$C473,PreparerInfo!A472:A484&amp;PreparerInfo!C472:C484,0)),"")</f>
        <v/>
      </c>
      <c r="Q473" t="str">
        <f>IFERROR(INDEX(Source!B472:B480,MATCH('Case 4 solution'!E473,Source!A472:A480,0)),"")</f>
        <v/>
      </c>
    </row>
    <row r="474" spans="1:17" x14ac:dyDescent="0.3">
      <c r="A474" s="3">
        <v>2033756</v>
      </c>
      <c r="B474">
        <v>11845</v>
      </c>
      <c r="C474">
        <v>1</v>
      </c>
      <c r="D474" s="9">
        <v>102</v>
      </c>
      <c r="E474">
        <v>1003</v>
      </c>
      <c r="F474" s="1">
        <v>44009</v>
      </c>
      <c r="G474" t="s">
        <v>15</v>
      </c>
      <c r="H474" s="4">
        <v>2195.11</v>
      </c>
      <c r="I474" s="4" t="s">
        <v>16</v>
      </c>
      <c r="J474" s="4">
        <v>2195.11</v>
      </c>
      <c r="K474" t="str">
        <f>IFERROR(INDEX(BusinessUnits!$B:$B,MATCH($C474,BusinessUnits!$A:$A,0)),"")</f>
        <v>FOOD SERVICE</v>
      </c>
      <c r="L474" t="str">
        <f>IFERROR(INDEX(Table1[[#All],[Description]],MATCH($C474,BusinessUnits!$A:$A,0)),"")</f>
        <v xml:space="preserve">Transactions related to food and beverage service. Includes all guest transactions in the hotel restaurants, catering-related transactions and food service payroll. </v>
      </c>
      <c r="M474" t="str">
        <f>IFERROR(INDEX(ChartOfAccounts!B473:B558,MATCH($B474,ChartOfAccounts!A473:A558,0)),"")</f>
        <v/>
      </c>
      <c r="N474" t="str">
        <f>IFERROR(INDEX(ChartOfAccounts!D:D,MATCH($B474,ChartOfAccounts!A473:A558,0)),"")</f>
        <v/>
      </c>
      <c r="O474" t="str">
        <f>IFERROR(INDEX(ChartOfAccounts!F:F,MATCH($B474,ChartOfAccounts!A473:A558,0)),"")</f>
        <v/>
      </c>
      <c r="P474" t="str" cm="1">
        <f t="array" ref="P474">IFERROR(INDEX(PreparerInfo!B473:B485,MATCH($D474&amp;$C474,PreparerInfo!A473:A485&amp;PreparerInfo!C473:C485,0)),"")</f>
        <v/>
      </c>
      <c r="Q474" t="str">
        <f>IFERROR(INDEX(Source!B473:B481,MATCH('Case 4 solution'!E474,Source!A473:A481,0)),"")</f>
        <v/>
      </c>
    </row>
    <row r="475" spans="1:17" x14ac:dyDescent="0.3">
      <c r="A475" s="3">
        <v>2033756</v>
      </c>
      <c r="B475">
        <v>43310</v>
      </c>
      <c r="C475">
        <v>1</v>
      </c>
      <c r="D475" s="9">
        <v>102</v>
      </c>
      <c r="E475">
        <v>1003</v>
      </c>
      <c r="F475" s="1">
        <v>44009</v>
      </c>
      <c r="G475" t="s">
        <v>15</v>
      </c>
      <c r="H475" s="4" t="s">
        <v>16</v>
      </c>
      <c r="I475" s="4">
        <v>-2195.11</v>
      </c>
      <c r="J475" s="4">
        <v>-2195.11</v>
      </c>
      <c r="K475" t="str">
        <f>IFERROR(INDEX(BusinessUnits!$B:$B,MATCH($C475,BusinessUnits!$A:$A,0)),"")</f>
        <v>FOOD SERVICE</v>
      </c>
      <c r="L475" t="str">
        <f>IFERROR(INDEX(Table1[[#All],[Description]],MATCH($C475,BusinessUnits!$A:$A,0)),"")</f>
        <v xml:space="preserve">Transactions related to food and beverage service. Includes all guest transactions in the hotel restaurants, catering-related transactions and food service payroll. </v>
      </c>
      <c r="M475" t="str">
        <f>IFERROR(INDEX(ChartOfAccounts!B474:B559,MATCH($B475,ChartOfAccounts!A474:A559,0)),"")</f>
        <v/>
      </c>
      <c r="N475" t="str">
        <f>IFERROR(INDEX(ChartOfAccounts!D:D,MATCH($B475,ChartOfAccounts!A474:A559,0)),"")</f>
        <v/>
      </c>
      <c r="O475" t="str">
        <f>IFERROR(INDEX(ChartOfAccounts!F:F,MATCH($B475,ChartOfAccounts!A474:A559,0)),"")</f>
        <v/>
      </c>
      <c r="P475" t="str" cm="1">
        <f t="array" ref="P475">IFERROR(INDEX(PreparerInfo!B474:B486,MATCH($D475&amp;$C475,PreparerInfo!A474:A486&amp;PreparerInfo!C474:C486,0)),"")</f>
        <v/>
      </c>
      <c r="Q475" t="str">
        <f>IFERROR(INDEX(Source!B474:B482,MATCH('Case 4 solution'!E475,Source!A474:A482,0)),"")</f>
        <v/>
      </c>
    </row>
    <row r="476" spans="1:17" x14ac:dyDescent="0.3">
      <c r="A476" s="3">
        <v>2033757</v>
      </c>
      <c r="B476">
        <v>74201</v>
      </c>
      <c r="C476">
        <v>2</v>
      </c>
      <c r="D476" s="9">
        <v>101</v>
      </c>
      <c r="E476">
        <v>1002</v>
      </c>
      <c r="F476" s="1">
        <v>44009</v>
      </c>
      <c r="G476" t="s">
        <v>182</v>
      </c>
      <c r="H476" s="4">
        <v>2800</v>
      </c>
      <c r="I476" s="4" t="s">
        <v>16</v>
      </c>
      <c r="J476" s="4">
        <v>2800</v>
      </c>
      <c r="K476" t="str">
        <f>IFERROR(INDEX(BusinessUnits!$B:$B,MATCH($C476,BusinessUnits!$A:$A,0)),"")</f>
        <v>HOTEL</v>
      </c>
      <c r="L476" t="str">
        <f>IFERROR(INDEX(Table1[[#All],[Description]],MATCH($C476,BusinessUnits!$A:$A,0)),"")</f>
        <v xml:space="preserve">Transactions related to guest rooms and overall hotel operations. Includes payroll for administrative staff, clerks and interns. </v>
      </c>
      <c r="M476" t="str">
        <f>IFERROR(INDEX(ChartOfAccounts!B475:B560,MATCH($B476,ChartOfAccounts!A475:A560,0)),"")</f>
        <v/>
      </c>
      <c r="N476" t="str">
        <f>IFERROR(INDEX(ChartOfAccounts!D:D,MATCH($B476,ChartOfAccounts!A475:A560,0)),"")</f>
        <v/>
      </c>
      <c r="O476" t="str">
        <f>IFERROR(INDEX(ChartOfAccounts!F:F,MATCH($B476,ChartOfAccounts!A475:A560,0)),"")</f>
        <v/>
      </c>
      <c r="P476" t="str" cm="1">
        <f t="array" ref="P476">IFERROR(INDEX(PreparerInfo!B475:B487,MATCH($D476&amp;$C476,PreparerInfo!A475:A487&amp;PreparerInfo!C475:C487,0)),"")</f>
        <v/>
      </c>
      <c r="Q476" t="str">
        <f>IFERROR(INDEX(Source!B475:B483,MATCH('Case 4 solution'!E476,Source!A475:A483,0)),"")</f>
        <v/>
      </c>
    </row>
    <row r="477" spans="1:17" x14ac:dyDescent="0.3">
      <c r="A477" s="3">
        <v>2033757</v>
      </c>
      <c r="B477">
        <v>11845</v>
      </c>
      <c r="C477">
        <v>2</v>
      </c>
      <c r="D477" s="9">
        <v>101</v>
      </c>
      <c r="E477">
        <v>1002</v>
      </c>
      <c r="F477" s="1">
        <v>44009</v>
      </c>
      <c r="G477" t="s">
        <v>182</v>
      </c>
      <c r="H477" s="4" t="s">
        <v>16</v>
      </c>
      <c r="I477" s="4">
        <v>-2800</v>
      </c>
      <c r="J477" s="4">
        <v>-2800</v>
      </c>
      <c r="K477" t="str">
        <f>IFERROR(INDEX(BusinessUnits!$B:$B,MATCH($C477,BusinessUnits!$A:$A,0)),"")</f>
        <v>HOTEL</v>
      </c>
      <c r="L477" t="str">
        <f>IFERROR(INDEX(Table1[[#All],[Description]],MATCH($C477,BusinessUnits!$A:$A,0)),"")</f>
        <v xml:space="preserve">Transactions related to guest rooms and overall hotel operations. Includes payroll for administrative staff, clerks and interns. </v>
      </c>
      <c r="M477" t="str">
        <f>IFERROR(INDEX(ChartOfAccounts!B476:B561,MATCH($B477,ChartOfAccounts!A476:A561,0)),"")</f>
        <v/>
      </c>
      <c r="N477" t="str">
        <f>IFERROR(INDEX(ChartOfAccounts!D:D,MATCH($B477,ChartOfAccounts!A476:A561,0)),"")</f>
        <v/>
      </c>
      <c r="O477" t="str">
        <f>IFERROR(INDEX(ChartOfAccounts!F:F,MATCH($B477,ChartOfAccounts!A476:A561,0)),"")</f>
        <v/>
      </c>
      <c r="P477" t="str" cm="1">
        <f t="array" ref="P477">IFERROR(INDEX(PreparerInfo!B476:B488,MATCH($D477&amp;$C477,PreparerInfo!A476:A488&amp;PreparerInfo!C476:C488,0)),"")</f>
        <v/>
      </c>
      <c r="Q477" t="str">
        <f>IFERROR(INDEX(Source!B476:B484,MATCH('Case 4 solution'!E477,Source!A476:A484,0)),"")</f>
        <v/>
      </c>
    </row>
    <row r="478" spans="1:17" x14ac:dyDescent="0.3">
      <c r="A478" s="3">
        <v>2033758</v>
      </c>
      <c r="B478">
        <v>14260</v>
      </c>
      <c r="C478">
        <v>1</v>
      </c>
      <c r="D478" s="9">
        <v>101</v>
      </c>
      <c r="E478">
        <v>1002</v>
      </c>
      <c r="F478" s="1">
        <v>44009</v>
      </c>
      <c r="G478" t="s">
        <v>38</v>
      </c>
      <c r="H478" s="4">
        <v>4003.54</v>
      </c>
      <c r="I478" s="4" t="s">
        <v>16</v>
      </c>
      <c r="J478" s="4">
        <v>4003.54</v>
      </c>
      <c r="K478" t="str">
        <f>IFERROR(INDEX(BusinessUnits!$B:$B,MATCH($C478,BusinessUnits!$A:$A,0)),"")</f>
        <v>FOOD SERVICE</v>
      </c>
      <c r="L478" t="str">
        <f>IFERROR(INDEX(Table1[[#All],[Description]],MATCH($C478,BusinessUnits!$A:$A,0)),"")</f>
        <v xml:space="preserve">Transactions related to food and beverage service. Includes all guest transactions in the hotel restaurants, catering-related transactions and food service payroll. </v>
      </c>
      <c r="M478" t="str">
        <f>IFERROR(INDEX(ChartOfAccounts!B477:B562,MATCH($B478,ChartOfAccounts!A477:A562,0)),"")</f>
        <v/>
      </c>
      <c r="N478" t="str">
        <f>IFERROR(INDEX(ChartOfAccounts!D:D,MATCH($B478,ChartOfAccounts!A477:A562,0)),"")</f>
        <v/>
      </c>
      <c r="O478" t="str">
        <f>IFERROR(INDEX(ChartOfAccounts!F:F,MATCH($B478,ChartOfAccounts!A477:A562,0)),"")</f>
        <v/>
      </c>
      <c r="P478" t="str" cm="1">
        <f t="array" ref="P478">IFERROR(INDEX(PreparerInfo!B477:B489,MATCH($D478&amp;$C478,PreparerInfo!A477:A489&amp;PreparerInfo!C477:C489,0)),"")</f>
        <v/>
      </c>
      <c r="Q478" t="str">
        <f>IFERROR(INDEX(Source!B477:B485,MATCH('Case 4 solution'!E478,Source!A477:A485,0)),"")</f>
        <v/>
      </c>
    </row>
    <row r="479" spans="1:17" x14ac:dyDescent="0.3">
      <c r="A479" s="3">
        <v>2033758</v>
      </c>
      <c r="B479">
        <v>11845</v>
      </c>
      <c r="C479">
        <v>1</v>
      </c>
      <c r="D479" s="9">
        <v>101</v>
      </c>
      <c r="E479">
        <v>1002</v>
      </c>
      <c r="F479" s="1">
        <v>44009</v>
      </c>
      <c r="G479" t="s">
        <v>38</v>
      </c>
      <c r="H479" s="4" t="s">
        <v>16</v>
      </c>
      <c r="I479" s="4">
        <v>-4003.54</v>
      </c>
      <c r="J479" s="4">
        <v>-4003.54</v>
      </c>
      <c r="K479" t="str">
        <f>IFERROR(INDEX(BusinessUnits!$B:$B,MATCH($C479,BusinessUnits!$A:$A,0)),"")</f>
        <v>FOOD SERVICE</v>
      </c>
      <c r="L479" t="str">
        <f>IFERROR(INDEX(Table1[[#All],[Description]],MATCH($C479,BusinessUnits!$A:$A,0)),"")</f>
        <v xml:space="preserve">Transactions related to food and beverage service. Includes all guest transactions in the hotel restaurants, catering-related transactions and food service payroll. </v>
      </c>
      <c r="M479" t="str">
        <f>IFERROR(INDEX(ChartOfAccounts!B478:B563,MATCH($B479,ChartOfAccounts!A478:A563,0)),"")</f>
        <v/>
      </c>
      <c r="N479" t="str">
        <f>IFERROR(INDEX(ChartOfAccounts!D:D,MATCH($B479,ChartOfAccounts!A478:A563,0)),"")</f>
        <v/>
      </c>
      <c r="O479" t="str">
        <f>IFERROR(INDEX(ChartOfAccounts!F:F,MATCH($B479,ChartOfAccounts!A478:A563,0)),"")</f>
        <v/>
      </c>
      <c r="P479" t="str" cm="1">
        <f t="array" ref="P479">IFERROR(INDEX(PreparerInfo!B478:B490,MATCH($D479&amp;$C479,PreparerInfo!A478:A490&amp;PreparerInfo!C478:C490,0)),"")</f>
        <v/>
      </c>
      <c r="Q479" t="str">
        <f>IFERROR(INDEX(Source!B478:B486,MATCH('Case 4 solution'!E479,Source!A478:A486,0)),"")</f>
        <v/>
      </c>
    </row>
    <row r="480" spans="1:17" x14ac:dyDescent="0.3">
      <c r="A480" s="3">
        <v>2033759</v>
      </c>
      <c r="B480">
        <v>11845</v>
      </c>
      <c r="C480">
        <v>1</v>
      </c>
      <c r="D480" s="9">
        <v>106</v>
      </c>
      <c r="E480">
        <v>1003</v>
      </c>
      <c r="F480" s="1">
        <v>44009</v>
      </c>
      <c r="G480" t="s">
        <v>80</v>
      </c>
      <c r="H480" s="4">
        <v>4349.0200000000004</v>
      </c>
      <c r="I480" s="4" t="s">
        <v>16</v>
      </c>
      <c r="J480" s="4">
        <v>4349.0200000000004</v>
      </c>
      <c r="K480" t="str">
        <f>IFERROR(INDEX(BusinessUnits!$B:$B,MATCH($C480,BusinessUnits!$A:$A,0)),"")</f>
        <v>FOOD SERVICE</v>
      </c>
      <c r="L480" t="str">
        <f>IFERROR(INDEX(Table1[[#All],[Description]],MATCH($C480,BusinessUnits!$A:$A,0)),"")</f>
        <v xml:space="preserve">Transactions related to food and beverage service. Includes all guest transactions in the hotel restaurants, catering-related transactions and food service payroll. </v>
      </c>
      <c r="M480" t="str">
        <f>IFERROR(INDEX(ChartOfAccounts!B479:B564,MATCH($B480,ChartOfAccounts!A479:A564,0)),"")</f>
        <v/>
      </c>
      <c r="N480" t="str">
        <f>IFERROR(INDEX(ChartOfAccounts!D:D,MATCH($B480,ChartOfAccounts!A479:A564,0)),"")</f>
        <v/>
      </c>
      <c r="O480" t="str">
        <f>IFERROR(INDEX(ChartOfAccounts!F:F,MATCH($B480,ChartOfAccounts!A479:A564,0)),"")</f>
        <v/>
      </c>
      <c r="P480" t="str" cm="1">
        <f t="array" ref="P480">IFERROR(INDEX(PreparerInfo!B479:B491,MATCH($D480&amp;$C480,PreparerInfo!A479:A491&amp;PreparerInfo!C479:C491,0)),"")</f>
        <v/>
      </c>
      <c r="Q480" t="str">
        <f>IFERROR(INDEX(Source!B479:B487,MATCH('Case 4 solution'!E480,Source!A479:A487,0)),"")</f>
        <v/>
      </c>
    </row>
    <row r="481" spans="1:17" x14ac:dyDescent="0.3">
      <c r="A481" s="3">
        <v>2033759</v>
      </c>
      <c r="B481">
        <v>43310</v>
      </c>
      <c r="C481">
        <v>1</v>
      </c>
      <c r="D481" s="9">
        <v>106</v>
      </c>
      <c r="E481">
        <v>1003</v>
      </c>
      <c r="F481" s="1">
        <v>44009</v>
      </c>
      <c r="G481" t="s">
        <v>80</v>
      </c>
      <c r="H481" s="4" t="s">
        <v>16</v>
      </c>
      <c r="I481" s="4">
        <v>-4349.0200000000004</v>
      </c>
      <c r="J481" s="4">
        <v>-4349.0200000000004</v>
      </c>
      <c r="K481" t="str">
        <f>IFERROR(INDEX(BusinessUnits!$B:$B,MATCH($C481,BusinessUnits!$A:$A,0)),"")</f>
        <v>FOOD SERVICE</v>
      </c>
      <c r="L481" t="str">
        <f>IFERROR(INDEX(Table1[[#All],[Description]],MATCH($C481,BusinessUnits!$A:$A,0)),"")</f>
        <v xml:space="preserve">Transactions related to food and beverage service. Includes all guest transactions in the hotel restaurants, catering-related transactions and food service payroll. </v>
      </c>
      <c r="M481" t="str">
        <f>IFERROR(INDEX(ChartOfAccounts!B480:B565,MATCH($B481,ChartOfAccounts!A480:A565,0)),"")</f>
        <v/>
      </c>
      <c r="N481" t="str">
        <f>IFERROR(INDEX(ChartOfAccounts!D:D,MATCH($B481,ChartOfAccounts!A480:A565,0)),"")</f>
        <v/>
      </c>
      <c r="O481" t="str">
        <f>IFERROR(INDEX(ChartOfAccounts!F:F,MATCH($B481,ChartOfAccounts!A480:A565,0)),"")</f>
        <v/>
      </c>
      <c r="P481" t="str" cm="1">
        <f t="array" ref="P481">IFERROR(INDEX(PreparerInfo!B480:B492,MATCH($D481&amp;$C481,PreparerInfo!A480:A492&amp;PreparerInfo!C480:C492,0)),"")</f>
        <v/>
      </c>
      <c r="Q481" t="str">
        <f>IFERROR(INDEX(Source!B480:B488,MATCH('Case 4 solution'!E481,Source!A480:A488,0)),"")</f>
        <v/>
      </c>
    </row>
    <row r="482" spans="1:17" x14ac:dyDescent="0.3">
      <c r="A482" s="3">
        <v>2033760</v>
      </c>
      <c r="B482">
        <v>11845</v>
      </c>
      <c r="C482">
        <v>1</v>
      </c>
      <c r="D482" s="9">
        <v>106</v>
      </c>
      <c r="E482">
        <v>1003</v>
      </c>
      <c r="F482" s="1">
        <v>44009</v>
      </c>
      <c r="G482" t="s">
        <v>80</v>
      </c>
      <c r="H482" s="4">
        <v>5062</v>
      </c>
      <c r="I482" s="4" t="s">
        <v>16</v>
      </c>
      <c r="J482" s="4">
        <v>5062</v>
      </c>
      <c r="K482" t="str">
        <f>IFERROR(INDEX(BusinessUnits!$B:$B,MATCH($C482,BusinessUnits!$A:$A,0)),"")</f>
        <v>FOOD SERVICE</v>
      </c>
      <c r="L482" t="str">
        <f>IFERROR(INDEX(Table1[[#All],[Description]],MATCH($C482,BusinessUnits!$A:$A,0)),"")</f>
        <v xml:space="preserve">Transactions related to food and beverage service. Includes all guest transactions in the hotel restaurants, catering-related transactions and food service payroll. </v>
      </c>
      <c r="M482" t="str">
        <f>IFERROR(INDEX(ChartOfAccounts!B481:B566,MATCH($B482,ChartOfAccounts!A481:A566,0)),"")</f>
        <v/>
      </c>
      <c r="N482" t="str">
        <f>IFERROR(INDEX(ChartOfAccounts!D:D,MATCH($B482,ChartOfAccounts!A481:A566,0)),"")</f>
        <v/>
      </c>
      <c r="O482" t="str">
        <f>IFERROR(INDEX(ChartOfAccounts!F:F,MATCH($B482,ChartOfAccounts!A481:A566,0)),"")</f>
        <v/>
      </c>
      <c r="P482" t="str" cm="1">
        <f t="array" ref="P482">IFERROR(INDEX(PreparerInfo!B481:B493,MATCH($D482&amp;$C482,PreparerInfo!A481:A493&amp;PreparerInfo!C481:C493,0)),"")</f>
        <v/>
      </c>
      <c r="Q482" t="str">
        <f>IFERROR(INDEX(Source!B481:B489,MATCH('Case 4 solution'!E482,Source!A481:A489,0)),"")</f>
        <v/>
      </c>
    </row>
    <row r="483" spans="1:17" x14ac:dyDescent="0.3">
      <c r="A483" s="3">
        <v>2033760</v>
      </c>
      <c r="B483">
        <v>43310</v>
      </c>
      <c r="C483">
        <v>1</v>
      </c>
      <c r="D483" s="9">
        <v>106</v>
      </c>
      <c r="E483">
        <v>1003</v>
      </c>
      <c r="F483" s="1">
        <v>44009</v>
      </c>
      <c r="G483" t="s">
        <v>80</v>
      </c>
      <c r="H483" s="4" t="s">
        <v>16</v>
      </c>
      <c r="I483" s="4">
        <v>-5062</v>
      </c>
      <c r="J483" s="4">
        <v>-5062</v>
      </c>
      <c r="K483" t="str">
        <f>IFERROR(INDEX(BusinessUnits!$B:$B,MATCH($C483,BusinessUnits!$A:$A,0)),"")</f>
        <v>FOOD SERVICE</v>
      </c>
      <c r="L483" t="str">
        <f>IFERROR(INDEX(Table1[[#All],[Description]],MATCH($C483,BusinessUnits!$A:$A,0)),"")</f>
        <v xml:space="preserve">Transactions related to food and beverage service. Includes all guest transactions in the hotel restaurants, catering-related transactions and food service payroll. </v>
      </c>
      <c r="M483" t="str">
        <f>IFERROR(INDEX(ChartOfAccounts!B482:B567,MATCH($B483,ChartOfAccounts!A482:A567,0)),"")</f>
        <v/>
      </c>
      <c r="N483" t="str">
        <f>IFERROR(INDEX(ChartOfAccounts!D:D,MATCH($B483,ChartOfAccounts!A482:A567,0)),"")</f>
        <v/>
      </c>
      <c r="O483" t="str">
        <f>IFERROR(INDEX(ChartOfAccounts!F:F,MATCH($B483,ChartOfAccounts!A482:A567,0)),"")</f>
        <v/>
      </c>
      <c r="P483" t="str" cm="1">
        <f t="array" ref="P483">IFERROR(INDEX(PreparerInfo!B482:B494,MATCH($D483&amp;$C483,PreparerInfo!A482:A494&amp;PreparerInfo!C482:C494,0)),"")</f>
        <v/>
      </c>
      <c r="Q483" t="str">
        <f>IFERROR(INDEX(Source!B482:B490,MATCH('Case 4 solution'!E483,Source!A482:A490,0)),"")</f>
        <v/>
      </c>
    </row>
    <row r="484" spans="1:17" x14ac:dyDescent="0.3">
      <c r="A484" s="3">
        <v>2033761</v>
      </c>
      <c r="B484">
        <v>11845</v>
      </c>
      <c r="C484">
        <v>2</v>
      </c>
      <c r="D484" s="9">
        <v>106</v>
      </c>
      <c r="E484">
        <v>1003</v>
      </c>
      <c r="F484" s="1">
        <v>44009</v>
      </c>
      <c r="G484" t="s">
        <v>81</v>
      </c>
      <c r="H484" s="4">
        <v>5346</v>
      </c>
      <c r="I484" s="4" t="s">
        <v>16</v>
      </c>
      <c r="J484" s="4">
        <v>5346</v>
      </c>
      <c r="K484" t="str">
        <f>IFERROR(INDEX(BusinessUnits!$B:$B,MATCH($C484,BusinessUnits!$A:$A,0)),"")</f>
        <v>HOTEL</v>
      </c>
      <c r="L484" t="str">
        <f>IFERROR(INDEX(Table1[[#All],[Description]],MATCH($C484,BusinessUnits!$A:$A,0)),"")</f>
        <v xml:space="preserve">Transactions related to guest rooms and overall hotel operations. Includes payroll for administrative staff, clerks and interns. </v>
      </c>
      <c r="M484" t="str">
        <f>IFERROR(INDEX(ChartOfAccounts!B483:B568,MATCH($B484,ChartOfAccounts!A483:A568,0)),"")</f>
        <v/>
      </c>
      <c r="N484" t="str">
        <f>IFERROR(INDEX(ChartOfAccounts!D:D,MATCH($B484,ChartOfAccounts!A483:A568,0)),"")</f>
        <v/>
      </c>
      <c r="O484" t="str">
        <f>IFERROR(INDEX(ChartOfAccounts!F:F,MATCH($B484,ChartOfAccounts!A483:A568,0)),"")</f>
        <v/>
      </c>
      <c r="P484" t="str" cm="1">
        <f t="array" ref="P484">IFERROR(INDEX(PreparerInfo!B483:B495,MATCH($D484&amp;$C484,PreparerInfo!A483:A495&amp;PreparerInfo!C483:C495,0)),"")</f>
        <v/>
      </c>
      <c r="Q484" t="str">
        <f>IFERROR(INDEX(Source!B483:B491,MATCH('Case 4 solution'!E484,Source!A483:A491,0)),"")</f>
        <v/>
      </c>
    </row>
    <row r="485" spans="1:17" x14ac:dyDescent="0.3">
      <c r="A485" s="3">
        <v>2033761</v>
      </c>
      <c r="B485">
        <v>43180</v>
      </c>
      <c r="C485">
        <v>2</v>
      </c>
      <c r="D485" s="9">
        <v>106</v>
      </c>
      <c r="E485">
        <v>1003</v>
      </c>
      <c r="F485" s="1">
        <v>44009</v>
      </c>
      <c r="G485" t="s">
        <v>81</v>
      </c>
      <c r="H485" s="4" t="s">
        <v>16</v>
      </c>
      <c r="I485" s="4">
        <v>-5346</v>
      </c>
      <c r="J485" s="4">
        <v>-5346</v>
      </c>
      <c r="K485" t="str">
        <f>IFERROR(INDEX(BusinessUnits!$B:$B,MATCH($C485,BusinessUnits!$A:$A,0)),"")</f>
        <v>HOTEL</v>
      </c>
      <c r="L485" t="str">
        <f>IFERROR(INDEX(Table1[[#All],[Description]],MATCH($C485,BusinessUnits!$A:$A,0)),"")</f>
        <v xml:space="preserve">Transactions related to guest rooms and overall hotel operations. Includes payroll for administrative staff, clerks and interns. </v>
      </c>
      <c r="M485" t="str">
        <f>IFERROR(INDEX(ChartOfAccounts!B484:B569,MATCH($B485,ChartOfAccounts!A484:A569,0)),"")</f>
        <v/>
      </c>
      <c r="N485" t="str">
        <f>IFERROR(INDEX(ChartOfAccounts!D:D,MATCH($B485,ChartOfAccounts!A484:A569,0)),"")</f>
        <v/>
      </c>
      <c r="O485" t="str">
        <f>IFERROR(INDEX(ChartOfAccounts!F:F,MATCH($B485,ChartOfAccounts!A484:A569,0)),"")</f>
        <v/>
      </c>
      <c r="P485" t="str" cm="1">
        <f t="array" ref="P485">IFERROR(INDEX(PreparerInfo!B484:B496,MATCH($D485&amp;$C485,PreparerInfo!A484:A496&amp;PreparerInfo!C484:C496,0)),"")</f>
        <v/>
      </c>
      <c r="Q485" t="str">
        <f>IFERROR(INDEX(Source!B484:B492,MATCH('Case 4 solution'!E485,Source!A484:A492,0)),"")</f>
        <v/>
      </c>
    </row>
    <row r="486" spans="1:17" x14ac:dyDescent="0.3">
      <c r="A486" s="3">
        <v>2033762</v>
      </c>
      <c r="B486">
        <v>11845</v>
      </c>
      <c r="C486">
        <v>2</v>
      </c>
      <c r="D486" s="9">
        <v>104</v>
      </c>
      <c r="E486">
        <v>1003</v>
      </c>
      <c r="F486" s="1">
        <v>44009</v>
      </c>
      <c r="G486" t="s">
        <v>15</v>
      </c>
      <c r="H486" s="4">
        <v>12300</v>
      </c>
      <c r="I486" s="4" t="s">
        <v>16</v>
      </c>
      <c r="J486" s="4">
        <v>12300</v>
      </c>
      <c r="K486" t="str">
        <f>IFERROR(INDEX(BusinessUnits!$B:$B,MATCH($C486,BusinessUnits!$A:$A,0)),"")</f>
        <v>HOTEL</v>
      </c>
      <c r="L486" t="str">
        <f>IFERROR(INDEX(Table1[[#All],[Description]],MATCH($C486,BusinessUnits!$A:$A,0)),"")</f>
        <v xml:space="preserve">Transactions related to guest rooms and overall hotel operations. Includes payroll for administrative staff, clerks and interns. </v>
      </c>
      <c r="M486" t="str">
        <f>IFERROR(INDEX(ChartOfAccounts!B485:B570,MATCH($B486,ChartOfAccounts!A485:A570,0)),"")</f>
        <v/>
      </c>
      <c r="N486" t="str">
        <f>IFERROR(INDEX(ChartOfAccounts!D:D,MATCH($B486,ChartOfAccounts!A485:A570,0)),"")</f>
        <v/>
      </c>
      <c r="O486" t="str">
        <f>IFERROR(INDEX(ChartOfAccounts!F:F,MATCH($B486,ChartOfAccounts!A485:A570,0)),"")</f>
        <v/>
      </c>
      <c r="P486" t="str" cm="1">
        <f t="array" ref="P486">IFERROR(INDEX(PreparerInfo!B485:B497,MATCH($D486&amp;$C486,PreparerInfo!A485:A497&amp;PreparerInfo!C485:C497,0)),"")</f>
        <v/>
      </c>
      <c r="Q486" t="str">
        <f>IFERROR(INDEX(Source!B485:B493,MATCH('Case 4 solution'!E486,Source!A485:A493,0)),"")</f>
        <v/>
      </c>
    </row>
    <row r="487" spans="1:17" x14ac:dyDescent="0.3">
      <c r="A487" s="3">
        <v>2033762</v>
      </c>
      <c r="B487">
        <v>43180</v>
      </c>
      <c r="C487">
        <v>2</v>
      </c>
      <c r="D487" s="9">
        <v>104</v>
      </c>
      <c r="E487">
        <v>1003</v>
      </c>
      <c r="F487" s="1">
        <v>44009</v>
      </c>
      <c r="G487" t="s">
        <v>15</v>
      </c>
      <c r="H487" s="4" t="s">
        <v>16</v>
      </c>
      <c r="I487" s="4">
        <v>-12300</v>
      </c>
      <c r="J487" s="4">
        <v>-12300</v>
      </c>
      <c r="K487" t="str">
        <f>IFERROR(INDEX(BusinessUnits!$B:$B,MATCH($C487,BusinessUnits!$A:$A,0)),"")</f>
        <v>HOTEL</v>
      </c>
      <c r="L487" t="str">
        <f>IFERROR(INDEX(Table1[[#All],[Description]],MATCH($C487,BusinessUnits!$A:$A,0)),"")</f>
        <v xml:space="preserve">Transactions related to guest rooms and overall hotel operations. Includes payroll for administrative staff, clerks and interns. </v>
      </c>
      <c r="M487" t="str">
        <f>IFERROR(INDEX(ChartOfAccounts!B486:B571,MATCH($B487,ChartOfAccounts!A486:A571,0)),"")</f>
        <v/>
      </c>
      <c r="N487" t="str">
        <f>IFERROR(INDEX(ChartOfAccounts!D:D,MATCH($B487,ChartOfAccounts!A486:A571,0)),"")</f>
        <v/>
      </c>
      <c r="O487" t="str">
        <f>IFERROR(INDEX(ChartOfAccounts!F:F,MATCH($B487,ChartOfAccounts!A486:A571,0)),"")</f>
        <v/>
      </c>
      <c r="P487" t="str" cm="1">
        <f t="array" ref="P487">IFERROR(INDEX(PreparerInfo!B486:B498,MATCH($D487&amp;$C487,PreparerInfo!A486:A498&amp;PreparerInfo!C486:C498,0)),"")</f>
        <v/>
      </c>
      <c r="Q487" t="str">
        <f>IFERROR(INDEX(Source!B486:B494,MATCH('Case 4 solution'!E487,Source!A486:A494,0)),"")</f>
        <v/>
      </c>
    </row>
    <row r="488" spans="1:17" x14ac:dyDescent="0.3">
      <c r="A488" s="3">
        <v>2033763</v>
      </c>
      <c r="B488">
        <v>11845</v>
      </c>
      <c r="C488">
        <v>1</v>
      </c>
      <c r="D488" s="9">
        <v>106</v>
      </c>
      <c r="E488">
        <v>1003</v>
      </c>
      <c r="F488" s="1">
        <v>44009</v>
      </c>
      <c r="G488" t="s">
        <v>80</v>
      </c>
      <c r="H488" s="4">
        <v>27320.65</v>
      </c>
      <c r="I488" s="4" t="s">
        <v>16</v>
      </c>
      <c r="J488" s="4">
        <v>27320.65</v>
      </c>
      <c r="K488" t="str">
        <f>IFERROR(INDEX(BusinessUnits!$B:$B,MATCH($C488,BusinessUnits!$A:$A,0)),"")</f>
        <v>FOOD SERVICE</v>
      </c>
      <c r="L488" t="str">
        <f>IFERROR(INDEX(Table1[[#All],[Description]],MATCH($C488,BusinessUnits!$A:$A,0)),"")</f>
        <v xml:space="preserve">Transactions related to food and beverage service. Includes all guest transactions in the hotel restaurants, catering-related transactions and food service payroll. </v>
      </c>
      <c r="M488" t="str">
        <f>IFERROR(INDEX(ChartOfAccounts!B487:B572,MATCH($B488,ChartOfAccounts!A487:A572,0)),"")</f>
        <v/>
      </c>
      <c r="N488" t="str">
        <f>IFERROR(INDEX(ChartOfAccounts!D:D,MATCH($B488,ChartOfAccounts!A487:A572,0)),"")</f>
        <v/>
      </c>
      <c r="O488" t="str">
        <f>IFERROR(INDEX(ChartOfAccounts!F:F,MATCH($B488,ChartOfAccounts!A487:A572,0)),"")</f>
        <v/>
      </c>
      <c r="P488" t="str" cm="1">
        <f t="array" ref="P488">IFERROR(INDEX(PreparerInfo!B487:B499,MATCH($D488&amp;$C488,PreparerInfo!A487:A499&amp;PreparerInfo!C487:C499,0)),"")</f>
        <v/>
      </c>
      <c r="Q488" t="str">
        <f>IFERROR(INDEX(Source!B487:B495,MATCH('Case 4 solution'!E488,Source!A487:A495,0)),"")</f>
        <v/>
      </c>
    </row>
    <row r="489" spans="1:17" x14ac:dyDescent="0.3">
      <c r="A489" s="3">
        <v>2033763</v>
      </c>
      <c r="B489">
        <v>43310</v>
      </c>
      <c r="C489">
        <v>1</v>
      </c>
      <c r="D489" s="9">
        <v>106</v>
      </c>
      <c r="E489">
        <v>1003</v>
      </c>
      <c r="F489" s="1">
        <v>44009</v>
      </c>
      <c r="G489" t="s">
        <v>80</v>
      </c>
      <c r="H489" s="4" t="s">
        <v>16</v>
      </c>
      <c r="I489" s="4">
        <v>-27320.65</v>
      </c>
      <c r="J489" s="4">
        <v>-27320.65</v>
      </c>
      <c r="K489" t="str">
        <f>IFERROR(INDEX(BusinessUnits!$B:$B,MATCH($C489,BusinessUnits!$A:$A,0)),"")</f>
        <v>FOOD SERVICE</v>
      </c>
      <c r="L489" t="str">
        <f>IFERROR(INDEX(Table1[[#All],[Description]],MATCH($C489,BusinessUnits!$A:$A,0)),"")</f>
        <v xml:space="preserve">Transactions related to food and beverage service. Includes all guest transactions in the hotel restaurants, catering-related transactions and food service payroll. </v>
      </c>
      <c r="M489" t="str">
        <f>IFERROR(INDEX(ChartOfAccounts!B488:B573,MATCH($B489,ChartOfAccounts!A488:A573,0)),"")</f>
        <v/>
      </c>
      <c r="N489" t="str">
        <f>IFERROR(INDEX(ChartOfAccounts!D:D,MATCH($B489,ChartOfAccounts!A488:A573,0)),"")</f>
        <v/>
      </c>
      <c r="O489" t="str">
        <f>IFERROR(INDEX(ChartOfAccounts!F:F,MATCH($B489,ChartOfAccounts!A488:A573,0)),"")</f>
        <v/>
      </c>
      <c r="P489" t="str" cm="1">
        <f t="array" ref="P489">IFERROR(INDEX(PreparerInfo!B488:B500,MATCH($D489&amp;$C489,PreparerInfo!A488:A500&amp;PreparerInfo!C488:C500,0)),"")</f>
        <v/>
      </c>
      <c r="Q489" t="str">
        <f>IFERROR(INDEX(Source!B488:B496,MATCH('Case 4 solution'!E489,Source!A488:A496,0)),"")</f>
        <v/>
      </c>
    </row>
    <row r="490" spans="1:17" x14ac:dyDescent="0.3">
      <c r="A490" s="3">
        <v>2033764</v>
      </c>
      <c r="B490">
        <v>51620</v>
      </c>
      <c r="C490">
        <v>6</v>
      </c>
      <c r="D490" s="9">
        <v>105</v>
      </c>
      <c r="E490">
        <v>1006</v>
      </c>
      <c r="F490" s="1">
        <v>44010</v>
      </c>
      <c r="G490" t="s">
        <v>91</v>
      </c>
      <c r="H490" s="4">
        <v>11.48</v>
      </c>
      <c r="I490" s="4" t="s">
        <v>16</v>
      </c>
      <c r="J490" s="4">
        <v>11.48</v>
      </c>
      <c r="K490" t="str">
        <f>IFERROR(INDEX(BusinessUnits!$B:$B,MATCH($C490,BusinessUnits!$A:$A,0)),"")</f>
        <v>MAINTENANCE</v>
      </c>
      <c r="L490" t="str">
        <f>IFERROR(INDEX(Table1[[#All],[Description]],MATCH($C490,BusinessUnits!$A:$A,0)),"")</f>
        <v>Transactions related to the hotel Maintenance Department. Primarily includes payroll for maintenance, grounds keepers and related supplies.</v>
      </c>
      <c r="M490" t="str">
        <f>IFERROR(INDEX(ChartOfAccounts!B489:B574,MATCH($B490,ChartOfAccounts!A489:A574,0)),"")</f>
        <v/>
      </c>
      <c r="N490" t="str">
        <f>IFERROR(INDEX(ChartOfAccounts!D:D,MATCH($B490,ChartOfAccounts!A489:A574,0)),"")</f>
        <v/>
      </c>
      <c r="O490" t="str">
        <f>IFERROR(INDEX(ChartOfAccounts!F:F,MATCH($B490,ChartOfAccounts!A489:A574,0)),"")</f>
        <v/>
      </c>
      <c r="P490" t="str" cm="1">
        <f t="array" ref="P490">IFERROR(INDEX(PreparerInfo!B489:B501,MATCH($D490&amp;$C490,PreparerInfo!A489:A501&amp;PreparerInfo!C489:C501,0)),"")</f>
        <v/>
      </c>
      <c r="Q490" t="str">
        <f>IFERROR(INDEX(Source!B489:B497,MATCH('Case 4 solution'!E490,Source!A489:A497,0)),"")</f>
        <v/>
      </c>
    </row>
    <row r="491" spans="1:17" x14ac:dyDescent="0.3">
      <c r="A491" s="3">
        <v>2033764</v>
      </c>
      <c r="B491">
        <v>22110</v>
      </c>
      <c r="C491">
        <v>6</v>
      </c>
      <c r="D491" s="9">
        <v>105</v>
      </c>
      <c r="E491">
        <v>1006</v>
      </c>
      <c r="F491" s="1">
        <v>44010</v>
      </c>
      <c r="G491" t="s">
        <v>91</v>
      </c>
      <c r="H491" s="4" t="s">
        <v>16</v>
      </c>
      <c r="I491" s="4">
        <v>-11.48</v>
      </c>
      <c r="J491" s="4">
        <v>-11.48</v>
      </c>
      <c r="K491" t="str">
        <f>IFERROR(INDEX(BusinessUnits!$B:$B,MATCH($C491,BusinessUnits!$A:$A,0)),"")</f>
        <v>MAINTENANCE</v>
      </c>
      <c r="L491" t="str">
        <f>IFERROR(INDEX(Table1[[#All],[Description]],MATCH($C491,BusinessUnits!$A:$A,0)),"")</f>
        <v>Transactions related to the hotel Maintenance Department. Primarily includes payroll for maintenance, grounds keepers and related supplies.</v>
      </c>
      <c r="M491" t="str">
        <f>IFERROR(INDEX(ChartOfAccounts!B490:B575,MATCH($B491,ChartOfAccounts!A490:A575,0)),"")</f>
        <v/>
      </c>
      <c r="N491" t="str">
        <f>IFERROR(INDEX(ChartOfAccounts!D:D,MATCH($B491,ChartOfAccounts!A490:A575,0)),"")</f>
        <v/>
      </c>
      <c r="O491" t="str">
        <f>IFERROR(INDEX(ChartOfAccounts!F:F,MATCH($B491,ChartOfAccounts!A490:A575,0)),"")</f>
        <v/>
      </c>
      <c r="P491" t="str" cm="1">
        <f t="array" ref="P491">IFERROR(INDEX(PreparerInfo!B490:B502,MATCH($D491&amp;$C491,PreparerInfo!A490:A502&amp;PreparerInfo!C490:C502,0)),"")</f>
        <v/>
      </c>
      <c r="Q491" t="str">
        <f>IFERROR(INDEX(Source!B490:B498,MATCH('Case 4 solution'!E491,Source!A490:A498,0)),"")</f>
        <v/>
      </c>
    </row>
    <row r="492" spans="1:17" x14ac:dyDescent="0.3">
      <c r="A492" s="3">
        <v>2033765</v>
      </c>
      <c r="B492">
        <v>51620</v>
      </c>
      <c r="C492">
        <v>4</v>
      </c>
      <c r="D492" s="9">
        <v>105</v>
      </c>
      <c r="E492">
        <v>1006</v>
      </c>
      <c r="F492" s="1">
        <v>44010</v>
      </c>
      <c r="G492" t="s">
        <v>91</v>
      </c>
      <c r="H492" s="4">
        <v>22.96</v>
      </c>
      <c r="I492" s="4" t="s">
        <v>16</v>
      </c>
      <c r="J492" s="4">
        <v>22.96</v>
      </c>
      <c r="K492" t="str">
        <f>IFERROR(INDEX(BusinessUnits!$B:$B,MATCH($C492,BusinessUnits!$A:$A,0)),"")</f>
        <v>HOUSEKEEPING</v>
      </c>
      <c r="L492" t="str">
        <f>IFERROR(INDEX(Table1[[#All],[Description]],MATCH($C492,BusinessUnits!$A:$A,0)),"")</f>
        <v xml:space="preserve">Transactions related to the Housekeeping Department. Primarily includes payroll for housekeepers and housekeeping supplies. </v>
      </c>
      <c r="M492" t="str">
        <f>IFERROR(INDEX(ChartOfAccounts!B491:B576,MATCH($B492,ChartOfAccounts!A491:A576,0)),"")</f>
        <v/>
      </c>
      <c r="N492" t="str">
        <f>IFERROR(INDEX(ChartOfAccounts!D:D,MATCH($B492,ChartOfAccounts!A491:A576,0)),"")</f>
        <v/>
      </c>
      <c r="O492" t="str">
        <f>IFERROR(INDEX(ChartOfAccounts!F:F,MATCH($B492,ChartOfAccounts!A491:A576,0)),"")</f>
        <v/>
      </c>
      <c r="P492" t="str" cm="1">
        <f t="array" ref="P492">IFERROR(INDEX(PreparerInfo!B491:B503,MATCH($D492&amp;$C492,PreparerInfo!A491:A503&amp;PreparerInfo!C491:C503,0)),"")</f>
        <v/>
      </c>
      <c r="Q492" t="str">
        <f>IFERROR(INDEX(Source!B491:B499,MATCH('Case 4 solution'!E492,Source!A491:A499,0)),"")</f>
        <v/>
      </c>
    </row>
    <row r="493" spans="1:17" x14ac:dyDescent="0.3">
      <c r="A493" s="3">
        <v>2033765</v>
      </c>
      <c r="B493">
        <v>22110</v>
      </c>
      <c r="C493">
        <v>4</v>
      </c>
      <c r="D493" s="9">
        <v>105</v>
      </c>
      <c r="E493">
        <v>1006</v>
      </c>
      <c r="F493" s="1">
        <v>44010</v>
      </c>
      <c r="G493" t="s">
        <v>91</v>
      </c>
      <c r="H493" s="4" t="s">
        <v>16</v>
      </c>
      <c r="I493" s="4">
        <v>-22.96</v>
      </c>
      <c r="J493" s="4">
        <v>-22.96</v>
      </c>
      <c r="K493" t="str">
        <f>IFERROR(INDEX(BusinessUnits!$B:$B,MATCH($C493,BusinessUnits!$A:$A,0)),"")</f>
        <v>HOUSEKEEPING</v>
      </c>
      <c r="L493" t="str">
        <f>IFERROR(INDEX(Table1[[#All],[Description]],MATCH($C493,BusinessUnits!$A:$A,0)),"")</f>
        <v xml:space="preserve">Transactions related to the Housekeeping Department. Primarily includes payroll for housekeepers and housekeeping supplies. </v>
      </c>
      <c r="M493" t="str">
        <f>IFERROR(INDEX(ChartOfAccounts!B492:B577,MATCH($B493,ChartOfAccounts!A492:A577,0)),"")</f>
        <v/>
      </c>
      <c r="N493" t="str">
        <f>IFERROR(INDEX(ChartOfAccounts!D:D,MATCH($B493,ChartOfAccounts!A492:A577,0)),"")</f>
        <v/>
      </c>
      <c r="O493" t="str">
        <f>IFERROR(INDEX(ChartOfAccounts!F:F,MATCH($B493,ChartOfAccounts!A492:A577,0)),"")</f>
        <v/>
      </c>
      <c r="P493" t="str" cm="1">
        <f t="array" ref="P493">IFERROR(INDEX(PreparerInfo!B492:B504,MATCH($D493&amp;$C493,PreparerInfo!A492:A504&amp;PreparerInfo!C492:C504,0)),"")</f>
        <v/>
      </c>
      <c r="Q493" t="str">
        <f>IFERROR(INDEX(Source!B492:B500,MATCH('Case 4 solution'!E493,Source!A492:A500,0)),"")</f>
        <v/>
      </c>
    </row>
    <row r="494" spans="1:17" x14ac:dyDescent="0.3">
      <c r="A494" s="3">
        <v>2033766</v>
      </c>
      <c r="B494">
        <v>14260</v>
      </c>
      <c r="C494">
        <v>1</v>
      </c>
      <c r="D494" s="9">
        <v>102</v>
      </c>
      <c r="E494">
        <v>1002</v>
      </c>
      <c r="F494" s="1">
        <v>44010</v>
      </c>
      <c r="G494" t="s">
        <v>39</v>
      </c>
      <c r="H494" s="4">
        <v>32.049999999999997</v>
      </c>
      <c r="I494" s="4" t="s">
        <v>16</v>
      </c>
      <c r="J494" s="4">
        <v>32.049999999999997</v>
      </c>
      <c r="K494" t="str">
        <f>IFERROR(INDEX(BusinessUnits!$B:$B,MATCH($C494,BusinessUnits!$A:$A,0)),"")</f>
        <v>FOOD SERVICE</v>
      </c>
      <c r="L494" t="str">
        <f>IFERROR(INDEX(Table1[[#All],[Description]],MATCH($C494,BusinessUnits!$A:$A,0)),"")</f>
        <v xml:space="preserve">Transactions related to food and beverage service. Includes all guest transactions in the hotel restaurants, catering-related transactions and food service payroll. </v>
      </c>
      <c r="M494" t="str">
        <f>IFERROR(INDEX(ChartOfAccounts!B493:B578,MATCH($B494,ChartOfAccounts!A493:A578,0)),"")</f>
        <v/>
      </c>
      <c r="N494" t="str">
        <f>IFERROR(INDEX(ChartOfAccounts!D:D,MATCH($B494,ChartOfAccounts!A493:A578,0)),"")</f>
        <v/>
      </c>
      <c r="O494" t="str">
        <f>IFERROR(INDEX(ChartOfAccounts!F:F,MATCH($B494,ChartOfAccounts!A493:A578,0)),"")</f>
        <v/>
      </c>
      <c r="P494" t="str" cm="1">
        <f t="array" ref="P494">IFERROR(INDEX(PreparerInfo!B493:B505,MATCH($D494&amp;$C494,PreparerInfo!A493:A505&amp;PreparerInfo!C493:C505,0)),"")</f>
        <v/>
      </c>
      <c r="Q494" t="str">
        <f>IFERROR(INDEX(Source!B493:B501,MATCH('Case 4 solution'!E494,Source!A493:A501,0)),"")</f>
        <v/>
      </c>
    </row>
    <row r="495" spans="1:17" x14ac:dyDescent="0.3">
      <c r="A495" s="3">
        <v>2033766</v>
      </c>
      <c r="B495">
        <v>11845</v>
      </c>
      <c r="C495">
        <v>1</v>
      </c>
      <c r="D495" s="9">
        <v>102</v>
      </c>
      <c r="E495">
        <v>1002</v>
      </c>
      <c r="F495" s="1">
        <v>44010</v>
      </c>
      <c r="G495" t="s">
        <v>39</v>
      </c>
      <c r="H495" s="4" t="s">
        <v>16</v>
      </c>
      <c r="I495" s="4">
        <v>-32.049999999999997</v>
      </c>
      <c r="J495" s="4">
        <v>-32.049999999999997</v>
      </c>
      <c r="K495" t="str">
        <f>IFERROR(INDEX(BusinessUnits!$B:$B,MATCH($C495,BusinessUnits!$A:$A,0)),"")</f>
        <v>FOOD SERVICE</v>
      </c>
      <c r="L495" t="str">
        <f>IFERROR(INDEX(Table1[[#All],[Description]],MATCH($C495,BusinessUnits!$A:$A,0)),"")</f>
        <v xml:space="preserve">Transactions related to food and beverage service. Includes all guest transactions in the hotel restaurants, catering-related transactions and food service payroll. </v>
      </c>
      <c r="M495" t="str">
        <f>IFERROR(INDEX(ChartOfAccounts!B494:B579,MATCH($B495,ChartOfAccounts!A494:A579,0)),"")</f>
        <v/>
      </c>
      <c r="N495" t="str">
        <f>IFERROR(INDEX(ChartOfAccounts!D:D,MATCH($B495,ChartOfAccounts!A494:A579,0)),"")</f>
        <v/>
      </c>
      <c r="O495" t="str">
        <f>IFERROR(INDEX(ChartOfAccounts!F:F,MATCH($B495,ChartOfAccounts!A494:A579,0)),"")</f>
        <v/>
      </c>
      <c r="P495" t="str" cm="1">
        <f t="array" ref="P495">IFERROR(INDEX(PreparerInfo!B494:B506,MATCH($D495&amp;$C495,PreparerInfo!A494:A506&amp;PreparerInfo!C494:C506,0)),"")</f>
        <v/>
      </c>
      <c r="Q495" t="str">
        <f>IFERROR(INDEX(Source!B494:B502,MATCH('Case 4 solution'!E495,Source!A494:A502,0)),"")</f>
        <v/>
      </c>
    </row>
    <row r="496" spans="1:17" x14ac:dyDescent="0.3">
      <c r="A496" s="3">
        <v>2033767</v>
      </c>
      <c r="B496">
        <v>51620</v>
      </c>
      <c r="C496">
        <v>2</v>
      </c>
      <c r="D496" s="9">
        <v>105</v>
      </c>
      <c r="E496">
        <v>1006</v>
      </c>
      <c r="F496" s="1">
        <v>44010</v>
      </c>
      <c r="G496" t="s">
        <v>91</v>
      </c>
      <c r="H496" s="4">
        <v>34.44</v>
      </c>
      <c r="I496" s="4" t="s">
        <v>16</v>
      </c>
      <c r="J496" s="4">
        <v>34.44</v>
      </c>
      <c r="K496" t="str">
        <f>IFERROR(INDEX(BusinessUnits!$B:$B,MATCH($C496,BusinessUnits!$A:$A,0)),"")</f>
        <v>HOTEL</v>
      </c>
      <c r="L496" t="str">
        <f>IFERROR(INDEX(Table1[[#All],[Description]],MATCH($C496,BusinessUnits!$A:$A,0)),"")</f>
        <v xml:space="preserve">Transactions related to guest rooms and overall hotel operations. Includes payroll for administrative staff, clerks and interns. </v>
      </c>
      <c r="M496" t="str">
        <f>IFERROR(INDEX(ChartOfAccounts!B495:B580,MATCH($B496,ChartOfAccounts!A495:A580,0)),"")</f>
        <v/>
      </c>
      <c r="N496" t="str">
        <f>IFERROR(INDEX(ChartOfAccounts!D:D,MATCH($B496,ChartOfAccounts!A495:A580,0)),"")</f>
        <v/>
      </c>
      <c r="O496" t="str">
        <f>IFERROR(INDEX(ChartOfAccounts!F:F,MATCH($B496,ChartOfAccounts!A495:A580,0)),"")</f>
        <v/>
      </c>
      <c r="P496" t="str" cm="1">
        <f t="array" ref="P496">IFERROR(INDEX(PreparerInfo!B495:B507,MATCH($D496&amp;$C496,PreparerInfo!A495:A507&amp;PreparerInfo!C495:C507,0)),"")</f>
        <v/>
      </c>
      <c r="Q496" t="str">
        <f>IFERROR(INDEX(Source!B495:B503,MATCH('Case 4 solution'!E496,Source!A495:A503,0)),"")</f>
        <v/>
      </c>
    </row>
    <row r="497" spans="1:17" x14ac:dyDescent="0.3">
      <c r="A497" s="3">
        <v>2033767</v>
      </c>
      <c r="B497">
        <v>22110</v>
      </c>
      <c r="C497">
        <v>2</v>
      </c>
      <c r="D497" s="9">
        <v>105</v>
      </c>
      <c r="E497">
        <v>1006</v>
      </c>
      <c r="F497" s="1">
        <v>44010</v>
      </c>
      <c r="G497" t="s">
        <v>91</v>
      </c>
      <c r="H497" s="4" t="s">
        <v>16</v>
      </c>
      <c r="I497" s="4">
        <v>-34.44</v>
      </c>
      <c r="J497" s="4">
        <v>-34.44</v>
      </c>
      <c r="K497" t="str">
        <f>IFERROR(INDEX(BusinessUnits!$B:$B,MATCH($C497,BusinessUnits!$A:$A,0)),"")</f>
        <v>HOTEL</v>
      </c>
      <c r="L497" t="str">
        <f>IFERROR(INDEX(Table1[[#All],[Description]],MATCH($C497,BusinessUnits!$A:$A,0)),"")</f>
        <v xml:space="preserve">Transactions related to guest rooms and overall hotel operations. Includes payroll for administrative staff, clerks and interns. </v>
      </c>
      <c r="M497" t="str">
        <f>IFERROR(INDEX(ChartOfAccounts!B496:B581,MATCH($B497,ChartOfAccounts!A496:A581,0)),"")</f>
        <v/>
      </c>
      <c r="N497" t="str">
        <f>IFERROR(INDEX(ChartOfAccounts!D:D,MATCH($B497,ChartOfAccounts!A496:A581,0)),"")</f>
        <v/>
      </c>
      <c r="O497" t="str">
        <f>IFERROR(INDEX(ChartOfAccounts!F:F,MATCH($B497,ChartOfAccounts!A496:A581,0)),"")</f>
        <v/>
      </c>
      <c r="P497" t="str" cm="1">
        <f t="array" ref="P497">IFERROR(INDEX(PreparerInfo!B496:B508,MATCH($D497&amp;$C497,PreparerInfo!A496:A508&amp;PreparerInfo!C496:C508,0)),"")</f>
        <v/>
      </c>
      <c r="Q497" t="str">
        <f>IFERROR(INDEX(Source!B496:B504,MATCH('Case 4 solution'!E497,Source!A496:A504,0)),"")</f>
        <v/>
      </c>
    </row>
    <row r="498" spans="1:17" x14ac:dyDescent="0.3">
      <c r="A498" s="3">
        <v>2033768</v>
      </c>
      <c r="B498">
        <v>14260</v>
      </c>
      <c r="C498">
        <v>1</v>
      </c>
      <c r="D498" s="9">
        <v>102</v>
      </c>
      <c r="E498">
        <v>1002</v>
      </c>
      <c r="F498" s="1">
        <v>44010</v>
      </c>
      <c r="G498" t="s">
        <v>26</v>
      </c>
      <c r="H498" s="4">
        <v>39.4</v>
      </c>
      <c r="I498" s="4" t="s">
        <v>16</v>
      </c>
      <c r="J498" s="4">
        <v>39.4</v>
      </c>
      <c r="K498" t="str">
        <f>IFERROR(INDEX(BusinessUnits!$B:$B,MATCH($C498,BusinessUnits!$A:$A,0)),"")</f>
        <v>FOOD SERVICE</v>
      </c>
      <c r="L498" t="str">
        <f>IFERROR(INDEX(Table1[[#All],[Description]],MATCH($C498,BusinessUnits!$A:$A,0)),"")</f>
        <v xml:space="preserve">Transactions related to food and beverage service. Includes all guest transactions in the hotel restaurants, catering-related transactions and food service payroll. </v>
      </c>
      <c r="M498" t="str">
        <f>IFERROR(INDEX(ChartOfAccounts!B497:B582,MATCH($B498,ChartOfAccounts!A497:A582,0)),"")</f>
        <v/>
      </c>
      <c r="N498" t="str">
        <f>IFERROR(INDEX(ChartOfAccounts!D:D,MATCH($B498,ChartOfAccounts!A497:A582,0)),"")</f>
        <v/>
      </c>
      <c r="O498" t="str">
        <f>IFERROR(INDEX(ChartOfAccounts!F:F,MATCH($B498,ChartOfAccounts!A497:A582,0)),"")</f>
        <v/>
      </c>
      <c r="P498" t="str" cm="1">
        <f t="array" ref="P498">IFERROR(INDEX(PreparerInfo!B497:B509,MATCH($D498&amp;$C498,PreparerInfo!A497:A509&amp;PreparerInfo!C497:C509,0)),"")</f>
        <v/>
      </c>
      <c r="Q498" t="str">
        <f>IFERROR(INDEX(Source!B497:B505,MATCH('Case 4 solution'!E498,Source!A497:A505,0)),"")</f>
        <v/>
      </c>
    </row>
    <row r="499" spans="1:17" x14ac:dyDescent="0.3">
      <c r="A499" s="3">
        <v>2033768</v>
      </c>
      <c r="B499">
        <v>11845</v>
      </c>
      <c r="C499">
        <v>1</v>
      </c>
      <c r="D499" s="9">
        <v>102</v>
      </c>
      <c r="E499">
        <v>1002</v>
      </c>
      <c r="F499" s="1">
        <v>44010</v>
      </c>
      <c r="G499" t="s">
        <v>26</v>
      </c>
      <c r="H499" s="4" t="s">
        <v>16</v>
      </c>
      <c r="I499" s="4">
        <v>-39.4</v>
      </c>
      <c r="J499" s="4">
        <v>-39.4</v>
      </c>
      <c r="K499" t="str">
        <f>IFERROR(INDEX(BusinessUnits!$B:$B,MATCH($C499,BusinessUnits!$A:$A,0)),"")</f>
        <v>FOOD SERVICE</v>
      </c>
      <c r="L499" t="str">
        <f>IFERROR(INDEX(Table1[[#All],[Description]],MATCH($C499,BusinessUnits!$A:$A,0)),"")</f>
        <v xml:space="preserve">Transactions related to food and beverage service. Includes all guest transactions in the hotel restaurants, catering-related transactions and food service payroll. </v>
      </c>
      <c r="M499" t="str">
        <f>IFERROR(INDEX(ChartOfAccounts!B498:B583,MATCH($B499,ChartOfAccounts!A498:A583,0)),"")</f>
        <v/>
      </c>
      <c r="N499" t="str">
        <f>IFERROR(INDEX(ChartOfAccounts!D:D,MATCH($B499,ChartOfAccounts!A498:A583,0)),"")</f>
        <v/>
      </c>
      <c r="O499" t="str">
        <f>IFERROR(INDEX(ChartOfAccounts!F:F,MATCH($B499,ChartOfAccounts!A498:A583,0)),"")</f>
        <v/>
      </c>
      <c r="P499" t="str" cm="1">
        <f t="array" ref="P499">IFERROR(INDEX(PreparerInfo!B498:B510,MATCH($D499&amp;$C499,PreparerInfo!A498:A510&amp;PreparerInfo!C498:C510,0)),"")</f>
        <v/>
      </c>
      <c r="Q499" t="str">
        <f>IFERROR(INDEX(Source!B498:B506,MATCH('Case 4 solution'!E499,Source!A498:A506,0)),"")</f>
        <v/>
      </c>
    </row>
    <row r="500" spans="1:17" x14ac:dyDescent="0.3">
      <c r="A500" s="3">
        <v>2033769</v>
      </c>
      <c r="B500">
        <v>43180</v>
      </c>
      <c r="C500">
        <v>2</v>
      </c>
      <c r="D500" s="9">
        <v>104</v>
      </c>
      <c r="E500">
        <v>1003</v>
      </c>
      <c r="F500" s="1">
        <v>44010</v>
      </c>
      <c r="G500" t="s">
        <v>240</v>
      </c>
      <c r="H500" s="4">
        <v>40</v>
      </c>
      <c r="I500" s="4" t="s">
        <v>16</v>
      </c>
      <c r="J500" s="4">
        <v>40</v>
      </c>
      <c r="K500" t="str">
        <f>IFERROR(INDEX(BusinessUnits!$B:$B,MATCH($C500,BusinessUnits!$A:$A,0)),"")</f>
        <v>HOTEL</v>
      </c>
      <c r="L500" t="str">
        <f>IFERROR(INDEX(Table1[[#All],[Description]],MATCH($C500,BusinessUnits!$A:$A,0)),"")</f>
        <v xml:space="preserve">Transactions related to guest rooms and overall hotel operations. Includes payroll for administrative staff, clerks and interns. </v>
      </c>
      <c r="M500" t="str">
        <f>IFERROR(INDEX(ChartOfAccounts!B499:B584,MATCH($B500,ChartOfAccounts!A499:A584,0)),"")</f>
        <v/>
      </c>
      <c r="N500" t="str">
        <f>IFERROR(INDEX(ChartOfAccounts!D:D,MATCH($B500,ChartOfAccounts!A499:A584,0)),"")</f>
        <v/>
      </c>
      <c r="O500" t="str">
        <f>IFERROR(INDEX(ChartOfAccounts!F:F,MATCH($B500,ChartOfAccounts!A499:A584,0)),"")</f>
        <v/>
      </c>
      <c r="P500" t="str" cm="1">
        <f t="array" ref="P500">IFERROR(INDEX(PreparerInfo!B499:B511,MATCH($D500&amp;$C500,PreparerInfo!A499:A511&amp;PreparerInfo!C499:C511,0)),"")</f>
        <v/>
      </c>
      <c r="Q500" t="str">
        <f>IFERROR(INDEX(Source!B499:B507,MATCH('Case 4 solution'!E500,Source!A499:A507,0)),"")</f>
        <v/>
      </c>
    </row>
    <row r="501" spans="1:17" x14ac:dyDescent="0.3">
      <c r="A501" s="3">
        <v>2033769</v>
      </c>
      <c r="B501">
        <v>11845</v>
      </c>
      <c r="C501">
        <v>2</v>
      </c>
      <c r="D501" s="9">
        <v>104</v>
      </c>
      <c r="E501">
        <v>1003</v>
      </c>
      <c r="F501" s="1">
        <v>44010</v>
      </c>
      <c r="G501" t="s">
        <v>240</v>
      </c>
      <c r="H501" s="4" t="s">
        <v>16</v>
      </c>
      <c r="I501" s="4">
        <v>-40</v>
      </c>
      <c r="J501" s="4">
        <v>-40</v>
      </c>
      <c r="K501" t="str">
        <f>IFERROR(INDEX(BusinessUnits!$B:$B,MATCH($C501,BusinessUnits!$A:$A,0)),"")</f>
        <v>HOTEL</v>
      </c>
      <c r="L501" t="str">
        <f>IFERROR(INDEX(Table1[[#All],[Description]],MATCH($C501,BusinessUnits!$A:$A,0)),"")</f>
        <v xml:space="preserve">Transactions related to guest rooms and overall hotel operations. Includes payroll for administrative staff, clerks and interns. </v>
      </c>
      <c r="M501" t="str">
        <f>IFERROR(INDEX(ChartOfAccounts!B500:B585,MATCH($B501,ChartOfAccounts!A500:A585,0)),"")</f>
        <v/>
      </c>
      <c r="N501" t="str">
        <f>IFERROR(INDEX(ChartOfAccounts!D:D,MATCH($B501,ChartOfAccounts!A500:A585,0)),"")</f>
        <v/>
      </c>
      <c r="O501" t="str">
        <f>IFERROR(INDEX(ChartOfAccounts!F:F,MATCH($B501,ChartOfAccounts!A500:A585,0)),"")</f>
        <v/>
      </c>
      <c r="P501" t="str" cm="1">
        <f t="array" ref="P501">IFERROR(INDEX(PreparerInfo!B500:B512,MATCH($D501&amp;$C501,PreparerInfo!A500:A512&amp;PreparerInfo!C500:C512,0)),"")</f>
        <v/>
      </c>
      <c r="Q501" t="str">
        <f>IFERROR(INDEX(Source!B500:B508,MATCH('Case 4 solution'!E501,Source!A500:A508,0)),"")</f>
        <v/>
      </c>
    </row>
    <row r="502" spans="1:17" x14ac:dyDescent="0.3">
      <c r="A502" s="3">
        <v>2033770</v>
      </c>
      <c r="B502">
        <v>14260</v>
      </c>
      <c r="C502">
        <v>1</v>
      </c>
      <c r="D502" s="9">
        <v>102</v>
      </c>
      <c r="E502">
        <v>1002</v>
      </c>
      <c r="F502" s="1">
        <v>44010</v>
      </c>
      <c r="G502" t="s">
        <v>26</v>
      </c>
      <c r="H502" s="4">
        <v>43.9</v>
      </c>
      <c r="I502" s="4" t="s">
        <v>16</v>
      </c>
      <c r="J502" s="4">
        <v>43.9</v>
      </c>
      <c r="K502" t="str">
        <f>IFERROR(INDEX(BusinessUnits!$B:$B,MATCH($C502,BusinessUnits!$A:$A,0)),"")</f>
        <v>FOOD SERVICE</v>
      </c>
      <c r="L502" t="str">
        <f>IFERROR(INDEX(Table1[[#All],[Description]],MATCH($C502,BusinessUnits!$A:$A,0)),"")</f>
        <v xml:space="preserve">Transactions related to food and beverage service. Includes all guest transactions in the hotel restaurants, catering-related transactions and food service payroll. </v>
      </c>
      <c r="M502" t="str">
        <f>IFERROR(INDEX(ChartOfAccounts!B501:B586,MATCH($B502,ChartOfAccounts!A501:A586,0)),"")</f>
        <v/>
      </c>
      <c r="N502" t="str">
        <f>IFERROR(INDEX(ChartOfAccounts!D:D,MATCH($B502,ChartOfAccounts!A501:A586,0)),"")</f>
        <v/>
      </c>
      <c r="O502" t="str">
        <f>IFERROR(INDEX(ChartOfAccounts!F:F,MATCH($B502,ChartOfAccounts!A501:A586,0)),"")</f>
        <v/>
      </c>
      <c r="P502" t="str" cm="1">
        <f t="array" ref="P502">IFERROR(INDEX(PreparerInfo!B501:B513,MATCH($D502&amp;$C502,PreparerInfo!A501:A513&amp;PreparerInfo!C501:C513,0)),"")</f>
        <v/>
      </c>
      <c r="Q502" t="str">
        <f>IFERROR(INDEX(Source!B501:B509,MATCH('Case 4 solution'!E502,Source!A501:A509,0)),"")</f>
        <v/>
      </c>
    </row>
    <row r="503" spans="1:17" x14ac:dyDescent="0.3">
      <c r="A503" s="3">
        <v>2033770</v>
      </c>
      <c r="B503">
        <v>11845</v>
      </c>
      <c r="C503">
        <v>1</v>
      </c>
      <c r="D503" s="9">
        <v>102</v>
      </c>
      <c r="E503">
        <v>1002</v>
      </c>
      <c r="F503" s="1">
        <v>44010</v>
      </c>
      <c r="G503" t="s">
        <v>26</v>
      </c>
      <c r="H503" s="4" t="s">
        <v>16</v>
      </c>
      <c r="I503" s="4">
        <v>-43.9</v>
      </c>
      <c r="J503" s="4">
        <v>-43.9</v>
      </c>
      <c r="K503" t="str">
        <f>IFERROR(INDEX(BusinessUnits!$B:$B,MATCH($C503,BusinessUnits!$A:$A,0)),"")</f>
        <v>FOOD SERVICE</v>
      </c>
      <c r="L503" t="str">
        <f>IFERROR(INDEX(Table1[[#All],[Description]],MATCH($C503,BusinessUnits!$A:$A,0)),"")</f>
        <v xml:space="preserve">Transactions related to food and beverage service. Includes all guest transactions in the hotel restaurants, catering-related transactions and food service payroll. </v>
      </c>
      <c r="M503" t="str">
        <f>IFERROR(INDEX(ChartOfAccounts!B502:B587,MATCH($B503,ChartOfAccounts!A502:A587,0)),"")</f>
        <v/>
      </c>
      <c r="N503" t="str">
        <f>IFERROR(INDEX(ChartOfAccounts!D:D,MATCH($B503,ChartOfAccounts!A502:A587,0)),"")</f>
        <v/>
      </c>
      <c r="O503" t="str">
        <f>IFERROR(INDEX(ChartOfAccounts!F:F,MATCH($B503,ChartOfAccounts!A502:A587,0)),"")</f>
        <v/>
      </c>
      <c r="P503" t="str" cm="1">
        <f t="array" ref="P503">IFERROR(INDEX(PreparerInfo!B502:B514,MATCH($D503&amp;$C503,PreparerInfo!A502:A514&amp;PreparerInfo!C502:C514,0)),"")</f>
        <v/>
      </c>
      <c r="Q503" t="str">
        <f>IFERROR(INDEX(Source!B502:B510,MATCH('Case 4 solution'!E503,Source!A502:A510,0)),"")</f>
        <v/>
      </c>
    </row>
    <row r="504" spans="1:17" x14ac:dyDescent="0.3">
      <c r="A504" s="3">
        <v>2033771</v>
      </c>
      <c r="B504">
        <v>51402</v>
      </c>
      <c r="C504">
        <v>6</v>
      </c>
      <c r="D504" s="9">
        <v>105</v>
      </c>
      <c r="E504">
        <v>1006</v>
      </c>
      <c r="F504" s="1">
        <v>44010</v>
      </c>
      <c r="G504" t="s">
        <v>93</v>
      </c>
      <c r="H504" s="4">
        <v>47.82</v>
      </c>
      <c r="I504" s="4" t="s">
        <v>16</v>
      </c>
      <c r="J504" s="4">
        <v>47.82</v>
      </c>
      <c r="K504" t="str">
        <f>IFERROR(INDEX(BusinessUnits!$B:$B,MATCH($C504,BusinessUnits!$A:$A,0)),"")</f>
        <v>MAINTENANCE</v>
      </c>
      <c r="L504" t="str">
        <f>IFERROR(INDEX(Table1[[#All],[Description]],MATCH($C504,BusinessUnits!$A:$A,0)),"")</f>
        <v>Transactions related to the hotel Maintenance Department. Primarily includes payroll for maintenance, grounds keepers and related supplies.</v>
      </c>
      <c r="M504" t="str">
        <f>IFERROR(INDEX(ChartOfAccounts!B503:B588,MATCH($B504,ChartOfAccounts!A503:A588,0)),"")</f>
        <v/>
      </c>
      <c r="N504" t="str">
        <f>IFERROR(INDEX(ChartOfAccounts!D:D,MATCH($B504,ChartOfAccounts!A503:A588,0)),"")</f>
        <v/>
      </c>
      <c r="O504" t="str">
        <f>IFERROR(INDEX(ChartOfAccounts!F:F,MATCH($B504,ChartOfAccounts!A503:A588,0)),"")</f>
        <v/>
      </c>
      <c r="P504" t="str" cm="1">
        <f t="array" ref="P504">IFERROR(INDEX(PreparerInfo!B503:B515,MATCH($D504&amp;$C504,PreparerInfo!A503:A515&amp;PreparerInfo!C503:C515,0)),"")</f>
        <v/>
      </c>
      <c r="Q504" t="str">
        <f>IFERROR(INDEX(Source!B503:B511,MATCH('Case 4 solution'!E504,Source!A503:A511,0)),"")</f>
        <v/>
      </c>
    </row>
    <row r="505" spans="1:17" x14ac:dyDescent="0.3">
      <c r="A505" s="3">
        <v>2033771</v>
      </c>
      <c r="B505">
        <v>22110</v>
      </c>
      <c r="C505">
        <v>6</v>
      </c>
      <c r="D505" s="9">
        <v>105</v>
      </c>
      <c r="E505">
        <v>1006</v>
      </c>
      <c r="F505" s="1">
        <v>44010</v>
      </c>
      <c r="G505" t="s">
        <v>93</v>
      </c>
      <c r="H505" s="4" t="s">
        <v>16</v>
      </c>
      <c r="I505" s="4">
        <v>-47.82</v>
      </c>
      <c r="J505" s="4">
        <v>-47.82</v>
      </c>
      <c r="K505" t="str">
        <f>IFERROR(INDEX(BusinessUnits!$B:$B,MATCH($C505,BusinessUnits!$A:$A,0)),"")</f>
        <v>MAINTENANCE</v>
      </c>
      <c r="L505" t="str">
        <f>IFERROR(INDEX(Table1[[#All],[Description]],MATCH($C505,BusinessUnits!$A:$A,0)),"")</f>
        <v>Transactions related to the hotel Maintenance Department. Primarily includes payroll for maintenance, grounds keepers and related supplies.</v>
      </c>
      <c r="M505" t="str">
        <f>IFERROR(INDEX(ChartOfAccounts!B504:B589,MATCH($B505,ChartOfAccounts!A504:A589,0)),"")</f>
        <v/>
      </c>
      <c r="N505" t="str">
        <f>IFERROR(INDEX(ChartOfAccounts!D:D,MATCH($B505,ChartOfAccounts!A504:A589,0)),"")</f>
        <v/>
      </c>
      <c r="O505" t="str">
        <f>IFERROR(INDEX(ChartOfAccounts!F:F,MATCH($B505,ChartOfAccounts!A504:A589,0)),"")</f>
        <v/>
      </c>
      <c r="P505" t="str" cm="1">
        <f t="array" ref="P505">IFERROR(INDEX(PreparerInfo!B504:B516,MATCH($D505&amp;$C505,PreparerInfo!A504:A516&amp;PreparerInfo!C504:C516,0)),"")</f>
        <v/>
      </c>
      <c r="Q505" t="str">
        <f>IFERROR(INDEX(Source!B504:B512,MATCH('Case 4 solution'!E505,Source!A504:A512,0)),"")</f>
        <v/>
      </c>
    </row>
    <row r="506" spans="1:17" x14ac:dyDescent="0.3">
      <c r="A506" s="3">
        <v>2033772</v>
      </c>
      <c r="B506">
        <v>11845</v>
      </c>
      <c r="C506">
        <v>3</v>
      </c>
      <c r="D506" s="9">
        <v>102</v>
      </c>
      <c r="E506">
        <v>1003</v>
      </c>
      <c r="F506" s="1">
        <v>44010</v>
      </c>
      <c r="G506" t="s">
        <v>15</v>
      </c>
      <c r="H506" s="4">
        <v>48.78</v>
      </c>
      <c r="I506" s="4" t="s">
        <v>16</v>
      </c>
      <c r="J506" s="4">
        <v>48.78</v>
      </c>
      <c r="K506" t="str">
        <f>IFERROR(INDEX(BusinessUnits!$B:$B,MATCH($C506,BusinessUnits!$A:$A,0)),"")</f>
        <v>HOTEL PANTRY</v>
      </c>
      <c r="L506" t="str">
        <f>IFERROR(INDEX(Table1[[#All],[Description]],MATCH($C506,BusinessUnits!$A:$A,0)),"")</f>
        <v>Transactions related to the hotel convenience store, including some food and beverage costs.</v>
      </c>
      <c r="M506" t="str">
        <f>IFERROR(INDEX(ChartOfAccounts!B505:B590,MATCH($B506,ChartOfAccounts!A505:A590,0)),"")</f>
        <v/>
      </c>
      <c r="N506" t="str">
        <f>IFERROR(INDEX(ChartOfAccounts!D:D,MATCH($B506,ChartOfAccounts!A505:A590,0)),"")</f>
        <v/>
      </c>
      <c r="O506" t="str">
        <f>IFERROR(INDEX(ChartOfAccounts!F:F,MATCH($B506,ChartOfAccounts!A505:A590,0)),"")</f>
        <v/>
      </c>
      <c r="P506" t="str" cm="1">
        <f t="array" ref="P506">IFERROR(INDEX(PreparerInfo!B505:B517,MATCH($D506&amp;$C506,PreparerInfo!A505:A517&amp;PreparerInfo!C505:C517,0)),"")</f>
        <v/>
      </c>
      <c r="Q506" t="str">
        <f>IFERROR(INDEX(Source!B505:B513,MATCH('Case 4 solution'!E506,Source!A505:A513,0)),"")</f>
        <v/>
      </c>
    </row>
    <row r="507" spans="1:17" x14ac:dyDescent="0.3">
      <c r="A507" s="3">
        <v>2033772</v>
      </c>
      <c r="B507">
        <v>43440</v>
      </c>
      <c r="C507">
        <v>3</v>
      </c>
      <c r="D507" s="9">
        <v>102</v>
      </c>
      <c r="E507">
        <v>1003</v>
      </c>
      <c r="F507" s="1">
        <v>44010</v>
      </c>
      <c r="G507" t="s">
        <v>15</v>
      </c>
      <c r="H507" s="4" t="s">
        <v>16</v>
      </c>
      <c r="I507" s="4">
        <v>-48.78</v>
      </c>
      <c r="J507" s="4">
        <v>-48.78</v>
      </c>
      <c r="K507" t="str">
        <f>IFERROR(INDEX(BusinessUnits!$B:$B,MATCH($C507,BusinessUnits!$A:$A,0)),"")</f>
        <v>HOTEL PANTRY</v>
      </c>
      <c r="L507" t="str">
        <f>IFERROR(INDEX(Table1[[#All],[Description]],MATCH($C507,BusinessUnits!$A:$A,0)),"")</f>
        <v>Transactions related to the hotel convenience store, including some food and beverage costs.</v>
      </c>
      <c r="M507" t="str">
        <f>IFERROR(INDEX(ChartOfAccounts!B506:B591,MATCH($B507,ChartOfAccounts!A506:A591,0)),"")</f>
        <v/>
      </c>
      <c r="N507" t="str">
        <f>IFERROR(INDEX(ChartOfAccounts!D:D,MATCH($B507,ChartOfAccounts!A506:A591,0)),"")</f>
        <v/>
      </c>
      <c r="O507" t="str">
        <f>IFERROR(INDEX(ChartOfAccounts!F:F,MATCH($B507,ChartOfAccounts!A506:A591,0)),"")</f>
        <v/>
      </c>
      <c r="P507" t="str" cm="1">
        <f t="array" ref="P507">IFERROR(INDEX(PreparerInfo!B506:B518,MATCH($D507&amp;$C507,PreparerInfo!A506:A518&amp;PreparerInfo!C506:C518,0)),"")</f>
        <v/>
      </c>
      <c r="Q507" t="str">
        <f>IFERROR(INDEX(Source!B506:B514,MATCH('Case 4 solution'!E507,Source!A506:A514,0)),"")</f>
        <v/>
      </c>
    </row>
    <row r="508" spans="1:17" x14ac:dyDescent="0.3">
      <c r="A508" s="3">
        <v>2033773</v>
      </c>
      <c r="B508">
        <v>14260</v>
      </c>
      <c r="C508">
        <v>1</v>
      </c>
      <c r="D508" s="9">
        <v>102</v>
      </c>
      <c r="E508">
        <v>1002</v>
      </c>
      <c r="F508" s="1">
        <v>44010</v>
      </c>
      <c r="G508" t="s">
        <v>39</v>
      </c>
      <c r="H508" s="4">
        <v>48.9</v>
      </c>
      <c r="I508" s="4" t="s">
        <v>16</v>
      </c>
      <c r="J508" s="4">
        <v>48.9</v>
      </c>
      <c r="K508" t="str">
        <f>IFERROR(INDEX(BusinessUnits!$B:$B,MATCH($C508,BusinessUnits!$A:$A,0)),"")</f>
        <v>FOOD SERVICE</v>
      </c>
      <c r="L508" t="str">
        <f>IFERROR(INDEX(Table1[[#All],[Description]],MATCH($C508,BusinessUnits!$A:$A,0)),"")</f>
        <v xml:space="preserve">Transactions related to food and beverage service. Includes all guest transactions in the hotel restaurants, catering-related transactions and food service payroll. </v>
      </c>
      <c r="M508" t="str">
        <f>IFERROR(INDEX(ChartOfAccounts!B507:B592,MATCH($B508,ChartOfAccounts!A507:A592,0)),"")</f>
        <v/>
      </c>
      <c r="N508" t="str">
        <f>IFERROR(INDEX(ChartOfAccounts!D:D,MATCH($B508,ChartOfAccounts!A507:A592,0)),"")</f>
        <v/>
      </c>
      <c r="O508" t="str">
        <f>IFERROR(INDEX(ChartOfAccounts!F:F,MATCH($B508,ChartOfAccounts!A507:A592,0)),"")</f>
        <v/>
      </c>
      <c r="P508" t="str" cm="1">
        <f t="array" ref="P508">IFERROR(INDEX(PreparerInfo!B507:B519,MATCH($D508&amp;$C508,PreparerInfo!A507:A519&amp;PreparerInfo!C507:C519,0)),"")</f>
        <v/>
      </c>
      <c r="Q508" t="str">
        <f>IFERROR(INDEX(Source!B507:B515,MATCH('Case 4 solution'!E508,Source!A507:A515,0)),"")</f>
        <v/>
      </c>
    </row>
    <row r="509" spans="1:17" x14ac:dyDescent="0.3">
      <c r="A509" s="3">
        <v>2033773</v>
      </c>
      <c r="B509">
        <v>11845</v>
      </c>
      <c r="C509">
        <v>1</v>
      </c>
      <c r="D509" s="9">
        <v>102</v>
      </c>
      <c r="E509">
        <v>1002</v>
      </c>
      <c r="F509" s="1">
        <v>44010</v>
      </c>
      <c r="G509" t="s">
        <v>39</v>
      </c>
      <c r="H509" s="4" t="s">
        <v>16</v>
      </c>
      <c r="I509" s="4">
        <v>-48.9</v>
      </c>
      <c r="J509" s="4">
        <v>-48.9</v>
      </c>
      <c r="K509" t="str">
        <f>IFERROR(INDEX(BusinessUnits!$B:$B,MATCH($C509,BusinessUnits!$A:$A,0)),"")</f>
        <v>FOOD SERVICE</v>
      </c>
      <c r="L509" t="str">
        <f>IFERROR(INDEX(Table1[[#All],[Description]],MATCH($C509,BusinessUnits!$A:$A,0)),"")</f>
        <v xml:space="preserve">Transactions related to food and beverage service. Includes all guest transactions in the hotel restaurants, catering-related transactions and food service payroll. </v>
      </c>
      <c r="M509" t="str">
        <f>IFERROR(INDEX(ChartOfAccounts!B508:B593,MATCH($B509,ChartOfAccounts!A508:A593,0)),"")</f>
        <v/>
      </c>
      <c r="N509" t="str">
        <f>IFERROR(INDEX(ChartOfAccounts!D:D,MATCH($B509,ChartOfAccounts!A508:A593,0)),"")</f>
        <v/>
      </c>
      <c r="O509" t="str">
        <f>IFERROR(INDEX(ChartOfAccounts!F:F,MATCH($B509,ChartOfAccounts!A508:A593,0)),"")</f>
        <v/>
      </c>
      <c r="P509" t="str" cm="1">
        <f t="array" ref="P509">IFERROR(INDEX(PreparerInfo!B508:B520,MATCH($D509&amp;$C509,PreparerInfo!A508:A520&amp;PreparerInfo!C508:C520,0)),"")</f>
        <v/>
      </c>
      <c r="Q509" t="str">
        <f>IFERROR(INDEX(Source!B508:B516,MATCH('Case 4 solution'!E509,Source!A508:A516,0)),"")</f>
        <v/>
      </c>
    </row>
    <row r="510" spans="1:17" x14ac:dyDescent="0.3">
      <c r="A510" s="3">
        <v>2033774</v>
      </c>
      <c r="B510">
        <v>14260</v>
      </c>
      <c r="C510">
        <v>1</v>
      </c>
      <c r="D510" s="9">
        <v>102</v>
      </c>
      <c r="E510">
        <v>1002</v>
      </c>
      <c r="F510" s="1">
        <v>44010</v>
      </c>
      <c r="G510" t="s">
        <v>26</v>
      </c>
      <c r="H510" s="4">
        <v>63.55</v>
      </c>
      <c r="I510" s="4" t="s">
        <v>16</v>
      </c>
      <c r="J510" s="4">
        <v>63.55</v>
      </c>
      <c r="K510" t="str">
        <f>IFERROR(INDEX(BusinessUnits!$B:$B,MATCH($C510,BusinessUnits!$A:$A,0)),"")</f>
        <v>FOOD SERVICE</v>
      </c>
      <c r="L510" t="str">
        <f>IFERROR(INDEX(Table1[[#All],[Description]],MATCH($C510,BusinessUnits!$A:$A,0)),"")</f>
        <v xml:space="preserve">Transactions related to food and beverage service. Includes all guest transactions in the hotel restaurants, catering-related transactions and food service payroll. </v>
      </c>
      <c r="M510" t="str">
        <f>IFERROR(INDEX(ChartOfAccounts!B509:B594,MATCH($B510,ChartOfAccounts!A509:A594,0)),"")</f>
        <v/>
      </c>
      <c r="N510" t="str">
        <f>IFERROR(INDEX(ChartOfAccounts!D:D,MATCH($B510,ChartOfAccounts!A509:A594,0)),"")</f>
        <v/>
      </c>
      <c r="O510" t="str">
        <f>IFERROR(INDEX(ChartOfAccounts!F:F,MATCH($B510,ChartOfAccounts!A509:A594,0)),"")</f>
        <v/>
      </c>
      <c r="P510" t="str" cm="1">
        <f t="array" ref="P510">IFERROR(INDEX(PreparerInfo!B509:B521,MATCH($D510&amp;$C510,PreparerInfo!A509:A521&amp;PreparerInfo!C509:C521,0)),"")</f>
        <v/>
      </c>
      <c r="Q510" t="str">
        <f>IFERROR(INDEX(Source!B509:B517,MATCH('Case 4 solution'!E510,Source!A509:A517,0)),"")</f>
        <v/>
      </c>
    </row>
    <row r="511" spans="1:17" x14ac:dyDescent="0.3">
      <c r="A511" s="3">
        <v>2033774</v>
      </c>
      <c r="B511">
        <v>11845</v>
      </c>
      <c r="C511">
        <v>1</v>
      </c>
      <c r="D511" s="9">
        <v>102</v>
      </c>
      <c r="E511">
        <v>1002</v>
      </c>
      <c r="F511" s="1">
        <v>44010</v>
      </c>
      <c r="G511" t="s">
        <v>26</v>
      </c>
      <c r="H511" s="4" t="s">
        <v>16</v>
      </c>
      <c r="I511" s="4">
        <v>-63.55</v>
      </c>
      <c r="J511" s="4">
        <v>-63.55</v>
      </c>
      <c r="K511" t="str">
        <f>IFERROR(INDEX(BusinessUnits!$B:$B,MATCH($C511,BusinessUnits!$A:$A,0)),"")</f>
        <v>FOOD SERVICE</v>
      </c>
      <c r="L511" t="str">
        <f>IFERROR(INDEX(Table1[[#All],[Description]],MATCH($C511,BusinessUnits!$A:$A,0)),"")</f>
        <v xml:space="preserve">Transactions related to food and beverage service. Includes all guest transactions in the hotel restaurants, catering-related transactions and food service payroll. </v>
      </c>
      <c r="M511" t="str">
        <f>IFERROR(INDEX(ChartOfAccounts!B510:B595,MATCH($B511,ChartOfAccounts!A510:A595,0)),"")</f>
        <v/>
      </c>
      <c r="N511" t="str">
        <f>IFERROR(INDEX(ChartOfAccounts!D:D,MATCH($B511,ChartOfAccounts!A510:A595,0)),"")</f>
        <v/>
      </c>
      <c r="O511" t="str">
        <f>IFERROR(INDEX(ChartOfAccounts!F:F,MATCH($B511,ChartOfAccounts!A510:A595,0)),"")</f>
        <v/>
      </c>
      <c r="P511" t="str" cm="1">
        <f t="array" ref="P511">IFERROR(INDEX(PreparerInfo!B510:B522,MATCH($D511&amp;$C511,PreparerInfo!A510:A522&amp;PreparerInfo!C510:C522,0)),"")</f>
        <v/>
      </c>
      <c r="Q511" t="str">
        <f>IFERROR(INDEX(Source!B510:B518,MATCH('Case 4 solution'!E511,Source!A510:A518,0)),"")</f>
        <v/>
      </c>
    </row>
    <row r="512" spans="1:17" x14ac:dyDescent="0.3">
      <c r="A512" s="3">
        <v>2033775</v>
      </c>
      <c r="B512">
        <v>11845</v>
      </c>
      <c r="C512">
        <v>1</v>
      </c>
      <c r="D512" s="9">
        <v>102</v>
      </c>
      <c r="E512">
        <v>1003</v>
      </c>
      <c r="F512" s="1">
        <v>44010</v>
      </c>
      <c r="G512" t="s">
        <v>87</v>
      </c>
      <c r="H512" s="4">
        <v>75.52</v>
      </c>
      <c r="I512" s="4" t="s">
        <v>16</v>
      </c>
      <c r="J512" s="4">
        <v>75.52</v>
      </c>
      <c r="K512" t="str">
        <f>IFERROR(INDEX(BusinessUnits!$B:$B,MATCH($C512,BusinessUnits!$A:$A,0)),"")</f>
        <v>FOOD SERVICE</v>
      </c>
      <c r="L512" t="str">
        <f>IFERROR(INDEX(Table1[[#All],[Description]],MATCH($C512,BusinessUnits!$A:$A,0)),"")</f>
        <v xml:space="preserve">Transactions related to food and beverage service. Includes all guest transactions in the hotel restaurants, catering-related transactions and food service payroll. </v>
      </c>
      <c r="M512" t="str">
        <f>IFERROR(INDEX(ChartOfAccounts!B511:B596,MATCH($B512,ChartOfAccounts!A511:A596,0)),"")</f>
        <v/>
      </c>
      <c r="N512" t="str">
        <f>IFERROR(INDEX(ChartOfAccounts!D:D,MATCH($B512,ChartOfAccounts!A511:A596,0)),"")</f>
        <v/>
      </c>
      <c r="O512" t="str">
        <f>IFERROR(INDEX(ChartOfAccounts!F:F,MATCH($B512,ChartOfAccounts!A511:A596,0)),"")</f>
        <v/>
      </c>
      <c r="P512" t="str" cm="1">
        <f t="array" ref="P512">IFERROR(INDEX(PreparerInfo!B511:B523,MATCH($D512&amp;$C512,PreparerInfo!A511:A523&amp;PreparerInfo!C511:C523,0)),"")</f>
        <v/>
      </c>
      <c r="Q512" t="str">
        <f>IFERROR(INDEX(Source!B511:B519,MATCH('Case 4 solution'!E512,Source!A511:A519,0)),"")</f>
        <v/>
      </c>
    </row>
    <row r="513" spans="1:17" x14ac:dyDescent="0.3">
      <c r="A513" s="3">
        <v>2033775</v>
      </c>
      <c r="B513">
        <v>43310</v>
      </c>
      <c r="C513">
        <v>1</v>
      </c>
      <c r="D513" s="9">
        <v>102</v>
      </c>
      <c r="E513">
        <v>1003</v>
      </c>
      <c r="F513" s="1">
        <v>44010</v>
      </c>
      <c r="G513" t="s">
        <v>87</v>
      </c>
      <c r="H513" s="4" t="s">
        <v>16</v>
      </c>
      <c r="I513" s="4">
        <v>-75.52</v>
      </c>
      <c r="J513" s="4">
        <v>-75.52</v>
      </c>
      <c r="K513" t="str">
        <f>IFERROR(INDEX(BusinessUnits!$B:$B,MATCH($C513,BusinessUnits!$A:$A,0)),"")</f>
        <v>FOOD SERVICE</v>
      </c>
      <c r="L513" t="str">
        <f>IFERROR(INDEX(Table1[[#All],[Description]],MATCH($C513,BusinessUnits!$A:$A,0)),"")</f>
        <v xml:space="preserve">Transactions related to food and beverage service. Includes all guest transactions in the hotel restaurants, catering-related transactions and food service payroll. </v>
      </c>
      <c r="M513" t="str">
        <f>IFERROR(INDEX(ChartOfAccounts!B512:B597,MATCH($B513,ChartOfAccounts!A512:A597,0)),"")</f>
        <v/>
      </c>
      <c r="N513" t="str">
        <f>IFERROR(INDEX(ChartOfAccounts!D:D,MATCH($B513,ChartOfAccounts!A512:A597,0)),"")</f>
        <v/>
      </c>
      <c r="O513" t="str">
        <f>IFERROR(INDEX(ChartOfAccounts!F:F,MATCH($B513,ChartOfAccounts!A512:A597,0)),"")</f>
        <v/>
      </c>
      <c r="P513" t="str" cm="1">
        <f t="array" ref="P513">IFERROR(INDEX(PreparerInfo!B512:B524,MATCH($D513&amp;$C513,PreparerInfo!A512:A524&amp;PreparerInfo!C512:C524,0)),"")</f>
        <v/>
      </c>
      <c r="Q513" t="str">
        <f>IFERROR(INDEX(Source!B512:B520,MATCH('Case 4 solution'!E513,Source!A512:A520,0)),"")</f>
        <v/>
      </c>
    </row>
    <row r="514" spans="1:17" x14ac:dyDescent="0.3">
      <c r="A514" s="3">
        <v>2033776</v>
      </c>
      <c r="B514">
        <v>51402</v>
      </c>
      <c r="C514">
        <v>4</v>
      </c>
      <c r="D514" s="9">
        <v>105</v>
      </c>
      <c r="E514">
        <v>1006</v>
      </c>
      <c r="F514" s="1">
        <v>44010</v>
      </c>
      <c r="G514" t="s">
        <v>93</v>
      </c>
      <c r="H514" s="4">
        <v>87.37</v>
      </c>
      <c r="I514" s="4" t="s">
        <v>16</v>
      </c>
      <c r="J514" s="4">
        <v>87.37</v>
      </c>
      <c r="K514" t="str">
        <f>IFERROR(INDEX(BusinessUnits!$B:$B,MATCH($C514,BusinessUnits!$A:$A,0)),"")</f>
        <v>HOUSEKEEPING</v>
      </c>
      <c r="L514" t="str">
        <f>IFERROR(INDEX(Table1[[#All],[Description]],MATCH($C514,BusinessUnits!$A:$A,0)),"")</f>
        <v xml:space="preserve">Transactions related to the Housekeeping Department. Primarily includes payroll for housekeepers and housekeeping supplies. </v>
      </c>
      <c r="M514" t="str">
        <f>IFERROR(INDEX(ChartOfAccounts!B513:B598,MATCH($B514,ChartOfAccounts!A513:A598,0)),"")</f>
        <v/>
      </c>
      <c r="N514" t="str">
        <f>IFERROR(INDEX(ChartOfAccounts!D:D,MATCH($B514,ChartOfAccounts!A513:A598,0)),"")</f>
        <v/>
      </c>
      <c r="O514" t="str">
        <f>IFERROR(INDEX(ChartOfAccounts!F:F,MATCH($B514,ChartOfAccounts!A513:A598,0)),"")</f>
        <v/>
      </c>
      <c r="P514" t="str" cm="1">
        <f t="array" ref="P514">IFERROR(INDEX(PreparerInfo!B513:B525,MATCH($D514&amp;$C514,PreparerInfo!A513:A525&amp;PreparerInfo!C513:C525,0)),"")</f>
        <v/>
      </c>
      <c r="Q514" t="str">
        <f>IFERROR(INDEX(Source!B513:B521,MATCH('Case 4 solution'!E514,Source!A513:A521,0)),"")</f>
        <v/>
      </c>
    </row>
    <row r="515" spans="1:17" x14ac:dyDescent="0.3">
      <c r="A515" s="3">
        <v>2033776</v>
      </c>
      <c r="B515">
        <v>22110</v>
      </c>
      <c r="C515">
        <v>4</v>
      </c>
      <c r="D515" s="9">
        <v>105</v>
      </c>
      <c r="E515">
        <v>1006</v>
      </c>
      <c r="F515" s="1">
        <v>44010</v>
      </c>
      <c r="G515" t="s">
        <v>93</v>
      </c>
      <c r="H515" s="4" t="s">
        <v>16</v>
      </c>
      <c r="I515" s="4">
        <v>-87.37</v>
      </c>
      <c r="J515" s="4">
        <v>-87.37</v>
      </c>
      <c r="K515" t="str">
        <f>IFERROR(INDEX(BusinessUnits!$B:$B,MATCH($C515,BusinessUnits!$A:$A,0)),"")</f>
        <v>HOUSEKEEPING</v>
      </c>
      <c r="L515" t="str">
        <f>IFERROR(INDEX(Table1[[#All],[Description]],MATCH($C515,BusinessUnits!$A:$A,0)),"")</f>
        <v xml:space="preserve">Transactions related to the Housekeeping Department. Primarily includes payroll for housekeepers and housekeeping supplies. </v>
      </c>
      <c r="M515" t="str">
        <f>IFERROR(INDEX(ChartOfAccounts!B514:B599,MATCH($B515,ChartOfAccounts!A514:A599,0)),"")</f>
        <v/>
      </c>
      <c r="N515" t="str">
        <f>IFERROR(INDEX(ChartOfAccounts!D:D,MATCH($B515,ChartOfAccounts!A514:A599,0)),"")</f>
        <v/>
      </c>
      <c r="O515" t="str">
        <f>IFERROR(INDEX(ChartOfAccounts!F:F,MATCH($B515,ChartOfAccounts!A514:A599,0)),"")</f>
        <v/>
      </c>
      <c r="P515" t="str" cm="1">
        <f t="array" ref="P515">IFERROR(INDEX(PreparerInfo!B514:B526,MATCH($D515&amp;$C515,PreparerInfo!A514:A526&amp;PreparerInfo!C514:C526,0)),"")</f>
        <v/>
      </c>
      <c r="Q515" t="str">
        <f>IFERROR(INDEX(Source!B514:B522,MATCH('Case 4 solution'!E515,Source!A514:A522,0)),"")</f>
        <v/>
      </c>
    </row>
    <row r="516" spans="1:17" x14ac:dyDescent="0.3">
      <c r="A516" s="3">
        <v>2033777</v>
      </c>
      <c r="B516">
        <v>11845</v>
      </c>
      <c r="C516">
        <v>3</v>
      </c>
      <c r="D516" s="9">
        <v>102</v>
      </c>
      <c r="E516">
        <v>1001</v>
      </c>
      <c r="F516" s="1">
        <v>44010</v>
      </c>
      <c r="G516" t="s">
        <v>41</v>
      </c>
      <c r="H516" s="4">
        <v>90.33</v>
      </c>
      <c r="I516" s="4" t="s">
        <v>16</v>
      </c>
      <c r="J516" s="4">
        <v>90.33</v>
      </c>
      <c r="K516" t="str">
        <f>IFERROR(INDEX(BusinessUnits!$B:$B,MATCH($C516,BusinessUnits!$A:$A,0)),"")</f>
        <v>HOTEL PANTRY</v>
      </c>
      <c r="L516" t="str">
        <f>IFERROR(INDEX(Table1[[#All],[Description]],MATCH($C516,BusinessUnits!$A:$A,0)),"")</f>
        <v>Transactions related to the hotel convenience store, including some food and beverage costs.</v>
      </c>
      <c r="M516" t="str">
        <f>IFERROR(INDEX(ChartOfAccounts!B515:B600,MATCH($B516,ChartOfAccounts!A515:A600,0)),"")</f>
        <v/>
      </c>
      <c r="N516" t="str">
        <f>IFERROR(INDEX(ChartOfAccounts!D:D,MATCH($B516,ChartOfAccounts!A515:A600,0)),"")</f>
        <v/>
      </c>
      <c r="O516" t="str">
        <f>IFERROR(INDEX(ChartOfAccounts!F:F,MATCH($B516,ChartOfAccounts!A515:A600,0)),"")</f>
        <v/>
      </c>
      <c r="P516" t="str" cm="1">
        <f t="array" ref="P516">IFERROR(INDEX(PreparerInfo!B515:B527,MATCH($D516&amp;$C516,PreparerInfo!A515:A527&amp;PreparerInfo!C515:C527,0)),"")</f>
        <v/>
      </c>
      <c r="Q516" t="str">
        <f>IFERROR(INDEX(Source!B515:B523,MATCH('Case 4 solution'!E516,Source!A515:A523,0)),"")</f>
        <v/>
      </c>
    </row>
    <row r="517" spans="1:17" x14ac:dyDescent="0.3">
      <c r="A517" s="3">
        <v>2033777</v>
      </c>
      <c r="B517">
        <v>43440</v>
      </c>
      <c r="C517">
        <v>3</v>
      </c>
      <c r="D517" s="9">
        <v>102</v>
      </c>
      <c r="E517">
        <v>1001</v>
      </c>
      <c r="F517" s="1">
        <v>44010</v>
      </c>
      <c r="G517" t="s">
        <v>41</v>
      </c>
      <c r="H517" s="4" t="s">
        <v>16</v>
      </c>
      <c r="I517" s="4">
        <v>-90.33</v>
      </c>
      <c r="J517" s="4">
        <v>-90.33</v>
      </c>
      <c r="K517" t="str">
        <f>IFERROR(INDEX(BusinessUnits!$B:$B,MATCH($C517,BusinessUnits!$A:$A,0)),"")</f>
        <v>HOTEL PANTRY</v>
      </c>
      <c r="L517" t="str">
        <f>IFERROR(INDEX(Table1[[#All],[Description]],MATCH($C517,BusinessUnits!$A:$A,0)),"")</f>
        <v>Transactions related to the hotel convenience store, including some food and beverage costs.</v>
      </c>
      <c r="M517" t="str">
        <f>IFERROR(INDEX(ChartOfAccounts!B516:B601,MATCH($B517,ChartOfAccounts!A516:A601,0)),"")</f>
        <v/>
      </c>
      <c r="N517" t="str">
        <f>IFERROR(INDEX(ChartOfAccounts!D:D,MATCH($B517,ChartOfAccounts!A516:A601,0)),"")</f>
        <v/>
      </c>
      <c r="O517" t="str">
        <f>IFERROR(INDEX(ChartOfAccounts!F:F,MATCH($B517,ChartOfAccounts!A516:A601,0)),"")</f>
        <v/>
      </c>
      <c r="P517" t="str" cm="1">
        <f t="array" ref="P517">IFERROR(INDEX(PreparerInfo!B516:B528,MATCH($D517&amp;$C517,PreparerInfo!A516:A528&amp;PreparerInfo!C516:C528,0)),"")</f>
        <v/>
      </c>
      <c r="Q517" t="str">
        <f>IFERROR(INDEX(Source!B516:B524,MATCH('Case 4 solution'!E517,Source!A516:A524,0)),"")</f>
        <v/>
      </c>
    </row>
    <row r="518" spans="1:17" x14ac:dyDescent="0.3">
      <c r="A518" s="3">
        <v>2033778</v>
      </c>
      <c r="B518">
        <v>14260</v>
      </c>
      <c r="C518">
        <v>1</v>
      </c>
      <c r="D518" s="9">
        <v>102</v>
      </c>
      <c r="E518">
        <v>1002</v>
      </c>
      <c r="F518" s="1">
        <v>44010</v>
      </c>
      <c r="G518" t="s">
        <v>39</v>
      </c>
      <c r="H518" s="4">
        <v>106</v>
      </c>
      <c r="I518" s="4" t="s">
        <v>16</v>
      </c>
      <c r="J518" s="4">
        <v>106</v>
      </c>
      <c r="K518" t="str">
        <f>IFERROR(INDEX(BusinessUnits!$B:$B,MATCH($C518,BusinessUnits!$A:$A,0)),"")</f>
        <v>FOOD SERVICE</v>
      </c>
      <c r="L518" t="str">
        <f>IFERROR(INDEX(Table1[[#All],[Description]],MATCH($C518,BusinessUnits!$A:$A,0)),"")</f>
        <v xml:space="preserve">Transactions related to food and beverage service. Includes all guest transactions in the hotel restaurants, catering-related transactions and food service payroll. </v>
      </c>
      <c r="M518" t="str">
        <f>IFERROR(INDEX(ChartOfAccounts!B517:B602,MATCH($B518,ChartOfAccounts!A517:A602,0)),"")</f>
        <v/>
      </c>
      <c r="N518" t="str">
        <f>IFERROR(INDEX(ChartOfAccounts!D:D,MATCH($B518,ChartOfAccounts!A517:A602,0)),"")</f>
        <v/>
      </c>
      <c r="O518" t="str">
        <f>IFERROR(INDEX(ChartOfAccounts!F:F,MATCH($B518,ChartOfAccounts!A517:A602,0)),"")</f>
        <v/>
      </c>
      <c r="P518" t="str" cm="1">
        <f t="array" ref="P518">IFERROR(INDEX(PreparerInfo!B517:B529,MATCH($D518&amp;$C518,PreparerInfo!A517:A529&amp;PreparerInfo!C517:C529,0)),"")</f>
        <v/>
      </c>
      <c r="Q518" t="str">
        <f>IFERROR(INDEX(Source!B517:B525,MATCH('Case 4 solution'!E518,Source!A517:A525,0)),"")</f>
        <v/>
      </c>
    </row>
    <row r="519" spans="1:17" x14ac:dyDescent="0.3">
      <c r="A519" s="3">
        <v>2033778</v>
      </c>
      <c r="B519">
        <v>11845</v>
      </c>
      <c r="C519">
        <v>1</v>
      </c>
      <c r="D519" s="9">
        <v>102</v>
      </c>
      <c r="E519">
        <v>1002</v>
      </c>
      <c r="F519" s="1">
        <v>44010</v>
      </c>
      <c r="G519" t="s">
        <v>39</v>
      </c>
      <c r="H519" s="4" t="s">
        <v>16</v>
      </c>
      <c r="I519" s="4">
        <v>-106</v>
      </c>
      <c r="J519" s="4">
        <v>-106</v>
      </c>
      <c r="K519" t="str">
        <f>IFERROR(INDEX(BusinessUnits!$B:$B,MATCH($C519,BusinessUnits!$A:$A,0)),"")</f>
        <v>FOOD SERVICE</v>
      </c>
      <c r="L519" t="str">
        <f>IFERROR(INDEX(Table1[[#All],[Description]],MATCH($C519,BusinessUnits!$A:$A,0)),"")</f>
        <v xml:space="preserve">Transactions related to food and beverage service. Includes all guest transactions in the hotel restaurants, catering-related transactions and food service payroll. </v>
      </c>
      <c r="M519" t="str">
        <f>IFERROR(INDEX(ChartOfAccounts!B518:B603,MATCH($B519,ChartOfAccounts!A518:A603,0)),"")</f>
        <v/>
      </c>
      <c r="N519" t="str">
        <f>IFERROR(INDEX(ChartOfAccounts!D:D,MATCH($B519,ChartOfAccounts!A518:A603,0)),"")</f>
        <v/>
      </c>
      <c r="O519" t="str">
        <f>IFERROR(INDEX(ChartOfAccounts!F:F,MATCH($B519,ChartOfAccounts!A518:A603,0)),"")</f>
        <v/>
      </c>
      <c r="P519" t="str" cm="1">
        <f t="array" ref="P519">IFERROR(INDEX(PreparerInfo!B518:B530,MATCH($D519&amp;$C519,PreparerInfo!A518:A530&amp;PreparerInfo!C518:C530,0)),"")</f>
        <v/>
      </c>
      <c r="Q519" t="str">
        <f>IFERROR(INDEX(Source!B518:B526,MATCH('Case 4 solution'!E519,Source!A518:A526,0)),"")</f>
        <v/>
      </c>
    </row>
    <row r="520" spans="1:17" x14ac:dyDescent="0.3">
      <c r="A520" s="3">
        <v>2033779</v>
      </c>
      <c r="B520">
        <v>14260</v>
      </c>
      <c r="C520">
        <v>1</v>
      </c>
      <c r="D520" s="9">
        <v>102</v>
      </c>
      <c r="E520">
        <v>1002</v>
      </c>
      <c r="F520" s="1">
        <v>44010</v>
      </c>
      <c r="G520" t="s">
        <v>39</v>
      </c>
      <c r="H520" s="4">
        <v>108.25</v>
      </c>
      <c r="I520" s="4" t="s">
        <v>16</v>
      </c>
      <c r="J520" s="4">
        <v>108.25</v>
      </c>
      <c r="K520" t="str">
        <f>IFERROR(INDEX(BusinessUnits!$B:$B,MATCH($C520,BusinessUnits!$A:$A,0)),"")</f>
        <v>FOOD SERVICE</v>
      </c>
      <c r="L520" t="str">
        <f>IFERROR(INDEX(Table1[[#All],[Description]],MATCH($C520,BusinessUnits!$A:$A,0)),"")</f>
        <v xml:space="preserve">Transactions related to food and beverage service. Includes all guest transactions in the hotel restaurants, catering-related transactions and food service payroll. </v>
      </c>
      <c r="M520" t="str">
        <f>IFERROR(INDEX(ChartOfAccounts!B519:B604,MATCH($B520,ChartOfAccounts!A519:A604,0)),"")</f>
        <v/>
      </c>
      <c r="N520" t="str">
        <f>IFERROR(INDEX(ChartOfAccounts!D:D,MATCH($B520,ChartOfAccounts!A519:A604,0)),"")</f>
        <v/>
      </c>
      <c r="O520" t="str">
        <f>IFERROR(INDEX(ChartOfAccounts!F:F,MATCH($B520,ChartOfAccounts!A519:A604,0)),"")</f>
        <v/>
      </c>
      <c r="P520" t="str" cm="1">
        <f t="array" ref="P520">IFERROR(INDEX(PreparerInfo!B519:B531,MATCH($D520&amp;$C520,PreparerInfo!A519:A531&amp;PreparerInfo!C519:C531,0)),"")</f>
        <v/>
      </c>
      <c r="Q520" t="str">
        <f>IFERROR(INDEX(Source!B519:B527,MATCH('Case 4 solution'!E520,Source!A519:A527,0)),"")</f>
        <v/>
      </c>
    </row>
    <row r="521" spans="1:17" x14ac:dyDescent="0.3">
      <c r="A521" s="3">
        <v>2033779</v>
      </c>
      <c r="B521">
        <v>11845</v>
      </c>
      <c r="C521">
        <v>1</v>
      </c>
      <c r="D521" s="9">
        <v>102</v>
      </c>
      <c r="E521">
        <v>1002</v>
      </c>
      <c r="F521" s="1">
        <v>44010</v>
      </c>
      <c r="G521" t="s">
        <v>39</v>
      </c>
      <c r="H521" s="4" t="s">
        <v>16</v>
      </c>
      <c r="I521" s="4">
        <v>-108.25</v>
      </c>
      <c r="J521" s="4">
        <v>-108.25</v>
      </c>
      <c r="K521" t="str">
        <f>IFERROR(INDEX(BusinessUnits!$B:$B,MATCH($C521,BusinessUnits!$A:$A,0)),"")</f>
        <v>FOOD SERVICE</v>
      </c>
      <c r="L521" t="str">
        <f>IFERROR(INDEX(Table1[[#All],[Description]],MATCH($C521,BusinessUnits!$A:$A,0)),"")</f>
        <v xml:space="preserve">Transactions related to food and beverage service. Includes all guest transactions in the hotel restaurants, catering-related transactions and food service payroll. </v>
      </c>
      <c r="M521" t="str">
        <f>IFERROR(INDEX(ChartOfAccounts!B520:B605,MATCH($B521,ChartOfAccounts!A520:A605,0)),"")</f>
        <v/>
      </c>
      <c r="N521" t="str">
        <f>IFERROR(INDEX(ChartOfAccounts!D:D,MATCH($B521,ChartOfAccounts!A520:A605,0)),"")</f>
        <v/>
      </c>
      <c r="O521" t="str">
        <f>IFERROR(INDEX(ChartOfAccounts!F:F,MATCH($B521,ChartOfAccounts!A520:A605,0)),"")</f>
        <v/>
      </c>
      <c r="P521" t="str" cm="1">
        <f t="array" ref="P521">IFERROR(INDEX(PreparerInfo!B520:B532,MATCH($D521&amp;$C521,PreparerInfo!A520:A532&amp;PreparerInfo!C520:C532,0)),"")</f>
        <v/>
      </c>
      <c r="Q521" t="str">
        <f>IFERROR(INDEX(Source!B520:B528,MATCH('Case 4 solution'!E521,Source!A520:A528,0)),"")</f>
        <v/>
      </c>
    </row>
    <row r="522" spans="1:17" x14ac:dyDescent="0.3">
      <c r="A522" s="3">
        <v>2033780</v>
      </c>
      <c r="B522">
        <v>14260</v>
      </c>
      <c r="C522">
        <v>1</v>
      </c>
      <c r="D522" s="9">
        <v>102</v>
      </c>
      <c r="E522">
        <v>1002</v>
      </c>
      <c r="F522" s="1">
        <v>44010</v>
      </c>
      <c r="G522" t="s">
        <v>39</v>
      </c>
      <c r="H522" s="4">
        <v>115.11</v>
      </c>
      <c r="I522" s="4" t="s">
        <v>16</v>
      </c>
      <c r="J522" s="4">
        <v>115.11</v>
      </c>
      <c r="K522" t="str">
        <f>IFERROR(INDEX(BusinessUnits!$B:$B,MATCH($C522,BusinessUnits!$A:$A,0)),"")</f>
        <v>FOOD SERVICE</v>
      </c>
      <c r="L522" t="str">
        <f>IFERROR(INDEX(Table1[[#All],[Description]],MATCH($C522,BusinessUnits!$A:$A,0)),"")</f>
        <v xml:space="preserve">Transactions related to food and beverage service. Includes all guest transactions in the hotel restaurants, catering-related transactions and food service payroll. </v>
      </c>
      <c r="M522" t="str">
        <f>IFERROR(INDEX(ChartOfAccounts!B521:B606,MATCH($B522,ChartOfAccounts!A521:A606,0)),"")</f>
        <v/>
      </c>
      <c r="N522" t="str">
        <f>IFERROR(INDEX(ChartOfAccounts!D:D,MATCH($B522,ChartOfAccounts!A521:A606,0)),"")</f>
        <v/>
      </c>
      <c r="O522" t="str">
        <f>IFERROR(INDEX(ChartOfAccounts!F:F,MATCH($B522,ChartOfAccounts!A521:A606,0)),"")</f>
        <v/>
      </c>
      <c r="P522" t="str" cm="1">
        <f t="array" ref="P522">IFERROR(INDEX(PreparerInfo!B521:B533,MATCH($D522&amp;$C522,PreparerInfo!A521:A533&amp;PreparerInfo!C521:C533,0)),"")</f>
        <v/>
      </c>
      <c r="Q522" t="str">
        <f>IFERROR(INDEX(Source!B521:B529,MATCH('Case 4 solution'!E522,Source!A521:A529,0)),"")</f>
        <v/>
      </c>
    </row>
    <row r="523" spans="1:17" x14ac:dyDescent="0.3">
      <c r="A523" s="3">
        <v>2033780</v>
      </c>
      <c r="B523">
        <v>11845</v>
      </c>
      <c r="C523">
        <v>1</v>
      </c>
      <c r="D523" s="9">
        <v>102</v>
      </c>
      <c r="E523">
        <v>1002</v>
      </c>
      <c r="F523" s="1">
        <v>44010</v>
      </c>
      <c r="G523" t="s">
        <v>39</v>
      </c>
      <c r="H523" s="4" t="s">
        <v>16</v>
      </c>
      <c r="I523" s="4">
        <v>-115.11</v>
      </c>
      <c r="J523" s="4">
        <v>-115.11</v>
      </c>
      <c r="K523" t="str">
        <f>IFERROR(INDEX(BusinessUnits!$B:$B,MATCH($C523,BusinessUnits!$A:$A,0)),"")</f>
        <v>FOOD SERVICE</v>
      </c>
      <c r="L523" t="str">
        <f>IFERROR(INDEX(Table1[[#All],[Description]],MATCH($C523,BusinessUnits!$A:$A,0)),"")</f>
        <v xml:space="preserve">Transactions related to food and beverage service. Includes all guest transactions in the hotel restaurants, catering-related transactions and food service payroll. </v>
      </c>
      <c r="M523" t="str">
        <f>IFERROR(INDEX(ChartOfAccounts!B522:B607,MATCH($B523,ChartOfAccounts!A522:A607,0)),"")</f>
        <v/>
      </c>
      <c r="N523" t="str">
        <f>IFERROR(INDEX(ChartOfAccounts!D:D,MATCH($B523,ChartOfAccounts!A522:A607,0)),"")</f>
        <v/>
      </c>
      <c r="O523" t="str">
        <f>IFERROR(INDEX(ChartOfAccounts!F:F,MATCH($B523,ChartOfAccounts!A522:A607,0)),"")</f>
        <v/>
      </c>
      <c r="P523" t="str" cm="1">
        <f t="array" ref="P523">IFERROR(INDEX(PreparerInfo!B522:B534,MATCH($D523&amp;$C523,PreparerInfo!A522:A534&amp;PreparerInfo!C522:C534,0)),"")</f>
        <v/>
      </c>
      <c r="Q523" t="str">
        <f>IFERROR(INDEX(Source!B522:B530,MATCH('Case 4 solution'!E523,Source!A522:A530,0)),"")</f>
        <v/>
      </c>
    </row>
    <row r="524" spans="1:17" x14ac:dyDescent="0.3">
      <c r="A524" s="3">
        <v>2033781</v>
      </c>
      <c r="B524">
        <v>11845</v>
      </c>
      <c r="C524">
        <v>2</v>
      </c>
      <c r="D524" s="9">
        <v>104</v>
      </c>
      <c r="E524">
        <v>1003</v>
      </c>
      <c r="F524" s="1">
        <v>44010</v>
      </c>
      <c r="G524" t="s">
        <v>241</v>
      </c>
      <c r="H524" s="4">
        <v>129</v>
      </c>
      <c r="I524" s="4" t="s">
        <v>16</v>
      </c>
      <c r="J524" s="4">
        <v>129</v>
      </c>
      <c r="K524" t="str">
        <f>IFERROR(INDEX(BusinessUnits!$B:$B,MATCH($C524,BusinessUnits!$A:$A,0)),"")</f>
        <v>HOTEL</v>
      </c>
      <c r="L524" t="str">
        <f>IFERROR(INDEX(Table1[[#All],[Description]],MATCH($C524,BusinessUnits!$A:$A,0)),"")</f>
        <v xml:space="preserve">Transactions related to guest rooms and overall hotel operations. Includes payroll for administrative staff, clerks and interns. </v>
      </c>
      <c r="M524" t="str">
        <f>IFERROR(INDEX(ChartOfAccounts!B523:B608,MATCH($B524,ChartOfAccounts!A523:A608,0)),"")</f>
        <v/>
      </c>
      <c r="N524" t="str">
        <f>IFERROR(INDEX(ChartOfAccounts!D:D,MATCH($B524,ChartOfAccounts!A523:A608,0)),"")</f>
        <v/>
      </c>
      <c r="O524" t="str">
        <f>IFERROR(INDEX(ChartOfAccounts!F:F,MATCH($B524,ChartOfAccounts!A523:A608,0)),"")</f>
        <v/>
      </c>
      <c r="P524" t="str" cm="1">
        <f t="array" ref="P524">IFERROR(INDEX(PreparerInfo!B523:B535,MATCH($D524&amp;$C524,PreparerInfo!A523:A535&amp;PreparerInfo!C523:C535,0)),"")</f>
        <v/>
      </c>
      <c r="Q524" t="str">
        <f>IFERROR(INDEX(Source!B523:B531,MATCH('Case 4 solution'!E524,Source!A523:A531,0)),"")</f>
        <v/>
      </c>
    </row>
    <row r="525" spans="1:17" x14ac:dyDescent="0.3">
      <c r="A525" s="3">
        <v>2033781</v>
      </c>
      <c r="B525">
        <v>43180</v>
      </c>
      <c r="C525">
        <v>2</v>
      </c>
      <c r="D525" s="9">
        <v>104</v>
      </c>
      <c r="E525">
        <v>1003</v>
      </c>
      <c r="F525" s="1">
        <v>44010</v>
      </c>
      <c r="G525" t="s">
        <v>241</v>
      </c>
      <c r="H525" s="4" t="s">
        <v>16</v>
      </c>
      <c r="I525" s="4">
        <v>-129</v>
      </c>
      <c r="J525" s="4">
        <v>-129</v>
      </c>
      <c r="K525" t="str">
        <f>IFERROR(INDEX(BusinessUnits!$B:$B,MATCH($C525,BusinessUnits!$A:$A,0)),"")</f>
        <v>HOTEL</v>
      </c>
      <c r="L525" t="str">
        <f>IFERROR(INDEX(Table1[[#All],[Description]],MATCH($C525,BusinessUnits!$A:$A,0)),"")</f>
        <v xml:space="preserve">Transactions related to guest rooms and overall hotel operations. Includes payroll for administrative staff, clerks and interns. </v>
      </c>
      <c r="M525" t="str">
        <f>IFERROR(INDEX(ChartOfAccounts!B524:B609,MATCH($B525,ChartOfAccounts!A524:A609,0)),"")</f>
        <v/>
      </c>
      <c r="N525" t="str">
        <f>IFERROR(INDEX(ChartOfAccounts!D:D,MATCH($B525,ChartOfAccounts!A524:A609,0)),"")</f>
        <v/>
      </c>
      <c r="O525" t="str">
        <f>IFERROR(INDEX(ChartOfAccounts!F:F,MATCH($B525,ChartOfAccounts!A524:A609,0)),"")</f>
        <v/>
      </c>
      <c r="P525" t="str" cm="1">
        <f t="array" ref="P525">IFERROR(INDEX(PreparerInfo!B524:B536,MATCH($D525&amp;$C525,PreparerInfo!A524:A536&amp;PreparerInfo!C524:C536,0)),"")</f>
        <v/>
      </c>
      <c r="Q525" t="str">
        <f>IFERROR(INDEX(Source!B524:B532,MATCH('Case 4 solution'!E525,Source!A524:A532,0)),"")</f>
        <v/>
      </c>
    </row>
    <row r="526" spans="1:17" x14ac:dyDescent="0.3">
      <c r="A526" s="3">
        <v>2033782</v>
      </c>
      <c r="B526">
        <v>51402</v>
      </c>
      <c r="C526">
        <v>2</v>
      </c>
      <c r="D526" s="9">
        <v>105</v>
      </c>
      <c r="E526">
        <v>1006</v>
      </c>
      <c r="F526" s="1">
        <v>44010</v>
      </c>
      <c r="G526" t="s">
        <v>93</v>
      </c>
      <c r="H526" s="4">
        <v>167.08</v>
      </c>
      <c r="I526" s="4" t="s">
        <v>16</v>
      </c>
      <c r="J526" s="4">
        <v>167.08</v>
      </c>
      <c r="K526" t="str">
        <f>IFERROR(INDEX(BusinessUnits!$B:$B,MATCH($C526,BusinessUnits!$A:$A,0)),"")</f>
        <v>HOTEL</v>
      </c>
      <c r="L526" t="str">
        <f>IFERROR(INDEX(Table1[[#All],[Description]],MATCH($C526,BusinessUnits!$A:$A,0)),"")</f>
        <v xml:space="preserve">Transactions related to guest rooms and overall hotel operations. Includes payroll for administrative staff, clerks and interns. </v>
      </c>
      <c r="M526" t="str">
        <f>IFERROR(INDEX(ChartOfAccounts!B525:B610,MATCH($B526,ChartOfAccounts!A525:A610,0)),"")</f>
        <v/>
      </c>
      <c r="N526" t="str">
        <f>IFERROR(INDEX(ChartOfAccounts!D:D,MATCH($B526,ChartOfAccounts!A525:A610,0)),"")</f>
        <v/>
      </c>
      <c r="O526" t="str">
        <f>IFERROR(INDEX(ChartOfAccounts!F:F,MATCH($B526,ChartOfAccounts!A525:A610,0)),"")</f>
        <v/>
      </c>
      <c r="P526" t="str" cm="1">
        <f t="array" ref="P526">IFERROR(INDEX(PreparerInfo!B525:B537,MATCH($D526&amp;$C526,PreparerInfo!A525:A537&amp;PreparerInfo!C525:C537,0)),"")</f>
        <v/>
      </c>
      <c r="Q526" t="str">
        <f>IFERROR(INDEX(Source!B525:B533,MATCH('Case 4 solution'!E526,Source!A525:A533,0)),"")</f>
        <v/>
      </c>
    </row>
    <row r="527" spans="1:17" x14ac:dyDescent="0.3">
      <c r="A527" s="3">
        <v>2033782</v>
      </c>
      <c r="B527">
        <v>22110</v>
      </c>
      <c r="C527">
        <v>2</v>
      </c>
      <c r="D527" s="9">
        <v>105</v>
      </c>
      <c r="E527">
        <v>1006</v>
      </c>
      <c r="F527" s="1">
        <v>44010</v>
      </c>
      <c r="G527" t="s">
        <v>93</v>
      </c>
      <c r="H527" s="4" t="s">
        <v>16</v>
      </c>
      <c r="I527" s="4">
        <v>-167.08</v>
      </c>
      <c r="J527" s="4">
        <v>-167.08</v>
      </c>
      <c r="K527" t="str">
        <f>IFERROR(INDEX(BusinessUnits!$B:$B,MATCH($C527,BusinessUnits!$A:$A,0)),"")</f>
        <v>HOTEL</v>
      </c>
      <c r="L527" t="str">
        <f>IFERROR(INDEX(Table1[[#All],[Description]],MATCH($C527,BusinessUnits!$A:$A,0)),"")</f>
        <v xml:space="preserve">Transactions related to guest rooms and overall hotel operations. Includes payroll for administrative staff, clerks and interns. </v>
      </c>
      <c r="M527" t="str">
        <f>IFERROR(INDEX(ChartOfAccounts!B526:B611,MATCH($B527,ChartOfAccounts!A526:A611,0)),"")</f>
        <v/>
      </c>
      <c r="N527" t="str">
        <f>IFERROR(INDEX(ChartOfAccounts!D:D,MATCH($B527,ChartOfAccounts!A526:A611,0)),"")</f>
        <v/>
      </c>
      <c r="O527" t="str">
        <f>IFERROR(INDEX(ChartOfAccounts!F:F,MATCH($B527,ChartOfAccounts!A526:A611,0)),"")</f>
        <v/>
      </c>
      <c r="P527" t="str" cm="1">
        <f t="array" ref="P527">IFERROR(INDEX(PreparerInfo!B526:B538,MATCH($D527&amp;$C527,PreparerInfo!A526:A538&amp;PreparerInfo!C526:C538,0)),"")</f>
        <v/>
      </c>
      <c r="Q527" t="str">
        <f>IFERROR(INDEX(Source!B526:B534,MATCH('Case 4 solution'!E527,Source!A526:A534,0)),"")</f>
        <v/>
      </c>
    </row>
    <row r="528" spans="1:17" x14ac:dyDescent="0.3">
      <c r="A528" s="3">
        <v>2033783</v>
      </c>
      <c r="B528">
        <v>11845</v>
      </c>
      <c r="C528">
        <v>1</v>
      </c>
      <c r="D528" s="9">
        <v>106</v>
      </c>
      <c r="E528">
        <v>1003</v>
      </c>
      <c r="F528" s="1">
        <v>44010</v>
      </c>
      <c r="G528" t="s">
        <v>80</v>
      </c>
      <c r="H528" s="4">
        <v>172.08</v>
      </c>
      <c r="I528" s="4" t="s">
        <v>16</v>
      </c>
      <c r="J528" s="4">
        <v>172.08</v>
      </c>
      <c r="K528" t="str">
        <f>IFERROR(INDEX(BusinessUnits!$B:$B,MATCH($C528,BusinessUnits!$A:$A,0)),"")</f>
        <v>FOOD SERVICE</v>
      </c>
      <c r="L528" t="str">
        <f>IFERROR(INDEX(Table1[[#All],[Description]],MATCH($C528,BusinessUnits!$A:$A,0)),"")</f>
        <v xml:space="preserve">Transactions related to food and beverage service. Includes all guest transactions in the hotel restaurants, catering-related transactions and food service payroll. </v>
      </c>
      <c r="M528" t="str">
        <f>IFERROR(INDEX(ChartOfAccounts!B527:B612,MATCH($B528,ChartOfAccounts!A527:A612,0)),"")</f>
        <v/>
      </c>
      <c r="N528" t="str">
        <f>IFERROR(INDEX(ChartOfAccounts!D:D,MATCH($B528,ChartOfAccounts!A527:A612,0)),"")</f>
        <v/>
      </c>
      <c r="O528" t="str">
        <f>IFERROR(INDEX(ChartOfAccounts!F:F,MATCH($B528,ChartOfAccounts!A527:A612,0)),"")</f>
        <v/>
      </c>
      <c r="P528" t="str" cm="1">
        <f t="array" ref="P528">IFERROR(INDEX(PreparerInfo!B527:B539,MATCH($D528&amp;$C528,PreparerInfo!A527:A539&amp;PreparerInfo!C527:C539,0)),"")</f>
        <v/>
      </c>
      <c r="Q528" t="str">
        <f>IFERROR(INDEX(Source!B527:B535,MATCH('Case 4 solution'!E528,Source!A527:A535,0)),"")</f>
        <v/>
      </c>
    </row>
    <row r="529" spans="1:17" x14ac:dyDescent="0.3">
      <c r="A529" s="3">
        <v>2033783</v>
      </c>
      <c r="B529">
        <v>43310</v>
      </c>
      <c r="C529">
        <v>1</v>
      </c>
      <c r="D529" s="9">
        <v>106</v>
      </c>
      <c r="E529">
        <v>1003</v>
      </c>
      <c r="F529" s="1">
        <v>44010</v>
      </c>
      <c r="G529" t="s">
        <v>80</v>
      </c>
      <c r="H529" s="4" t="s">
        <v>16</v>
      </c>
      <c r="I529" s="4">
        <v>-172.08</v>
      </c>
      <c r="J529" s="4">
        <v>-172.08</v>
      </c>
      <c r="K529" t="str">
        <f>IFERROR(INDEX(BusinessUnits!$B:$B,MATCH($C529,BusinessUnits!$A:$A,0)),"")</f>
        <v>FOOD SERVICE</v>
      </c>
      <c r="L529" t="str">
        <f>IFERROR(INDEX(Table1[[#All],[Description]],MATCH($C529,BusinessUnits!$A:$A,0)),"")</f>
        <v xml:space="preserve">Transactions related to food and beverage service. Includes all guest transactions in the hotel restaurants, catering-related transactions and food service payroll. </v>
      </c>
      <c r="M529" t="str">
        <f>IFERROR(INDEX(ChartOfAccounts!B528:B613,MATCH($B529,ChartOfAccounts!A528:A613,0)),"")</f>
        <v/>
      </c>
      <c r="N529" t="str">
        <f>IFERROR(INDEX(ChartOfAccounts!D:D,MATCH($B529,ChartOfAccounts!A528:A613,0)),"")</f>
        <v/>
      </c>
      <c r="O529" t="str">
        <f>IFERROR(INDEX(ChartOfAccounts!F:F,MATCH($B529,ChartOfAccounts!A528:A613,0)),"")</f>
        <v/>
      </c>
      <c r="P529" t="str" cm="1">
        <f t="array" ref="P529">IFERROR(INDEX(PreparerInfo!B528:B540,MATCH($D529&amp;$C529,PreparerInfo!A528:A540&amp;PreparerInfo!C528:C540,0)),"")</f>
        <v/>
      </c>
      <c r="Q529" t="str">
        <f>IFERROR(INDEX(Source!B528:B536,MATCH('Case 4 solution'!E529,Source!A528:A536,0)),"")</f>
        <v/>
      </c>
    </row>
    <row r="530" spans="1:17" x14ac:dyDescent="0.3">
      <c r="A530" s="3">
        <v>2033784</v>
      </c>
      <c r="B530">
        <v>14260</v>
      </c>
      <c r="C530">
        <v>1</v>
      </c>
      <c r="D530" s="9">
        <v>102</v>
      </c>
      <c r="E530">
        <v>1002</v>
      </c>
      <c r="F530" s="1">
        <v>44010</v>
      </c>
      <c r="G530" t="s">
        <v>47</v>
      </c>
      <c r="H530" s="4">
        <v>185.97</v>
      </c>
      <c r="I530" s="4" t="s">
        <v>16</v>
      </c>
      <c r="J530" s="4">
        <v>185.97</v>
      </c>
      <c r="K530" t="str">
        <f>IFERROR(INDEX(BusinessUnits!$B:$B,MATCH($C530,BusinessUnits!$A:$A,0)),"")</f>
        <v>FOOD SERVICE</v>
      </c>
      <c r="L530" t="str">
        <f>IFERROR(INDEX(Table1[[#All],[Description]],MATCH($C530,BusinessUnits!$A:$A,0)),"")</f>
        <v xml:space="preserve">Transactions related to food and beverage service. Includes all guest transactions in the hotel restaurants, catering-related transactions and food service payroll. </v>
      </c>
      <c r="M530" t="str">
        <f>IFERROR(INDEX(ChartOfAccounts!B529:B614,MATCH($B530,ChartOfAccounts!A529:A614,0)),"")</f>
        <v/>
      </c>
      <c r="N530" t="str">
        <f>IFERROR(INDEX(ChartOfAccounts!D:D,MATCH($B530,ChartOfAccounts!A529:A614,0)),"")</f>
        <v/>
      </c>
      <c r="O530" t="str">
        <f>IFERROR(INDEX(ChartOfAccounts!F:F,MATCH($B530,ChartOfAccounts!A529:A614,0)),"")</f>
        <v/>
      </c>
      <c r="P530" t="str" cm="1">
        <f t="array" ref="P530">IFERROR(INDEX(PreparerInfo!B529:B541,MATCH($D530&amp;$C530,PreparerInfo!A529:A541&amp;PreparerInfo!C529:C541,0)),"")</f>
        <v/>
      </c>
      <c r="Q530" t="str">
        <f>IFERROR(INDEX(Source!B529:B537,MATCH('Case 4 solution'!E530,Source!A529:A537,0)),"")</f>
        <v/>
      </c>
    </row>
    <row r="531" spans="1:17" x14ac:dyDescent="0.3">
      <c r="A531" s="3">
        <v>2033784</v>
      </c>
      <c r="B531">
        <v>11845</v>
      </c>
      <c r="C531">
        <v>1</v>
      </c>
      <c r="D531" s="9">
        <v>102</v>
      </c>
      <c r="E531">
        <v>1002</v>
      </c>
      <c r="F531" s="1">
        <v>44010</v>
      </c>
      <c r="G531" t="s">
        <v>47</v>
      </c>
      <c r="H531" s="4" t="s">
        <v>16</v>
      </c>
      <c r="I531" s="4">
        <v>-185.97</v>
      </c>
      <c r="J531" s="4">
        <v>-185.97</v>
      </c>
      <c r="K531" t="str">
        <f>IFERROR(INDEX(BusinessUnits!$B:$B,MATCH($C531,BusinessUnits!$A:$A,0)),"")</f>
        <v>FOOD SERVICE</v>
      </c>
      <c r="L531" t="str">
        <f>IFERROR(INDEX(Table1[[#All],[Description]],MATCH($C531,BusinessUnits!$A:$A,0)),"")</f>
        <v xml:space="preserve">Transactions related to food and beverage service. Includes all guest transactions in the hotel restaurants, catering-related transactions and food service payroll. </v>
      </c>
      <c r="M531" t="str">
        <f>IFERROR(INDEX(ChartOfAccounts!B530:B615,MATCH($B531,ChartOfAccounts!A530:A615,0)),"")</f>
        <v/>
      </c>
      <c r="N531" t="str">
        <f>IFERROR(INDEX(ChartOfAccounts!D:D,MATCH($B531,ChartOfAccounts!A530:A615,0)),"")</f>
        <v/>
      </c>
      <c r="O531" t="str">
        <f>IFERROR(INDEX(ChartOfAccounts!F:F,MATCH($B531,ChartOfAccounts!A530:A615,0)),"")</f>
        <v/>
      </c>
      <c r="P531" t="str" cm="1">
        <f t="array" ref="P531">IFERROR(INDEX(PreparerInfo!B530:B542,MATCH($D531&amp;$C531,PreparerInfo!A530:A542&amp;PreparerInfo!C530:C542,0)),"")</f>
        <v/>
      </c>
      <c r="Q531" t="str">
        <f>IFERROR(INDEX(Source!B530:B538,MATCH('Case 4 solution'!E531,Source!A530:A538,0)),"")</f>
        <v/>
      </c>
    </row>
    <row r="532" spans="1:17" x14ac:dyDescent="0.3">
      <c r="A532" s="3">
        <v>2033785</v>
      </c>
      <c r="B532">
        <v>51620</v>
      </c>
      <c r="C532">
        <v>1</v>
      </c>
      <c r="D532" s="9">
        <v>105</v>
      </c>
      <c r="E532">
        <v>1006</v>
      </c>
      <c r="F532" s="1">
        <v>44010</v>
      </c>
      <c r="G532" t="s">
        <v>91</v>
      </c>
      <c r="H532" s="4">
        <v>195.16</v>
      </c>
      <c r="I532" s="4" t="s">
        <v>16</v>
      </c>
      <c r="J532" s="4">
        <v>195.16</v>
      </c>
      <c r="K532" t="str">
        <f>IFERROR(INDEX(BusinessUnits!$B:$B,MATCH($C532,BusinessUnits!$A:$A,0)),"")</f>
        <v>FOOD SERVICE</v>
      </c>
      <c r="L532" t="str">
        <f>IFERROR(INDEX(Table1[[#All],[Description]],MATCH($C532,BusinessUnits!$A:$A,0)),"")</f>
        <v xml:space="preserve">Transactions related to food and beverage service. Includes all guest transactions in the hotel restaurants, catering-related transactions and food service payroll. </v>
      </c>
      <c r="M532" t="str">
        <f>IFERROR(INDEX(ChartOfAccounts!B531:B616,MATCH($B532,ChartOfAccounts!A531:A616,0)),"")</f>
        <v/>
      </c>
      <c r="N532" t="str">
        <f>IFERROR(INDEX(ChartOfAccounts!D:D,MATCH($B532,ChartOfAccounts!A531:A616,0)),"")</f>
        <v/>
      </c>
      <c r="O532" t="str">
        <f>IFERROR(INDEX(ChartOfAccounts!F:F,MATCH($B532,ChartOfAccounts!A531:A616,0)),"")</f>
        <v/>
      </c>
      <c r="P532" t="str" cm="1">
        <f t="array" ref="P532">IFERROR(INDEX(PreparerInfo!B531:B543,MATCH($D532&amp;$C532,PreparerInfo!A531:A543&amp;PreparerInfo!C531:C543,0)),"")</f>
        <v/>
      </c>
      <c r="Q532" t="str">
        <f>IFERROR(INDEX(Source!B531:B539,MATCH('Case 4 solution'!E532,Source!A531:A539,0)),"")</f>
        <v/>
      </c>
    </row>
    <row r="533" spans="1:17" x14ac:dyDescent="0.3">
      <c r="A533" s="3">
        <v>2033785</v>
      </c>
      <c r="B533">
        <v>22110</v>
      </c>
      <c r="C533">
        <v>1</v>
      </c>
      <c r="D533" s="9">
        <v>105</v>
      </c>
      <c r="E533">
        <v>1006</v>
      </c>
      <c r="F533" s="1">
        <v>44010</v>
      </c>
      <c r="G533" t="s">
        <v>91</v>
      </c>
      <c r="H533" s="4" t="s">
        <v>16</v>
      </c>
      <c r="I533" s="4">
        <v>-195.16</v>
      </c>
      <c r="J533" s="4">
        <v>-195.16</v>
      </c>
      <c r="K533" t="str">
        <f>IFERROR(INDEX(BusinessUnits!$B:$B,MATCH($C533,BusinessUnits!$A:$A,0)),"")</f>
        <v>FOOD SERVICE</v>
      </c>
      <c r="L533" t="str">
        <f>IFERROR(INDEX(Table1[[#All],[Description]],MATCH($C533,BusinessUnits!$A:$A,0)),"")</f>
        <v xml:space="preserve">Transactions related to food and beverage service. Includes all guest transactions in the hotel restaurants, catering-related transactions and food service payroll. </v>
      </c>
      <c r="M533" t="str">
        <f>IFERROR(INDEX(ChartOfAccounts!B532:B617,MATCH($B533,ChartOfAccounts!A532:A617,0)),"")</f>
        <v/>
      </c>
      <c r="N533" t="str">
        <f>IFERROR(INDEX(ChartOfAccounts!D:D,MATCH($B533,ChartOfAccounts!A532:A617,0)),"")</f>
        <v/>
      </c>
      <c r="O533" t="str">
        <f>IFERROR(INDEX(ChartOfAccounts!F:F,MATCH($B533,ChartOfAccounts!A532:A617,0)),"")</f>
        <v/>
      </c>
      <c r="P533" t="str" cm="1">
        <f t="array" ref="P533">IFERROR(INDEX(PreparerInfo!B532:B544,MATCH($D533&amp;$C533,PreparerInfo!A532:A544&amp;PreparerInfo!C532:C544,0)),"")</f>
        <v/>
      </c>
      <c r="Q533" t="str">
        <f>IFERROR(INDEX(Source!B532:B540,MATCH('Case 4 solution'!E533,Source!A532:A540,0)),"")</f>
        <v/>
      </c>
    </row>
    <row r="534" spans="1:17" x14ac:dyDescent="0.3">
      <c r="A534" s="3">
        <v>2033786</v>
      </c>
      <c r="B534">
        <v>11845</v>
      </c>
      <c r="C534">
        <v>2</v>
      </c>
      <c r="D534" s="9">
        <v>104</v>
      </c>
      <c r="E534">
        <v>1003</v>
      </c>
      <c r="F534" s="1">
        <v>44010</v>
      </c>
      <c r="G534" t="s">
        <v>242</v>
      </c>
      <c r="H534" s="4">
        <v>198</v>
      </c>
      <c r="I534" s="4" t="s">
        <v>16</v>
      </c>
      <c r="J534" s="4">
        <v>198</v>
      </c>
      <c r="K534" t="str">
        <f>IFERROR(INDEX(BusinessUnits!$B:$B,MATCH($C534,BusinessUnits!$A:$A,0)),"")</f>
        <v>HOTEL</v>
      </c>
      <c r="L534" t="str">
        <f>IFERROR(INDEX(Table1[[#All],[Description]],MATCH($C534,BusinessUnits!$A:$A,0)),"")</f>
        <v xml:space="preserve">Transactions related to guest rooms and overall hotel operations. Includes payroll for administrative staff, clerks and interns. </v>
      </c>
      <c r="M534" t="str">
        <f>IFERROR(INDEX(ChartOfAccounts!B533:B618,MATCH($B534,ChartOfAccounts!A533:A618,0)),"")</f>
        <v/>
      </c>
      <c r="N534" t="str">
        <f>IFERROR(INDEX(ChartOfAccounts!D:D,MATCH($B534,ChartOfAccounts!A533:A618,0)),"")</f>
        <v/>
      </c>
      <c r="O534" t="str">
        <f>IFERROR(INDEX(ChartOfAccounts!F:F,MATCH($B534,ChartOfAccounts!A533:A618,0)),"")</f>
        <v/>
      </c>
      <c r="P534" t="str" cm="1">
        <f t="array" ref="P534">IFERROR(INDEX(PreparerInfo!B533:B545,MATCH($D534&amp;$C534,PreparerInfo!A533:A545&amp;PreparerInfo!C533:C545,0)),"")</f>
        <v/>
      </c>
      <c r="Q534" t="str">
        <f>IFERROR(INDEX(Source!B533:B541,MATCH('Case 4 solution'!E534,Source!A533:A541,0)),"")</f>
        <v/>
      </c>
    </row>
    <row r="535" spans="1:17" x14ac:dyDescent="0.3">
      <c r="A535" s="3">
        <v>2033786</v>
      </c>
      <c r="B535">
        <v>43180</v>
      </c>
      <c r="C535">
        <v>2</v>
      </c>
      <c r="D535" s="9">
        <v>104</v>
      </c>
      <c r="E535">
        <v>1003</v>
      </c>
      <c r="F535" s="1">
        <v>44010</v>
      </c>
      <c r="G535" t="s">
        <v>242</v>
      </c>
      <c r="H535" s="4" t="s">
        <v>16</v>
      </c>
      <c r="I535" s="4">
        <v>-198</v>
      </c>
      <c r="J535" s="4">
        <v>-198</v>
      </c>
      <c r="K535" t="str">
        <f>IFERROR(INDEX(BusinessUnits!$B:$B,MATCH($C535,BusinessUnits!$A:$A,0)),"")</f>
        <v>HOTEL</v>
      </c>
      <c r="L535" t="str">
        <f>IFERROR(INDEX(Table1[[#All],[Description]],MATCH($C535,BusinessUnits!$A:$A,0)),"")</f>
        <v xml:space="preserve">Transactions related to guest rooms and overall hotel operations. Includes payroll for administrative staff, clerks and interns. </v>
      </c>
      <c r="M535" t="str">
        <f>IFERROR(INDEX(ChartOfAccounts!B534:B619,MATCH($B535,ChartOfAccounts!A534:A619,0)),"")</f>
        <v/>
      </c>
      <c r="N535" t="str">
        <f>IFERROR(INDEX(ChartOfAccounts!D:D,MATCH($B535,ChartOfAccounts!A534:A619,0)),"")</f>
        <v/>
      </c>
      <c r="O535" t="str">
        <f>IFERROR(INDEX(ChartOfAccounts!F:F,MATCH($B535,ChartOfAccounts!A534:A619,0)),"")</f>
        <v/>
      </c>
      <c r="P535" t="str" cm="1">
        <f t="array" ref="P535">IFERROR(INDEX(PreparerInfo!B534:B546,MATCH($D535&amp;$C535,PreparerInfo!A534:A546&amp;PreparerInfo!C534:C546,0)),"")</f>
        <v/>
      </c>
      <c r="Q535" t="str">
        <f>IFERROR(INDEX(Source!B534:B542,MATCH('Case 4 solution'!E535,Source!A534:A542,0)),"")</f>
        <v/>
      </c>
    </row>
    <row r="536" spans="1:17" x14ac:dyDescent="0.3">
      <c r="A536" s="3">
        <v>2033787</v>
      </c>
      <c r="B536">
        <v>14260</v>
      </c>
      <c r="C536">
        <v>1</v>
      </c>
      <c r="D536" s="9">
        <v>102</v>
      </c>
      <c r="E536">
        <v>1002</v>
      </c>
      <c r="F536" s="1">
        <v>44010</v>
      </c>
      <c r="G536" t="s">
        <v>47</v>
      </c>
      <c r="H536" s="4">
        <v>198</v>
      </c>
      <c r="I536" s="4" t="s">
        <v>16</v>
      </c>
      <c r="J536" s="4">
        <v>198</v>
      </c>
      <c r="K536" t="str">
        <f>IFERROR(INDEX(BusinessUnits!$B:$B,MATCH($C536,BusinessUnits!$A:$A,0)),"")</f>
        <v>FOOD SERVICE</v>
      </c>
      <c r="L536" t="str">
        <f>IFERROR(INDEX(Table1[[#All],[Description]],MATCH($C536,BusinessUnits!$A:$A,0)),"")</f>
        <v xml:space="preserve">Transactions related to food and beverage service. Includes all guest transactions in the hotel restaurants, catering-related transactions and food service payroll. </v>
      </c>
      <c r="M536" t="str">
        <f>IFERROR(INDEX(ChartOfAccounts!B535:B620,MATCH($B536,ChartOfAccounts!A535:A620,0)),"")</f>
        <v/>
      </c>
      <c r="N536" t="str">
        <f>IFERROR(INDEX(ChartOfAccounts!D:D,MATCH($B536,ChartOfAccounts!A535:A620,0)),"")</f>
        <v/>
      </c>
      <c r="O536" t="str">
        <f>IFERROR(INDEX(ChartOfAccounts!F:F,MATCH($B536,ChartOfAccounts!A535:A620,0)),"")</f>
        <v/>
      </c>
      <c r="P536" t="str" cm="1">
        <f t="array" ref="P536">IFERROR(INDEX(PreparerInfo!B535:B547,MATCH($D536&amp;$C536,PreparerInfo!A535:A547&amp;PreparerInfo!C535:C547,0)),"")</f>
        <v/>
      </c>
      <c r="Q536" t="str">
        <f>IFERROR(INDEX(Source!B535:B543,MATCH('Case 4 solution'!E536,Source!A535:A543,0)),"")</f>
        <v/>
      </c>
    </row>
    <row r="537" spans="1:17" x14ac:dyDescent="0.3">
      <c r="A537" s="3">
        <v>2033787</v>
      </c>
      <c r="B537">
        <v>11845</v>
      </c>
      <c r="C537">
        <v>1</v>
      </c>
      <c r="D537" s="9">
        <v>102</v>
      </c>
      <c r="E537">
        <v>1002</v>
      </c>
      <c r="F537" s="1">
        <v>44010</v>
      </c>
      <c r="G537" t="s">
        <v>47</v>
      </c>
      <c r="H537" s="4" t="s">
        <v>16</v>
      </c>
      <c r="I537" s="4">
        <v>-198</v>
      </c>
      <c r="J537" s="4">
        <v>-198</v>
      </c>
      <c r="K537" t="str">
        <f>IFERROR(INDEX(BusinessUnits!$B:$B,MATCH($C537,BusinessUnits!$A:$A,0)),"")</f>
        <v>FOOD SERVICE</v>
      </c>
      <c r="L537" t="str">
        <f>IFERROR(INDEX(Table1[[#All],[Description]],MATCH($C537,BusinessUnits!$A:$A,0)),"")</f>
        <v xml:space="preserve">Transactions related to food and beverage service. Includes all guest transactions in the hotel restaurants, catering-related transactions and food service payroll. </v>
      </c>
      <c r="M537" t="str">
        <f>IFERROR(INDEX(ChartOfAccounts!B536:B621,MATCH($B537,ChartOfAccounts!A536:A621,0)),"")</f>
        <v/>
      </c>
      <c r="N537" t="str">
        <f>IFERROR(INDEX(ChartOfAccounts!D:D,MATCH($B537,ChartOfAccounts!A536:A621,0)),"")</f>
        <v/>
      </c>
      <c r="O537" t="str">
        <f>IFERROR(INDEX(ChartOfAccounts!F:F,MATCH($B537,ChartOfAccounts!A536:A621,0)),"")</f>
        <v/>
      </c>
      <c r="P537" t="str" cm="1">
        <f t="array" ref="P537">IFERROR(INDEX(PreparerInfo!B536:B548,MATCH($D537&amp;$C537,PreparerInfo!A536:A548&amp;PreparerInfo!C536:C548,0)),"")</f>
        <v/>
      </c>
      <c r="Q537" t="str">
        <f>IFERROR(INDEX(Source!B536:B544,MATCH('Case 4 solution'!E537,Source!A536:A544,0)),"")</f>
        <v/>
      </c>
    </row>
    <row r="538" spans="1:17" x14ac:dyDescent="0.3">
      <c r="A538" s="3">
        <v>2033788</v>
      </c>
      <c r="B538">
        <v>51400</v>
      </c>
      <c r="C538">
        <v>6</v>
      </c>
      <c r="D538" s="9">
        <v>105</v>
      </c>
      <c r="E538">
        <v>1006</v>
      </c>
      <c r="F538" s="1">
        <v>44010</v>
      </c>
      <c r="G538" t="s">
        <v>93</v>
      </c>
      <c r="H538" s="4">
        <v>204.48</v>
      </c>
      <c r="I538" s="4" t="s">
        <v>16</v>
      </c>
      <c r="J538" s="4">
        <v>204.48</v>
      </c>
      <c r="K538" t="str">
        <f>IFERROR(INDEX(BusinessUnits!$B:$B,MATCH($C538,BusinessUnits!$A:$A,0)),"")</f>
        <v>MAINTENANCE</v>
      </c>
      <c r="L538" t="str">
        <f>IFERROR(INDEX(Table1[[#All],[Description]],MATCH($C538,BusinessUnits!$A:$A,0)),"")</f>
        <v>Transactions related to the hotel Maintenance Department. Primarily includes payroll for maintenance, grounds keepers and related supplies.</v>
      </c>
      <c r="M538" t="str">
        <f>IFERROR(INDEX(ChartOfAccounts!B537:B622,MATCH($B538,ChartOfAccounts!A537:A622,0)),"")</f>
        <v/>
      </c>
      <c r="N538" t="str">
        <f>IFERROR(INDEX(ChartOfAccounts!D:D,MATCH($B538,ChartOfAccounts!A537:A622,0)),"")</f>
        <v/>
      </c>
      <c r="O538" t="str">
        <f>IFERROR(INDEX(ChartOfAccounts!F:F,MATCH($B538,ChartOfAccounts!A537:A622,0)),"")</f>
        <v/>
      </c>
      <c r="P538" t="str" cm="1">
        <f t="array" ref="P538">IFERROR(INDEX(PreparerInfo!B537:B549,MATCH($D538&amp;$C538,PreparerInfo!A537:A549&amp;PreparerInfo!C537:C549,0)),"")</f>
        <v/>
      </c>
      <c r="Q538" t="str">
        <f>IFERROR(INDEX(Source!B537:B545,MATCH('Case 4 solution'!E538,Source!A537:A545,0)),"")</f>
        <v/>
      </c>
    </row>
    <row r="539" spans="1:17" x14ac:dyDescent="0.3">
      <c r="A539" s="3">
        <v>2033788</v>
      </c>
      <c r="B539">
        <v>22110</v>
      </c>
      <c r="C539">
        <v>6</v>
      </c>
      <c r="D539" s="9">
        <v>105</v>
      </c>
      <c r="E539">
        <v>1006</v>
      </c>
      <c r="F539" s="1">
        <v>44010</v>
      </c>
      <c r="G539" t="s">
        <v>93</v>
      </c>
      <c r="H539" s="4" t="s">
        <v>16</v>
      </c>
      <c r="I539" s="4">
        <v>-204.48</v>
      </c>
      <c r="J539" s="4">
        <v>-204.48</v>
      </c>
      <c r="K539" t="str">
        <f>IFERROR(INDEX(BusinessUnits!$B:$B,MATCH($C539,BusinessUnits!$A:$A,0)),"")</f>
        <v>MAINTENANCE</v>
      </c>
      <c r="L539" t="str">
        <f>IFERROR(INDEX(Table1[[#All],[Description]],MATCH($C539,BusinessUnits!$A:$A,0)),"")</f>
        <v>Transactions related to the hotel Maintenance Department. Primarily includes payroll for maintenance, grounds keepers and related supplies.</v>
      </c>
      <c r="M539" t="str">
        <f>IFERROR(INDEX(ChartOfAccounts!B538:B623,MATCH($B539,ChartOfAccounts!A538:A623,0)),"")</f>
        <v/>
      </c>
      <c r="N539" t="str">
        <f>IFERROR(INDEX(ChartOfAccounts!D:D,MATCH($B539,ChartOfAccounts!A538:A623,0)),"")</f>
        <v/>
      </c>
      <c r="O539" t="str">
        <f>IFERROR(INDEX(ChartOfAccounts!F:F,MATCH($B539,ChartOfAccounts!A538:A623,0)),"")</f>
        <v/>
      </c>
      <c r="P539" t="str" cm="1">
        <f t="array" ref="P539">IFERROR(INDEX(PreparerInfo!B538:B550,MATCH($D539&amp;$C539,PreparerInfo!A538:A550&amp;PreparerInfo!C538:C550,0)),"")</f>
        <v/>
      </c>
      <c r="Q539" t="str">
        <f>IFERROR(INDEX(Source!B538:B546,MATCH('Case 4 solution'!E539,Source!A538:A546,0)),"")</f>
        <v/>
      </c>
    </row>
    <row r="540" spans="1:17" x14ac:dyDescent="0.3">
      <c r="A540" s="3">
        <v>2033789</v>
      </c>
      <c r="B540">
        <v>14260</v>
      </c>
      <c r="C540">
        <v>1</v>
      </c>
      <c r="D540" s="9">
        <v>102</v>
      </c>
      <c r="E540">
        <v>1002</v>
      </c>
      <c r="F540" s="1">
        <v>44010</v>
      </c>
      <c r="G540" t="s">
        <v>47</v>
      </c>
      <c r="H540" s="4">
        <v>215.09</v>
      </c>
      <c r="I540" s="4" t="s">
        <v>16</v>
      </c>
      <c r="J540" s="4">
        <v>215.09</v>
      </c>
      <c r="K540" t="str">
        <f>IFERROR(INDEX(BusinessUnits!$B:$B,MATCH($C540,BusinessUnits!$A:$A,0)),"")</f>
        <v>FOOD SERVICE</v>
      </c>
      <c r="L540" t="str">
        <f>IFERROR(INDEX(Table1[[#All],[Description]],MATCH($C540,BusinessUnits!$A:$A,0)),"")</f>
        <v xml:space="preserve">Transactions related to food and beverage service. Includes all guest transactions in the hotel restaurants, catering-related transactions and food service payroll. </v>
      </c>
      <c r="M540" t="str">
        <f>IFERROR(INDEX(ChartOfAccounts!B539:B624,MATCH($B540,ChartOfAccounts!A539:A624,0)),"")</f>
        <v/>
      </c>
      <c r="N540" t="str">
        <f>IFERROR(INDEX(ChartOfAccounts!D:D,MATCH($B540,ChartOfAccounts!A539:A624,0)),"")</f>
        <v/>
      </c>
      <c r="O540" t="str">
        <f>IFERROR(INDEX(ChartOfAccounts!F:F,MATCH($B540,ChartOfAccounts!A539:A624,0)),"")</f>
        <v/>
      </c>
      <c r="P540" t="str" cm="1">
        <f t="array" ref="P540">IFERROR(INDEX(PreparerInfo!B539:B551,MATCH($D540&amp;$C540,PreparerInfo!A539:A551&amp;PreparerInfo!C539:C551,0)),"")</f>
        <v/>
      </c>
      <c r="Q540" t="str">
        <f>IFERROR(INDEX(Source!B539:B547,MATCH('Case 4 solution'!E540,Source!A539:A547,0)),"")</f>
        <v/>
      </c>
    </row>
    <row r="541" spans="1:17" x14ac:dyDescent="0.3">
      <c r="A541" s="3">
        <v>2033789</v>
      </c>
      <c r="B541">
        <v>11845</v>
      </c>
      <c r="C541">
        <v>1</v>
      </c>
      <c r="D541" s="9">
        <v>102</v>
      </c>
      <c r="E541">
        <v>1002</v>
      </c>
      <c r="F541" s="1">
        <v>44010</v>
      </c>
      <c r="G541" t="s">
        <v>47</v>
      </c>
      <c r="H541" s="4" t="s">
        <v>16</v>
      </c>
      <c r="I541" s="4">
        <v>-215.09</v>
      </c>
      <c r="J541" s="4">
        <v>-215.09</v>
      </c>
      <c r="K541" t="str">
        <f>IFERROR(INDEX(BusinessUnits!$B:$B,MATCH($C541,BusinessUnits!$A:$A,0)),"")</f>
        <v>FOOD SERVICE</v>
      </c>
      <c r="L541" t="str">
        <f>IFERROR(INDEX(Table1[[#All],[Description]],MATCH($C541,BusinessUnits!$A:$A,0)),"")</f>
        <v xml:space="preserve">Transactions related to food and beverage service. Includes all guest transactions in the hotel restaurants, catering-related transactions and food service payroll. </v>
      </c>
      <c r="M541" t="str">
        <f>IFERROR(INDEX(ChartOfAccounts!B540:B625,MATCH($B541,ChartOfAccounts!A540:A625,0)),"")</f>
        <v/>
      </c>
      <c r="N541" t="str">
        <f>IFERROR(INDEX(ChartOfAccounts!D:D,MATCH($B541,ChartOfAccounts!A540:A625,0)),"")</f>
        <v/>
      </c>
      <c r="O541" t="str">
        <f>IFERROR(INDEX(ChartOfAccounts!F:F,MATCH($B541,ChartOfAccounts!A540:A625,0)),"")</f>
        <v/>
      </c>
      <c r="P541" t="str" cm="1">
        <f t="array" ref="P541">IFERROR(INDEX(PreparerInfo!B540:B552,MATCH($D541&amp;$C541,PreparerInfo!A540:A552&amp;PreparerInfo!C540:C552,0)),"")</f>
        <v/>
      </c>
      <c r="Q541" t="str">
        <f>IFERROR(INDEX(Source!B540:B548,MATCH('Case 4 solution'!E541,Source!A540:A548,0)),"")</f>
        <v/>
      </c>
    </row>
    <row r="542" spans="1:17" x14ac:dyDescent="0.3">
      <c r="A542" s="3">
        <v>2033790</v>
      </c>
      <c r="B542">
        <v>71900</v>
      </c>
      <c r="C542">
        <v>1</v>
      </c>
      <c r="D542" s="9">
        <v>102</v>
      </c>
      <c r="E542">
        <v>1002</v>
      </c>
      <c r="F542" s="1">
        <v>44010</v>
      </c>
      <c r="G542" t="s">
        <v>36</v>
      </c>
      <c r="H542" s="4">
        <v>229.45</v>
      </c>
      <c r="I542" s="4" t="s">
        <v>16</v>
      </c>
      <c r="J542" s="4">
        <v>229.45</v>
      </c>
      <c r="K542" t="str">
        <f>IFERROR(INDEX(BusinessUnits!$B:$B,MATCH($C542,BusinessUnits!$A:$A,0)),"")</f>
        <v>FOOD SERVICE</v>
      </c>
      <c r="L542" t="str">
        <f>IFERROR(INDEX(Table1[[#All],[Description]],MATCH($C542,BusinessUnits!$A:$A,0)),"")</f>
        <v xml:space="preserve">Transactions related to food and beverage service. Includes all guest transactions in the hotel restaurants, catering-related transactions and food service payroll. </v>
      </c>
      <c r="M542" t="str">
        <f>IFERROR(INDEX(ChartOfAccounts!B541:B626,MATCH($B542,ChartOfAccounts!A541:A626,0)),"")</f>
        <v/>
      </c>
      <c r="N542" t="str">
        <f>IFERROR(INDEX(ChartOfAccounts!D:D,MATCH($B542,ChartOfAccounts!A541:A626,0)),"")</f>
        <v/>
      </c>
      <c r="O542" t="str">
        <f>IFERROR(INDEX(ChartOfAccounts!F:F,MATCH($B542,ChartOfAccounts!A541:A626,0)),"")</f>
        <v/>
      </c>
      <c r="P542" t="str" cm="1">
        <f t="array" ref="P542">IFERROR(INDEX(PreparerInfo!B541:B553,MATCH($D542&amp;$C542,PreparerInfo!A541:A553&amp;PreparerInfo!C541:C553,0)),"")</f>
        <v/>
      </c>
      <c r="Q542" t="str">
        <f>IFERROR(INDEX(Source!B541:B549,MATCH('Case 4 solution'!E542,Source!A541:A549,0)),"")</f>
        <v/>
      </c>
    </row>
    <row r="543" spans="1:17" x14ac:dyDescent="0.3">
      <c r="A543" s="3">
        <v>2033790</v>
      </c>
      <c r="B543">
        <v>11845</v>
      </c>
      <c r="C543">
        <v>1</v>
      </c>
      <c r="D543" s="9">
        <v>102</v>
      </c>
      <c r="E543">
        <v>1002</v>
      </c>
      <c r="F543" s="1">
        <v>44010</v>
      </c>
      <c r="G543" t="s">
        <v>36</v>
      </c>
      <c r="H543" s="4" t="s">
        <v>16</v>
      </c>
      <c r="I543" s="4">
        <v>-229.45</v>
      </c>
      <c r="J543" s="4">
        <v>-229.45</v>
      </c>
      <c r="K543" t="str">
        <f>IFERROR(INDEX(BusinessUnits!$B:$B,MATCH($C543,BusinessUnits!$A:$A,0)),"")</f>
        <v>FOOD SERVICE</v>
      </c>
      <c r="L543" t="str">
        <f>IFERROR(INDEX(Table1[[#All],[Description]],MATCH($C543,BusinessUnits!$A:$A,0)),"")</f>
        <v xml:space="preserve">Transactions related to food and beverage service. Includes all guest transactions in the hotel restaurants, catering-related transactions and food service payroll. </v>
      </c>
      <c r="M543" t="str">
        <f>IFERROR(INDEX(ChartOfAccounts!B542:B627,MATCH($B543,ChartOfAccounts!A542:A627,0)),"")</f>
        <v/>
      </c>
      <c r="N543" t="str">
        <f>IFERROR(INDEX(ChartOfAccounts!D:D,MATCH($B543,ChartOfAccounts!A542:A627,0)),"")</f>
        <v/>
      </c>
      <c r="O543" t="str">
        <f>IFERROR(INDEX(ChartOfAccounts!F:F,MATCH($B543,ChartOfAccounts!A542:A627,0)),"")</f>
        <v/>
      </c>
      <c r="P543" t="str" cm="1">
        <f t="array" ref="P543">IFERROR(INDEX(PreparerInfo!B542:B554,MATCH($D543&amp;$C543,PreparerInfo!A542:A554&amp;PreparerInfo!C542:C554,0)),"")</f>
        <v/>
      </c>
      <c r="Q543" t="str">
        <f>IFERROR(INDEX(Source!B542:B550,MATCH('Case 4 solution'!E543,Source!A542:A550,0)),"")</f>
        <v/>
      </c>
    </row>
    <row r="544" spans="1:17" x14ac:dyDescent="0.3">
      <c r="A544" s="3">
        <v>2033791</v>
      </c>
      <c r="B544">
        <v>72760</v>
      </c>
      <c r="C544">
        <v>6</v>
      </c>
      <c r="D544" s="9">
        <v>101</v>
      </c>
      <c r="E544">
        <v>1002</v>
      </c>
      <c r="F544" s="1">
        <v>44010</v>
      </c>
      <c r="G544" t="s">
        <v>135</v>
      </c>
      <c r="H544" s="4">
        <v>236.32</v>
      </c>
      <c r="I544" s="4" t="s">
        <v>16</v>
      </c>
      <c r="J544" s="4">
        <v>236.32</v>
      </c>
      <c r="K544" t="str">
        <f>IFERROR(INDEX(BusinessUnits!$B:$B,MATCH($C544,BusinessUnits!$A:$A,0)),"")</f>
        <v>MAINTENANCE</v>
      </c>
      <c r="L544" t="str">
        <f>IFERROR(INDEX(Table1[[#All],[Description]],MATCH($C544,BusinessUnits!$A:$A,0)),"")</f>
        <v>Transactions related to the hotel Maintenance Department. Primarily includes payroll for maintenance, grounds keepers and related supplies.</v>
      </c>
      <c r="M544" t="str">
        <f>IFERROR(INDEX(ChartOfAccounts!B543:B628,MATCH($B544,ChartOfAccounts!A543:A628,0)),"")</f>
        <v/>
      </c>
      <c r="N544" t="str">
        <f>IFERROR(INDEX(ChartOfAccounts!D:D,MATCH($B544,ChartOfAccounts!A543:A628,0)),"")</f>
        <v/>
      </c>
      <c r="O544" t="str">
        <f>IFERROR(INDEX(ChartOfAccounts!F:F,MATCH($B544,ChartOfAccounts!A543:A628,0)),"")</f>
        <v/>
      </c>
      <c r="P544" t="str" cm="1">
        <f t="array" ref="P544">IFERROR(INDEX(PreparerInfo!B543:B555,MATCH($D544&amp;$C544,PreparerInfo!A543:A555&amp;PreparerInfo!C543:C555,0)),"")</f>
        <v/>
      </c>
      <c r="Q544" t="str">
        <f>IFERROR(INDEX(Source!B543:B551,MATCH('Case 4 solution'!E544,Source!A543:A551,0)),"")</f>
        <v/>
      </c>
    </row>
    <row r="545" spans="1:17" x14ac:dyDescent="0.3">
      <c r="A545" s="3">
        <v>2033791</v>
      </c>
      <c r="B545">
        <v>11845</v>
      </c>
      <c r="C545">
        <v>6</v>
      </c>
      <c r="D545" s="9">
        <v>101</v>
      </c>
      <c r="E545">
        <v>1002</v>
      </c>
      <c r="F545" s="1">
        <v>44010</v>
      </c>
      <c r="G545" t="s">
        <v>135</v>
      </c>
      <c r="H545" s="4" t="s">
        <v>16</v>
      </c>
      <c r="I545" s="4">
        <v>-236.32</v>
      </c>
      <c r="J545" s="4">
        <v>-236.32</v>
      </c>
      <c r="K545" t="str">
        <f>IFERROR(INDEX(BusinessUnits!$B:$B,MATCH($C545,BusinessUnits!$A:$A,0)),"")</f>
        <v>MAINTENANCE</v>
      </c>
      <c r="L545" t="str">
        <f>IFERROR(INDEX(Table1[[#All],[Description]],MATCH($C545,BusinessUnits!$A:$A,0)),"")</f>
        <v>Transactions related to the hotel Maintenance Department. Primarily includes payroll for maintenance, grounds keepers and related supplies.</v>
      </c>
      <c r="M545" t="str">
        <f>IFERROR(INDEX(ChartOfAccounts!B544:B629,MATCH($B545,ChartOfAccounts!A544:A629,0)),"")</f>
        <v/>
      </c>
      <c r="N545" t="str">
        <f>IFERROR(INDEX(ChartOfAccounts!D:D,MATCH($B545,ChartOfAccounts!A544:A629,0)),"")</f>
        <v/>
      </c>
      <c r="O545" t="str">
        <f>IFERROR(INDEX(ChartOfAccounts!F:F,MATCH($B545,ChartOfAccounts!A544:A629,0)),"")</f>
        <v/>
      </c>
      <c r="P545" t="str" cm="1">
        <f t="array" ref="P545">IFERROR(INDEX(PreparerInfo!B544:B556,MATCH($D545&amp;$C545,PreparerInfo!A544:A556&amp;PreparerInfo!C544:C556,0)),"")</f>
        <v/>
      </c>
      <c r="Q545" t="str">
        <f>IFERROR(INDEX(Source!B544:B552,MATCH('Case 4 solution'!E545,Source!A544:A552,0)),"")</f>
        <v/>
      </c>
    </row>
    <row r="546" spans="1:17" x14ac:dyDescent="0.3">
      <c r="A546" s="3">
        <v>2033792</v>
      </c>
      <c r="B546">
        <v>11845</v>
      </c>
      <c r="C546">
        <v>2</v>
      </c>
      <c r="D546" s="9">
        <v>106</v>
      </c>
      <c r="E546">
        <v>1003</v>
      </c>
      <c r="F546" s="1">
        <v>44010</v>
      </c>
      <c r="G546" t="s">
        <v>81</v>
      </c>
      <c r="H546" s="4">
        <v>258</v>
      </c>
      <c r="I546" s="4" t="s">
        <v>16</v>
      </c>
      <c r="J546" s="4">
        <v>258</v>
      </c>
      <c r="K546" t="str">
        <f>IFERROR(INDEX(BusinessUnits!$B:$B,MATCH($C546,BusinessUnits!$A:$A,0)),"")</f>
        <v>HOTEL</v>
      </c>
      <c r="L546" t="str">
        <f>IFERROR(INDEX(Table1[[#All],[Description]],MATCH($C546,BusinessUnits!$A:$A,0)),"")</f>
        <v xml:space="preserve">Transactions related to guest rooms and overall hotel operations. Includes payroll for administrative staff, clerks and interns. </v>
      </c>
      <c r="M546" t="str">
        <f>IFERROR(INDEX(ChartOfAccounts!B545:B630,MATCH($B546,ChartOfAccounts!A545:A630,0)),"")</f>
        <v/>
      </c>
      <c r="N546" t="str">
        <f>IFERROR(INDEX(ChartOfAccounts!D:D,MATCH($B546,ChartOfAccounts!A545:A630,0)),"")</f>
        <v/>
      </c>
      <c r="O546" t="str">
        <f>IFERROR(INDEX(ChartOfAccounts!F:F,MATCH($B546,ChartOfAccounts!A545:A630,0)),"")</f>
        <v/>
      </c>
      <c r="P546" t="str" cm="1">
        <f t="array" ref="P546">IFERROR(INDEX(PreparerInfo!B545:B557,MATCH($D546&amp;$C546,PreparerInfo!A545:A557&amp;PreparerInfo!C545:C557,0)),"")</f>
        <v/>
      </c>
      <c r="Q546" t="str">
        <f>IFERROR(INDEX(Source!B545:B553,MATCH('Case 4 solution'!E546,Source!A545:A553,0)),"")</f>
        <v/>
      </c>
    </row>
    <row r="547" spans="1:17" x14ac:dyDescent="0.3">
      <c r="A547" s="3">
        <v>2033792</v>
      </c>
      <c r="B547">
        <v>43180</v>
      </c>
      <c r="C547">
        <v>2</v>
      </c>
      <c r="D547" s="9">
        <v>106</v>
      </c>
      <c r="E547">
        <v>1003</v>
      </c>
      <c r="F547" s="1">
        <v>44010</v>
      </c>
      <c r="G547" t="s">
        <v>81</v>
      </c>
      <c r="H547" s="4" t="s">
        <v>16</v>
      </c>
      <c r="I547" s="4">
        <v>-258</v>
      </c>
      <c r="J547" s="4">
        <v>-258</v>
      </c>
      <c r="K547" t="str">
        <f>IFERROR(INDEX(BusinessUnits!$B:$B,MATCH($C547,BusinessUnits!$A:$A,0)),"")</f>
        <v>HOTEL</v>
      </c>
      <c r="L547" t="str">
        <f>IFERROR(INDEX(Table1[[#All],[Description]],MATCH($C547,BusinessUnits!$A:$A,0)),"")</f>
        <v xml:space="preserve">Transactions related to guest rooms and overall hotel operations. Includes payroll for administrative staff, clerks and interns. </v>
      </c>
      <c r="M547" t="str">
        <f>IFERROR(INDEX(ChartOfAccounts!B546:B631,MATCH($B547,ChartOfAccounts!A546:A631,0)),"")</f>
        <v/>
      </c>
      <c r="N547" t="str">
        <f>IFERROR(INDEX(ChartOfAccounts!D:D,MATCH($B547,ChartOfAccounts!A546:A631,0)),"")</f>
        <v/>
      </c>
      <c r="O547" t="str">
        <f>IFERROR(INDEX(ChartOfAccounts!F:F,MATCH($B547,ChartOfAccounts!A546:A631,0)),"")</f>
        <v/>
      </c>
      <c r="P547" t="str" cm="1">
        <f t="array" ref="P547">IFERROR(INDEX(PreparerInfo!B546:B558,MATCH($D547&amp;$C547,PreparerInfo!A546:A558&amp;PreparerInfo!C546:C558,0)),"")</f>
        <v/>
      </c>
      <c r="Q547" t="str">
        <f>IFERROR(INDEX(Source!B546:B554,MATCH('Case 4 solution'!E547,Source!A546:A554,0)),"")</f>
        <v/>
      </c>
    </row>
    <row r="548" spans="1:17" x14ac:dyDescent="0.3">
      <c r="A548" s="3">
        <v>2033793</v>
      </c>
      <c r="B548">
        <v>14260</v>
      </c>
      <c r="C548">
        <v>1</v>
      </c>
      <c r="D548" s="9">
        <v>102</v>
      </c>
      <c r="E548">
        <v>1002</v>
      </c>
      <c r="F548" s="1">
        <v>44010</v>
      </c>
      <c r="G548" t="s">
        <v>47</v>
      </c>
      <c r="H548" s="4">
        <v>288.74</v>
      </c>
      <c r="I548" s="4" t="s">
        <v>16</v>
      </c>
      <c r="J548" s="4">
        <v>288.74</v>
      </c>
      <c r="K548" t="str">
        <f>IFERROR(INDEX(BusinessUnits!$B:$B,MATCH($C548,BusinessUnits!$A:$A,0)),"")</f>
        <v>FOOD SERVICE</v>
      </c>
      <c r="L548" t="str">
        <f>IFERROR(INDEX(Table1[[#All],[Description]],MATCH($C548,BusinessUnits!$A:$A,0)),"")</f>
        <v xml:space="preserve">Transactions related to food and beverage service. Includes all guest transactions in the hotel restaurants, catering-related transactions and food service payroll. </v>
      </c>
      <c r="M548" t="str">
        <f>IFERROR(INDEX(ChartOfAccounts!B547:B632,MATCH($B548,ChartOfAccounts!A547:A632,0)),"")</f>
        <v/>
      </c>
      <c r="N548" t="str">
        <f>IFERROR(INDEX(ChartOfAccounts!D:D,MATCH($B548,ChartOfAccounts!A547:A632,0)),"")</f>
        <v/>
      </c>
      <c r="O548" t="str">
        <f>IFERROR(INDEX(ChartOfAccounts!F:F,MATCH($B548,ChartOfAccounts!A547:A632,0)),"")</f>
        <v/>
      </c>
      <c r="P548" t="str" cm="1">
        <f t="array" ref="P548">IFERROR(INDEX(PreparerInfo!B547:B559,MATCH($D548&amp;$C548,PreparerInfo!A547:A559&amp;PreparerInfo!C547:C559,0)),"")</f>
        <v/>
      </c>
      <c r="Q548" t="str">
        <f>IFERROR(INDEX(Source!B547:B555,MATCH('Case 4 solution'!E548,Source!A547:A555,0)),"")</f>
        <v/>
      </c>
    </row>
    <row r="549" spans="1:17" x14ac:dyDescent="0.3">
      <c r="A549" s="3">
        <v>2033793</v>
      </c>
      <c r="B549">
        <v>11845</v>
      </c>
      <c r="C549">
        <v>1</v>
      </c>
      <c r="D549" s="9">
        <v>102</v>
      </c>
      <c r="E549">
        <v>1002</v>
      </c>
      <c r="F549" s="1">
        <v>44010</v>
      </c>
      <c r="G549" t="s">
        <v>47</v>
      </c>
      <c r="H549" s="4" t="s">
        <v>16</v>
      </c>
      <c r="I549" s="4">
        <v>-288.74</v>
      </c>
      <c r="J549" s="4">
        <v>-288.74</v>
      </c>
      <c r="K549" t="str">
        <f>IFERROR(INDEX(BusinessUnits!$B:$B,MATCH($C549,BusinessUnits!$A:$A,0)),"")</f>
        <v>FOOD SERVICE</v>
      </c>
      <c r="L549" t="str">
        <f>IFERROR(INDEX(Table1[[#All],[Description]],MATCH($C549,BusinessUnits!$A:$A,0)),"")</f>
        <v xml:space="preserve">Transactions related to food and beverage service. Includes all guest transactions in the hotel restaurants, catering-related transactions and food service payroll. </v>
      </c>
      <c r="M549" t="str">
        <f>IFERROR(INDEX(ChartOfAccounts!B548:B633,MATCH($B549,ChartOfAccounts!A548:A633,0)),"")</f>
        <v/>
      </c>
      <c r="N549" t="str">
        <f>IFERROR(INDEX(ChartOfAccounts!D:D,MATCH($B549,ChartOfAccounts!A548:A633,0)),"")</f>
        <v/>
      </c>
      <c r="O549" t="str">
        <f>IFERROR(INDEX(ChartOfAccounts!F:F,MATCH($B549,ChartOfAccounts!A548:A633,0)),"")</f>
        <v/>
      </c>
      <c r="P549" t="str" cm="1">
        <f t="array" ref="P549">IFERROR(INDEX(PreparerInfo!B548:B560,MATCH($D549&amp;$C549,PreparerInfo!A548:A560&amp;PreparerInfo!C548:C560,0)),"")</f>
        <v/>
      </c>
      <c r="Q549" t="str">
        <f>IFERROR(INDEX(Source!B548:B556,MATCH('Case 4 solution'!E549,Source!A548:A556,0)),"")</f>
        <v/>
      </c>
    </row>
    <row r="550" spans="1:17" x14ac:dyDescent="0.3">
      <c r="A550" s="3">
        <v>2033794</v>
      </c>
      <c r="B550">
        <v>51400</v>
      </c>
      <c r="C550">
        <v>4</v>
      </c>
      <c r="D550" s="9">
        <v>105</v>
      </c>
      <c r="E550">
        <v>1006</v>
      </c>
      <c r="F550" s="1">
        <v>44010</v>
      </c>
      <c r="G550" t="s">
        <v>93</v>
      </c>
      <c r="H550" s="4">
        <v>373.6</v>
      </c>
      <c r="I550" s="4" t="s">
        <v>16</v>
      </c>
      <c r="J550" s="4">
        <v>373.6</v>
      </c>
      <c r="K550" t="str">
        <f>IFERROR(INDEX(BusinessUnits!$B:$B,MATCH($C550,BusinessUnits!$A:$A,0)),"")</f>
        <v>HOUSEKEEPING</v>
      </c>
      <c r="L550" t="str">
        <f>IFERROR(INDEX(Table1[[#All],[Description]],MATCH($C550,BusinessUnits!$A:$A,0)),"")</f>
        <v xml:space="preserve">Transactions related to the Housekeeping Department. Primarily includes payroll for housekeepers and housekeeping supplies. </v>
      </c>
      <c r="M550" t="str">
        <f>IFERROR(INDEX(ChartOfAccounts!B549:B634,MATCH($B550,ChartOfAccounts!A549:A634,0)),"")</f>
        <v/>
      </c>
      <c r="N550" t="str">
        <f>IFERROR(INDEX(ChartOfAccounts!D:D,MATCH($B550,ChartOfAccounts!A549:A634,0)),"")</f>
        <v/>
      </c>
      <c r="O550" t="str">
        <f>IFERROR(INDEX(ChartOfAccounts!F:F,MATCH($B550,ChartOfAccounts!A549:A634,0)),"")</f>
        <v/>
      </c>
      <c r="P550" t="str" cm="1">
        <f t="array" ref="P550">IFERROR(INDEX(PreparerInfo!B549:B561,MATCH($D550&amp;$C550,PreparerInfo!A549:A561&amp;PreparerInfo!C549:C561,0)),"")</f>
        <v/>
      </c>
      <c r="Q550" t="str">
        <f>IFERROR(INDEX(Source!B549:B557,MATCH('Case 4 solution'!E550,Source!A549:A557,0)),"")</f>
        <v/>
      </c>
    </row>
    <row r="551" spans="1:17" x14ac:dyDescent="0.3">
      <c r="A551" s="3">
        <v>2033794</v>
      </c>
      <c r="B551">
        <v>22110</v>
      </c>
      <c r="C551">
        <v>4</v>
      </c>
      <c r="D551" s="9">
        <v>105</v>
      </c>
      <c r="E551">
        <v>1006</v>
      </c>
      <c r="F551" s="1">
        <v>44010</v>
      </c>
      <c r="G551" t="s">
        <v>93</v>
      </c>
      <c r="H551" s="4" t="s">
        <v>16</v>
      </c>
      <c r="I551" s="4">
        <v>-373.6</v>
      </c>
      <c r="J551" s="4">
        <v>-373.6</v>
      </c>
      <c r="K551" t="str">
        <f>IFERROR(INDEX(BusinessUnits!$B:$B,MATCH($C551,BusinessUnits!$A:$A,0)),"")</f>
        <v>HOUSEKEEPING</v>
      </c>
      <c r="L551" t="str">
        <f>IFERROR(INDEX(Table1[[#All],[Description]],MATCH($C551,BusinessUnits!$A:$A,0)),"")</f>
        <v xml:space="preserve">Transactions related to the Housekeeping Department. Primarily includes payroll for housekeepers and housekeeping supplies. </v>
      </c>
      <c r="M551" t="str">
        <f>IFERROR(INDEX(ChartOfAccounts!B550:B635,MATCH($B551,ChartOfAccounts!A550:A635,0)),"")</f>
        <v/>
      </c>
      <c r="N551" t="str">
        <f>IFERROR(INDEX(ChartOfAccounts!D:D,MATCH($B551,ChartOfAccounts!A550:A635,0)),"")</f>
        <v/>
      </c>
      <c r="O551" t="str">
        <f>IFERROR(INDEX(ChartOfAccounts!F:F,MATCH($B551,ChartOfAccounts!A550:A635,0)),"")</f>
        <v/>
      </c>
      <c r="P551" t="str" cm="1">
        <f t="array" ref="P551">IFERROR(INDEX(PreparerInfo!B550:B562,MATCH($D551&amp;$C551,PreparerInfo!A550:A562&amp;PreparerInfo!C550:C562,0)),"")</f>
        <v/>
      </c>
      <c r="Q551" t="str">
        <f>IFERROR(INDEX(Source!B550:B558,MATCH('Case 4 solution'!E551,Source!A550:A558,0)),"")</f>
        <v/>
      </c>
    </row>
    <row r="552" spans="1:17" x14ac:dyDescent="0.3">
      <c r="A552" s="3">
        <v>2033795</v>
      </c>
      <c r="B552">
        <v>51610</v>
      </c>
      <c r="C552">
        <v>6</v>
      </c>
      <c r="D552" s="9">
        <v>105</v>
      </c>
      <c r="E552">
        <v>1006</v>
      </c>
      <c r="F552" s="1">
        <v>44010</v>
      </c>
      <c r="G552" t="s">
        <v>131</v>
      </c>
      <c r="H552" s="4">
        <v>391</v>
      </c>
      <c r="I552" s="4" t="s">
        <v>16</v>
      </c>
      <c r="J552" s="4">
        <v>391</v>
      </c>
      <c r="K552" t="str">
        <f>IFERROR(INDEX(BusinessUnits!$B:$B,MATCH($C552,BusinessUnits!$A:$A,0)),"")</f>
        <v>MAINTENANCE</v>
      </c>
      <c r="L552" t="str">
        <f>IFERROR(INDEX(Table1[[#All],[Description]],MATCH($C552,BusinessUnits!$A:$A,0)),"")</f>
        <v>Transactions related to the hotel Maintenance Department. Primarily includes payroll for maintenance, grounds keepers and related supplies.</v>
      </c>
      <c r="M552" t="str">
        <f>IFERROR(INDEX(ChartOfAccounts!B551:B636,MATCH($B552,ChartOfAccounts!A551:A636,0)),"")</f>
        <v/>
      </c>
      <c r="N552" t="str">
        <f>IFERROR(INDEX(ChartOfAccounts!D:D,MATCH($B552,ChartOfAccounts!A551:A636,0)),"")</f>
        <v/>
      </c>
      <c r="O552" t="str">
        <f>IFERROR(INDEX(ChartOfAccounts!F:F,MATCH($B552,ChartOfAccounts!A551:A636,0)),"")</f>
        <v/>
      </c>
      <c r="P552" t="str" cm="1">
        <f t="array" ref="P552">IFERROR(INDEX(PreparerInfo!B551:B563,MATCH($D552&amp;$C552,PreparerInfo!A551:A563&amp;PreparerInfo!C551:C563,0)),"")</f>
        <v/>
      </c>
      <c r="Q552" t="str">
        <f>IFERROR(INDEX(Source!B551:B559,MATCH('Case 4 solution'!E552,Source!A551:A559,0)),"")</f>
        <v/>
      </c>
    </row>
    <row r="553" spans="1:17" x14ac:dyDescent="0.3">
      <c r="A553" s="3">
        <v>2033795</v>
      </c>
      <c r="B553">
        <v>22110</v>
      </c>
      <c r="C553">
        <v>6</v>
      </c>
      <c r="D553" s="9">
        <v>105</v>
      </c>
      <c r="E553">
        <v>1006</v>
      </c>
      <c r="F553" s="1">
        <v>44010</v>
      </c>
      <c r="G553" t="s">
        <v>131</v>
      </c>
      <c r="H553" s="4" t="s">
        <v>16</v>
      </c>
      <c r="I553" s="4">
        <v>-391</v>
      </c>
      <c r="J553" s="4">
        <v>-391</v>
      </c>
      <c r="K553" t="str">
        <f>IFERROR(INDEX(BusinessUnits!$B:$B,MATCH($C553,BusinessUnits!$A:$A,0)),"")</f>
        <v>MAINTENANCE</v>
      </c>
      <c r="L553" t="str">
        <f>IFERROR(INDEX(Table1[[#All],[Description]],MATCH($C553,BusinessUnits!$A:$A,0)),"")</f>
        <v>Transactions related to the hotel Maintenance Department. Primarily includes payroll for maintenance, grounds keepers and related supplies.</v>
      </c>
      <c r="M553" t="str">
        <f>IFERROR(INDEX(ChartOfAccounts!B552:B637,MATCH($B553,ChartOfAccounts!A552:A637,0)),"")</f>
        <v/>
      </c>
      <c r="N553" t="str">
        <f>IFERROR(INDEX(ChartOfAccounts!D:D,MATCH($B553,ChartOfAccounts!A552:A637,0)),"")</f>
        <v/>
      </c>
      <c r="O553" t="str">
        <f>IFERROR(INDEX(ChartOfAccounts!F:F,MATCH($B553,ChartOfAccounts!A552:A637,0)),"")</f>
        <v/>
      </c>
      <c r="P553" t="str" cm="1">
        <f t="array" ref="P553">IFERROR(INDEX(PreparerInfo!B552:B564,MATCH($D553&amp;$C553,PreparerInfo!A552:A564&amp;PreparerInfo!C552:C564,0)),"")</f>
        <v/>
      </c>
      <c r="Q553" t="str">
        <f>IFERROR(INDEX(Source!B552:B560,MATCH('Case 4 solution'!E553,Source!A552:A560,0)),"")</f>
        <v/>
      </c>
    </row>
    <row r="554" spans="1:17" x14ac:dyDescent="0.3">
      <c r="A554" s="3">
        <v>2033796</v>
      </c>
      <c r="B554">
        <v>51610</v>
      </c>
      <c r="C554">
        <v>1</v>
      </c>
      <c r="D554" s="9">
        <v>105</v>
      </c>
      <c r="E554">
        <v>1006</v>
      </c>
      <c r="F554" s="1">
        <v>44010</v>
      </c>
      <c r="G554" t="s">
        <v>94</v>
      </c>
      <c r="H554" s="4">
        <v>447.87</v>
      </c>
      <c r="I554" s="4" t="s">
        <v>16</v>
      </c>
      <c r="J554" s="4">
        <v>447.87</v>
      </c>
      <c r="K554" t="str">
        <f>IFERROR(INDEX(BusinessUnits!$B:$B,MATCH($C554,BusinessUnits!$A:$A,0)),"")</f>
        <v>FOOD SERVICE</v>
      </c>
      <c r="L554" t="str">
        <f>IFERROR(INDEX(Table1[[#All],[Description]],MATCH($C554,BusinessUnits!$A:$A,0)),"")</f>
        <v xml:space="preserve">Transactions related to food and beverage service. Includes all guest transactions in the hotel restaurants, catering-related transactions and food service payroll. </v>
      </c>
      <c r="M554" t="str">
        <f>IFERROR(INDEX(ChartOfAccounts!B553:B638,MATCH($B554,ChartOfAccounts!A553:A638,0)),"")</f>
        <v/>
      </c>
      <c r="N554" t="str">
        <f>IFERROR(INDEX(ChartOfAccounts!D:D,MATCH($B554,ChartOfAccounts!A553:A638,0)),"")</f>
        <v/>
      </c>
      <c r="O554" t="str">
        <f>IFERROR(INDEX(ChartOfAccounts!F:F,MATCH($B554,ChartOfAccounts!A553:A638,0)),"")</f>
        <v/>
      </c>
      <c r="P554" t="str" cm="1">
        <f t="array" ref="P554">IFERROR(INDEX(PreparerInfo!B553:B565,MATCH($D554&amp;$C554,PreparerInfo!A553:A565&amp;PreparerInfo!C553:C565,0)),"")</f>
        <v/>
      </c>
      <c r="Q554" t="str">
        <f>IFERROR(INDEX(Source!B553:B561,MATCH('Case 4 solution'!E554,Source!A553:A561,0)),"")</f>
        <v/>
      </c>
    </row>
    <row r="555" spans="1:17" x14ac:dyDescent="0.3">
      <c r="A555" s="3">
        <v>2033796</v>
      </c>
      <c r="B555">
        <v>22110</v>
      </c>
      <c r="C555">
        <v>1</v>
      </c>
      <c r="D555" s="9">
        <v>105</v>
      </c>
      <c r="E555">
        <v>1006</v>
      </c>
      <c r="F555" s="1">
        <v>44010</v>
      </c>
      <c r="G555" t="s">
        <v>94</v>
      </c>
      <c r="H555" s="4" t="s">
        <v>16</v>
      </c>
      <c r="I555" s="4">
        <v>-447.87</v>
      </c>
      <c r="J555" s="4">
        <v>-447.87</v>
      </c>
      <c r="K555" t="str">
        <f>IFERROR(INDEX(BusinessUnits!$B:$B,MATCH($C555,BusinessUnits!$A:$A,0)),"")</f>
        <v>FOOD SERVICE</v>
      </c>
      <c r="L555" t="str">
        <f>IFERROR(INDEX(Table1[[#All],[Description]],MATCH($C555,BusinessUnits!$A:$A,0)),"")</f>
        <v xml:space="preserve">Transactions related to food and beverage service. Includes all guest transactions in the hotel restaurants, catering-related transactions and food service payroll. </v>
      </c>
      <c r="M555" t="str">
        <f>IFERROR(INDEX(ChartOfAccounts!B554:B639,MATCH($B555,ChartOfAccounts!A554:A639,0)),"")</f>
        <v/>
      </c>
      <c r="N555" t="str">
        <f>IFERROR(INDEX(ChartOfAccounts!D:D,MATCH($B555,ChartOfAccounts!A554:A639,0)),"")</f>
        <v/>
      </c>
      <c r="O555" t="str">
        <f>IFERROR(INDEX(ChartOfAccounts!F:F,MATCH($B555,ChartOfAccounts!A554:A639,0)),"")</f>
        <v/>
      </c>
      <c r="P555" t="str" cm="1">
        <f t="array" ref="P555">IFERROR(INDEX(PreparerInfo!B554:B566,MATCH($D555&amp;$C555,PreparerInfo!A554:A566&amp;PreparerInfo!C554:C566,0)),"")</f>
        <v/>
      </c>
      <c r="Q555" t="str">
        <f>IFERROR(INDEX(Source!B554:B562,MATCH('Case 4 solution'!E555,Source!A554:A562,0)),"")</f>
        <v/>
      </c>
    </row>
    <row r="556" spans="1:17" x14ac:dyDescent="0.3">
      <c r="A556" s="3">
        <v>2033797</v>
      </c>
      <c r="B556">
        <v>14260</v>
      </c>
      <c r="C556">
        <v>1</v>
      </c>
      <c r="D556" s="9">
        <v>102</v>
      </c>
      <c r="E556">
        <v>1002</v>
      </c>
      <c r="F556" s="1">
        <v>44010</v>
      </c>
      <c r="G556" t="s">
        <v>47</v>
      </c>
      <c r="H556" s="4">
        <v>451.29</v>
      </c>
      <c r="I556" s="4" t="s">
        <v>16</v>
      </c>
      <c r="J556" s="4">
        <v>451.29</v>
      </c>
      <c r="K556" t="str">
        <f>IFERROR(INDEX(BusinessUnits!$B:$B,MATCH($C556,BusinessUnits!$A:$A,0)),"")</f>
        <v>FOOD SERVICE</v>
      </c>
      <c r="L556" t="str">
        <f>IFERROR(INDEX(Table1[[#All],[Description]],MATCH($C556,BusinessUnits!$A:$A,0)),"")</f>
        <v xml:space="preserve">Transactions related to food and beverage service. Includes all guest transactions in the hotel restaurants, catering-related transactions and food service payroll. </v>
      </c>
      <c r="M556" t="str">
        <f>IFERROR(INDEX(ChartOfAccounts!B555:B640,MATCH($B556,ChartOfAccounts!A555:A640,0)),"")</f>
        <v/>
      </c>
      <c r="N556" t="str">
        <f>IFERROR(INDEX(ChartOfAccounts!D:D,MATCH($B556,ChartOfAccounts!A555:A640,0)),"")</f>
        <v/>
      </c>
      <c r="O556" t="str">
        <f>IFERROR(INDEX(ChartOfAccounts!F:F,MATCH($B556,ChartOfAccounts!A555:A640,0)),"")</f>
        <v/>
      </c>
      <c r="P556" t="str" cm="1">
        <f t="array" ref="P556">IFERROR(INDEX(PreparerInfo!B555:B567,MATCH($D556&amp;$C556,PreparerInfo!A555:A567&amp;PreparerInfo!C555:C567,0)),"")</f>
        <v/>
      </c>
      <c r="Q556" t="str">
        <f>IFERROR(INDEX(Source!B555:B563,MATCH('Case 4 solution'!E556,Source!A555:A563,0)),"")</f>
        <v/>
      </c>
    </row>
    <row r="557" spans="1:17" x14ac:dyDescent="0.3">
      <c r="A557" s="3">
        <v>2033797</v>
      </c>
      <c r="B557">
        <v>11845</v>
      </c>
      <c r="C557">
        <v>1</v>
      </c>
      <c r="D557" s="9">
        <v>102</v>
      </c>
      <c r="E557">
        <v>1002</v>
      </c>
      <c r="F557" s="1">
        <v>44010</v>
      </c>
      <c r="G557" t="s">
        <v>47</v>
      </c>
      <c r="H557" s="4" t="s">
        <v>16</v>
      </c>
      <c r="I557" s="4">
        <v>-451.29</v>
      </c>
      <c r="J557" s="4">
        <v>-451.29</v>
      </c>
      <c r="K557" t="str">
        <f>IFERROR(INDEX(BusinessUnits!$B:$B,MATCH($C557,BusinessUnits!$A:$A,0)),"")</f>
        <v>FOOD SERVICE</v>
      </c>
      <c r="L557" t="str">
        <f>IFERROR(INDEX(Table1[[#All],[Description]],MATCH($C557,BusinessUnits!$A:$A,0)),"")</f>
        <v xml:space="preserve">Transactions related to food and beverage service. Includes all guest transactions in the hotel restaurants, catering-related transactions and food service payroll. </v>
      </c>
      <c r="M557" t="str">
        <f>IFERROR(INDEX(ChartOfAccounts!B556:B641,MATCH($B557,ChartOfAccounts!A556:A641,0)),"")</f>
        <v/>
      </c>
      <c r="N557" t="str">
        <f>IFERROR(INDEX(ChartOfAccounts!D:D,MATCH($B557,ChartOfAccounts!A556:A641,0)),"")</f>
        <v/>
      </c>
      <c r="O557" t="str">
        <f>IFERROR(INDEX(ChartOfAccounts!F:F,MATCH($B557,ChartOfAccounts!A556:A641,0)),"")</f>
        <v/>
      </c>
      <c r="P557" t="str" cm="1">
        <f t="array" ref="P557">IFERROR(INDEX(PreparerInfo!B556:B568,MATCH($D557&amp;$C557,PreparerInfo!A556:A568&amp;PreparerInfo!C556:C568,0)),"")</f>
        <v/>
      </c>
      <c r="Q557" t="str">
        <f>IFERROR(INDEX(Source!B556:B564,MATCH('Case 4 solution'!E557,Source!A556:A564,0)),"")</f>
        <v/>
      </c>
    </row>
    <row r="558" spans="1:17" x14ac:dyDescent="0.3">
      <c r="A558" s="3">
        <v>2033798</v>
      </c>
      <c r="B558">
        <v>51510</v>
      </c>
      <c r="C558">
        <v>6</v>
      </c>
      <c r="D558" s="9">
        <v>105</v>
      </c>
      <c r="E558">
        <v>1006</v>
      </c>
      <c r="F558" s="1">
        <v>44010</v>
      </c>
      <c r="G558" t="s">
        <v>96</v>
      </c>
      <c r="H558" s="4">
        <v>499.6</v>
      </c>
      <c r="I558" s="4" t="s">
        <v>16</v>
      </c>
      <c r="J558" s="4">
        <v>499.6</v>
      </c>
      <c r="K558" t="str">
        <f>IFERROR(INDEX(BusinessUnits!$B:$B,MATCH($C558,BusinessUnits!$A:$A,0)),"")</f>
        <v>MAINTENANCE</v>
      </c>
      <c r="L558" t="str">
        <f>IFERROR(INDEX(Table1[[#All],[Description]],MATCH($C558,BusinessUnits!$A:$A,0)),"")</f>
        <v>Transactions related to the hotel Maintenance Department. Primarily includes payroll for maintenance, grounds keepers and related supplies.</v>
      </c>
      <c r="M558" t="str">
        <f>IFERROR(INDEX(ChartOfAccounts!B557:B642,MATCH($B558,ChartOfAccounts!A557:A642,0)),"")</f>
        <v/>
      </c>
      <c r="N558" t="str">
        <f>IFERROR(INDEX(ChartOfAccounts!D:D,MATCH($B558,ChartOfAccounts!A557:A642,0)),"")</f>
        <v/>
      </c>
      <c r="O558" t="str">
        <f>IFERROR(INDEX(ChartOfAccounts!F:F,MATCH($B558,ChartOfAccounts!A557:A642,0)),"")</f>
        <v/>
      </c>
      <c r="P558" t="str" cm="1">
        <f t="array" ref="P558">IFERROR(INDEX(PreparerInfo!B557:B569,MATCH($D558&amp;$C558,PreparerInfo!A557:A569&amp;PreparerInfo!C557:C569,0)),"")</f>
        <v/>
      </c>
      <c r="Q558" t="str">
        <f>IFERROR(INDEX(Source!B557:B565,MATCH('Case 4 solution'!E558,Source!A557:A565,0)),"")</f>
        <v/>
      </c>
    </row>
    <row r="559" spans="1:17" x14ac:dyDescent="0.3">
      <c r="A559" s="3">
        <v>2033798</v>
      </c>
      <c r="B559">
        <v>22110</v>
      </c>
      <c r="C559">
        <v>6</v>
      </c>
      <c r="D559" s="9">
        <v>105</v>
      </c>
      <c r="E559">
        <v>1006</v>
      </c>
      <c r="F559" s="1">
        <v>44010</v>
      </c>
      <c r="G559" t="s">
        <v>96</v>
      </c>
      <c r="H559" s="4" t="s">
        <v>16</v>
      </c>
      <c r="I559" s="4">
        <v>-499.6</v>
      </c>
      <c r="J559" s="4">
        <v>-499.6</v>
      </c>
      <c r="K559" t="str">
        <f>IFERROR(INDEX(BusinessUnits!$B:$B,MATCH($C559,BusinessUnits!$A:$A,0)),"")</f>
        <v>MAINTENANCE</v>
      </c>
      <c r="L559" t="str">
        <f>IFERROR(INDEX(Table1[[#All],[Description]],MATCH($C559,BusinessUnits!$A:$A,0)),"")</f>
        <v>Transactions related to the hotel Maintenance Department. Primarily includes payroll for maintenance, grounds keepers and related supplies.</v>
      </c>
      <c r="M559" t="str">
        <f>IFERROR(INDEX(ChartOfAccounts!B558:B643,MATCH($B559,ChartOfAccounts!A558:A643,0)),"")</f>
        <v/>
      </c>
      <c r="N559" t="str">
        <f>IFERROR(INDEX(ChartOfAccounts!D:D,MATCH($B559,ChartOfAccounts!A558:A643,0)),"")</f>
        <v/>
      </c>
      <c r="O559" t="str">
        <f>IFERROR(INDEX(ChartOfAccounts!F:F,MATCH($B559,ChartOfAccounts!A558:A643,0)),"")</f>
        <v/>
      </c>
      <c r="P559" t="str" cm="1">
        <f t="array" ref="P559">IFERROR(INDEX(PreparerInfo!B558:B570,MATCH($D559&amp;$C559,PreparerInfo!A558:A570&amp;PreparerInfo!C558:C570,0)),"")</f>
        <v/>
      </c>
      <c r="Q559" t="str">
        <f>IFERROR(INDEX(Source!B558:B566,MATCH('Case 4 solution'!E559,Source!A558:A566,0)),"")</f>
        <v/>
      </c>
    </row>
    <row r="560" spans="1:17" x14ac:dyDescent="0.3">
      <c r="A560" s="3">
        <v>2033799</v>
      </c>
      <c r="B560">
        <v>14260</v>
      </c>
      <c r="C560">
        <v>1</v>
      </c>
      <c r="D560" s="9">
        <v>102</v>
      </c>
      <c r="E560">
        <v>1002</v>
      </c>
      <c r="F560" s="1">
        <v>44010</v>
      </c>
      <c r="G560" t="s">
        <v>47</v>
      </c>
      <c r="H560" s="4">
        <v>507.93</v>
      </c>
      <c r="I560" s="4" t="s">
        <v>16</v>
      </c>
      <c r="J560" s="4">
        <v>507.93</v>
      </c>
      <c r="K560" t="str">
        <f>IFERROR(INDEX(BusinessUnits!$B:$B,MATCH($C560,BusinessUnits!$A:$A,0)),"")</f>
        <v>FOOD SERVICE</v>
      </c>
      <c r="L560" t="str">
        <f>IFERROR(INDEX(Table1[[#All],[Description]],MATCH($C560,BusinessUnits!$A:$A,0)),"")</f>
        <v xml:space="preserve">Transactions related to food and beverage service. Includes all guest transactions in the hotel restaurants, catering-related transactions and food service payroll. </v>
      </c>
      <c r="M560" t="str">
        <f>IFERROR(INDEX(ChartOfAccounts!B559:B644,MATCH($B560,ChartOfAccounts!A559:A644,0)),"")</f>
        <v/>
      </c>
      <c r="N560" t="str">
        <f>IFERROR(INDEX(ChartOfAccounts!D:D,MATCH($B560,ChartOfAccounts!A559:A644,0)),"")</f>
        <v/>
      </c>
      <c r="O560" t="str">
        <f>IFERROR(INDEX(ChartOfAccounts!F:F,MATCH($B560,ChartOfAccounts!A559:A644,0)),"")</f>
        <v/>
      </c>
      <c r="P560" t="str" cm="1">
        <f t="array" ref="P560">IFERROR(INDEX(PreparerInfo!B559:B571,MATCH($D560&amp;$C560,PreparerInfo!A559:A571&amp;PreparerInfo!C559:C571,0)),"")</f>
        <v/>
      </c>
      <c r="Q560" t="str">
        <f>IFERROR(INDEX(Source!B559:B567,MATCH('Case 4 solution'!E560,Source!A559:A567,0)),"")</f>
        <v/>
      </c>
    </row>
    <row r="561" spans="1:17" x14ac:dyDescent="0.3">
      <c r="A561" s="3">
        <v>2033799</v>
      </c>
      <c r="B561">
        <v>11845</v>
      </c>
      <c r="C561">
        <v>1</v>
      </c>
      <c r="D561" s="9">
        <v>102</v>
      </c>
      <c r="E561">
        <v>1002</v>
      </c>
      <c r="F561" s="1">
        <v>44010</v>
      </c>
      <c r="G561" t="s">
        <v>47</v>
      </c>
      <c r="H561" s="4" t="s">
        <v>16</v>
      </c>
      <c r="I561" s="4">
        <v>-507.93</v>
      </c>
      <c r="J561" s="4">
        <v>-507.93</v>
      </c>
      <c r="K561" t="str">
        <f>IFERROR(INDEX(BusinessUnits!$B:$B,MATCH($C561,BusinessUnits!$A:$A,0)),"")</f>
        <v>FOOD SERVICE</v>
      </c>
      <c r="L561" t="str">
        <f>IFERROR(INDEX(Table1[[#All],[Description]],MATCH($C561,BusinessUnits!$A:$A,0)),"")</f>
        <v xml:space="preserve">Transactions related to food and beverage service. Includes all guest transactions in the hotel restaurants, catering-related transactions and food service payroll. </v>
      </c>
      <c r="M561" t="str">
        <f>IFERROR(INDEX(ChartOfAccounts!B560:B645,MATCH($B561,ChartOfAccounts!A560:A645,0)),"")</f>
        <v/>
      </c>
      <c r="N561" t="str">
        <f>IFERROR(INDEX(ChartOfAccounts!D:D,MATCH($B561,ChartOfAccounts!A560:A645,0)),"")</f>
        <v/>
      </c>
      <c r="O561" t="str">
        <f>IFERROR(INDEX(ChartOfAccounts!F:F,MATCH($B561,ChartOfAccounts!A560:A645,0)),"")</f>
        <v/>
      </c>
      <c r="P561" t="str" cm="1">
        <f t="array" ref="P561">IFERROR(INDEX(PreparerInfo!B560:B572,MATCH($D561&amp;$C561,PreparerInfo!A560:A572&amp;PreparerInfo!C560:C572,0)),"")</f>
        <v/>
      </c>
      <c r="Q561" t="str">
        <f>IFERROR(INDEX(Source!B560:B568,MATCH('Case 4 solution'!E561,Source!A560:A568,0)),"")</f>
        <v/>
      </c>
    </row>
    <row r="562" spans="1:17" x14ac:dyDescent="0.3">
      <c r="A562" s="3">
        <v>2033800</v>
      </c>
      <c r="B562">
        <v>14260</v>
      </c>
      <c r="C562">
        <v>1</v>
      </c>
      <c r="D562" s="9">
        <v>102</v>
      </c>
      <c r="E562">
        <v>1002</v>
      </c>
      <c r="F562" s="1">
        <v>44010</v>
      </c>
      <c r="G562" t="s">
        <v>39</v>
      </c>
      <c r="H562" s="4">
        <v>510.91</v>
      </c>
      <c r="I562" s="4" t="s">
        <v>16</v>
      </c>
      <c r="J562" s="4">
        <v>510.91</v>
      </c>
      <c r="K562" t="str">
        <f>IFERROR(INDEX(BusinessUnits!$B:$B,MATCH($C562,BusinessUnits!$A:$A,0)),"")</f>
        <v>FOOD SERVICE</v>
      </c>
      <c r="L562" t="str">
        <f>IFERROR(INDEX(Table1[[#All],[Description]],MATCH($C562,BusinessUnits!$A:$A,0)),"")</f>
        <v xml:space="preserve">Transactions related to food and beverage service. Includes all guest transactions in the hotel restaurants, catering-related transactions and food service payroll. </v>
      </c>
      <c r="M562" t="str">
        <f>IFERROR(INDEX(ChartOfAccounts!B561:B646,MATCH($B562,ChartOfAccounts!A561:A646,0)),"")</f>
        <v/>
      </c>
      <c r="N562" t="str">
        <f>IFERROR(INDEX(ChartOfAccounts!D:D,MATCH($B562,ChartOfAccounts!A561:A646,0)),"")</f>
        <v/>
      </c>
      <c r="O562" t="str">
        <f>IFERROR(INDEX(ChartOfAccounts!F:F,MATCH($B562,ChartOfAccounts!A561:A646,0)),"")</f>
        <v/>
      </c>
      <c r="P562" t="str" cm="1">
        <f t="array" ref="P562">IFERROR(INDEX(PreparerInfo!B561:B573,MATCH($D562&amp;$C562,PreparerInfo!A561:A573&amp;PreparerInfo!C561:C573,0)),"")</f>
        <v/>
      </c>
      <c r="Q562" t="str">
        <f>IFERROR(INDEX(Source!B561:B569,MATCH('Case 4 solution'!E562,Source!A561:A569,0)),"")</f>
        <v/>
      </c>
    </row>
    <row r="563" spans="1:17" x14ac:dyDescent="0.3">
      <c r="A563" s="3">
        <v>2033800</v>
      </c>
      <c r="B563">
        <v>11845</v>
      </c>
      <c r="C563">
        <v>1</v>
      </c>
      <c r="D563" s="9">
        <v>102</v>
      </c>
      <c r="E563">
        <v>1002</v>
      </c>
      <c r="F563" s="1">
        <v>44010</v>
      </c>
      <c r="G563" t="s">
        <v>39</v>
      </c>
      <c r="H563" s="4" t="s">
        <v>16</v>
      </c>
      <c r="I563" s="4">
        <v>-510.91</v>
      </c>
      <c r="J563" s="4">
        <v>-510.91</v>
      </c>
      <c r="K563" t="str">
        <f>IFERROR(INDEX(BusinessUnits!$B:$B,MATCH($C563,BusinessUnits!$A:$A,0)),"")</f>
        <v>FOOD SERVICE</v>
      </c>
      <c r="L563" t="str">
        <f>IFERROR(INDEX(Table1[[#All],[Description]],MATCH($C563,BusinessUnits!$A:$A,0)),"")</f>
        <v xml:space="preserve">Transactions related to food and beverage service. Includes all guest transactions in the hotel restaurants, catering-related transactions and food service payroll. </v>
      </c>
      <c r="M563" t="str">
        <f>IFERROR(INDEX(ChartOfAccounts!B562:B647,MATCH($B563,ChartOfAccounts!A562:A647,0)),"")</f>
        <v/>
      </c>
      <c r="N563" t="str">
        <f>IFERROR(INDEX(ChartOfAccounts!D:D,MATCH($B563,ChartOfAccounts!A562:A647,0)),"")</f>
        <v/>
      </c>
      <c r="O563" t="str">
        <f>IFERROR(INDEX(ChartOfAccounts!F:F,MATCH($B563,ChartOfAccounts!A562:A647,0)),"")</f>
        <v/>
      </c>
      <c r="P563" t="str" cm="1">
        <f t="array" ref="P563">IFERROR(INDEX(PreparerInfo!B562:B574,MATCH($D563&amp;$C563,PreparerInfo!A562:A574&amp;PreparerInfo!C562:C574,0)),"")</f>
        <v/>
      </c>
      <c r="Q563" t="str">
        <f>IFERROR(INDEX(Source!B562:B570,MATCH('Case 4 solution'!E563,Source!A562:A570,0)),"")</f>
        <v/>
      </c>
    </row>
    <row r="564" spans="1:17" x14ac:dyDescent="0.3">
      <c r="A564" s="3">
        <v>2033801</v>
      </c>
      <c r="B564">
        <v>14260</v>
      </c>
      <c r="C564">
        <v>1</v>
      </c>
      <c r="D564" s="9">
        <v>102</v>
      </c>
      <c r="E564">
        <v>1002</v>
      </c>
      <c r="F564" s="1">
        <v>44010</v>
      </c>
      <c r="G564" t="s">
        <v>39</v>
      </c>
      <c r="H564" s="4">
        <v>552.67999999999995</v>
      </c>
      <c r="I564" s="4" t="s">
        <v>16</v>
      </c>
      <c r="J564" s="4">
        <v>552.67999999999995</v>
      </c>
      <c r="K564" t="str">
        <f>IFERROR(INDEX(BusinessUnits!$B:$B,MATCH($C564,BusinessUnits!$A:$A,0)),"")</f>
        <v>FOOD SERVICE</v>
      </c>
      <c r="L564" t="str">
        <f>IFERROR(INDEX(Table1[[#All],[Description]],MATCH($C564,BusinessUnits!$A:$A,0)),"")</f>
        <v xml:space="preserve">Transactions related to food and beverage service. Includes all guest transactions in the hotel restaurants, catering-related transactions and food service payroll. </v>
      </c>
      <c r="M564" t="str">
        <f>IFERROR(INDEX(ChartOfAccounts!B563:B648,MATCH($B564,ChartOfAccounts!A563:A648,0)),"")</f>
        <v/>
      </c>
      <c r="N564" t="str">
        <f>IFERROR(INDEX(ChartOfAccounts!D:D,MATCH($B564,ChartOfAccounts!A563:A648,0)),"")</f>
        <v/>
      </c>
      <c r="O564" t="str">
        <f>IFERROR(INDEX(ChartOfAccounts!F:F,MATCH($B564,ChartOfAccounts!A563:A648,0)),"")</f>
        <v/>
      </c>
      <c r="P564" t="str" cm="1">
        <f t="array" ref="P564">IFERROR(INDEX(PreparerInfo!B563:B575,MATCH($D564&amp;$C564,PreparerInfo!A563:A575&amp;PreparerInfo!C563:C575,0)),"")</f>
        <v/>
      </c>
      <c r="Q564" t="str">
        <f>IFERROR(INDEX(Source!B563:B571,MATCH('Case 4 solution'!E564,Source!A563:A571,0)),"")</f>
        <v/>
      </c>
    </row>
    <row r="565" spans="1:17" x14ac:dyDescent="0.3">
      <c r="A565" s="3">
        <v>2033801</v>
      </c>
      <c r="B565">
        <v>11845</v>
      </c>
      <c r="C565">
        <v>1</v>
      </c>
      <c r="D565" s="9">
        <v>102</v>
      </c>
      <c r="E565">
        <v>1002</v>
      </c>
      <c r="F565" s="1">
        <v>44010</v>
      </c>
      <c r="G565" t="s">
        <v>39</v>
      </c>
      <c r="H565" s="4" t="s">
        <v>16</v>
      </c>
      <c r="I565" s="4">
        <v>-552.67999999999995</v>
      </c>
      <c r="J565" s="4">
        <v>-552.67999999999995</v>
      </c>
      <c r="K565" t="str">
        <f>IFERROR(INDEX(BusinessUnits!$B:$B,MATCH($C565,BusinessUnits!$A:$A,0)),"")</f>
        <v>FOOD SERVICE</v>
      </c>
      <c r="L565" t="str">
        <f>IFERROR(INDEX(Table1[[#All],[Description]],MATCH($C565,BusinessUnits!$A:$A,0)),"")</f>
        <v xml:space="preserve">Transactions related to food and beverage service. Includes all guest transactions in the hotel restaurants, catering-related transactions and food service payroll. </v>
      </c>
      <c r="M565" t="str">
        <f>IFERROR(INDEX(ChartOfAccounts!B564:B649,MATCH($B565,ChartOfAccounts!A564:A649,0)),"")</f>
        <v/>
      </c>
      <c r="N565" t="str">
        <f>IFERROR(INDEX(ChartOfAccounts!D:D,MATCH($B565,ChartOfAccounts!A564:A649,0)),"")</f>
        <v/>
      </c>
      <c r="O565" t="str">
        <f>IFERROR(INDEX(ChartOfAccounts!F:F,MATCH($B565,ChartOfAccounts!A564:A649,0)),"")</f>
        <v/>
      </c>
      <c r="P565" t="str" cm="1">
        <f t="array" ref="P565">IFERROR(INDEX(PreparerInfo!B564:B576,MATCH($D565&amp;$C565,PreparerInfo!A564:A576&amp;PreparerInfo!C564:C576,0)),"")</f>
        <v/>
      </c>
      <c r="Q565" t="str">
        <f>IFERROR(INDEX(Source!B564:B572,MATCH('Case 4 solution'!E565,Source!A564:A572,0)),"")</f>
        <v/>
      </c>
    </row>
    <row r="566" spans="1:17" x14ac:dyDescent="0.3">
      <c r="A566" s="3">
        <v>2033802</v>
      </c>
      <c r="B566">
        <v>14260</v>
      </c>
      <c r="C566">
        <v>1</v>
      </c>
      <c r="D566" s="9">
        <v>102</v>
      </c>
      <c r="E566">
        <v>1002</v>
      </c>
      <c r="F566" s="1">
        <v>44010</v>
      </c>
      <c r="G566" t="s">
        <v>39</v>
      </c>
      <c r="H566" s="4">
        <v>670.46</v>
      </c>
      <c r="I566" s="4" t="s">
        <v>16</v>
      </c>
      <c r="J566" s="4">
        <v>670.46</v>
      </c>
      <c r="K566" t="str">
        <f>IFERROR(INDEX(BusinessUnits!$B:$B,MATCH($C566,BusinessUnits!$A:$A,0)),"")</f>
        <v>FOOD SERVICE</v>
      </c>
      <c r="L566" t="str">
        <f>IFERROR(INDEX(Table1[[#All],[Description]],MATCH($C566,BusinessUnits!$A:$A,0)),"")</f>
        <v xml:space="preserve">Transactions related to food and beverage service. Includes all guest transactions in the hotel restaurants, catering-related transactions and food service payroll. </v>
      </c>
      <c r="M566" t="str">
        <f>IFERROR(INDEX(ChartOfAccounts!B565:B650,MATCH($B566,ChartOfAccounts!A565:A650,0)),"")</f>
        <v/>
      </c>
      <c r="N566" t="str">
        <f>IFERROR(INDEX(ChartOfAccounts!D:D,MATCH($B566,ChartOfAccounts!A565:A650,0)),"")</f>
        <v/>
      </c>
      <c r="O566" t="str">
        <f>IFERROR(INDEX(ChartOfAccounts!F:F,MATCH($B566,ChartOfAccounts!A565:A650,0)),"")</f>
        <v/>
      </c>
      <c r="P566" t="str" cm="1">
        <f t="array" ref="P566">IFERROR(INDEX(PreparerInfo!B565:B577,MATCH($D566&amp;$C566,PreparerInfo!A565:A577&amp;PreparerInfo!C565:C577,0)),"")</f>
        <v/>
      </c>
      <c r="Q566" t="str">
        <f>IFERROR(INDEX(Source!B565:B573,MATCH('Case 4 solution'!E566,Source!A565:A573,0)),"")</f>
        <v/>
      </c>
    </row>
    <row r="567" spans="1:17" x14ac:dyDescent="0.3">
      <c r="A567" s="3">
        <v>2033802</v>
      </c>
      <c r="B567">
        <v>11845</v>
      </c>
      <c r="C567">
        <v>1</v>
      </c>
      <c r="D567" s="9">
        <v>102</v>
      </c>
      <c r="E567">
        <v>1002</v>
      </c>
      <c r="F567" s="1">
        <v>44010</v>
      </c>
      <c r="G567" t="s">
        <v>39</v>
      </c>
      <c r="H567" s="4" t="s">
        <v>16</v>
      </c>
      <c r="I567" s="4">
        <v>-670.46</v>
      </c>
      <c r="J567" s="4">
        <v>-670.46</v>
      </c>
      <c r="K567" t="str">
        <f>IFERROR(INDEX(BusinessUnits!$B:$B,MATCH($C567,BusinessUnits!$A:$A,0)),"")</f>
        <v>FOOD SERVICE</v>
      </c>
      <c r="L567" t="str">
        <f>IFERROR(INDEX(Table1[[#All],[Description]],MATCH($C567,BusinessUnits!$A:$A,0)),"")</f>
        <v xml:space="preserve">Transactions related to food and beverage service. Includes all guest transactions in the hotel restaurants, catering-related transactions and food service payroll. </v>
      </c>
      <c r="M567" t="str">
        <f>IFERROR(INDEX(ChartOfAccounts!B566:B651,MATCH($B567,ChartOfAccounts!A566:A651,0)),"")</f>
        <v/>
      </c>
      <c r="N567" t="str">
        <f>IFERROR(INDEX(ChartOfAccounts!D:D,MATCH($B567,ChartOfAccounts!A566:A651,0)),"")</f>
        <v/>
      </c>
      <c r="O567" t="str">
        <f>IFERROR(INDEX(ChartOfAccounts!F:F,MATCH($B567,ChartOfAccounts!A566:A651,0)),"")</f>
        <v/>
      </c>
      <c r="P567" t="str" cm="1">
        <f t="array" ref="P567">IFERROR(INDEX(PreparerInfo!B566:B578,MATCH($D567&amp;$C567,PreparerInfo!A566:A578&amp;PreparerInfo!C566:C578,0)),"")</f>
        <v/>
      </c>
      <c r="Q567" t="str">
        <f>IFERROR(INDEX(Source!B566:B574,MATCH('Case 4 solution'!E567,Source!A566:A574,0)),"")</f>
        <v/>
      </c>
    </row>
    <row r="568" spans="1:17" x14ac:dyDescent="0.3">
      <c r="A568" s="3">
        <v>2033803</v>
      </c>
      <c r="B568">
        <v>51610</v>
      </c>
      <c r="C568">
        <v>2</v>
      </c>
      <c r="D568" s="9">
        <v>105</v>
      </c>
      <c r="E568">
        <v>1006</v>
      </c>
      <c r="F568" s="1">
        <v>44010</v>
      </c>
      <c r="G568" t="s">
        <v>118</v>
      </c>
      <c r="H568" s="4">
        <v>685.1</v>
      </c>
      <c r="I568" s="4" t="s">
        <v>16</v>
      </c>
      <c r="J568" s="4">
        <v>685.1</v>
      </c>
      <c r="K568" t="str">
        <f>IFERROR(INDEX(BusinessUnits!$B:$B,MATCH($C568,BusinessUnits!$A:$A,0)),"")</f>
        <v>HOTEL</v>
      </c>
      <c r="L568" t="str">
        <f>IFERROR(INDEX(Table1[[#All],[Description]],MATCH($C568,BusinessUnits!$A:$A,0)),"")</f>
        <v xml:space="preserve">Transactions related to guest rooms and overall hotel operations. Includes payroll for administrative staff, clerks and interns. </v>
      </c>
      <c r="M568" t="str">
        <f>IFERROR(INDEX(ChartOfAccounts!B567:B652,MATCH($B568,ChartOfAccounts!A567:A652,0)),"")</f>
        <v/>
      </c>
      <c r="N568" t="str">
        <f>IFERROR(INDEX(ChartOfAccounts!D:D,MATCH($B568,ChartOfAccounts!A567:A652,0)),"")</f>
        <v/>
      </c>
      <c r="O568" t="str">
        <f>IFERROR(INDEX(ChartOfAccounts!F:F,MATCH($B568,ChartOfAccounts!A567:A652,0)),"")</f>
        <v/>
      </c>
      <c r="P568" t="str" cm="1">
        <f t="array" ref="P568">IFERROR(INDEX(PreparerInfo!B567:B579,MATCH($D568&amp;$C568,PreparerInfo!A567:A579&amp;PreparerInfo!C567:C579,0)),"")</f>
        <v/>
      </c>
      <c r="Q568" t="str">
        <f>IFERROR(INDEX(Source!B567:B575,MATCH('Case 4 solution'!E568,Source!A567:A575,0)),"")</f>
        <v/>
      </c>
    </row>
    <row r="569" spans="1:17" x14ac:dyDescent="0.3">
      <c r="A569" s="3">
        <v>2033803</v>
      </c>
      <c r="B569">
        <v>22110</v>
      </c>
      <c r="C569">
        <v>2</v>
      </c>
      <c r="D569" s="9">
        <v>105</v>
      </c>
      <c r="E569">
        <v>1006</v>
      </c>
      <c r="F569" s="1">
        <v>44010</v>
      </c>
      <c r="G569" t="s">
        <v>118</v>
      </c>
      <c r="H569" s="4" t="s">
        <v>16</v>
      </c>
      <c r="I569" s="4">
        <v>-685.1</v>
      </c>
      <c r="J569" s="4">
        <v>-685.1</v>
      </c>
      <c r="K569" t="str">
        <f>IFERROR(INDEX(BusinessUnits!$B:$B,MATCH($C569,BusinessUnits!$A:$A,0)),"")</f>
        <v>HOTEL</v>
      </c>
      <c r="L569" t="str">
        <f>IFERROR(INDEX(Table1[[#All],[Description]],MATCH($C569,BusinessUnits!$A:$A,0)),"")</f>
        <v xml:space="preserve">Transactions related to guest rooms and overall hotel operations. Includes payroll for administrative staff, clerks and interns. </v>
      </c>
      <c r="M569" t="str">
        <f>IFERROR(INDEX(ChartOfAccounts!B568:B653,MATCH($B569,ChartOfAccounts!A568:A653,0)),"")</f>
        <v/>
      </c>
      <c r="N569" t="str">
        <f>IFERROR(INDEX(ChartOfAccounts!D:D,MATCH($B569,ChartOfAccounts!A568:A653,0)),"")</f>
        <v/>
      </c>
      <c r="O569" t="str">
        <f>IFERROR(INDEX(ChartOfAccounts!F:F,MATCH($B569,ChartOfAccounts!A568:A653,0)),"")</f>
        <v/>
      </c>
      <c r="P569" t="str" cm="1">
        <f t="array" ref="P569">IFERROR(INDEX(PreparerInfo!B568:B580,MATCH($D569&amp;$C569,PreparerInfo!A568:A580&amp;PreparerInfo!C568:C580,0)),"")</f>
        <v/>
      </c>
      <c r="Q569" t="str">
        <f>IFERROR(INDEX(Source!B568:B576,MATCH('Case 4 solution'!E569,Source!A568:A576,0)),"")</f>
        <v/>
      </c>
    </row>
    <row r="570" spans="1:17" x14ac:dyDescent="0.3">
      <c r="A570" s="3">
        <v>2033804</v>
      </c>
      <c r="B570">
        <v>51400</v>
      </c>
      <c r="C570">
        <v>2</v>
      </c>
      <c r="D570" s="9">
        <v>105</v>
      </c>
      <c r="E570">
        <v>1006</v>
      </c>
      <c r="F570" s="1">
        <v>44010</v>
      </c>
      <c r="G570" t="s">
        <v>93</v>
      </c>
      <c r="H570" s="4">
        <v>714.39</v>
      </c>
      <c r="I570" s="4" t="s">
        <v>16</v>
      </c>
      <c r="J570" s="4">
        <v>714.39</v>
      </c>
      <c r="K570" t="str">
        <f>IFERROR(INDEX(BusinessUnits!$B:$B,MATCH($C570,BusinessUnits!$A:$A,0)),"")</f>
        <v>HOTEL</v>
      </c>
      <c r="L570" t="str">
        <f>IFERROR(INDEX(Table1[[#All],[Description]],MATCH($C570,BusinessUnits!$A:$A,0)),"")</f>
        <v xml:space="preserve">Transactions related to guest rooms and overall hotel operations. Includes payroll for administrative staff, clerks and interns. </v>
      </c>
      <c r="M570" t="str">
        <f>IFERROR(INDEX(ChartOfAccounts!B569:B654,MATCH($B570,ChartOfAccounts!A569:A654,0)),"")</f>
        <v/>
      </c>
      <c r="N570" t="str">
        <f>IFERROR(INDEX(ChartOfAccounts!D:D,MATCH($B570,ChartOfAccounts!A569:A654,0)),"")</f>
        <v/>
      </c>
      <c r="O570" t="str">
        <f>IFERROR(INDEX(ChartOfAccounts!F:F,MATCH($B570,ChartOfAccounts!A569:A654,0)),"")</f>
        <v/>
      </c>
      <c r="P570" t="str" cm="1">
        <f t="array" ref="P570">IFERROR(INDEX(PreparerInfo!B569:B581,MATCH($D570&amp;$C570,PreparerInfo!A569:A581&amp;PreparerInfo!C569:C581,0)),"")</f>
        <v/>
      </c>
      <c r="Q570" t="str">
        <f>IFERROR(INDEX(Source!B569:B577,MATCH('Case 4 solution'!E570,Source!A569:A577,0)),"")</f>
        <v/>
      </c>
    </row>
    <row r="571" spans="1:17" x14ac:dyDescent="0.3">
      <c r="A571" s="3">
        <v>2033804</v>
      </c>
      <c r="B571">
        <v>22110</v>
      </c>
      <c r="C571">
        <v>2</v>
      </c>
      <c r="D571" s="9">
        <v>105</v>
      </c>
      <c r="E571">
        <v>1006</v>
      </c>
      <c r="F571" s="1">
        <v>44010</v>
      </c>
      <c r="G571" t="s">
        <v>93</v>
      </c>
      <c r="H571" s="4" t="s">
        <v>16</v>
      </c>
      <c r="I571" s="4">
        <v>-714.39</v>
      </c>
      <c r="J571" s="4">
        <v>-714.39</v>
      </c>
      <c r="K571" t="str">
        <f>IFERROR(INDEX(BusinessUnits!$B:$B,MATCH($C571,BusinessUnits!$A:$A,0)),"")</f>
        <v>HOTEL</v>
      </c>
      <c r="L571" t="str">
        <f>IFERROR(INDEX(Table1[[#All],[Description]],MATCH($C571,BusinessUnits!$A:$A,0)),"")</f>
        <v xml:space="preserve">Transactions related to guest rooms and overall hotel operations. Includes payroll for administrative staff, clerks and interns. </v>
      </c>
      <c r="M571" t="str">
        <f>IFERROR(INDEX(ChartOfAccounts!B570:B655,MATCH($B571,ChartOfAccounts!A570:A655,0)),"")</f>
        <v/>
      </c>
      <c r="N571" t="str">
        <f>IFERROR(INDEX(ChartOfAccounts!D:D,MATCH($B571,ChartOfAccounts!A570:A655,0)),"")</f>
        <v/>
      </c>
      <c r="O571" t="str">
        <f>IFERROR(INDEX(ChartOfAccounts!F:F,MATCH($B571,ChartOfAccounts!A570:A655,0)),"")</f>
        <v/>
      </c>
      <c r="P571" t="str" cm="1">
        <f t="array" ref="P571">IFERROR(INDEX(PreparerInfo!B570:B582,MATCH($D571&amp;$C571,PreparerInfo!A570:A582&amp;PreparerInfo!C570:C582,0)),"")</f>
        <v/>
      </c>
      <c r="Q571" t="str">
        <f>IFERROR(INDEX(Source!B570:B578,MATCH('Case 4 solution'!E571,Source!A570:A578,0)),"")</f>
        <v/>
      </c>
    </row>
    <row r="572" spans="1:17" x14ac:dyDescent="0.3">
      <c r="A572" s="3">
        <v>2033805</v>
      </c>
      <c r="B572">
        <v>51610</v>
      </c>
      <c r="C572">
        <v>2</v>
      </c>
      <c r="D572" s="9">
        <v>105</v>
      </c>
      <c r="E572">
        <v>1006</v>
      </c>
      <c r="F572" s="1">
        <v>44010</v>
      </c>
      <c r="G572" t="s">
        <v>99</v>
      </c>
      <c r="H572" s="4">
        <v>792</v>
      </c>
      <c r="I572" s="4" t="s">
        <v>16</v>
      </c>
      <c r="J572" s="4">
        <v>792</v>
      </c>
      <c r="K572" t="str">
        <f>IFERROR(INDEX(BusinessUnits!$B:$B,MATCH($C572,BusinessUnits!$A:$A,0)),"")</f>
        <v>HOTEL</v>
      </c>
      <c r="L572" t="str">
        <f>IFERROR(INDEX(Table1[[#All],[Description]],MATCH($C572,BusinessUnits!$A:$A,0)),"")</f>
        <v xml:space="preserve">Transactions related to guest rooms and overall hotel operations. Includes payroll for administrative staff, clerks and interns. </v>
      </c>
      <c r="M572" t="str">
        <f>IFERROR(INDEX(ChartOfAccounts!B571:B656,MATCH($B572,ChartOfAccounts!A571:A656,0)),"")</f>
        <v/>
      </c>
      <c r="N572" t="str">
        <f>IFERROR(INDEX(ChartOfAccounts!D:D,MATCH($B572,ChartOfAccounts!A571:A656,0)),"")</f>
        <v/>
      </c>
      <c r="O572" t="str">
        <f>IFERROR(INDEX(ChartOfAccounts!F:F,MATCH($B572,ChartOfAccounts!A571:A656,0)),"")</f>
        <v/>
      </c>
      <c r="P572" t="str" cm="1">
        <f t="array" ref="P572">IFERROR(INDEX(PreparerInfo!B571:B583,MATCH($D572&amp;$C572,PreparerInfo!A571:A583&amp;PreparerInfo!C571:C583,0)),"")</f>
        <v/>
      </c>
      <c r="Q572" t="str">
        <f>IFERROR(INDEX(Source!B571:B579,MATCH('Case 4 solution'!E572,Source!A571:A579,0)),"")</f>
        <v/>
      </c>
    </row>
    <row r="573" spans="1:17" x14ac:dyDescent="0.3">
      <c r="A573" s="3">
        <v>2033805</v>
      </c>
      <c r="B573">
        <v>22110</v>
      </c>
      <c r="C573">
        <v>2</v>
      </c>
      <c r="D573" s="9">
        <v>105</v>
      </c>
      <c r="E573">
        <v>1006</v>
      </c>
      <c r="F573" s="1">
        <v>44010</v>
      </c>
      <c r="G573" t="s">
        <v>99</v>
      </c>
      <c r="H573" s="4" t="s">
        <v>16</v>
      </c>
      <c r="I573" s="4">
        <v>-792</v>
      </c>
      <c r="J573" s="4">
        <v>-792</v>
      </c>
      <c r="K573" t="str">
        <f>IFERROR(INDEX(BusinessUnits!$B:$B,MATCH($C573,BusinessUnits!$A:$A,0)),"")</f>
        <v>HOTEL</v>
      </c>
      <c r="L573" t="str">
        <f>IFERROR(INDEX(Table1[[#All],[Description]],MATCH($C573,BusinessUnits!$A:$A,0)),"")</f>
        <v xml:space="preserve">Transactions related to guest rooms and overall hotel operations. Includes payroll for administrative staff, clerks and interns. </v>
      </c>
      <c r="M573" t="str">
        <f>IFERROR(INDEX(ChartOfAccounts!B572:B657,MATCH($B573,ChartOfAccounts!A572:A657,0)),"")</f>
        <v/>
      </c>
      <c r="N573" t="str">
        <f>IFERROR(INDEX(ChartOfAccounts!D:D,MATCH($B573,ChartOfAccounts!A572:A657,0)),"")</f>
        <v/>
      </c>
      <c r="O573" t="str">
        <f>IFERROR(INDEX(ChartOfAccounts!F:F,MATCH($B573,ChartOfAccounts!A572:A657,0)),"")</f>
        <v/>
      </c>
      <c r="P573" t="str" cm="1">
        <f t="array" ref="P573">IFERROR(INDEX(PreparerInfo!B572:B584,MATCH($D573&amp;$C573,PreparerInfo!A572:A584&amp;PreparerInfo!C572:C584,0)),"")</f>
        <v/>
      </c>
      <c r="Q573" t="str">
        <f>IFERROR(INDEX(Source!B572:B580,MATCH('Case 4 solution'!E573,Source!A572:A580,0)),"")</f>
        <v/>
      </c>
    </row>
    <row r="574" spans="1:17" x14ac:dyDescent="0.3">
      <c r="A574" s="3">
        <v>2033806</v>
      </c>
      <c r="B574">
        <v>11845</v>
      </c>
      <c r="C574">
        <v>1</v>
      </c>
      <c r="D574" s="9">
        <v>102</v>
      </c>
      <c r="E574">
        <v>1001</v>
      </c>
      <c r="F574" s="1">
        <v>44010</v>
      </c>
      <c r="G574" t="s">
        <v>41</v>
      </c>
      <c r="H574" s="4">
        <v>806.19</v>
      </c>
      <c r="I574" s="4" t="s">
        <v>16</v>
      </c>
      <c r="J574" s="4">
        <v>806.19</v>
      </c>
      <c r="K574" t="str">
        <f>IFERROR(INDEX(BusinessUnits!$B:$B,MATCH($C574,BusinessUnits!$A:$A,0)),"")</f>
        <v>FOOD SERVICE</v>
      </c>
      <c r="L574" t="str">
        <f>IFERROR(INDEX(Table1[[#All],[Description]],MATCH($C574,BusinessUnits!$A:$A,0)),"")</f>
        <v xml:space="preserve">Transactions related to food and beverage service. Includes all guest transactions in the hotel restaurants, catering-related transactions and food service payroll. </v>
      </c>
      <c r="M574" t="str">
        <f>IFERROR(INDEX(ChartOfAccounts!B573:B658,MATCH($B574,ChartOfAccounts!A573:A658,0)),"")</f>
        <v/>
      </c>
      <c r="N574" t="str">
        <f>IFERROR(INDEX(ChartOfAccounts!D:D,MATCH($B574,ChartOfAccounts!A573:A658,0)),"")</f>
        <v/>
      </c>
      <c r="O574" t="str">
        <f>IFERROR(INDEX(ChartOfAccounts!F:F,MATCH($B574,ChartOfAccounts!A573:A658,0)),"")</f>
        <v/>
      </c>
      <c r="P574" t="str" cm="1">
        <f t="array" ref="P574">IFERROR(INDEX(PreparerInfo!B573:B585,MATCH($D574&amp;$C574,PreparerInfo!A573:A585&amp;PreparerInfo!C573:C585,0)),"")</f>
        <v/>
      </c>
      <c r="Q574" t="str">
        <f>IFERROR(INDEX(Source!B573:B581,MATCH('Case 4 solution'!E574,Source!A573:A581,0)),"")</f>
        <v/>
      </c>
    </row>
    <row r="575" spans="1:17" x14ac:dyDescent="0.3">
      <c r="A575" s="3">
        <v>2033806</v>
      </c>
      <c r="B575">
        <v>43310</v>
      </c>
      <c r="C575">
        <v>1</v>
      </c>
      <c r="D575" s="9">
        <v>102</v>
      </c>
      <c r="E575">
        <v>1001</v>
      </c>
      <c r="F575" s="1">
        <v>44010</v>
      </c>
      <c r="G575" t="s">
        <v>41</v>
      </c>
      <c r="H575" s="4" t="s">
        <v>16</v>
      </c>
      <c r="I575" s="4">
        <v>-806.19</v>
      </c>
      <c r="J575" s="4">
        <v>-806.19</v>
      </c>
      <c r="K575" t="str">
        <f>IFERROR(INDEX(BusinessUnits!$B:$B,MATCH($C575,BusinessUnits!$A:$A,0)),"")</f>
        <v>FOOD SERVICE</v>
      </c>
      <c r="L575" t="str">
        <f>IFERROR(INDEX(Table1[[#All],[Description]],MATCH($C575,BusinessUnits!$A:$A,0)),"")</f>
        <v xml:space="preserve">Transactions related to food and beverage service. Includes all guest transactions in the hotel restaurants, catering-related transactions and food service payroll. </v>
      </c>
      <c r="M575" t="str">
        <f>IFERROR(INDEX(ChartOfAccounts!B574:B659,MATCH($B575,ChartOfAccounts!A574:A659,0)),"")</f>
        <v/>
      </c>
      <c r="N575" t="str">
        <f>IFERROR(INDEX(ChartOfAccounts!D:D,MATCH($B575,ChartOfAccounts!A574:A659,0)),"")</f>
        <v/>
      </c>
      <c r="O575" t="str">
        <f>IFERROR(INDEX(ChartOfAccounts!F:F,MATCH($B575,ChartOfAccounts!A574:A659,0)),"")</f>
        <v/>
      </c>
      <c r="P575" t="str" cm="1">
        <f t="array" ref="P575">IFERROR(INDEX(PreparerInfo!B574:B586,MATCH($D575&amp;$C575,PreparerInfo!A574:A586&amp;PreparerInfo!C574:C586,0)),"")</f>
        <v/>
      </c>
      <c r="Q575" t="str">
        <f>IFERROR(INDEX(Source!B574:B582,MATCH('Case 4 solution'!E575,Source!A574:A582,0)),"")</f>
        <v/>
      </c>
    </row>
    <row r="576" spans="1:17" x14ac:dyDescent="0.3">
      <c r="A576" s="3">
        <v>2033807</v>
      </c>
      <c r="B576">
        <v>72760</v>
      </c>
      <c r="C576">
        <v>1</v>
      </c>
      <c r="D576" s="9">
        <v>101</v>
      </c>
      <c r="E576">
        <v>1002</v>
      </c>
      <c r="F576" s="1">
        <v>44010</v>
      </c>
      <c r="G576" t="s">
        <v>164</v>
      </c>
      <c r="H576" s="4">
        <v>843.75</v>
      </c>
      <c r="I576" s="4" t="s">
        <v>16</v>
      </c>
      <c r="J576" s="4">
        <v>843.75</v>
      </c>
      <c r="K576" t="str">
        <f>IFERROR(INDEX(BusinessUnits!$B:$B,MATCH($C576,BusinessUnits!$A:$A,0)),"")</f>
        <v>FOOD SERVICE</v>
      </c>
      <c r="L576" t="str">
        <f>IFERROR(INDEX(Table1[[#All],[Description]],MATCH($C576,BusinessUnits!$A:$A,0)),"")</f>
        <v xml:space="preserve">Transactions related to food and beverage service. Includes all guest transactions in the hotel restaurants, catering-related transactions and food service payroll. </v>
      </c>
      <c r="M576" t="str">
        <f>IFERROR(INDEX(ChartOfAccounts!B575:B660,MATCH($B576,ChartOfAccounts!A575:A660,0)),"")</f>
        <v/>
      </c>
      <c r="N576" t="str">
        <f>IFERROR(INDEX(ChartOfAccounts!D:D,MATCH($B576,ChartOfAccounts!A575:A660,0)),"")</f>
        <v/>
      </c>
      <c r="O576" t="str">
        <f>IFERROR(INDEX(ChartOfAccounts!F:F,MATCH($B576,ChartOfAccounts!A575:A660,0)),"")</f>
        <v/>
      </c>
      <c r="P576" t="str" cm="1">
        <f t="array" ref="P576">IFERROR(INDEX(PreparerInfo!B575:B587,MATCH($D576&amp;$C576,PreparerInfo!A575:A587&amp;PreparerInfo!C575:C587,0)),"")</f>
        <v/>
      </c>
      <c r="Q576" t="str">
        <f>IFERROR(INDEX(Source!B575:B583,MATCH('Case 4 solution'!E576,Source!A575:A583,0)),"")</f>
        <v/>
      </c>
    </row>
    <row r="577" spans="1:17" x14ac:dyDescent="0.3">
      <c r="A577" s="3">
        <v>2033807</v>
      </c>
      <c r="B577">
        <v>11845</v>
      </c>
      <c r="C577">
        <v>1</v>
      </c>
      <c r="D577" s="9">
        <v>101</v>
      </c>
      <c r="E577">
        <v>1002</v>
      </c>
      <c r="F577" s="1">
        <v>44010</v>
      </c>
      <c r="G577" t="s">
        <v>164</v>
      </c>
      <c r="H577" s="4" t="s">
        <v>16</v>
      </c>
      <c r="I577" s="4">
        <v>-843.75</v>
      </c>
      <c r="J577" s="4">
        <v>-843.75</v>
      </c>
      <c r="K577" t="str">
        <f>IFERROR(INDEX(BusinessUnits!$B:$B,MATCH($C577,BusinessUnits!$A:$A,0)),"")</f>
        <v>FOOD SERVICE</v>
      </c>
      <c r="L577" t="str">
        <f>IFERROR(INDEX(Table1[[#All],[Description]],MATCH($C577,BusinessUnits!$A:$A,0)),"")</f>
        <v xml:space="preserve">Transactions related to food and beverage service. Includes all guest transactions in the hotel restaurants, catering-related transactions and food service payroll. </v>
      </c>
      <c r="M577" t="str">
        <f>IFERROR(INDEX(ChartOfAccounts!B576:B661,MATCH($B577,ChartOfAccounts!A576:A661,0)),"")</f>
        <v/>
      </c>
      <c r="N577" t="str">
        <f>IFERROR(INDEX(ChartOfAccounts!D:D,MATCH($B577,ChartOfAccounts!A576:A661,0)),"")</f>
        <v/>
      </c>
      <c r="O577" t="str">
        <f>IFERROR(INDEX(ChartOfAccounts!F:F,MATCH($B577,ChartOfAccounts!A576:A661,0)),"")</f>
        <v/>
      </c>
      <c r="P577" t="str" cm="1">
        <f t="array" ref="P577">IFERROR(INDEX(PreparerInfo!B576:B588,MATCH($D577&amp;$C577,PreparerInfo!A576:A588&amp;PreparerInfo!C576:C588,0)),"")</f>
        <v/>
      </c>
      <c r="Q577" t="str">
        <f>IFERROR(INDEX(Source!B576:B584,MATCH('Case 4 solution'!E577,Source!A576:A584,0)),"")</f>
        <v/>
      </c>
    </row>
    <row r="578" spans="1:17" x14ac:dyDescent="0.3">
      <c r="A578" s="3">
        <v>2033808</v>
      </c>
      <c r="B578">
        <v>51402</v>
      </c>
      <c r="C578">
        <v>1</v>
      </c>
      <c r="D578" s="9">
        <v>105</v>
      </c>
      <c r="E578">
        <v>1006</v>
      </c>
      <c r="F578" s="1">
        <v>44010</v>
      </c>
      <c r="G578" t="s">
        <v>93</v>
      </c>
      <c r="H578" s="4">
        <v>849.76</v>
      </c>
      <c r="I578" s="4" t="s">
        <v>16</v>
      </c>
      <c r="J578" s="4">
        <v>849.76</v>
      </c>
      <c r="K578" t="str">
        <f>IFERROR(INDEX(BusinessUnits!$B:$B,MATCH($C578,BusinessUnits!$A:$A,0)),"")</f>
        <v>FOOD SERVICE</v>
      </c>
      <c r="L578" t="str">
        <f>IFERROR(INDEX(Table1[[#All],[Description]],MATCH($C578,BusinessUnits!$A:$A,0)),"")</f>
        <v xml:space="preserve">Transactions related to food and beverage service. Includes all guest transactions in the hotel restaurants, catering-related transactions and food service payroll. </v>
      </c>
      <c r="M578" t="str">
        <f>IFERROR(INDEX(ChartOfAccounts!B577:B662,MATCH($B578,ChartOfAccounts!A577:A662,0)),"")</f>
        <v/>
      </c>
      <c r="N578" t="str">
        <f>IFERROR(INDEX(ChartOfAccounts!D:D,MATCH($B578,ChartOfAccounts!A577:A662,0)),"")</f>
        <v/>
      </c>
      <c r="O578" t="str">
        <f>IFERROR(INDEX(ChartOfAccounts!F:F,MATCH($B578,ChartOfAccounts!A577:A662,0)),"")</f>
        <v/>
      </c>
      <c r="P578" t="str" cm="1">
        <f t="array" ref="P578">IFERROR(INDEX(PreparerInfo!B577:B589,MATCH($D578&amp;$C578,PreparerInfo!A577:A589&amp;PreparerInfo!C577:C589,0)),"")</f>
        <v/>
      </c>
      <c r="Q578" t="str">
        <f>IFERROR(INDEX(Source!B577:B585,MATCH('Case 4 solution'!E578,Source!A577:A585,0)),"")</f>
        <v/>
      </c>
    </row>
    <row r="579" spans="1:17" x14ac:dyDescent="0.3">
      <c r="A579" s="3">
        <v>2033808</v>
      </c>
      <c r="B579">
        <v>22110</v>
      </c>
      <c r="C579">
        <v>1</v>
      </c>
      <c r="D579" s="9">
        <v>105</v>
      </c>
      <c r="E579">
        <v>1006</v>
      </c>
      <c r="F579" s="1">
        <v>44010</v>
      </c>
      <c r="G579" t="s">
        <v>93</v>
      </c>
      <c r="H579" s="4" t="s">
        <v>16</v>
      </c>
      <c r="I579" s="4">
        <v>-849.76</v>
      </c>
      <c r="J579" s="4">
        <v>-849.76</v>
      </c>
      <c r="K579" t="str">
        <f>IFERROR(INDEX(BusinessUnits!$B:$B,MATCH($C579,BusinessUnits!$A:$A,0)),"")</f>
        <v>FOOD SERVICE</v>
      </c>
      <c r="L579" t="str">
        <f>IFERROR(INDEX(Table1[[#All],[Description]],MATCH($C579,BusinessUnits!$A:$A,0)),"")</f>
        <v xml:space="preserve">Transactions related to food and beverage service. Includes all guest transactions in the hotel restaurants, catering-related transactions and food service payroll. </v>
      </c>
      <c r="M579" t="str">
        <f>IFERROR(INDEX(ChartOfAccounts!B578:B663,MATCH($B579,ChartOfAccounts!A578:A663,0)),"")</f>
        <v/>
      </c>
      <c r="N579" t="str">
        <f>IFERROR(INDEX(ChartOfAccounts!D:D,MATCH($B579,ChartOfAccounts!A578:A663,0)),"")</f>
        <v/>
      </c>
      <c r="O579" t="str">
        <f>IFERROR(INDEX(ChartOfAccounts!F:F,MATCH($B579,ChartOfAccounts!A578:A663,0)),"")</f>
        <v/>
      </c>
      <c r="P579" t="str" cm="1">
        <f t="array" ref="P579">IFERROR(INDEX(PreparerInfo!B578:B590,MATCH($D579&amp;$C579,PreparerInfo!A578:A590&amp;PreparerInfo!C578:C590,0)),"")</f>
        <v/>
      </c>
      <c r="Q579" t="str">
        <f>IFERROR(INDEX(Source!B578:B586,MATCH('Case 4 solution'!E579,Source!A578:A586,0)),"")</f>
        <v/>
      </c>
    </row>
    <row r="580" spans="1:17" x14ac:dyDescent="0.3">
      <c r="A580" s="3">
        <v>2033809</v>
      </c>
      <c r="B580">
        <v>43180</v>
      </c>
      <c r="C580">
        <v>2</v>
      </c>
      <c r="D580" s="9">
        <v>104</v>
      </c>
      <c r="E580">
        <v>1003</v>
      </c>
      <c r="F580" s="1">
        <v>44010</v>
      </c>
      <c r="G580" t="s">
        <v>240</v>
      </c>
      <c r="H580" s="4">
        <v>945</v>
      </c>
      <c r="I580" s="4" t="s">
        <v>16</v>
      </c>
      <c r="J580" s="4">
        <v>945</v>
      </c>
      <c r="K580" t="str">
        <f>IFERROR(INDEX(BusinessUnits!$B:$B,MATCH($C580,BusinessUnits!$A:$A,0)),"")</f>
        <v>HOTEL</v>
      </c>
      <c r="L580" t="str">
        <f>IFERROR(INDEX(Table1[[#All],[Description]],MATCH($C580,BusinessUnits!$A:$A,0)),"")</f>
        <v xml:space="preserve">Transactions related to guest rooms and overall hotel operations. Includes payroll for administrative staff, clerks and interns. </v>
      </c>
      <c r="M580" t="str">
        <f>IFERROR(INDEX(ChartOfAccounts!B579:B664,MATCH($B580,ChartOfAccounts!A579:A664,0)),"")</f>
        <v/>
      </c>
      <c r="N580" t="str">
        <f>IFERROR(INDEX(ChartOfAccounts!D:D,MATCH($B580,ChartOfAccounts!A579:A664,0)),"")</f>
        <v/>
      </c>
      <c r="O580" t="str">
        <f>IFERROR(INDEX(ChartOfAccounts!F:F,MATCH($B580,ChartOfAccounts!A579:A664,0)),"")</f>
        <v/>
      </c>
      <c r="P580" t="str" cm="1">
        <f t="array" ref="P580">IFERROR(INDEX(PreparerInfo!B579:B591,MATCH($D580&amp;$C580,PreparerInfo!A579:A591&amp;PreparerInfo!C579:C591,0)),"")</f>
        <v/>
      </c>
      <c r="Q580" t="str">
        <f>IFERROR(INDEX(Source!B579:B587,MATCH('Case 4 solution'!E580,Source!A579:A587,0)),"")</f>
        <v/>
      </c>
    </row>
    <row r="581" spans="1:17" x14ac:dyDescent="0.3">
      <c r="A581" s="3">
        <v>2033809</v>
      </c>
      <c r="B581">
        <v>11845</v>
      </c>
      <c r="C581">
        <v>2</v>
      </c>
      <c r="D581" s="9">
        <v>104</v>
      </c>
      <c r="E581">
        <v>1003</v>
      </c>
      <c r="F581" s="1">
        <v>44010</v>
      </c>
      <c r="G581" t="s">
        <v>240</v>
      </c>
      <c r="H581" s="4" t="s">
        <v>16</v>
      </c>
      <c r="I581" s="4">
        <v>-945</v>
      </c>
      <c r="J581" s="4">
        <v>-945</v>
      </c>
      <c r="K581" t="str">
        <f>IFERROR(INDEX(BusinessUnits!$B:$B,MATCH($C581,BusinessUnits!$A:$A,0)),"")</f>
        <v>HOTEL</v>
      </c>
      <c r="L581" t="str">
        <f>IFERROR(INDEX(Table1[[#All],[Description]],MATCH($C581,BusinessUnits!$A:$A,0)),"")</f>
        <v xml:space="preserve">Transactions related to guest rooms and overall hotel operations. Includes payroll for administrative staff, clerks and interns. </v>
      </c>
      <c r="M581" t="str">
        <f>IFERROR(INDEX(ChartOfAccounts!B580:B665,MATCH($B581,ChartOfAccounts!A580:A665,0)),"")</f>
        <v/>
      </c>
      <c r="N581" t="str">
        <f>IFERROR(INDEX(ChartOfAccounts!D:D,MATCH($B581,ChartOfAccounts!A580:A665,0)),"")</f>
        <v/>
      </c>
      <c r="O581" t="str">
        <f>IFERROR(INDEX(ChartOfAccounts!F:F,MATCH($B581,ChartOfAccounts!A580:A665,0)),"")</f>
        <v/>
      </c>
      <c r="P581" t="str" cm="1">
        <f t="array" ref="P581">IFERROR(INDEX(PreparerInfo!B580:B592,MATCH($D581&amp;$C581,PreparerInfo!A580:A592&amp;PreparerInfo!C580:C592,0)),"")</f>
        <v/>
      </c>
      <c r="Q581" t="str">
        <f>IFERROR(INDEX(Source!B580:B588,MATCH('Case 4 solution'!E581,Source!A580:A588,0)),"")</f>
        <v/>
      </c>
    </row>
    <row r="582" spans="1:17" x14ac:dyDescent="0.3">
      <c r="A582" s="3">
        <v>2033810</v>
      </c>
      <c r="B582">
        <v>51510</v>
      </c>
      <c r="C582">
        <v>4</v>
      </c>
      <c r="D582" s="9">
        <v>105</v>
      </c>
      <c r="E582">
        <v>1006</v>
      </c>
      <c r="F582" s="1">
        <v>44010</v>
      </c>
      <c r="G582" t="s">
        <v>96</v>
      </c>
      <c r="H582" s="4">
        <v>1024.42</v>
      </c>
      <c r="I582" s="4" t="s">
        <v>16</v>
      </c>
      <c r="J582" s="4">
        <v>1024.42</v>
      </c>
      <c r="K582" t="str">
        <f>IFERROR(INDEX(BusinessUnits!$B:$B,MATCH($C582,BusinessUnits!$A:$A,0)),"")</f>
        <v>HOUSEKEEPING</v>
      </c>
      <c r="L582" t="str">
        <f>IFERROR(INDEX(Table1[[#All],[Description]],MATCH($C582,BusinessUnits!$A:$A,0)),"")</f>
        <v xml:space="preserve">Transactions related to the Housekeeping Department. Primarily includes payroll for housekeepers and housekeeping supplies. </v>
      </c>
      <c r="M582" t="str">
        <f>IFERROR(INDEX(ChartOfAccounts!B581:B666,MATCH($B582,ChartOfAccounts!A581:A666,0)),"")</f>
        <v/>
      </c>
      <c r="N582" t="str">
        <f>IFERROR(INDEX(ChartOfAccounts!D:D,MATCH($B582,ChartOfAccounts!A581:A666,0)),"")</f>
        <v/>
      </c>
      <c r="O582" t="str">
        <f>IFERROR(INDEX(ChartOfAccounts!F:F,MATCH($B582,ChartOfAccounts!A581:A666,0)),"")</f>
        <v/>
      </c>
      <c r="P582" t="str" cm="1">
        <f t="array" ref="P582">IFERROR(INDEX(PreparerInfo!B581:B593,MATCH($D582&amp;$C582,PreparerInfo!A581:A593&amp;PreparerInfo!C581:C593,0)),"")</f>
        <v/>
      </c>
      <c r="Q582" t="str">
        <f>IFERROR(INDEX(Source!B581:B589,MATCH('Case 4 solution'!E582,Source!A581:A589,0)),"")</f>
        <v/>
      </c>
    </row>
    <row r="583" spans="1:17" x14ac:dyDescent="0.3">
      <c r="A583" s="3">
        <v>2033810</v>
      </c>
      <c r="B583">
        <v>22110</v>
      </c>
      <c r="C583">
        <v>4</v>
      </c>
      <c r="D583" s="9">
        <v>105</v>
      </c>
      <c r="E583">
        <v>1006</v>
      </c>
      <c r="F583" s="1">
        <v>44010</v>
      </c>
      <c r="G583" t="s">
        <v>96</v>
      </c>
      <c r="H583" s="4" t="s">
        <v>16</v>
      </c>
      <c r="I583" s="4">
        <v>-1024.42</v>
      </c>
      <c r="J583" s="4">
        <v>-1024.42</v>
      </c>
      <c r="K583" t="str">
        <f>IFERROR(INDEX(BusinessUnits!$B:$B,MATCH($C583,BusinessUnits!$A:$A,0)),"")</f>
        <v>HOUSEKEEPING</v>
      </c>
      <c r="L583" t="str">
        <f>IFERROR(INDEX(Table1[[#All],[Description]],MATCH($C583,BusinessUnits!$A:$A,0)),"")</f>
        <v xml:space="preserve">Transactions related to the Housekeeping Department. Primarily includes payroll for housekeepers and housekeeping supplies. </v>
      </c>
      <c r="M583" t="str">
        <f>IFERROR(INDEX(ChartOfAccounts!B582:B667,MATCH($B583,ChartOfAccounts!A582:A667,0)),"")</f>
        <v/>
      </c>
      <c r="N583" t="str">
        <f>IFERROR(INDEX(ChartOfAccounts!D:D,MATCH($B583,ChartOfAccounts!A582:A667,0)),"")</f>
        <v/>
      </c>
      <c r="O583" t="str">
        <f>IFERROR(INDEX(ChartOfAccounts!F:F,MATCH($B583,ChartOfAccounts!A582:A667,0)),"")</f>
        <v/>
      </c>
      <c r="P583" t="str" cm="1">
        <f t="array" ref="P583">IFERROR(INDEX(PreparerInfo!B582:B594,MATCH($D583&amp;$C583,PreparerInfo!A582:A594&amp;PreparerInfo!C582:C594,0)),"")</f>
        <v/>
      </c>
      <c r="Q583" t="str">
        <f>IFERROR(INDEX(Source!B582:B590,MATCH('Case 4 solution'!E583,Source!A582:A590,0)),"")</f>
        <v/>
      </c>
    </row>
    <row r="584" spans="1:17" x14ac:dyDescent="0.3">
      <c r="A584" s="3">
        <v>2033811</v>
      </c>
      <c r="B584">
        <v>14260</v>
      </c>
      <c r="C584">
        <v>1</v>
      </c>
      <c r="D584" s="9">
        <v>101</v>
      </c>
      <c r="E584">
        <v>1002</v>
      </c>
      <c r="F584" s="1">
        <v>44010</v>
      </c>
      <c r="G584" t="s">
        <v>85</v>
      </c>
      <c r="H584" s="4">
        <v>1093.45</v>
      </c>
      <c r="I584" s="4" t="s">
        <v>16</v>
      </c>
      <c r="J584" s="4">
        <v>1093.45</v>
      </c>
      <c r="K584" t="str">
        <f>IFERROR(INDEX(BusinessUnits!$B:$B,MATCH($C584,BusinessUnits!$A:$A,0)),"")</f>
        <v>FOOD SERVICE</v>
      </c>
      <c r="L584" t="str">
        <f>IFERROR(INDEX(Table1[[#All],[Description]],MATCH($C584,BusinessUnits!$A:$A,0)),"")</f>
        <v xml:space="preserve">Transactions related to food and beverage service. Includes all guest transactions in the hotel restaurants, catering-related transactions and food service payroll. </v>
      </c>
      <c r="M584" t="str">
        <f>IFERROR(INDEX(ChartOfAccounts!B583:B668,MATCH($B584,ChartOfAccounts!A583:A668,0)),"")</f>
        <v/>
      </c>
      <c r="N584" t="str">
        <f>IFERROR(INDEX(ChartOfAccounts!D:D,MATCH($B584,ChartOfAccounts!A583:A668,0)),"")</f>
        <v/>
      </c>
      <c r="O584" t="str">
        <f>IFERROR(INDEX(ChartOfAccounts!F:F,MATCH($B584,ChartOfAccounts!A583:A668,0)),"")</f>
        <v/>
      </c>
      <c r="P584" t="str" cm="1">
        <f t="array" ref="P584">IFERROR(INDEX(PreparerInfo!B583:B595,MATCH($D584&amp;$C584,PreparerInfo!A583:A595&amp;PreparerInfo!C583:C595,0)),"")</f>
        <v/>
      </c>
      <c r="Q584" t="str">
        <f>IFERROR(INDEX(Source!B583:B591,MATCH('Case 4 solution'!E584,Source!A583:A591,0)),"")</f>
        <v/>
      </c>
    </row>
    <row r="585" spans="1:17" x14ac:dyDescent="0.3">
      <c r="A585" s="3">
        <v>2033811</v>
      </c>
      <c r="B585">
        <v>11845</v>
      </c>
      <c r="C585">
        <v>1</v>
      </c>
      <c r="D585" s="9">
        <v>101</v>
      </c>
      <c r="E585">
        <v>1002</v>
      </c>
      <c r="F585" s="1">
        <v>44010</v>
      </c>
      <c r="G585" t="s">
        <v>85</v>
      </c>
      <c r="H585" s="4" t="s">
        <v>16</v>
      </c>
      <c r="I585" s="4">
        <v>-1093.45</v>
      </c>
      <c r="J585" s="4">
        <v>-1093.45</v>
      </c>
      <c r="K585" t="str">
        <f>IFERROR(INDEX(BusinessUnits!$B:$B,MATCH($C585,BusinessUnits!$A:$A,0)),"")</f>
        <v>FOOD SERVICE</v>
      </c>
      <c r="L585" t="str">
        <f>IFERROR(INDEX(Table1[[#All],[Description]],MATCH($C585,BusinessUnits!$A:$A,0)),"")</f>
        <v xml:space="preserve">Transactions related to food and beverage service. Includes all guest transactions in the hotel restaurants, catering-related transactions and food service payroll. </v>
      </c>
      <c r="M585" t="str">
        <f>IFERROR(INDEX(ChartOfAccounts!B584:B669,MATCH($B585,ChartOfAccounts!A584:A669,0)),"")</f>
        <v/>
      </c>
      <c r="N585" t="str">
        <f>IFERROR(INDEX(ChartOfAccounts!D:D,MATCH($B585,ChartOfAccounts!A584:A669,0)),"")</f>
        <v/>
      </c>
      <c r="O585" t="str">
        <f>IFERROR(INDEX(ChartOfAccounts!F:F,MATCH($B585,ChartOfAccounts!A584:A669,0)),"")</f>
        <v/>
      </c>
      <c r="P585" t="str" cm="1">
        <f t="array" ref="P585">IFERROR(INDEX(PreparerInfo!B584:B596,MATCH($D585&amp;$C585,PreparerInfo!A584:A596&amp;PreparerInfo!C584:C596,0)),"")</f>
        <v/>
      </c>
      <c r="Q585" t="str">
        <f>IFERROR(INDEX(Source!B584:B592,MATCH('Case 4 solution'!E585,Source!A584:A592,0)),"")</f>
        <v/>
      </c>
    </row>
    <row r="586" spans="1:17" x14ac:dyDescent="0.3">
      <c r="A586" s="3">
        <v>2033812</v>
      </c>
      <c r="B586">
        <v>14260</v>
      </c>
      <c r="C586">
        <v>1</v>
      </c>
      <c r="D586" s="9">
        <v>102</v>
      </c>
      <c r="E586">
        <v>1002</v>
      </c>
      <c r="F586" s="1">
        <v>44010</v>
      </c>
      <c r="G586" t="s">
        <v>126</v>
      </c>
      <c r="H586" s="4">
        <v>1426.85</v>
      </c>
      <c r="I586" s="4" t="s">
        <v>16</v>
      </c>
      <c r="J586" s="4">
        <v>1426.85</v>
      </c>
      <c r="K586" t="str">
        <f>IFERROR(INDEX(BusinessUnits!$B:$B,MATCH($C586,BusinessUnits!$A:$A,0)),"")</f>
        <v>FOOD SERVICE</v>
      </c>
      <c r="L586" t="str">
        <f>IFERROR(INDEX(Table1[[#All],[Description]],MATCH($C586,BusinessUnits!$A:$A,0)),"")</f>
        <v xml:space="preserve">Transactions related to food and beverage service. Includes all guest transactions in the hotel restaurants, catering-related transactions and food service payroll. </v>
      </c>
      <c r="M586" t="str">
        <f>IFERROR(INDEX(ChartOfAccounts!B585:B670,MATCH($B586,ChartOfAccounts!A585:A670,0)),"")</f>
        <v/>
      </c>
      <c r="N586" t="str">
        <f>IFERROR(INDEX(ChartOfAccounts!D:D,MATCH($B586,ChartOfAccounts!A585:A670,0)),"")</f>
        <v/>
      </c>
      <c r="O586" t="str">
        <f>IFERROR(INDEX(ChartOfAccounts!F:F,MATCH($B586,ChartOfAccounts!A585:A670,0)),"")</f>
        <v/>
      </c>
      <c r="P586" t="str" cm="1">
        <f t="array" ref="P586">IFERROR(INDEX(PreparerInfo!B585:B597,MATCH($D586&amp;$C586,PreparerInfo!A585:A597&amp;PreparerInfo!C585:C597,0)),"")</f>
        <v/>
      </c>
      <c r="Q586" t="str">
        <f>IFERROR(INDEX(Source!B585:B593,MATCH('Case 4 solution'!E586,Source!A585:A593,0)),"")</f>
        <v/>
      </c>
    </row>
    <row r="587" spans="1:17" x14ac:dyDescent="0.3">
      <c r="A587" s="3">
        <v>2033812</v>
      </c>
      <c r="B587">
        <v>11845</v>
      </c>
      <c r="C587">
        <v>1</v>
      </c>
      <c r="D587" s="9">
        <v>102</v>
      </c>
      <c r="E587">
        <v>1002</v>
      </c>
      <c r="F587" s="1">
        <v>44010</v>
      </c>
      <c r="G587" t="s">
        <v>126</v>
      </c>
      <c r="H587" s="4" t="s">
        <v>16</v>
      </c>
      <c r="I587" s="4">
        <v>-1426.85</v>
      </c>
      <c r="J587" s="4">
        <v>-1426.85</v>
      </c>
      <c r="K587" t="str">
        <f>IFERROR(INDEX(BusinessUnits!$B:$B,MATCH($C587,BusinessUnits!$A:$A,0)),"")</f>
        <v>FOOD SERVICE</v>
      </c>
      <c r="L587" t="str">
        <f>IFERROR(INDEX(Table1[[#All],[Description]],MATCH($C587,BusinessUnits!$A:$A,0)),"")</f>
        <v xml:space="preserve">Transactions related to food and beverage service. Includes all guest transactions in the hotel restaurants, catering-related transactions and food service payroll. </v>
      </c>
      <c r="M587" t="str">
        <f>IFERROR(INDEX(ChartOfAccounts!B586:B671,MATCH($B587,ChartOfAccounts!A586:A671,0)),"")</f>
        <v/>
      </c>
      <c r="N587" t="str">
        <f>IFERROR(INDEX(ChartOfAccounts!D:D,MATCH($B587,ChartOfAccounts!A586:A671,0)),"")</f>
        <v/>
      </c>
      <c r="O587" t="str">
        <f>IFERROR(INDEX(ChartOfAccounts!F:F,MATCH($B587,ChartOfAccounts!A586:A671,0)),"")</f>
        <v/>
      </c>
      <c r="P587" t="str" cm="1">
        <f t="array" ref="P587">IFERROR(INDEX(PreparerInfo!B586:B598,MATCH($D587&amp;$C587,PreparerInfo!A586:A598&amp;PreparerInfo!C586:C598,0)),"")</f>
        <v/>
      </c>
      <c r="Q587" t="str">
        <f>IFERROR(INDEX(Source!B586:B594,MATCH('Case 4 solution'!E587,Source!A586:A594,0)),"")</f>
        <v/>
      </c>
    </row>
    <row r="588" spans="1:17" x14ac:dyDescent="0.3">
      <c r="A588" s="3">
        <v>2033813</v>
      </c>
      <c r="B588">
        <v>11845</v>
      </c>
      <c r="C588">
        <v>1</v>
      </c>
      <c r="D588" s="9">
        <v>102</v>
      </c>
      <c r="E588">
        <v>1003</v>
      </c>
      <c r="F588" s="1">
        <v>44010</v>
      </c>
      <c r="G588" t="s">
        <v>15</v>
      </c>
      <c r="H588" s="4">
        <v>1806.46</v>
      </c>
      <c r="I588" s="4" t="s">
        <v>16</v>
      </c>
      <c r="J588" s="4">
        <v>1806.46</v>
      </c>
      <c r="K588" t="str">
        <f>IFERROR(INDEX(BusinessUnits!$B:$B,MATCH($C588,BusinessUnits!$A:$A,0)),"")</f>
        <v>FOOD SERVICE</v>
      </c>
      <c r="L588" t="str">
        <f>IFERROR(INDEX(Table1[[#All],[Description]],MATCH($C588,BusinessUnits!$A:$A,0)),"")</f>
        <v xml:space="preserve">Transactions related to food and beverage service. Includes all guest transactions in the hotel restaurants, catering-related transactions and food service payroll. </v>
      </c>
      <c r="M588" t="str">
        <f>IFERROR(INDEX(ChartOfAccounts!B587:B672,MATCH($B588,ChartOfAccounts!A587:A672,0)),"")</f>
        <v/>
      </c>
      <c r="N588" t="str">
        <f>IFERROR(INDEX(ChartOfAccounts!D:D,MATCH($B588,ChartOfAccounts!A587:A672,0)),"")</f>
        <v/>
      </c>
      <c r="O588" t="str">
        <f>IFERROR(INDEX(ChartOfAccounts!F:F,MATCH($B588,ChartOfAccounts!A587:A672,0)),"")</f>
        <v/>
      </c>
      <c r="P588" t="str" cm="1">
        <f t="array" ref="P588">IFERROR(INDEX(PreparerInfo!B587:B599,MATCH($D588&amp;$C588,PreparerInfo!A587:A599&amp;PreparerInfo!C587:C599,0)),"")</f>
        <v/>
      </c>
      <c r="Q588" t="str">
        <f>IFERROR(INDEX(Source!B587:B595,MATCH('Case 4 solution'!E588,Source!A587:A595,0)),"")</f>
        <v/>
      </c>
    </row>
    <row r="589" spans="1:17" x14ac:dyDescent="0.3">
      <c r="A589" s="3">
        <v>2033813</v>
      </c>
      <c r="B589">
        <v>43310</v>
      </c>
      <c r="C589">
        <v>1</v>
      </c>
      <c r="D589" s="9">
        <v>102</v>
      </c>
      <c r="E589">
        <v>1003</v>
      </c>
      <c r="F589" s="1">
        <v>44010</v>
      </c>
      <c r="G589" t="s">
        <v>15</v>
      </c>
      <c r="H589" s="4" t="s">
        <v>16</v>
      </c>
      <c r="I589" s="4">
        <v>-1806.46</v>
      </c>
      <c r="J589" s="4">
        <v>-1806.46</v>
      </c>
      <c r="K589" t="str">
        <f>IFERROR(INDEX(BusinessUnits!$B:$B,MATCH($C589,BusinessUnits!$A:$A,0)),"")</f>
        <v>FOOD SERVICE</v>
      </c>
      <c r="L589" t="str">
        <f>IFERROR(INDEX(Table1[[#All],[Description]],MATCH($C589,BusinessUnits!$A:$A,0)),"")</f>
        <v xml:space="preserve">Transactions related to food and beverage service. Includes all guest transactions in the hotel restaurants, catering-related transactions and food service payroll. </v>
      </c>
      <c r="M589" t="str">
        <f>IFERROR(INDEX(ChartOfAccounts!B588:B673,MATCH($B589,ChartOfAccounts!A588:A673,0)),"")</f>
        <v/>
      </c>
      <c r="N589" t="str">
        <f>IFERROR(INDEX(ChartOfAccounts!D:D,MATCH($B589,ChartOfAccounts!A588:A673,0)),"")</f>
        <v/>
      </c>
      <c r="O589" t="str">
        <f>IFERROR(INDEX(ChartOfAccounts!F:F,MATCH($B589,ChartOfAccounts!A588:A673,0)),"")</f>
        <v/>
      </c>
      <c r="P589" t="str" cm="1">
        <f t="array" ref="P589">IFERROR(INDEX(PreparerInfo!B588:B600,MATCH($D589&amp;$C589,PreparerInfo!A588:A600&amp;PreparerInfo!C588:C600,0)),"")</f>
        <v/>
      </c>
      <c r="Q589" t="str">
        <f>IFERROR(INDEX(Source!B588:B596,MATCH('Case 4 solution'!E589,Source!A588:A596,0)),"")</f>
        <v/>
      </c>
    </row>
    <row r="590" spans="1:17" x14ac:dyDescent="0.3">
      <c r="A590" s="3">
        <v>2033814</v>
      </c>
      <c r="B590">
        <v>51510</v>
      </c>
      <c r="C590">
        <v>2</v>
      </c>
      <c r="D590" s="9">
        <v>105</v>
      </c>
      <c r="E590">
        <v>1006</v>
      </c>
      <c r="F590" s="1">
        <v>44010</v>
      </c>
      <c r="G590" t="s">
        <v>96</v>
      </c>
      <c r="H590" s="4">
        <v>1808.54</v>
      </c>
      <c r="I590" s="4" t="s">
        <v>16</v>
      </c>
      <c r="J590" s="4">
        <v>1808.54</v>
      </c>
      <c r="K590" t="str">
        <f>IFERROR(INDEX(BusinessUnits!$B:$B,MATCH($C590,BusinessUnits!$A:$A,0)),"")</f>
        <v>HOTEL</v>
      </c>
      <c r="L590" t="str">
        <f>IFERROR(INDEX(Table1[[#All],[Description]],MATCH($C590,BusinessUnits!$A:$A,0)),"")</f>
        <v xml:space="preserve">Transactions related to guest rooms and overall hotel operations. Includes payroll for administrative staff, clerks and interns. </v>
      </c>
      <c r="M590" t="str">
        <f>IFERROR(INDEX(ChartOfAccounts!B589:B674,MATCH($B590,ChartOfAccounts!A589:A674,0)),"")</f>
        <v/>
      </c>
      <c r="N590" t="str">
        <f>IFERROR(INDEX(ChartOfAccounts!D:D,MATCH($B590,ChartOfAccounts!A589:A674,0)),"")</f>
        <v/>
      </c>
      <c r="O590" t="str">
        <f>IFERROR(INDEX(ChartOfAccounts!F:F,MATCH($B590,ChartOfAccounts!A589:A674,0)),"")</f>
        <v/>
      </c>
      <c r="P590" t="str" cm="1">
        <f t="array" ref="P590">IFERROR(INDEX(PreparerInfo!B589:B601,MATCH($D590&amp;$C590,PreparerInfo!A589:A601&amp;PreparerInfo!C589:C601,0)),"")</f>
        <v/>
      </c>
      <c r="Q590" t="str">
        <f>IFERROR(INDEX(Source!B589:B597,MATCH('Case 4 solution'!E590,Source!A589:A597,0)),"")</f>
        <v/>
      </c>
    </row>
    <row r="591" spans="1:17" x14ac:dyDescent="0.3">
      <c r="A591" s="3">
        <v>2033814</v>
      </c>
      <c r="B591">
        <v>22110</v>
      </c>
      <c r="C591">
        <v>2</v>
      </c>
      <c r="D591" s="9">
        <v>105</v>
      </c>
      <c r="E591">
        <v>1006</v>
      </c>
      <c r="F591" s="1">
        <v>44010</v>
      </c>
      <c r="G591" t="s">
        <v>96</v>
      </c>
      <c r="H591" s="4" t="s">
        <v>16</v>
      </c>
      <c r="I591" s="4">
        <v>-1808.54</v>
      </c>
      <c r="J591" s="4">
        <v>-1808.54</v>
      </c>
      <c r="K591" t="str">
        <f>IFERROR(INDEX(BusinessUnits!$B:$B,MATCH($C591,BusinessUnits!$A:$A,0)),"")</f>
        <v>HOTEL</v>
      </c>
      <c r="L591" t="str">
        <f>IFERROR(INDEX(Table1[[#All],[Description]],MATCH($C591,BusinessUnits!$A:$A,0)),"")</f>
        <v xml:space="preserve">Transactions related to guest rooms and overall hotel operations. Includes payroll for administrative staff, clerks and interns. </v>
      </c>
      <c r="M591" t="str">
        <f>IFERROR(INDEX(ChartOfAccounts!B590:B675,MATCH($B591,ChartOfAccounts!A590:A675,0)),"")</f>
        <v/>
      </c>
      <c r="N591" t="str">
        <f>IFERROR(INDEX(ChartOfAccounts!D:D,MATCH($B591,ChartOfAccounts!A590:A675,0)),"")</f>
        <v/>
      </c>
      <c r="O591" t="str">
        <f>IFERROR(INDEX(ChartOfAccounts!F:F,MATCH($B591,ChartOfAccounts!A590:A675,0)),"")</f>
        <v/>
      </c>
      <c r="P591" t="str" cm="1">
        <f t="array" ref="P591">IFERROR(INDEX(PreparerInfo!B590:B602,MATCH($D591&amp;$C591,PreparerInfo!A590:A602&amp;PreparerInfo!C590:C602,0)),"")</f>
        <v/>
      </c>
      <c r="Q591" t="str">
        <f>IFERROR(INDEX(Source!B590:B598,MATCH('Case 4 solution'!E591,Source!A590:A598,0)),"")</f>
        <v/>
      </c>
    </row>
    <row r="592" spans="1:17" x14ac:dyDescent="0.3">
      <c r="A592" s="3">
        <v>2033815</v>
      </c>
      <c r="B592">
        <v>51610</v>
      </c>
      <c r="C592">
        <v>4</v>
      </c>
      <c r="D592" s="9">
        <v>105</v>
      </c>
      <c r="E592">
        <v>1006</v>
      </c>
      <c r="F592" s="1">
        <v>44010</v>
      </c>
      <c r="G592" t="s">
        <v>99</v>
      </c>
      <c r="H592" s="4">
        <v>1983</v>
      </c>
      <c r="I592" s="4" t="s">
        <v>16</v>
      </c>
      <c r="J592" s="4">
        <v>1983</v>
      </c>
      <c r="K592" t="str">
        <f>IFERROR(INDEX(BusinessUnits!$B:$B,MATCH($C592,BusinessUnits!$A:$A,0)),"")</f>
        <v>HOUSEKEEPING</v>
      </c>
      <c r="L592" t="str">
        <f>IFERROR(INDEX(Table1[[#All],[Description]],MATCH($C592,BusinessUnits!$A:$A,0)),"")</f>
        <v xml:space="preserve">Transactions related to the Housekeeping Department. Primarily includes payroll for housekeepers and housekeeping supplies. </v>
      </c>
      <c r="M592" t="str">
        <f>IFERROR(INDEX(ChartOfAccounts!B591:B676,MATCH($B592,ChartOfAccounts!A591:A676,0)),"")</f>
        <v/>
      </c>
      <c r="N592" t="str">
        <f>IFERROR(INDEX(ChartOfAccounts!D:D,MATCH($B592,ChartOfAccounts!A591:A676,0)),"")</f>
        <v/>
      </c>
      <c r="O592" t="str">
        <f>IFERROR(INDEX(ChartOfAccounts!F:F,MATCH($B592,ChartOfAccounts!A591:A676,0)),"")</f>
        <v/>
      </c>
      <c r="P592" t="str" cm="1">
        <f t="array" ref="P592">IFERROR(INDEX(PreparerInfo!B591:B603,MATCH($D592&amp;$C592,PreparerInfo!A591:A603&amp;PreparerInfo!C591:C603,0)),"")</f>
        <v/>
      </c>
      <c r="Q592" t="str">
        <f>IFERROR(INDEX(Source!B591:B599,MATCH('Case 4 solution'!E592,Source!A591:A599,0)),"")</f>
        <v/>
      </c>
    </row>
    <row r="593" spans="1:17" x14ac:dyDescent="0.3">
      <c r="A593" s="3">
        <v>2033815</v>
      </c>
      <c r="B593">
        <v>22110</v>
      </c>
      <c r="C593">
        <v>4</v>
      </c>
      <c r="D593" s="9">
        <v>105</v>
      </c>
      <c r="E593">
        <v>1006</v>
      </c>
      <c r="F593" s="1">
        <v>44010</v>
      </c>
      <c r="G593" t="s">
        <v>99</v>
      </c>
      <c r="H593" s="4" t="s">
        <v>16</v>
      </c>
      <c r="I593" s="4">
        <v>-1983</v>
      </c>
      <c r="J593" s="4">
        <v>-1983</v>
      </c>
      <c r="K593" t="str">
        <f>IFERROR(INDEX(BusinessUnits!$B:$B,MATCH($C593,BusinessUnits!$A:$A,0)),"")</f>
        <v>HOUSEKEEPING</v>
      </c>
      <c r="L593" t="str">
        <f>IFERROR(INDEX(Table1[[#All],[Description]],MATCH($C593,BusinessUnits!$A:$A,0)),"")</f>
        <v xml:space="preserve">Transactions related to the Housekeeping Department. Primarily includes payroll for housekeepers and housekeeping supplies. </v>
      </c>
      <c r="M593" t="str">
        <f>IFERROR(INDEX(ChartOfAccounts!B592:B677,MATCH($B593,ChartOfAccounts!A592:A677,0)),"")</f>
        <v/>
      </c>
      <c r="N593" t="str">
        <f>IFERROR(INDEX(ChartOfAccounts!D:D,MATCH($B593,ChartOfAccounts!A592:A677,0)),"")</f>
        <v/>
      </c>
      <c r="O593" t="str">
        <f>IFERROR(INDEX(ChartOfAccounts!F:F,MATCH($B593,ChartOfAccounts!A592:A677,0)),"")</f>
        <v/>
      </c>
      <c r="P593" t="str" cm="1">
        <f t="array" ref="P593">IFERROR(INDEX(PreparerInfo!B592:B604,MATCH($D593&amp;$C593,PreparerInfo!A592:A604&amp;PreparerInfo!C592:C604,0)),"")</f>
        <v/>
      </c>
      <c r="Q593" t="str">
        <f>IFERROR(INDEX(Source!B592:B600,MATCH('Case 4 solution'!E593,Source!A592:A600,0)),"")</f>
        <v/>
      </c>
    </row>
    <row r="594" spans="1:17" x14ac:dyDescent="0.3">
      <c r="A594" s="3">
        <v>2033816</v>
      </c>
      <c r="B594">
        <v>14260</v>
      </c>
      <c r="C594">
        <v>1</v>
      </c>
      <c r="D594" s="9">
        <v>101</v>
      </c>
      <c r="E594">
        <v>1002</v>
      </c>
      <c r="F594" s="1">
        <v>44010</v>
      </c>
      <c r="G594" t="s">
        <v>38</v>
      </c>
      <c r="H594" s="4">
        <v>2753.74</v>
      </c>
      <c r="I594" s="4" t="s">
        <v>16</v>
      </c>
      <c r="J594" s="4">
        <v>2753.74</v>
      </c>
      <c r="K594" t="str">
        <f>IFERROR(INDEX(BusinessUnits!$B:$B,MATCH($C594,BusinessUnits!$A:$A,0)),"")</f>
        <v>FOOD SERVICE</v>
      </c>
      <c r="L594" t="str">
        <f>IFERROR(INDEX(Table1[[#All],[Description]],MATCH($C594,BusinessUnits!$A:$A,0)),"")</f>
        <v xml:space="preserve">Transactions related to food and beverage service. Includes all guest transactions in the hotel restaurants, catering-related transactions and food service payroll. </v>
      </c>
      <c r="M594" t="str">
        <f>IFERROR(INDEX(ChartOfAccounts!B593:B678,MATCH($B594,ChartOfAccounts!A593:A678,0)),"")</f>
        <v/>
      </c>
      <c r="N594" t="str">
        <f>IFERROR(INDEX(ChartOfAccounts!D:D,MATCH($B594,ChartOfAccounts!A593:A678,0)),"")</f>
        <v/>
      </c>
      <c r="O594" t="str">
        <f>IFERROR(INDEX(ChartOfAccounts!F:F,MATCH($B594,ChartOfAccounts!A593:A678,0)),"")</f>
        <v/>
      </c>
      <c r="P594" t="str" cm="1">
        <f t="array" ref="P594">IFERROR(INDEX(PreparerInfo!B593:B605,MATCH($D594&amp;$C594,PreparerInfo!A593:A605&amp;PreparerInfo!C593:C605,0)),"")</f>
        <v/>
      </c>
      <c r="Q594" t="str">
        <f>IFERROR(INDEX(Source!B593:B601,MATCH('Case 4 solution'!E594,Source!A593:A601,0)),"")</f>
        <v/>
      </c>
    </row>
    <row r="595" spans="1:17" x14ac:dyDescent="0.3">
      <c r="A595" s="3">
        <v>2033816</v>
      </c>
      <c r="B595">
        <v>11845</v>
      </c>
      <c r="C595">
        <v>1</v>
      </c>
      <c r="D595" s="9">
        <v>101</v>
      </c>
      <c r="E595">
        <v>1002</v>
      </c>
      <c r="F595" s="1">
        <v>44010</v>
      </c>
      <c r="G595" t="s">
        <v>38</v>
      </c>
      <c r="H595" s="4" t="s">
        <v>16</v>
      </c>
      <c r="I595" s="4">
        <v>-2753.74</v>
      </c>
      <c r="J595" s="4">
        <v>-2753.74</v>
      </c>
      <c r="K595" t="str">
        <f>IFERROR(INDEX(BusinessUnits!$B:$B,MATCH($C595,BusinessUnits!$A:$A,0)),"")</f>
        <v>FOOD SERVICE</v>
      </c>
      <c r="L595" t="str">
        <f>IFERROR(INDEX(Table1[[#All],[Description]],MATCH($C595,BusinessUnits!$A:$A,0)),"")</f>
        <v xml:space="preserve">Transactions related to food and beverage service. Includes all guest transactions in the hotel restaurants, catering-related transactions and food service payroll. </v>
      </c>
      <c r="M595" t="str">
        <f>IFERROR(INDEX(ChartOfAccounts!B594:B679,MATCH($B595,ChartOfAccounts!A594:A679,0)),"")</f>
        <v/>
      </c>
      <c r="N595" t="str">
        <f>IFERROR(INDEX(ChartOfAccounts!D:D,MATCH($B595,ChartOfAccounts!A594:A679,0)),"")</f>
        <v/>
      </c>
      <c r="O595" t="str">
        <f>IFERROR(INDEX(ChartOfAccounts!F:F,MATCH($B595,ChartOfAccounts!A594:A679,0)),"")</f>
        <v/>
      </c>
      <c r="P595" t="str" cm="1">
        <f t="array" ref="P595">IFERROR(INDEX(PreparerInfo!B594:B606,MATCH($D595&amp;$C595,PreparerInfo!A594:A606&amp;PreparerInfo!C594:C606,0)),"")</f>
        <v/>
      </c>
      <c r="Q595" t="str">
        <f>IFERROR(INDEX(Source!B594:B602,MATCH('Case 4 solution'!E595,Source!A594:A602,0)),"")</f>
        <v/>
      </c>
    </row>
    <row r="596" spans="1:17" x14ac:dyDescent="0.3">
      <c r="A596" s="3">
        <v>2033817</v>
      </c>
      <c r="B596">
        <v>11845</v>
      </c>
      <c r="C596">
        <v>1</v>
      </c>
      <c r="D596" s="9">
        <v>106</v>
      </c>
      <c r="E596">
        <v>1003</v>
      </c>
      <c r="F596" s="1">
        <v>44010</v>
      </c>
      <c r="G596" t="s">
        <v>80</v>
      </c>
      <c r="H596" s="4">
        <v>2761.78</v>
      </c>
      <c r="I596" s="4" t="s">
        <v>16</v>
      </c>
      <c r="J596" s="4">
        <v>2761.78</v>
      </c>
      <c r="K596" t="str">
        <f>IFERROR(INDEX(BusinessUnits!$B:$B,MATCH($C596,BusinessUnits!$A:$A,0)),"")</f>
        <v>FOOD SERVICE</v>
      </c>
      <c r="L596" t="str">
        <f>IFERROR(INDEX(Table1[[#All],[Description]],MATCH($C596,BusinessUnits!$A:$A,0)),"")</f>
        <v xml:space="preserve">Transactions related to food and beverage service. Includes all guest transactions in the hotel restaurants, catering-related transactions and food service payroll. </v>
      </c>
      <c r="M596" t="str">
        <f>IFERROR(INDEX(ChartOfAccounts!B595:B680,MATCH($B596,ChartOfAccounts!A595:A680,0)),"")</f>
        <v/>
      </c>
      <c r="N596" t="str">
        <f>IFERROR(INDEX(ChartOfAccounts!D:D,MATCH($B596,ChartOfAccounts!A595:A680,0)),"")</f>
        <v/>
      </c>
      <c r="O596" t="str">
        <f>IFERROR(INDEX(ChartOfAccounts!F:F,MATCH($B596,ChartOfAccounts!A595:A680,0)),"")</f>
        <v/>
      </c>
      <c r="P596" t="str" cm="1">
        <f t="array" ref="P596">IFERROR(INDEX(PreparerInfo!B595:B607,MATCH($D596&amp;$C596,PreparerInfo!A595:A607&amp;PreparerInfo!C595:C607,0)),"")</f>
        <v/>
      </c>
      <c r="Q596" t="str">
        <f>IFERROR(INDEX(Source!B595:B603,MATCH('Case 4 solution'!E596,Source!A595:A603,0)),"")</f>
        <v/>
      </c>
    </row>
    <row r="597" spans="1:17" x14ac:dyDescent="0.3">
      <c r="A597" s="3">
        <v>2033817</v>
      </c>
      <c r="B597">
        <v>43310</v>
      </c>
      <c r="C597">
        <v>1</v>
      </c>
      <c r="D597" s="9">
        <v>106</v>
      </c>
      <c r="E597">
        <v>1003</v>
      </c>
      <c r="F597" s="1">
        <v>44010</v>
      </c>
      <c r="G597" t="s">
        <v>80</v>
      </c>
      <c r="H597" s="4" t="s">
        <v>16</v>
      </c>
      <c r="I597" s="4">
        <v>-2761.78</v>
      </c>
      <c r="J597" s="4">
        <v>-2761.78</v>
      </c>
      <c r="K597" t="str">
        <f>IFERROR(INDEX(BusinessUnits!$B:$B,MATCH($C597,BusinessUnits!$A:$A,0)),"")</f>
        <v>FOOD SERVICE</v>
      </c>
      <c r="L597" t="str">
        <f>IFERROR(INDEX(Table1[[#All],[Description]],MATCH($C597,BusinessUnits!$A:$A,0)),"")</f>
        <v xml:space="preserve">Transactions related to food and beverage service. Includes all guest transactions in the hotel restaurants, catering-related transactions and food service payroll. </v>
      </c>
      <c r="M597" t="str">
        <f>IFERROR(INDEX(ChartOfAccounts!B596:B681,MATCH($B597,ChartOfAccounts!A596:A681,0)),"")</f>
        <v/>
      </c>
      <c r="N597" t="str">
        <f>IFERROR(INDEX(ChartOfAccounts!D:D,MATCH($B597,ChartOfAccounts!A596:A681,0)),"")</f>
        <v/>
      </c>
      <c r="O597" t="str">
        <f>IFERROR(INDEX(ChartOfAccounts!F:F,MATCH($B597,ChartOfAccounts!A596:A681,0)),"")</f>
        <v/>
      </c>
      <c r="P597" t="str" cm="1">
        <f t="array" ref="P597">IFERROR(INDEX(PreparerInfo!B596:B608,MATCH($D597&amp;$C597,PreparerInfo!A596:A608&amp;PreparerInfo!C596:C608,0)),"")</f>
        <v/>
      </c>
      <c r="Q597" t="str">
        <f>IFERROR(INDEX(Source!B596:B604,MATCH('Case 4 solution'!E597,Source!A596:A604,0)),"")</f>
        <v/>
      </c>
    </row>
    <row r="598" spans="1:17" x14ac:dyDescent="0.3">
      <c r="A598" s="3">
        <v>2033818</v>
      </c>
      <c r="B598">
        <v>14260</v>
      </c>
      <c r="C598">
        <v>1</v>
      </c>
      <c r="D598" s="9">
        <v>101</v>
      </c>
      <c r="E598">
        <v>1002</v>
      </c>
      <c r="F598" s="1">
        <v>44010</v>
      </c>
      <c r="G598" t="s">
        <v>38</v>
      </c>
      <c r="H598" s="4">
        <v>3051.25</v>
      </c>
      <c r="I598" s="4" t="s">
        <v>16</v>
      </c>
      <c r="J598" s="4">
        <v>3051.25</v>
      </c>
      <c r="K598" t="str">
        <f>IFERROR(INDEX(BusinessUnits!$B:$B,MATCH($C598,BusinessUnits!$A:$A,0)),"")</f>
        <v>FOOD SERVICE</v>
      </c>
      <c r="L598" t="str">
        <f>IFERROR(INDEX(Table1[[#All],[Description]],MATCH($C598,BusinessUnits!$A:$A,0)),"")</f>
        <v xml:space="preserve">Transactions related to food and beverage service. Includes all guest transactions in the hotel restaurants, catering-related transactions and food service payroll. </v>
      </c>
      <c r="M598" t="str">
        <f>IFERROR(INDEX(ChartOfAccounts!B597:B682,MATCH($B598,ChartOfAccounts!A597:A682,0)),"")</f>
        <v/>
      </c>
      <c r="N598" t="str">
        <f>IFERROR(INDEX(ChartOfAccounts!D:D,MATCH($B598,ChartOfAccounts!A597:A682,0)),"")</f>
        <v/>
      </c>
      <c r="O598" t="str">
        <f>IFERROR(INDEX(ChartOfAccounts!F:F,MATCH($B598,ChartOfAccounts!A597:A682,0)),"")</f>
        <v/>
      </c>
      <c r="P598" t="str" cm="1">
        <f t="array" ref="P598">IFERROR(INDEX(PreparerInfo!B597:B609,MATCH($D598&amp;$C598,PreparerInfo!A597:A609&amp;PreparerInfo!C597:C609,0)),"")</f>
        <v/>
      </c>
      <c r="Q598" t="str">
        <f>IFERROR(INDEX(Source!B597:B605,MATCH('Case 4 solution'!E598,Source!A597:A605,0)),"")</f>
        <v/>
      </c>
    </row>
    <row r="599" spans="1:17" x14ac:dyDescent="0.3">
      <c r="A599" s="3">
        <v>2033818</v>
      </c>
      <c r="B599">
        <v>11845</v>
      </c>
      <c r="C599">
        <v>1</v>
      </c>
      <c r="D599" s="9">
        <v>101</v>
      </c>
      <c r="E599">
        <v>1002</v>
      </c>
      <c r="F599" s="1">
        <v>44010</v>
      </c>
      <c r="G599" t="s">
        <v>38</v>
      </c>
      <c r="H599" s="4" t="s">
        <v>16</v>
      </c>
      <c r="I599" s="4">
        <v>-3051.25</v>
      </c>
      <c r="J599" s="4">
        <v>-3051.25</v>
      </c>
      <c r="K599" t="str">
        <f>IFERROR(INDEX(BusinessUnits!$B:$B,MATCH($C599,BusinessUnits!$A:$A,0)),"")</f>
        <v>FOOD SERVICE</v>
      </c>
      <c r="L599" t="str">
        <f>IFERROR(INDEX(Table1[[#All],[Description]],MATCH($C599,BusinessUnits!$A:$A,0)),"")</f>
        <v xml:space="preserve">Transactions related to food and beverage service. Includes all guest transactions in the hotel restaurants, catering-related transactions and food service payroll. </v>
      </c>
      <c r="M599" t="str">
        <f>IFERROR(INDEX(ChartOfAccounts!B598:B683,MATCH($B599,ChartOfAccounts!A598:A683,0)),"")</f>
        <v/>
      </c>
      <c r="N599" t="str">
        <f>IFERROR(INDEX(ChartOfAccounts!D:D,MATCH($B599,ChartOfAccounts!A598:A683,0)),"")</f>
        <v/>
      </c>
      <c r="O599" t="str">
        <f>IFERROR(INDEX(ChartOfAccounts!F:F,MATCH($B599,ChartOfAccounts!A598:A683,0)),"")</f>
        <v/>
      </c>
      <c r="P599" t="str" cm="1">
        <f t="array" ref="P599">IFERROR(INDEX(PreparerInfo!B598:B610,MATCH($D599&amp;$C599,PreparerInfo!A598:A610&amp;PreparerInfo!C598:C610,0)),"")</f>
        <v/>
      </c>
      <c r="Q599" t="str">
        <f>IFERROR(INDEX(Source!B598:B606,MATCH('Case 4 solution'!E599,Source!A598:A606,0)),"")</f>
        <v/>
      </c>
    </row>
    <row r="600" spans="1:17" x14ac:dyDescent="0.3">
      <c r="A600" s="3">
        <v>2033819</v>
      </c>
      <c r="B600">
        <v>51531</v>
      </c>
      <c r="C600">
        <v>1</v>
      </c>
      <c r="D600" s="9">
        <v>105</v>
      </c>
      <c r="E600">
        <v>1006</v>
      </c>
      <c r="F600" s="1">
        <v>44010</v>
      </c>
      <c r="G600" t="s">
        <v>98</v>
      </c>
      <c r="H600" s="4">
        <v>3111.42</v>
      </c>
      <c r="I600" s="4" t="s">
        <v>16</v>
      </c>
      <c r="J600" s="4">
        <v>3111.42</v>
      </c>
      <c r="K600" t="str">
        <f>IFERROR(INDEX(BusinessUnits!$B:$B,MATCH($C600,BusinessUnits!$A:$A,0)),"")</f>
        <v>FOOD SERVICE</v>
      </c>
      <c r="L600" t="str">
        <f>IFERROR(INDEX(Table1[[#All],[Description]],MATCH($C600,BusinessUnits!$A:$A,0)),"")</f>
        <v xml:space="preserve">Transactions related to food and beverage service. Includes all guest transactions in the hotel restaurants, catering-related transactions and food service payroll. </v>
      </c>
      <c r="M600" t="str">
        <f>IFERROR(INDEX(ChartOfAccounts!B599:B684,MATCH($B600,ChartOfAccounts!A599:A684,0)),"")</f>
        <v/>
      </c>
      <c r="N600" t="str">
        <f>IFERROR(INDEX(ChartOfAccounts!D:D,MATCH($B600,ChartOfAccounts!A599:A684,0)),"")</f>
        <v/>
      </c>
      <c r="O600" t="str">
        <f>IFERROR(INDEX(ChartOfAccounts!F:F,MATCH($B600,ChartOfAccounts!A599:A684,0)),"")</f>
        <v/>
      </c>
      <c r="P600" t="str" cm="1">
        <f t="array" ref="P600">IFERROR(INDEX(PreparerInfo!B599:B611,MATCH($D600&amp;$C600,PreparerInfo!A599:A611&amp;PreparerInfo!C599:C611,0)),"")</f>
        <v/>
      </c>
      <c r="Q600" t="str">
        <f>IFERROR(INDEX(Source!B599:B607,MATCH('Case 4 solution'!E600,Source!A599:A607,0)),"")</f>
        <v/>
      </c>
    </row>
    <row r="601" spans="1:17" x14ac:dyDescent="0.3">
      <c r="A601" s="3">
        <v>2033819</v>
      </c>
      <c r="B601">
        <v>22110</v>
      </c>
      <c r="C601">
        <v>1</v>
      </c>
      <c r="D601" s="9">
        <v>105</v>
      </c>
      <c r="E601">
        <v>1006</v>
      </c>
      <c r="F601" s="1">
        <v>44010</v>
      </c>
      <c r="G601" t="s">
        <v>98</v>
      </c>
      <c r="H601" s="4" t="s">
        <v>16</v>
      </c>
      <c r="I601" s="4">
        <v>-3111.42</v>
      </c>
      <c r="J601" s="4">
        <v>-3111.42</v>
      </c>
      <c r="K601" t="str">
        <f>IFERROR(INDEX(BusinessUnits!$B:$B,MATCH($C601,BusinessUnits!$A:$A,0)),"")</f>
        <v>FOOD SERVICE</v>
      </c>
      <c r="L601" t="str">
        <f>IFERROR(INDEX(Table1[[#All],[Description]],MATCH($C601,BusinessUnits!$A:$A,0)),"")</f>
        <v xml:space="preserve">Transactions related to food and beverage service. Includes all guest transactions in the hotel restaurants, catering-related transactions and food service payroll. </v>
      </c>
      <c r="M601" t="str">
        <f>IFERROR(INDEX(ChartOfAccounts!B600:B685,MATCH($B601,ChartOfAccounts!A600:A685,0)),"")</f>
        <v/>
      </c>
      <c r="N601" t="str">
        <f>IFERROR(INDEX(ChartOfAccounts!D:D,MATCH($B601,ChartOfAccounts!A600:A685,0)),"")</f>
        <v/>
      </c>
      <c r="O601" t="str">
        <f>IFERROR(INDEX(ChartOfAccounts!F:F,MATCH($B601,ChartOfAccounts!A600:A685,0)),"")</f>
        <v/>
      </c>
      <c r="P601" t="str" cm="1">
        <f t="array" ref="P601">IFERROR(INDEX(PreparerInfo!B600:B612,MATCH($D601&amp;$C601,PreparerInfo!A600:A612&amp;PreparerInfo!C600:C612,0)),"")</f>
        <v/>
      </c>
      <c r="Q601" t="str">
        <f>IFERROR(INDEX(Source!B600:B608,MATCH('Case 4 solution'!E601,Source!A600:A608,0)),"")</f>
        <v/>
      </c>
    </row>
    <row r="602" spans="1:17" x14ac:dyDescent="0.3">
      <c r="A602" s="3">
        <v>2033820</v>
      </c>
      <c r="B602">
        <v>51610</v>
      </c>
      <c r="C602">
        <v>1</v>
      </c>
      <c r="D602" s="9">
        <v>105</v>
      </c>
      <c r="E602">
        <v>1006</v>
      </c>
      <c r="F602" s="1">
        <v>44010</v>
      </c>
      <c r="G602" t="s">
        <v>99</v>
      </c>
      <c r="H602" s="4">
        <v>3489</v>
      </c>
      <c r="I602" s="4" t="s">
        <v>16</v>
      </c>
      <c r="J602" s="4">
        <v>3489</v>
      </c>
      <c r="K602" t="str">
        <f>IFERROR(INDEX(BusinessUnits!$B:$B,MATCH($C602,BusinessUnits!$A:$A,0)),"")</f>
        <v>FOOD SERVICE</v>
      </c>
      <c r="L602" t="str">
        <f>IFERROR(INDEX(Table1[[#All],[Description]],MATCH($C602,BusinessUnits!$A:$A,0)),"")</f>
        <v xml:space="preserve">Transactions related to food and beverage service. Includes all guest transactions in the hotel restaurants, catering-related transactions and food service payroll. </v>
      </c>
      <c r="M602" t="str">
        <f>IFERROR(INDEX(ChartOfAccounts!B601:B686,MATCH($B602,ChartOfAccounts!A601:A686,0)),"")</f>
        <v/>
      </c>
      <c r="N602" t="str">
        <f>IFERROR(INDEX(ChartOfAccounts!D:D,MATCH($B602,ChartOfAccounts!A601:A686,0)),"")</f>
        <v/>
      </c>
      <c r="O602" t="str">
        <f>IFERROR(INDEX(ChartOfAccounts!F:F,MATCH($B602,ChartOfAccounts!A601:A686,0)),"")</f>
        <v/>
      </c>
      <c r="P602" t="str" cm="1">
        <f t="array" ref="P602">IFERROR(INDEX(PreparerInfo!B601:B613,MATCH($D602&amp;$C602,PreparerInfo!A601:A613&amp;PreparerInfo!C601:C613,0)),"")</f>
        <v/>
      </c>
      <c r="Q602" t="str">
        <f>IFERROR(INDEX(Source!B601:B609,MATCH('Case 4 solution'!E602,Source!A601:A609,0)),"")</f>
        <v/>
      </c>
    </row>
    <row r="603" spans="1:17" x14ac:dyDescent="0.3">
      <c r="A603" s="3">
        <v>2033820</v>
      </c>
      <c r="B603">
        <v>22110</v>
      </c>
      <c r="C603">
        <v>1</v>
      </c>
      <c r="D603" s="9">
        <v>105</v>
      </c>
      <c r="E603">
        <v>1006</v>
      </c>
      <c r="F603" s="1">
        <v>44010</v>
      </c>
      <c r="G603" t="s">
        <v>99</v>
      </c>
      <c r="H603" s="4" t="s">
        <v>16</v>
      </c>
      <c r="I603" s="4">
        <v>-3489</v>
      </c>
      <c r="J603" s="4">
        <v>-3489</v>
      </c>
      <c r="K603" t="str">
        <f>IFERROR(INDEX(BusinessUnits!$B:$B,MATCH($C603,BusinessUnits!$A:$A,0)),"")</f>
        <v>FOOD SERVICE</v>
      </c>
      <c r="L603" t="str">
        <f>IFERROR(INDEX(Table1[[#All],[Description]],MATCH($C603,BusinessUnits!$A:$A,0)),"")</f>
        <v xml:space="preserve">Transactions related to food and beverage service. Includes all guest transactions in the hotel restaurants, catering-related transactions and food service payroll. </v>
      </c>
      <c r="M603" t="str">
        <f>IFERROR(INDEX(ChartOfAccounts!B602:B687,MATCH($B603,ChartOfAccounts!A602:A687,0)),"")</f>
        <v/>
      </c>
      <c r="N603" t="str">
        <f>IFERROR(INDEX(ChartOfAccounts!D:D,MATCH($B603,ChartOfAccounts!A602:A687,0)),"")</f>
        <v/>
      </c>
      <c r="O603" t="str">
        <f>IFERROR(INDEX(ChartOfAccounts!F:F,MATCH($B603,ChartOfAccounts!A602:A687,0)),"")</f>
        <v/>
      </c>
      <c r="P603" t="str" cm="1">
        <f t="array" ref="P603">IFERROR(INDEX(PreparerInfo!B602:B614,MATCH($D603&amp;$C603,PreparerInfo!A602:A614&amp;PreparerInfo!C602:C614,0)),"")</f>
        <v/>
      </c>
      <c r="Q603" t="str">
        <f>IFERROR(INDEX(Source!B602:B610,MATCH('Case 4 solution'!E603,Source!A602:A610,0)),"")</f>
        <v/>
      </c>
    </row>
    <row r="604" spans="1:17" x14ac:dyDescent="0.3">
      <c r="A604" s="3">
        <v>2033821</v>
      </c>
      <c r="B604">
        <v>51110</v>
      </c>
      <c r="C604">
        <v>6</v>
      </c>
      <c r="D604" s="9">
        <v>105</v>
      </c>
      <c r="E604">
        <v>1004</v>
      </c>
      <c r="F604" s="1">
        <v>44010</v>
      </c>
      <c r="G604" t="s">
        <v>100</v>
      </c>
      <c r="H604" s="4">
        <v>3501.08</v>
      </c>
      <c r="I604" s="4" t="s">
        <v>16</v>
      </c>
      <c r="J604" s="4">
        <v>3501.08</v>
      </c>
      <c r="K604" t="str">
        <f>IFERROR(INDEX(BusinessUnits!$B:$B,MATCH($C604,BusinessUnits!$A:$A,0)),"")</f>
        <v>MAINTENANCE</v>
      </c>
      <c r="L604" t="str">
        <f>IFERROR(INDEX(Table1[[#All],[Description]],MATCH($C604,BusinessUnits!$A:$A,0)),"")</f>
        <v>Transactions related to the hotel Maintenance Department. Primarily includes payroll for maintenance, grounds keepers and related supplies.</v>
      </c>
      <c r="M604" t="str">
        <f>IFERROR(INDEX(ChartOfAccounts!B603:B688,MATCH($B604,ChartOfAccounts!A603:A688,0)),"")</f>
        <v/>
      </c>
      <c r="N604" t="str">
        <f>IFERROR(INDEX(ChartOfAccounts!D:D,MATCH($B604,ChartOfAccounts!A603:A688,0)),"")</f>
        <v/>
      </c>
      <c r="O604" t="str">
        <f>IFERROR(INDEX(ChartOfAccounts!F:F,MATCH($B604,ChartOfAccounts!A603:A688,0)),"")</f>
        <v/>
      </c>
      <c r="P604" t="str" cm="1">
        <f t="array" ref="P604">IFERROR(INDEX(PreparerInfo!B603:B615,MATCH($D604&amp;$C604,PreparerInfo!A603:A615&amp;PreparerInfo!C603:C615,0)),"")</f>
        <v/>
      </c>
      <c r="Q604" t="str">
        <f>IFERROR(INDEX(Source!B603:B611,MATCH('Case 4 solution'!E604,Source!A603:A611,0)),"")</f>
        <v/>
      </c>
    </row>
    <row r="605" spans="1:17" x14ac:dyDescent="0.3">
      <c r="A605" s="3">
        <v>2033821</v>
      </c>
      <c r="B605">
        <v>11845</v>
      </c>
      <c r="C605">
        <v>6</v>
      </c>
      <c r="D605" s="9">
        <v>105</v>
      </c>
      <c r="E605">
        <v>1004</v>
      </c>
      <c r="F605" s="1">
        <v>44010</v>
      </c>
      <c r="G605" t="s">
        <v>100</v>
      </c>
      <c r="H605" s="4" t="s">
        <v>16</v>
      </c>
      <c r="I605" s="4">
        <v>-3501.08</v>
      </c>
      <c r="J605" s="4">
        <v>-3501.08</v>
      </c>
      <c r="K605" t="str">
        <f>IFERROR(INDEX(BusinessUnits!$B:$B,MATCH($C605,BusinessUnits!$A:$A,0)),"")</f>
        <v>MAINTENANCE</v>
      </c>
      <c r="L605" t="str">
        <f>IFERROR(INDEX(Table1[[#All],[Description]],MATCH($C605,BusinessUnits!$A:$A,0)),"")</f>
        <v>Transactions related to the hotel Maintenance Department. Primarily includes payroll for maintenance, grounds keepers and related supplies.</v>
      </c>
      <c r="M605" t="str">
        <f>IFERROR(INDEX(ChartOfAccounts!B604:B689,MATCH($B605,ChartOfAccounts!A604:A689,0)),"")</f>
        <v/>
      </c>
      <c r="N605" t="str">
        <f>IFERROR(INDEX(ChartOfAccounts!D:D,MATCH($B605,ChartOfAccounts!A604:A689,0)),"")</f>
        <v/>
      </c>
      <c r="O605" t="str">
        <f>IFERROR(INDEX(ChartOfAccounts!F:F,MATCH($B605,ChartOfAccounts!A604:A689,0)),"")</f>
        <v/>
      </c>
      <c r="P605" t="str" cm="1">
        <f t="array" ref="P605">IFERROR(INDEX(PreparerInfo!B604:B616,MATCH($D605&amp;$C605,PreparerInfo!A604:A616&amp;PreparerInfo!C604:C616,0)),"")</f>
        <v/>
      </c>
      <c r="Q605" t="str">
        <f>IFERROR(INDEX(Source!B604:B612,MATCH('Case 4 solution'!E605,Source!A604:A612,0)),"")</f>
        <v/>
      </c>
    </row>
    <row r="606" spans="1:17" x14ac:dyDescent="0.3">
      <c r="A606" s="3">
        <v>2033822</v>
      </c>
      <c r="B606">
        <v>51400</v>
      </c>
      <c r="C606">
        <v>1</v>
      </c>
      <c r="D606" s="9">
        <v>105</v>
      </c>
      <c r="E606">
        <v>1006</v>
      </c>
      <c r="F606" s="1">
        <v>44010</v>
      </c>
      <c r="G606" t="s">
        <v>93</v>
      </c>
      <c r="H606" s="4">
        <v>3633.51</v>
      </c>
      <c r="I606" s="4" t="s">
        <v>16</v>
      </c>
      <c r="J606" s="4">
        <v>3633.51</v>
      </c>
      <c r="K606" t="str">
        <f>IFERROR(INDEX(BusinessUnits!$B:$B,MATCH($C606,BusinessUnits!$A:$A,0)),"")</f>
        <v>FOOD SERVICE</v>
      </c>
      <c r="L606" t="str">
        <f>IFERROR(INDEX(Table1[[#All],[Description]],MATCH($C606,BusinessUnits!$A:$A,0)),"")</f>
        <v xml:space="preserve">Transactions related to food and beverage service. Includes all guest transactions in the hotel restaurants, catering-related transactions and food service payroll. </v>
      </c>
      <c r="M606" t="str">
        <f>IFERROR(INDEX(ChartOfAccounts!B605:B690,MATCH($B606,ChartOfAccounts!A605:A690,0)),"")</f>
        <v/>
      </c>
      <c r="N606" t="str">
        <f>IFERROR(INDEX(ChartOfAccounts!D:D,MATCH($B606,ChartOfAccounts!A605:A690,0)),"")</f>
        <v/>
      </c>
      <c r="O606" t="str">
        <f>IFERROR(INDEX(ChartOfAccounts!F:F,MATCH($B606,ChartOfAccounts!A605:A690,0)),"")</f>
        <v/>
      </c>
      <c r="P606" t="str" cm="1">
        <f t="array" ref="P606">IFERROR(INDEX(PreparerInfo!B605:B617,MATCH($D606&amp;$C606,PreparerInfo!A605:A617&amp;PreparerInfo!C605:C617,0)),"")</f>
        <v/>
      </c>
      <c r="Q606" t="str">
        <f>IFERROR(INDEX(Source!B605:B613,MATCH('Case 4 solution'!E606,Source!A605:A613,0)),"")</f>
        <v/>
      </c>
    </row>
    <row r="607" spans="1:17" x14ac:dyDescent="0.3">
      <c r="A607" s="3">
        <v>2033822</v>
      </c>
      <c r="B607">
        <v>22110</v>
      </c>
      <c r="C607">
        <v>1</v>
      </c>
      <c r="D607" s="9">
        <v>105</v>
      </c>
      <c r="E607">
        <v>1006</v>
      </c>
      <c r="F607" s="1">
        <v>44010</v>
      </c>
      <c r="G607" t="s">
        <v>93</v>
      </c>
      <c r="H607" s="4" t="s">
        <v>16</v>
      </c>
      <c r="I607" s="4">
        <v>-3633.51</v>
      </c>
      <c r="J607" s="4">
        <v>-3633.51</v>
      </c>
      <c r="K607" t="str">
        <f>IFERROR(INDEX(BusinessUnits!$B:$B,MATCH($C607,BusinessUnits!$A:$A,0)),"")</f>
        <v>FOOD SERVICE</v>
      </c>
      <c r="L607" t="str">
        <f>IFERROR(INDEX(Table1[[#All],[Description]],MATCH($C607,BusinessUnits!$A:$A,0)),"")</f>
        <v xml:space="preserve">Transactions related to food and beverage service. Includes all guest transactions in the hotel restaurants, catering-related transactions and food service payroll. </v>
      </c>
      <c r="M607" t="str">
        <f>IFERROR(INDEX(ChartOfAccounts!B606:B691,MATCH($B607,ChartOfAccounts!A606:A691,0)),"")</f>
        <v/>
      </c>
      <c r="N607" t="str">
        <f>IFERROR(INDEX(ChartOfAccounts!D:D,MATCH($B607,ChartOfAccounts!A606:A691,0)),"")</f>
        <v/>
      </c>
      <c r="O607" t="str">
        <f>IFERROR(INDEX(ChartOfAccounts!F:F,MATCH($B607,ChartOfAccounts!A606:A691,0)),"")</f>
        <v/>
      </c>
      <c r="P607" t="str" cm="1">
        <f t="array" ref="P607">IFERROR(INDEX(PreparerInfo!B606:B618,MATCH($D607&amp;$C607,PreparerInfo!A606:A618&amp;PreparerInfo!C606:C618,0)),"")</f>
        <v/>
      </c>
      <c r="Q607" t="str">
        <f>IFERROR(INDEX(Source!B606:B614,MATCH('Case 4 solution'!E607,Source!A606:A614,0)),"")</f>
        <v/>
      </c>
    </row>
    <row r="608" spans="1:17" x14ac:dyDescent="0.3">
      <c r="A608" s="3">
        <v>2033823</v>
      </c>
      <c r="B608">
        <v>14260</v>
      </c>
      <c r="C608">
        <v>1</v>
      </c>
      <c r="D608" s="9">
        <v>101</v>
      </c>
      <c r="E608">
        <v>1002</v>
      </c>
      <c r="F608" s="1">
        <v>44010</v>
      </c>
      <c r="G608" t="s">
        <v>38</v>
      </c>
      <c r="H608" s="4">
        <v>4148.51</v>
      </c>
      <c r="I608" s="4" t="s">
        <v>16</v>
      </c>
      <c r="J608" s="4">
        <v>4148.51</v>
      </c>
      <c r="K608" t="str">
        <f>IFERROR(INDEX(BusinessUnits!$B:$B,MATCH($C608,BusinessUnits!$A:$A,0)),"")</f>
        <v>FOOD SERVICE</v>
      </c>
      <c r="L608" t="str">
        <f>IFERROR(INDEX(Table1[[#All],[Description]],MATCH($C608,BusinessUnits!$A:$A,0)),"")</f>
        <v xml:space="preserve">Transactions related to food and beverage service. Includes all guest transactions in the hotel restaurants, catering-related transactions and food service payroll. </v>
      </c>
      <c r="M608" t="str">
        <f>IFERROR(INDEX(ChartOfAccounts!B607:B692,MATCH($B608,ChartOfAccounts!A607:A692,0)),"")</f>
        <v/>
      </c>
      <c r="N608" t="str">
        <f>IFERROR(INDEX(ChartOfAccounts!D:D,MATCH($B608,ChartOfAccounts!A607:A692,0)),"")</f>
        <v/>
      </c>
      <c r="O608" t="str">
        <f>IFERROR(INDEX(ChartOfAccounts!F:F,MATCH($B608,ChartOfAccounts!A607:A692,0)),"")</f>
        <v/>
      </c>
      <c r="P608" t="str" cm="1">
        <f t="array" ref="P608">IFERROR(INDEX(PreparerInfo!B607:B619,MATCH($D608&amp;$C608,PreparerInfo!A607:A619&amp;PreparerInfo!C607:C619,0)),"")</f>
        <v/>
      </c>
      <c r="Q608" t="str">
        <f>IFERROR(INDEX(Source!B607:B615,MATCH('Case 4 solution'!E608,Source!A607:A615,0)),"")</f>
        <v/>
      </c>
    </row>
    <row r="609" spans="1:17" x14ac:dyDescent="0.3">
      <c r="A609" s="3">
        <v>2033823</v>
      </c>
      <c r="B609">
        <v>11845</v>
      </c>
      <c r="C609">
        <v>1</v>
      </c>
      <c r="D609" s="9">
        <v>101</v>
      </c>
      <c r="E609">
        <v>1002</v>
      </c>
      <c r="F609" s="1">
        <v>44010</v>
      </c>
      <c r="G609" t="s">
        <v>38</v>
      </c>
      <c r="H609" s="4" t="s">
        <v>16</v>
      </c>
      <c r="I609" s="4">
        <v>-4148.51</v>
      </c>
      <c r="J609" s="4">
        <v>-4148.51</v>
      </c>
      <c r="K609" t="str">
        <f>IFERROR(INDEX(BusinessUnits!$B:$B,MATCH($C609,BusinessUnits!$A:$A,0)),"")</f>
        <v>FOOD SERVICE</v>
      </c>
      <c r="L609" t="str">
        <f>IFERROR(INDEX(Table1[[#All],[Description]],MATCH($C609,BusinessUnits!$A:$A,0)),"")</f>
        <v xml:space="preserve">Transactions related to food and beverage service. Includes all guest transactions in the hotel restaurants, catering-related transactions and food service payroll. </v>
      </c>
      <c r="M609" t="str">
        <f>IFERROR(INDEX(ChartOfAccounts!B608:B693,MATCH($B609,ChartOfAccounts!A608:A693,0)),"")</f>
        <v/>
      </c>
      <c r="N609" t="str">
        <f>IFERROR(INDEX(ChartOfAccounts!D:D,MATCH($B609,ChartOfAccounts!A608:A693,0)),"")</f>
        <v/>
      </c>
      <c r="O609" t="str">
        <f>IFERROR(INDEX(ChartOfAccounts!F:F,MATCH($B609,ChartOfAccounts!A608:A693,0)),"")</f>
        <v/>
      </c>
      <c r="P609" t="str" cm="1">
        <f t="array" ref="P609">IFERROR(INDEX(PreparerInfo!B608:B620,MATCH($D609&amp;$C609,PreparerInfo!A608:A620&amp;PreparerInfo!C608:C620,0)),"")</f>
        <v/>
      </c>
      <c r="Q609" t="str">
        <f>IFERROR(INDEX(Source!B608:B616,MATCH('Case 4 solution'!E609,Source!A608:A616,0)),"")</f>
        <v/>
      </c>
    </row>
    <row r="610" spans="1:17" x14ac:dyDescent="0.3">
      <c r="A610" s="3">
        <v>2033824</v>
      </c>
      <c r="B610">
        <v>51510</v>
      </c>
      <c r="C610">
        <v>1</v>
      </c>
      <c r="D610" s="9">
        <v>105</v>
      </c>
      <c r="E610">
        <v>1006</v>
      </c>
      <c r="F610" s="1">
        <v>44010</v>
      </c>
      <c r="G610" t="s">
        <v>96</v>
      </c>
      <c r="H610" s="4">
        <v>4207.8999999999996</v>
      </c>
      <c r="I610" s="4" t="s">
        <v>16</v>
      </c>
      <c r="J610" s="4">
        <v>4207.8999999999996</v>
      </c>
      <c r="K610" t="str">
        <f>IFERROR(INDEX(BusinessUnits!$B:$B,MATCH($C610,BusinessUnits!$A:$A,0)),"")</f>
        <v>FOOD SERVICE</v>
      </c>
      <c r="L610" t="str">
        <f>IFERROR(INDEX(Table1[[#All],[Description]],MATCH($C610,BusinessUnits!$A:$A,0)),"")</f>
        <v xml:space="preserve">Transactions related to food and beverage service. Includes all guest transactions in the hotel restaurants, catering-related transactions and food service payroll. </v>
      </c>
      <c r="M610" t="str">
        <f>IFERROR(INDEX(ChartOfAccounts!B609:B694,MATCH($B610,ChartOfAccounts!A609:A694,0)),"")</f>
        <v/>
      </c>
      <c r="N610" t="str">
        <f>IFERROR(INDEX(ChartOfAccounts!D:D,MATCH($B610,ChartOfAccounts!A609:A694,0)),"")</f>
        <v/>
      </c>
      <c r="O610" t="str">
        <f>IFERROR(INDEX(ChartOfAccounts!F:F,MATCH($B610,ChartOfAccounts!A609:A694,0)),"")</f>
        <v/>
      </c>
      <c r="P610" t="str" cm="1">
        <f t="array" ref="P610">IFERROR(INDEX(PreparerInfo!B609:B621,MATCH($D610&amp;$C610,PreparerInfo!A609:A621&amp;PreparerInfo!C609:C621,0)),"")</f>
        <v/>
      </c>
      <c r="Q610" t="str">
        <f>IFERROR(INDEX(Source!B609:B617,MATCH('Case 4 solution'!E610,Source!A609:A617,0)),"")</f>
        <v/>
      </c>
    </row>
    <row r="611" spans="1:17" x14ac:dyDescent="0.3">
      <c r="A611" s="3">
        <v>2033824</v>
      </c>
      <c r="B611">
        <v>22110</v>
      </c>
      <c r="C611">
        <v>1</v>
      </c>
      <c r="D611" s="9">
        <v>105</v>
      </c>
      <c r="E611">
        <v>1006</v>
      </c>
      <c r="F611" s="1">
        <v>44010</v>
      </c>
      <c r="G611" t="s">
        <v>96</v>
      </c>
      <c r="H611" s="4" t="s">
        <v>16</v>
      </c>
      <c r="I611" s="4">
        <v>-4207.8999999999996</v>
      </c>
      <c r="J611" s="4">
        <v>-4207.8999999999996</v>
      </c>
      <c r="K611" t="str">
        <f>IFERROR(INDEX(BusinessUnits!$B:$B,MATCH($C611,BusinessUnits!$A:$A,0)),"")</f>
        <v>FOOD SERVICE</v>
      </c>
      <c r="L611" t="str">
        <f>IFERROR(INDEX(Table1[[#All],[Description]],MATCH($C611,BusinessUnits!$A:$A,0)),"")</f>
        <v xml:space="preserve">Transactions related to food and beverage service. Includes all guest transactions in the hotel restaurants, catering-related transactions and food service payroll. </v>
      </c>
      <c r="M611" t="str">
        <f>IFERROR(INDEX(ChartOfAccounts!B610:B695,MATCH($B611,ChartOfAccounts!A610:A695,0)),"")</f>
        <v/>
      </c>
      <c r="N611" t="str">
        <f>IFERROR(INDEX(ChartOfAccounts!D:D,MATCH($B611,ChartOfAccounts!A610:A695,0)),"")</f>
        <v/>
      </c>
      <c r="O611" t="str">
        <f>IFERROR(INDEX(ChartOfAccounts!F:F,MATCH($B611,ChartOfAccounts!A610:A695,0)),"")</f>
        <v/>
      </c>
      <c r="P611" t="str" cm="1">
        <f t="array" ref="P611">IFERROR(INDEX(PreparerInfo!B610:B622,MATCH($D611&amp;$C611,PreparerInfo!A610:A622&amp;PreparerInfo!C610:C622,0)),"")</f>
        <v/>
      </c>
      <c r="Q611" t="str">
        <f>IFERROR(INDEX(Source!B610:B618,MATCH('Case 4 solution'!E611,Source!A610:A618,0)),"")</f>
        <v/>
      </c>
    </row>
    <row r="612" spans="1:17" x14ac:dyDescent="0.3">
      <c r="A612" s="3">
        <v>2033825</v>
      </c>
      <c r="B612">
        <v>14260</v>
      </c>
      <c r="C612">
        <v>1</v>
      </c>
      <c r="D612" s="9">
        <v>101</v>
      </c>
      <c r="E612">
        <v>1002</v>
      </c>
      <c r="F612" s="1">
        <v>44010</v>
      </c>
      <c r="G612" t="s">
        <v>38</v>
      </c>
      <c r="H612" s="4">
        <v>4248.3599999999997</v>
      </c>
      <c r="I612" s="4" t="s">
        <v>16</v>
      </c>
      <c r="J612" s="4">
        <v>4248.3599999999997</v>
      </c>
      <c r="K612" t="str">
        <f>IFERROR(INDEX(BusinessUnits!$B:$B,MATCH($C612,BusinessUnits!$A:$A,0)),"")</f>
        <v>FOOD SERVICE</v>
      </c>
      <c r="L612" t="str">
        <f>IFERROR(INDEX(Table1[[#All],[Description]],MATCH($C612,BusinessUnits!$A:$A,0)),"")</f>
        <v xml:space="preserve">Transactions related to food and beverage service. Includes all guest transactions in the hotel restaurants, catering-related transactions and food service payroll. </v>
      </c>
      <c r="M612" t="str">
        <f>IFERROR(INDEX(ChartOfAccounts!B611:B696,MATCH($B612,ChartOfAccounts!A611:A696,0)),"")</f>
        <v/>
      </c>
      <c r="N612" t="str">
        <f>IFERROR(INDEX(ChartOfAccounts!D:D,MATCH($B612,ChartOfAccounts!A611:A696,0)),"")</f>
        <v/>
      </c>
      <c r="O612" t="str">
        <f>IFERROR(INDEX(ChartOfAccounts!F:F,MATCH($B612,ChartOfAccounts!A611:A696,0)),"")</f>
        <v/>
      </c>
      <c r="P612" t="str" cm="1">
        <f t="array" ref="P612">IFERROR(INDEX(PreparerInfo!B611:B623,MATCH($D612&amp;$C612,PreparerInfo!A611:A623&amp;PreparerInfo!C611:C623,0)),"")</f>
        <v/>
      </c>
      <c r="Q612" t="str">
        <f>IFERROR(INDEX(Source!B611:B619,MATCH('Case 4 solution'!E612,Source!A611:A619,0)),"")</f>
        <v/>
      </c>
    </row>
    <row r="613" spans="1:17" x14ac:dyDescent="0.3">
      <c r="A613" s="3">
        <v>2033825</v>
      </c>
      <c r="B613">
        <v>11845</v>
      </c>
      <c r="C613">
        <v>1</v>
      </c>
      <c r="D613" s="9">
        <v>101</v>
      </c>
      <c r="E613">
        <v>1002</v>
      </c>
      <c r="F613" s="1">
        <v>44010</v>
      </c>
      <c r="G613" t="s">
        <v>38</v>
      </c>
      <c r="H613" s="4" t="s">
        <v>16</v>
      </c>
      <c r="I613" s="4">
        <v>-4248.3599999999997</v>
      </c>
      <c r="J613" s="4">
        <v>-4248.3599999999997</v>
      </c>
      <c r="K613" t="str">
        <f>IFERROR(INDEX(BusinessUnits!$B:$B,MATCH($C613,BusinessUnits!$A:$A,0)),"")</f>
        <v>FOOD SERVICE</v>
      </c>
      <c r="L613" t="str">
        <f>IFERROR(INDEX(Table1[[#All],[Description]],MATCH($C613,BusinessUnits!$A:$A,0)),"")</f>
        <v xml:space="preserve">Transactions related to food and beverage service. Includes all guest transactions in the hotel restaurants, catering-related transactions and food service payroll. </v>
      </c>
      <c r="M613" t="str">
        <f>IFERROR(INDEX(ChartOfAccounts!B612:B697,MATCH($B613,ChartOfAccounts!A612:A697,0)),"")</f>
        <v/>
      </c>
      <c r="N613" t="str">
        <f>IFERROR(INDEX(ChartOfAccounts!D:D,MATCH($B613,ChartOfAccounts!A612:A697,0)),"")</f>
        <v/>
      </c>
      <c r="O613" t="str">
        <f>IFERROR(INDEX(ChartOfAccounts!F:F,MATCH($B613,ChartOfAccounts!A612:A697,0)),"")</f>
        <v/>
      </c>
      <c r="P613" t="str" cm="1">
        <f t="array" ref="P613">IFERROR(INDEX(PreparerInfo!B612:B624,MATCH($D613&amp;$C613,PreparerInfo!A612:A624&amp;PreparerInfo!C612:C624,0)),"")</f>
        <v/>
      </c>
      <c r="Q613" t="str">
        <f>IFERROR(INDEX(Source!B612:B620,MATCH('Case 4 solution'!E613,Source!A612:A620,0)),"")</f>
        <v/>
      </c>
    </row>
    <row r="614" spans="1:17" x14ac:dyDescent="0.3">
      <c r="A614" s="3">
        <v>2033826</v>
      </c>
      <c r="B614">
        <v>51610</v>
      </c>
      <c r="C614">
        <v>1</v>
      </c>
      <c r="D614" s="9">
        <v>105</v>
      </c>
      <c r="E614">
        <v>1006</v>
      </c>
      <c r="F614" s="1">
        <v>44010</v>
      </c>
      <c r="G614" t="s">
        <v>97</v>
      </c>
      <c r="H614" s="4">
        <v>4362</v>
      </c>
      <c r="I614" s="4" t="s">
        <v>16</v>
      </c>
      <c r="J614" s="4">
        <v>4362</v>
      </c>
      <c r="K614" t="str">
        <f>IFERROR(INDEX(BusinessUnits!$B:$B,MATCH($C614,BusinessUnits!$A:$A,0)),"")</f>
        <v>FOOD SERVICE</v>
      </c>
      <c r="L614" t="str">
        <f>IFERROR(INDEX(Table1[[#All],[Description]],MATCH($C614,BusinessUnits!$A:$A,0)),"")</f>
        <v xml:space="preserve">Transactions related to food and beverage service. Includes all guest transactions in the hotel restaurants, catering-related transactions and food service payroll. </v>
      </c>
      <c r="M614" t="str">
        <f>IFERROR(INDEX(ChartOfAccounts!B613:B698,MATCH($B614,ChartOfAccounts!A613:A698,0)),"")</f>
        <v/>
      </c>
      <c r="N614" t="str">
        <f>IFERROR(INDEX(ChartOfAccounts!D:D,MATCH($B614,ChartOfAccounts!A613:A698,0)),"")</f>
        <v/>
      </c>
      <c r="O614" t="str">
        <f>IFERROR(INDEX(ChartOfAccounts!F:F,MATCH($B614,ChartOfAccounts!A613:A698,0)),"")</f>
        <v/>
      </c>
      <c r="P614" t="str" cm="1">
        <f t="array" ref="P614">IFERROR(INDEX(PreparerInfo!B613:B625,MATCH($D614&amp;$C614,PreparerInfo!A613:A625&amp;PreparerInfo!C613:C625,0)),"")</f>
        <v/>
      </c>
      <c r="Q614" t="str">
        <f>IFERROR(INDEX(Source!B613:B621,MATCH('Case 4 solution'!E614,Source!A613:A621,0)),"")</f>
        <v/>
      </c>
    </row>
    <row r="615" spans="1:17" x14ac:dyDescent="0.3">
      <c r="A615" s="3">
        <v>2033826</v>
      </c>
      <c r="B615">
        <v>22110</v>
      </c>
      <c r="C615">
        <v>1</v>
      </c>
      <c r="D615" s="9">
        <v>105</v>
      </c>
      <c r="E615">
        <v>1006</v>
      </c>
      <c r="F615" s="1">
        <v>44010</v>
      </c>
      <c r="G615" t="s">
        <v>97</v>
      </c>
      <c r="H615" s="4" t="s">
        <v>16</v>
      </c>
      <c r="I615" s="4">
        <v>-4362</v>
      </c>
      <c r="J615" s="4">
        <v>-4362</v>
      </c>
      <c r="K615" t="str">
        <f>IFERROR(INDEX(BusinessUnits!$B:$B,MATCH($C615,BusinessUnits!$A:$A,0)),"")</f>
        <v>FOOD SERVICE</v>
      </c>
      <c r="L615" t="str">
        <f>IFERROR(INDEX(Table1[[#All],[Description]],MATCH($C615,BusinessUnits!$A:$A,0)),"")</f>
        <v xml:space="preserve">Transactions related to food and beverage service. Includes all guest transactions in the hotel restaurants, catering-related transactions and food service payroll. </v>
      </c>
      <c r="M615" t="str">
        <f>IFERROR(INDEX(ChartOfAccounts!B614:B699,MATCH($B615,ChartOfAccounts!A614:A699,0)),"")</f>
        <v/>
      </c>
      <c r="N615" t="str">
        <f>IFERROR(INDEX(ChartOfAccounts!D:D,MATCH($B615,ChartOfAccounts!A614:A699,0)),"")</f>
        <v/>
      </c>
      <c r="O615" t="str">
        <f>IFERROR(INDEX(ChartOfAccounts!F:F,MATCH($B615,ChartOfAccounts!A614:A699,0)),"")</f>
        <v/>
      </c>
      <c r="P615" t="str" cm="1">
        <f t="array" ref="P615">IFERROR(INDEX(PreparerInfo!B614:B626,MATCH($D615&amp;$C615,PreparerInfo!A614:A626&amp;PreparerInfo!C614:C626,0)),"")</f>
        <v/>
      </c>
      <c r="Q615" t="str">
        <f>IFERROR(INDEX(Source!B614:B622,MATCH('Case 4 solution'!E615,Source!A614:A622,0)),"")</f>
        <v/>
      </c>
    </row>
    <row r="616" spans="1:17" x14ac:dyDescent="0.3">
      <c r="A616" s="3">
        <v>2033827</v>
      </c>
      <c r="B616">
        <v>14260</v>
      </c>
      <c r="C616">
        <v>1</v>
      </c>
      <c r="D616" s="9">
        <v>101</v>
      </c>
      <c r="E616">
        <v>1002</v>
      </c>
      <c r="F616" s="1">
        <v>44010</v>
      </c>
      <c r="G616" t="s">
        <v>38</v>
      </c>
      <c r="H616" s="4">
        <v>5100.79</v>
      </c>
      <c r="I616" s="4" t="s">
        <v>16</v>
      </c>
      <c r="J616" s="4">
        <v>5100.79</v>
      </c>
      <c r="K616" t="str">
        <f>IFERROR(INDEX(BusinessUnits!$B:$B,MATCH($C616,BusinessUnits!$A:$A,0)),"")</f>
        <v>FOOD SERVICE</v>
      </c>
      <c r="L616" t="str">
        <f>IFERROR(INDEX(Table1[[#All],[Description]],MATCH($C616,BusinessUnits!$A:$A,0)),"")</f>
        <v xml:space="preserve">Transactions related to food and beverage service. Includes all guest transactions in the hotel restaurants, catering-related transactions and food service payroll. </v>
      </c>
      <c r="M616" t="str">
        <f>IFERROR(INDEX(ChartOfAccounts!B615:B700,MATCH($B616,ChartOfAccounts!A615:A700,0)),"")</f>
        <v/>
      </c>
      <c r="N616" t="str">
        <f>IFERROR(INDEX(ChartOfAccounts!D:D,MATCH($B616,ChartOfAccounts!A615:A700,0)),"")</f>
        <v/>
      </c>
      <c r="O616" t="str">
        <f>IFERROR(INDEX(ChartOfAccounts!F:F,MATCH($B616,ChartOfAccounts!A615:A700,0)),"")</f>
        <v/>
      </c>
      <c r="P616" t="str" cm="1">
        <f t="array" ref="P616">IFERROR(INDEX(PreparerInfo!B615:B627,MATCH($D616&amp;$C616,PreparerInfo!A615:A627&amp;PreparerInfo!C615:C627,0)),"")</f>
        <v/>
      </c>
      <c r="Q616" t="str">
        <f>IFERROR(INDEX(Source!B615:B623,MATCH('Case 4 solution'!E616,Source!A615:A623,0)),"")</f>
        <v/>
      </c>
    </row>
    <row r="617" spans="1:17" x14ac:dyDescent="0.3">
      <c r="A617" s="3">
        <v>2033827</v>
      </c>
      <c r="B617">
        <v>11845</v>
      </c>
      <c r="C617">
        <v>1</v>
      </c>
      <c r="D617" s="9">
        <v>101</v>
      </c>
      <c r="E617">
        <v>1002</v>
      </c>
      <c r="F617" s="1">
        <v>44010</v>
      </c>
      <c r="G617" t="s">
        <v>38</v>
      </c>
      <c r="H617" s="4" t="s">
        <v>16</v>
      </c>
      <c r="I617" s="4">
        <v>-5100.79</v>
      </c>
      <c r="J617" s="4">
        <v>-5100.79</v>
      </c>
      <c r="K617" t="str">
        <f>IFERROR(INDEX(BusinessUnits!$B:$B,MATCH($C617,BusinessUnits!$A:$A,0)),"")</f>
        <v>FOOD SERVICE</v>
      </c>
      <c r="L617" t="str">
        <f>IFERROR(INDEX(Table1[[#All],[Description]],MATCH($C617,BusinessUnits!$A:$A,0)),"")</f>
        <v xml:space="preserve">Transactions related to food and beverage service. Includes all guest transactions in the hotel restaurants, catering-related transactions and food service payroll. </v>
      </c>
      <c r="M617" t="str">
        <f>IFERROR(INDEX(ChartOfAccounts!B616:B701,MATCH($B617,ChartOfAccounts!A616:A701,0)),"")</f>
        <v/>
      </c>
      <c r="N617" t="str">
        <f>IFERROR(INDEX(ChartOfAccounts!D:D,MATCH($B617,ChartOfAccounts!A616:A701,0)),"")</f>
        <v/>
      </c>
      <c r="O617" t="str">
        <f>IFERROR(INDEX(ChartOfAccounts!F:F,MATCH($B617,ChartOfAccounts!A616:A701,0)),"")</f>
        <v/>
      </c>
      <c r="P617" t="str" cm="1">
        <f t="array" ref="P617">IFERROR(INDEX(PreparerInfo!B616:B628,MATCH($D617&amp;$C617,PreparerInfo!A616:A628&amp;PreparerInfo!C616:C628,0)),"")</f>
        <v/>
      </c>
      <c r="Q617" t="str">
        <f>IFERROR(INDEX(Source!B616:B624,MATCH('Case 4 solution'!E617,Source!A616:A624,0)),"")</f>
        <v/>
      </c>
    </row>
    <row r="618" spans="1:17" x14ac:dyDescent="0.3">
      <c r="A618" s="3">
        <v>2033828</v>
      </c>
      <c r="B618">
        <v>11845</v>
      </c>
      <c r="C618">
        <v>2</v>
      </c>
      <c r="D618" s="9">
        <v>104</v>
      </c>
      <c r="E618">
        <v>1003</v>
      </c>
      <c r="F618" s="1">
        <v>44010</v>
      </c>
      <c r="G618" t="s">
        <v>15</v>
      </c>
      <c r="H618" s="4">
        <v>5129</v>
      </c>
      <c r="I618" s="4" t="s">
        <v>16</v>
      </c>
      <c r="J618" s="4">
        <v>5129</v>
      </c>
      <c r="K618" t="str">
        <f>IFERROR(INDEX(BusinessUnits!$B:$B,MATCH($C618,BusinessUnits!$A:$A,0)),"")</f>
        <v>HOTEL</v>
      </c>
      <c r="L618" t="str">
        <f>IFERROR(INDEX(Table1[[#All],[Description]],MATCH($C618,BusinessUnits!$A:$A,0)),"")</f>
        <v xml:space="preserve">Transactions related to guest rooms and overall hotel operations. Includes payroll for administrative staff, clerks and interns. </v>
      </c>
      <c r="M618" t="str">
        <f>IFERROR(INDEX(ChartOfAccounts!B617:B702,MATCH($B618,ChartOfAccounts!A617:A702,0)),"")</f>
        <v/>
      </c>
      <c r="N618" t="str">
        <f>IFERROR(INDEX(ChartOfAccounts!D:D,MATCH($B618,ChartOfAccounts!A617:A702,0)),"")</f>
        <v/>
      </c>
      <c r="O618" t="str">
        <f>IFERROR(INDEX(ChartOfAccounts!F:F,MATCH($B618,ChartOfAccounts!A617:A702,0)),"")</f>
        <v/>
      </c>
      <c r="P618" t="str" cm="1">
        <f t="array" ref="P618">IFERROR(INDEX(PreparerInfo!B617:B629,MATCH($D618&amp;$C618,PreparerInfo!A617:A629&amp;PreparerInfo!C617:C629,0)),"")</f>
        <v/>
      </c>
      <c r="Q618" t="str">
        <f>IFERROR(INDEX(Source!B617:B625,MATCH('Case 4 solution'!E618,Source!A617:A625,0)),"")</f>
        <v/>
      </c>
    </row>
    <row r="619" spans="1:17" x14ac:dyDescent="0.3">
      <c r="A619" s="3">
        <v>2033828</v>
      </c>
      <c r="B619">
        <v>43180</v>
      </c>
      <c r="C619">
        <v>2</v>
      </c>
      <c r="D619" s="9">
        <v>104</v>
      </c>
      <c r="E619">
        <v>1003</v>
      </c>
      <c r="F619" s="1">
        <v>44010</v>
      </c>
      <c r="G619" t="s">
        <v>15</v>
      </c>
      <c r="H619" s="4" t="s">
        <v>16</v>
      </c>
      <c r="I619" s="4">
        <v>-5129</v>
      </c>
      <c r="J619" s="4">
        <v>-5129</v>
      </c>
      <c r="K619" t="str">
        <f>IFERROR(INDEX(BusinessUnits!$B:$B,MATCH($C619,BusinessUnits!$A:$A,0)),"")</f>
        <v>HOTEL</v>
      </c>
      <c r="L619" t="str">
        <f>IFERROR(INDEX(Table1[[#All],[Description]],MATCH($C619,BusinessUnits!$A:$A,0)),"")</f>
        <v xml:space="preserve">Transactions related to guest rooms and overall hotel operations. Includes payroll for administrative staff, clerks and interns. </v>
      </c>
      <c r="M619" t="str">
        <f>IFERROR(INDEX(ChartOfAccounts!B618:B703,MATCH($B619,ChartOfAccounts!A618:A703,0)),"")</f>
        <v/>
      </c>
      <c r="N619" t="str">
        <f>IFERROR(INDEX(ChartOfAccounts!D:D,MATCH($B619,ChartOfAccounts!A618:A703,0)),"")</f>
        <v/>
      </c>
      <c r="O619" t="str">
        <f>IFERROR(INDEX(ChartOfAccounts!F:F,MATCH($B619,ChartOfAccounts!A618:A703,0)),"")</f>
        <v/>
      </c>
      <c r="P619" t="str" cm="1">
        <f t="array" ref="P619">IFERROR(INDEX(PreparerInfo!B618:B630,MATCH($D619&amp;$C619,PreparerInfo!A618:A630&amp;PreparerInfo!C618:C630,0)),"")</f>
        <v/>
      </c>
      <c r="Q619" t="str">
        <f>IFERROR(INDEX(Source!B618:B626,MATCH('Case 4 solution'!E619,Source!A618:A626,0)),"")</f>
        <v/>
      </c>
    </row>
    <row r="620" spans="1:17" x14ac:dyDescent="0.3">
      <c r="A620" s="3">
        <v>2033829</v>
      </c>
      <c r="B620">
        <v>51110</v>
      </c>
      <c r="C620">
        <v>4</v>
      </c>
      <c r="D620" s="9">
        <v>105</v>
      </c>
      <c r="E620">
        <v>1004</v>
      </c>
      <c r="F620" s="1">
        <v>44010</v>
      </c>
      <c r="G620" t="s">
        <v>100</v>
      </c>
      <c r="H620" s="4">
        <v>7178.83</v>
      </c>
      <c r="I620" s="4" t="s">
        <v>16</v>
      </c>
      <c r="J620" s="4">
        <v>7178.83</v>
      </c>
      <c r="K620" t="str">
        <f>IFERROR(INDEX(BusinessUnits!$B:$B,MATCH($C620,BusinessUnits!$A:$A,0)),"")</f>
        <v>HOUSEKEEPING</v>
      </c>
      <c r="L620" t="str">
        <f>IFERROR(INDEX(Table1[[#All],[Description]],MATCH($C620,BusinessUnits!$A:$A,0)),"")</f>
        <v xml:space="preserve">Transactions related to the Housekeeping Department. Primarily includes payroll for housekeepers and housekeeping supplies. </v>
      </c>
      <c r="M620" t="str">
        <f>IFERROR(INDEX(ChartOfAccounts!B619:B704,MATCH($B620,ChartOfAccounts!A619:A704,0)),"")</f>
        <v/>
      </c>
      <c r="N620" t="str">
        <f>IFERROR(INDEX(ChartOfAccounts!D:D,MATCH($B620,ChartOfAccounts!A619:A704,0)),"")</f>
        <v/>
      </c>
      <c r="O620" t="str">
        <f>IFERROR(INDEX(ChartOfAccounts!F:F,MATCH($B620,ChartOfAccounts!A619:A704,0)),"")</f>
        <v/>
      </c>
      <c r="P620" t="str" cm="1">
        <f t="array" ref="P620">IFERROR(INDEX(PreparerInfo!B619:B631,MATCH($D620&amp;$C620,PreparerInfo!A619:A631&amp;PreparerInfo!C619:C631,0)),"")</f>
        <v/>
      </c>
      <c r="Q620" t="str">
        <f>IFERROR(INDEX(Source!B619:B627,MATCH('Case 4 solution'!E620,Source!A619:A627,0)),"")</f>
        <v/>
      </c>
    </row>
    <row r="621" spans="1:17" x14ac:dyDescent="0.3">
      <c r="A621" s="3">
        <v>2033829</v>
      </c>
      <c r="B621">
        <v>11845</v>
      </c>
      <c r="C621">
        <v>4</v>
      </c>
      <c r="D621" s="9">
        <v>105</v>
      </c>
      <c r="E621">
        <v>1004</v>
      </c>
      <c r="F621" s="1">
        <v>44010</v>
      </c>
      <c r="G621" t="s">
        <v>100</v>
      </c>
      <c r="H621" s="4" t="s">
        <v>16</v>
      </c>
      <c r="I621" s="4">
        <v>-7178.83</v>
      </c>
      <c r="J621" s="4">
        <v>-7178.83</v>
      </c>
      <c r="K621" t="str">
        <f>IFERROR(INDEX(BusinessUnits!$B:$B,MATCH($C621,BusinessUnits!$A:$A,0)),"")</f>
        <v>HOUSEKEEPING</v>
      </c>
      <c r="L621" t="str">
        <f>IFERROR(INDEX(Table1[[#All],[Description]],MATCH($C621,BusinessUnits!$A:$A,0)),"")</f>
        <v xml:space="preserve">Transactions related to the Housekeeping Department. Primarily includes payroll for housekeepers and housekeeping supplies. </v>
      </c>
      <c r="M621" t="str">
        <f>IFERROR(INDEX(ChartOfAccounts!B620:B705,MATCH($B621,ChartOfAccounts!A620:A705,0)),"")</f>
        <v/>
      </c>
      <c r="N621" t="str">
        <f>IFERROR(INDEX(ChartOfAccounts!D:D,MATCH($B621,ChartOfAccounts!A620:A705,0)),"")</f>
        <v/>
      </c>
      <c r="O621" t="str">
        <f>IFERROR(INDEX(ChartOfAccounts!F:F,MATCH($B621,ChartOfAccounts!A620:A705,0)),"")</f>
        <v/>
      </c>
      <c r="P621" t="str" cm="1">
        <f t="array" ref="P621">IFERROR(INDEX(PreparerInfo!B620:B632,MATCH($D621&amp;$C621,PreparerInfo!A620:A632&amp;PreparerInfo!C620:C632,0)),"")</f>
        <v/>
      </c>
      <c r="Q621" t="str">
        <f>IFERROR(INDEX(Source!B620:B628,MATCH('Case 4 solution'!E621,Source!A620:A628,0)),"")</f>
        <v/>
      </c>
    </row>
    <row r="622" spans="1:17" x14ac:dyDescent="0.3">
      <c r="A622" s="3">
        <v>2033830</v>
      </c>
      <c r="B622">
        <v>51110</v>
      </c>
      <c r="C622">
        <v>2</v>
      </c>
      <c r="D622" s="9">
        <v>105</v>
      </c>
      <c r="E622">
        <v>1004</v>
      </c>
      <c r="F622" s="1">
        <v>44010</v>
      </c>
      <c r="G622" t="s">
        <v>100</v>
      </c>
      <c r="H622" s="4">
        <v>12673.75</v>
      </c>
      <c r="I622" s="4" t="s">
        <v>16</v>
      </c>
      <c r="J622" s="4">
        <v>12673.75</v>
      </c>
      <c r="K622" t="str">
        <f>IFERROR(INDEX(BusinessUnits!$B:$B,MATCH($C622,BusinessUnits!$A:$A,0)),"")</f>
        <v>HOTEL</v>
      </c>
      <c r="L622" t="str">
        <f>IFERROR(INDEX(Table1[[#All],[Description]],MATCH($C622,BusinessUnits!$A:$A,0)),"")</f>
        <v xml:space="preserve">Transactions related to guest rooms and overall hotel operations. Includes payroll for administrative staff, clerks and interns. </v>
      </c>
      <c r="M622" t="str">
        <f>IFERROR(INDEX(ChartOfAccounts!B621:B706,MATCH($B622,ChartOfAccounts!A621:A706,0)),"")</f>
        <v/>
      </c>
      <c r="N622" t="str">
        <f>IFERROR(INDEX(ChartOfAccounts!D:D,MATCH($B622,ChartOfAccounts!A621:A706,0)),"")</f>
        <v/>
      </c>
      <c r="O622" t="str">
        <f>IFERROR(INDEX(ChartOfAccounts!F:F,MATCH($B622,ChartOfAccounts!A621:A706,0)),"")</f>
        <v/>
      </c>
      <c r="P622" t="str" cm="1">
        <f t="array" ref="P622">IFERROR(INDEX(PreparerInfo!B621:B633,MATCH($D622&amp;$C622,PreparerInfo!A621:A633&amp;PreparerInfo!C621:C633,0)),"")</f>
        <v/>
      </c>
      <c r="Q622" t="str">
        <f>IFERROR(INDEX(Source!B621:B629,MATCH('Case 4 solution'!E622,Source!A621:A629,0)),"")</f>
        <v/>
      </c>
    </row>
    <row r="623" spans="1:17" x14ac:dyDescent="0.3">
      <c r="A623" s="3">
        <v>2033830</v>
      </c>
      <c r="B623">
        <v>11845</v>
      </c>
      <c r="C623">
        <v>2</v>
      </c>
      <c r="D623" s="9">
        <v>105</v>
      </c>
      <c r="E623">
        <v>1004</v>
      </c>
      <c r="F623" s="1">
        <v>44010</v>
      </c>
      <c r="G623" t="s">
        <v>100</v>
      </c>
      <c r="H623" s="4" t="s">
        <v>16</v>
      </c>
      <c r="I623" s="4">
        <v>-12673.75</v>
      </c>
      <c r="J623" s="4">
        <v>-12673.75</v>
      </c>
      <c r="K623" t="str">
        <f>IFERROR(INDEX(BusinessUnits!$B:$B,MATCH($C623,BusinessUnits!$A:$A,0)),"")</f>
        <v>HOTEL</v>
      </c>
      <c r="L623" t="str">
        <f>IFERROR(INDEX(Table1[[#All],[Description]],MATCH($C623,BusinessUnits!$A:$A,0)),"")</f>
        <v xml:space="preserve">Transactions related to guest rooms and overall hotel operations. Includes payroll for administrative staff, clerks and interns. </v>
      </c>
      <c r="M623" t="str">
        <f>IFERROR(INDEX(ChartOfAccounts!B622:B707,MATCH($B623,ChartOfAccounts!A622:A707,0)),"")</f>
        <v/>
      </c>
      <c r="N623" t="str">
        <f>IFERROR(INDEX(ChartOfAccounts!D:D,MATCH($B623,ChartOfAccounts!A622:A707,0)),"")</f>
        <v/>
      </c>
      <c r="O623" t="str">
        <f>IFERROR(INDEX(ChartOfAccounts!F:F,MATCH($B623,ChartOfAccounts!A622:A707,0)),"")</f>
        <v/>
      </c>
      <c r="P623" t="str" cm="1">
        <f t="array" ref="P623">IFERROR(INDEX(PreparerInfo!B622:B634,MATCH($D623&amp;$C623,PreparerInfo!A622:A634&amp;PreparerInfo!C622:C634,0)),"")</f>
        <v/>
      </c>
      <c r="Q623" t="str">
        <f>IFERROR(INDEX(Source!B622:B630,MATCH('Case 4 solution'!E623,Source!A622:A630,0)),"")</f>
        <v/>
      </c>
    </row>
    <row r="624" spans="1:17" x14ac:dyDescent="0.3">
      <c r="A624" s="3">
        <v>2033831</v>
      </c>
      <c r="B624">
        <v>51110</v>
      </c>
      <c r="C624">
        <v>1</v>
      </c>
      <c r="D624" s="9">
        <v>105</v>
      </c>
      <c r="E624">
        <v>1004</v>
      </c>
      <c r="F624" s="1">
        <v>44010</v>
      </c>
      <c r="G624" t="s">
        <v>100</v>
      </c>
      <c r="H624" s="4">
        <v>63161.04</v>
      </c>
      <c r="I624" s="4" t="s">
        <v>16</v>
      </c>
      <c r="J624" s="4">
        <v>63161.04</v>
      </c>
      <c r="K624" t="str">
        <f>IFERROR(INDEX(BusinessUnits!$B:$B,MATCH($C624,BusinessUnits!$A:$A,0)),"")</f>
        <v>FOOD SERVICE</v>
      </c>
      <c r="L624" t="str">
        <f>IFERROR(INDEX(Table1[[#All],[Description]],MATCH($C624,BusinessUnits!$A:$A,0)),"")</f>
        <v xml:space="preserve">Transactions related to food and beverage service. Includes all guest transactions in the hotel restaurants, catering-related transactions and food service payroll. </v>
      </c>
      <c r="M624" t="str">
        <f>IFERROR(INDEX(ChartOfAccounts!B623:B708,MATCH($B624,ChartOfAccounts!A623:A708,0)),"")</f>
        <v/>
      </c>
      <c r="N624" t="str">
        <f>IFERROR(INDEX(ChartOfAccounts!D:D,MATCH($B624,ChartOfAccounts!A623:A708,0)),"")</f>
        <v/>
      </c>
      <c r="O624" t="str">
        <f>IFERROR(INDEX(ChartOfAccounts!F:F,MATCH($B624,ChartOfAccounts!A623:A708,0)),"")</f>
        <v/>
      </c>
      <c r="P624" t="str" cm="1">
        <f t="array" ref="P624">IFERROR(INDEX(PreparerInfo!B623:B635,MATCH($D624&amp;$C624,PreparerInfo!A623:A635&amp;PreparerInfo!C623:C635,0)),"")</f>
        <v/>
      </c>
      <c r="Q624" t="str">
        <f>IFERROR(INDEX(Source!B623:B631,MATCH('Case 4 solution'!E624,Source!A623:A631,0)),"")</f>
        <v/>
      </c>
    </row>
    <row r="625" spans="1:17" x14ac:dyDescent="0.3">
      <c r="A625" s="3">
        <v>2033831</v>
      </c>
      <c r="B625">
        <v>11845</v>
      </c>
      <c r="C625">
        <v>1</v>
      </c>
      <c r="D625" s="9">
        <v>105</v>
      </c>
      <c r="E625">
        <v>1004</v>
      </c>
      <c r="F625" s="1">
        <v>44010</v>
      </c>
      <c r="G625" t="s">
        <v>100</v>
      </c>
      <c r="H625" s="4" t="s">
        <v>16</v>
      </c>
      <c r="I625" s="4">
        <v>-63161.04</v>
      </c>
      <c r="J625" s="4">
        <v>-63161.04</v>
      </c>
      <c r="K625" t="str">
        <f>IFERROR(INDEX(BusinessUnits!$B:$B,MATCH($C625,BusinessUnits!$A:$A,0)),"")</f>
        <v>FOOD SERVICE</v>
      </c>
      <c r="L625" t="str">
        <f>IFERROR(INDEX(Table1[[#All],[Description]],MATCH($C625,BusinessUnits!$A:$A,0)),"")</f>
        <v xml:space="preserve">Transactions related to food and beverage service. Includes all guest transactions in the hotel restaurants, catering-related transactions and food service payroll. </v>
      </c>
      <c r="M625" t="str">
        <f>IFERROR(INDEX(ChartOfAccounts!B624:B709,MATCH($B625,ChartOfAccounts!A624:A709,0)),"")</f>
        <v/>
      </c>
      <c r="N625" t="str">
        <f>IFERROR(INDEX(ChartOfAccounts!D:D,MATCH($B625,ChartOfAccounts!A624:A709,0)),"")</f>
        <v/>
      </c>
      <c r="O625" t="str">
        <f>IFERROR(INDEX(ChartOfAccounts!F:F,MATCH($B625,ChartOfAccounts!A624:A709,0)),"")</f>
        <v/>
      </c>
      <c r="P625" t="str" cm="1">
        <f t="array" ref="P625">IFERROR(INDEX(PreparerInfo!B624:B636,MATCH($D625&amp;$C625,PreparerInfo!A624:A636&amp;PreparerInfo!C624:C636,0)),"")</f>
        <v/>
      </c>
      <c r="Q625" t="str">
        <f>IFERROR(INDEX(Source!B624:B632,MATCH('Case 4 solution'!E625,Source!A624:A632,0)),"")</f>
        <v/>
      </c>
    </row>
    <row r="626" spans="1:17" x14ac:dyDescent="0.3">
      <c r="A626" s="3">
        <v>2033832</v>
      </c>
      <c r="B626">
        <v>11845</v>
      </c>
      <c r="C626">
        <v>3</v>
      </c>
      <c r="D626" s="9">
        <v>102</v>
      </c>
      <c r="E626">
        <v>1003</v>
      </c>
      <c r="F626" s="1">
        <v>44011</v>
      </c>
      <c r="G626" t="s">
        <v>15</v>
      </c>
      <c r="H626" s="4">
        <v>13.93</v>
      </c>
      <c r="I626" s="4" t="s">
        <v>16</v>
      </c>
      <c r="J626" s="4">
        <v>13.93</v>
      </c>
      <c r="K626" t="str">
        <f>IFERROR(INDEX(BusinessUnits!$B:$B,MATCH($C626,BusinessUnits!$A:$A,0)),"")</f>
        <v>HOTEL PANTRY</v>
      </c>
      <c r="L626" t="str">
        <f>IFERROR(INDEX(Table1[[#All],[Description]],MATCH($C626,BusinessUnits!$A:$A,0)),"")</f>
        <v>Transactions related to the hotel convenience store, including some food and beverage costs.</v>
      </c>
      <c r="M626" t="str">
        <f>IFERROR(INDEX(ChartOfAccounts!B625:B710,MATCH($B626,ChartOfAccounts!A625:A710,0)),"")</f>
        <v/>
      </c>
      <c r="N626" t="str">
        <f>IFERROR(INDEX(ChartOfAccounts!D:D,MATCH($B626,ChartOfAccounts!A625:A710,0)),"")</f>
        <v/>
      </c>
      <c r="O626" t="str">
        <f>IFERROR(INDEX(ChartOfAccounts!F:F,MATCH($B626,ChartOfAccounts!A625:A710,0)),"")</f>
        <v/>
      </c>
      <c r="P626" t="str" cm="1">
        <f t="array" ref="P626">IFERROR(INDEX(PreparerInfo!B625:B637,MATCH($D626&amp;$C626,PreparerInfo!A625:A637&amp;PreparerInfo!C625:C637,0)),"")</f>
        <v/>
      </c>
      <c r="Q626" t="str">
        <f>IFERROR(INDEX(Source!B625:B633,MATCH('Case 4 solution'!E626,Source!A625:A633,0)),"")</f>
        <v/>
      </c>
    </row>
    <row r="627" spans="1:17" x14ac:dyDescent="0.3">
      <c r="A627" s="3">
        <v>2033832</v>
      </c>
      <c r="B627">
        <v>43440</v>
      </c>
      <c r="C627">
        <v>3</v>
      </c>
      <c r="D627" s="9">
        <v>102</v>
      </c>
      <c r="E627">
        <v>1003</v>
      </c>
      <c r="F627" s="1">
        <v>44011</v>
      </c>
      <c r="G627" t="s">
        <v>15</v>
      </c>
      <c r="H627" s="4" t="s">
        <v>16</v>
      </c>
      <c r="I627" s="4">
        <v>-13.93</v>
      </c>
      <c r="J627" s="4">
        <v>-13.93</v>
      </c>
      <c r="K627" t="str">
        <f>IFERROR(INDEX(BusinessUnits!$B:$B,MATCH($C627,BusinessUnits!$A:$A,0)),"")</f>
        <v>HOTEL PANTRY</v>
      </c>
      <c r="L627" t="str">
        <f>IFERROR(INDEX(Table1[[#All],[Description]],MATCH($C627,BusinessUnits!$A:$A,0)),"")</f>
        <v>Transactions related to the hotel convenience store, including some food and beverage costs.</v>
      </c>
      <c r="M627" t="str">
        <f>IFERROR(INDEX(ChartOfAccounts!B626:B711,MATCH($B627,ChartOfAccounts!A626:A711,0)),"")</f>
        <v/>
      </c>
      <c r="N627" t="str">
        <f>IFERROR(INDEX(ChartOfAccounts!D:D,MATCH($B627,ChartOfAccounts!A626:A711,0)),"")</f>
        <v/>
      </c>
      <c r="O627" t="str">
        <f>IFERROR(INDEX(ChartOfAccounts!F:F,MATCH($B627,ChartOfAccounts!A626:A711,0)),"")</f>
        <v/>
      </c>
      <c r="P627" t="str" cm="1">
        <f t="array" ref="P627">IFERROR(INDEX(PreparerInfo!B626:B638,MATCH($D627&amp;$C627,PreparerInfo!A626:A638&amp;PreparerInfo!C626:C638,0)),"")</f>
        <v/>
      </c>
      <c r="Q627" t="str">
        <f>IFERROR(INDEX(Source!B626:B634,MATCH('Case 4 solution'!E627,Source!A626:A634,0)),"")</f>
        <v/>
      </c>
    </row>
    <row r="628" spans="1:17" x14ac:dyDescent="0.3">
      <c r="A628" s="3">
        <v>2033833</v>
      </c>
      <c r="B628">
        <v>11845</v>
      </c>
      <c r="C628">
        <v>1</v>
      </c>
      <c r="D628" s="9">
        <v>102</v>
      </c>
      <c r="E628">
        <v>1003</v>
      </c>
      <c r="F628" s="1">
        <v>44011</v>
      </c>
      <c r="G628" t="s">
        <v>15</v>
      </c>
      <c r="H628" s="4">
        <v>53.63</v>
      </c>
      <c r="I628" s="4" t="s">
        <v>16</v>
      </c>
      <c r="J628" s="4">
        <v>53.63</v>
      </c>
      <c r="K628" t="str">
        <f>IFERROR(INDEX(BusinessUnits!$B:$B,MATCH($C628,BusinessUnits!$A:$A,0)),"")</f>
        <v>FOOD SERVICE</v>
      </c>
      <c r="L628" t="str">
        <f>IFERROR(INDEX(Table1[[#All],[Description]],MATCH($C628,BusinessUnits!$A:$A,0)),"")</f>
        <v xml:space="preserve">Transactions related to food and beverage service. Includes all guest transactions in the hotel restaurants, catering-related transactions and food service payroll. </v>
      </c>
      <c r="M628" t="str">
        <f>IFERROR(INDEX(ChartOfAccounts!B627:B712,MATCH($B628,ChartOfAccounts!A627:A712,0)),"")</f>
        <v/>
      </c>
      <c r="N628" t="str">
        <f>IFERROR(INDEX(ChartOfAccounts!D:D,MATCH($B628,ChartOfAccounts!A627:A712,0)),"")</f>
        <v/>
      </c>
      <c r="O628" t="str">
        <f>IFERROR(INDEX(ChartOfAccounts!F:F,MATCH($B628,ChartOfAccounts!A627:A712,0)),"")</f>
        <v/>
      </c>
      <c r="P628" t="str" cm="1">
        <f t="array" ref="P628">IFERROR(INDEX(PreparerInfo!B627:B639,MATCH($D628&amp;$C628,PreparerInfo!A627:A639&amp;PreparerInfo!C627:C639,0)),"")</f>
        <v/>
      </c>
      <c r="Q628" t="str">
        <f>IFERROR(INDEX(Source!B627:B635,MATCH('Case 4 solution'!E628,Source!A627:A635,0)),"")</f>
        <v/>
      </c>
    </row>
    <row r="629" spans="1:17" x14ac:dyDescent="0.3">
      <c r="A629" s="3">
        <v>2033833</v>
      </c>
      <c r="B629">
        <v>43310</v>
      </c>
      <c r="C629">
        <v>1</v>
      </c>
      <c r="D629" s="9">
        <v>102</v>
      </c>
      <c r="E629">
        <v>1003</v>
      </c>
      <c r="F629" s="1">
        <v>44011</v>
      </c>
      <c r="G629" t="s">
        <v>15</v>
      </c>
      <c r="H629" s="4" t="s">
        <v>16</v>
      </c>
      <c r="I629" s="4">
        <v>-53.63</v>
      </c>
      <c r="J629" s="4">
        <v>-53.63</v>
      </c>
      <c r="K629" t="str">
        <f>IFERROR(INDEX(BusinessUnits!$B:$B,MATCH($C629,BusinessUnits!$A:$A,0)),"")</f>
        <v>FOOD SERVICE</v>
      </c>
      <c r="L629" t="str">
        <f>IFERROR(INDEX(Table1[[#All],[Description]],MATCH($C629,BusinessUnits!$A:$A,0)),"")</f>
        <v xml:space="preserve">Transactions related to food and beverage service. Includes all guest transactions in the hotel restaurants, catering-related transactions and food service payroll. </v>
      </c>
      <c r="M629" t="str">
        <f>IFERROR(INDEX(ChartOfAccounts!B628:B713,MATCH($B629,ChartOfAccounts!A628:A713,0)),"")</f>
        <v/>
      </c>
      <c r="N629" t="str">
        <f>IFERROR(INDEX(ChartOfAccounts!D:D,MATCH($B629,ChartOfAccounts!A628:A713,0)),"")</f>
        <v/>
      </c>
      <c r="O629" t="str">
        <f>IFERROR(INDEX(ChartOfAccounts!F:F,MATCH($B629,ChartOfAccounts!A628:A713,0)),"")</f>
        <v/>
      </c>
      <c r="P629" t="str" cm="1">
        <f t="array" ref="P629">IFERROR(INDEX(PreparerInfo!B628:B640,MATCH($D629&amp;$C629,PreparerInfo!A628:A640&amp;PreparerInfo!C628:C640,0)),"")</f>
        <v/>
      </c>
      <c r="Q629" t="str">
        <f>IFERROR(INDEX(Source!B628:B636,MATCH('Case 4 solution'!E629,Source!A628:A636,0)),"")</f>
        <v/>
      </c>
    </row>
    <row r="630" spans="1:17" x14ac:dyDescent="0.3">
      <c r="A630" s="3">
        <v>2033834</v>
      </c>
      <c r="B630">
        <v>11845</v>
      </c>
      <c r="C630">
        <v>3</v>
      </c>
      <c r="D630" s="9">
        <v>102</v>
      </c>
      <c r="E630">
        <v>1001</v>
      </c>
      <c r="F630" s="1">
        <v>44011</v>
      </c>
      <c r="G630" t="s">
        <v>41</v>
      </c>
      <c r="H630" s="4">
        <v>68.92</v>
      </c>
      <c r="I630" s="4" t="s">
        <v>16</v>
      </c>
      <c r="J630" s="4">
        <v>68.92</v>
      </c>
      <c r="K630" t="str">
        <f>IFERROR(INDEX(BusinessUnits!$B:$B,MATCH($C630,BusinessUnits!$A:$A,0)),"")</f>
        <v>HOTEL PANTRY</v>
      </c>
      <c r="L630" t="str">
        <f>IFERROR(INDEX(Table1[[#All],[Description]],MATCH($C630,BusinessUnits!$A:$A,0)),"")</f>
        <v>Transactions related to the hotel convenience store, including some food and beverage costs.</v>
      </c>
      <c r="M630" t="str">
        <f>IFERROR(INDEX(ChartOfAccounts!B629:B714,MATCH($B630,ChartOfAccounts!A629:A714,0)),"")</f>
        <v/>
      </c>
      <c r="N630" t="str">
        <f>IFERROR(INDEX(ChartOfAccounts!D:D,MATCH($B630,ChartOfAccounts!A629:A714,0)),"")</f>
        <v/>
      </c>
      <c r="O630" t="str">
        <f>IFERROR(INDEX(ChartOfAccounts!F:F,MATCH($B630,ChartOfAccounts!A629:A714,0)),"")</f>
        <v/>
      </c>
      <c r="P630" t="str" cm="1">
        <f t="array" ref="P630">IFERROR(INDEX(PreparerInfo!B629:B641,MATCH($D630&amp;$C630,PreparerInfo!A629:A641&amp;PreparerInfo!C629:C641,0)),"")</f>
        <v/>
      </c>
      <c r="Q630" t="str">
        <f>IFERROR(INDEX(Source!B629:B637,MATCH('Case 4 solution'!E630,Source!A629:A637,0)),"")</f>
        <v/>
      </c>
    </row>
    <row r="631" spans="1:17" x14ac:dyDescent="0.3">
      <c r="A631" s="3">
        <v>2033834</v>
      </c>
      <c r="B631">
        <v>43440</v>
      </c>
      <c r="C631">
        <v>3</v>
      </c>
      <c r="D631" s="9">
        <v>102</v>
      </c>
      <c r="E631">
        <v>1001</v>
      </c>
      <c r="F631" s="1">
        <v>44011</v>
      </c>
      <c r="G631" t="s">
        <v>41</v>
      </c>
      <c r="H631" s="4" t="s">
        <v>16</v>
      </c>
      <c r="I631" s="4">
        <v>-68.92</v>
      </c>
      <c r="J631" s="4">
        <v>-68.92</v>
      </c>
      <c r="K631" t="str">
        <f>IFERROR(INDEX(BusinessUnits!$B:$B,MATCH($C631,BusinessUnits!$A:$A,0)),"")</f>
        <v>HOTEL PANTRY</v>
      </c>
      <c r="L631" t="str">
        <f>IFERROR(INDEX(Table1[[#All],[Description]],MATCH($C631,BusinessUnits!$A:$A,0)),"")</f>
        <v>Transactions related to the hotel convenience store, including some food and beverage costs.</v>
      </c>
      <c r="M631" t="str">
        <f>IFERROR(INDEX(ChartOfAccounts!B630:B715,MATCH($B631,ChartOfAccounts!A630:A715,0)),"")</f>
        <v/>
      </c>
      <c r="N631" t="str">
        <f>IFERROR(INDEX(ChartOfAccounts!D:D,MATCH($B631,ChartOfAccounts!A630:A715,0)),"")</f>
        <v/>
      </c>
      <c r="O631" t="str">
        <f>IFERROR(INDEX(ChartOfAccounts!F:F,MATCH($B631,ChartOfAccounts!A630:A715,0)),"")</f>
        <v/>
      </c>
      <c r="P631" t="str" cm="1">
        <f t="array" ref="P631">IFERROR(INDEX(PreparerInfo!B630:B642,MATCH($D631&amp;$C631,PreparerInfo!A630:A642&amp;PreparerInfo!C630:C642,0)),"")</f>
        <v/>
      </c>
      <c r="Q631" t="str">
        <f>IFERROR(INDEX(Source!B630:B638,MATCH('Case 4 solution'!E631,Source!A630:A638,0)),"")</f>
        <v/>
      </c>
    </row>
    <row r="632" spans="1:17" x14ac:dyDescent="0.3">
      <c r="A632" s="3">
        <v>2033835</v>
      </c>
      <c r="B632">
        <v>11845</v>
      </c>
      <c r="C632">
        <v>3</v>
      </c>
      <c r="D632" s="9">
        <v>102</v>
      </c>
      <c r="E632">
        <v>1003</v>
      </c>
      <c r="F632" s="1">
        <v>44011</v>
      </c>
      <c r="G632" t="s">
        <v>15</v>
      </c>
      <c r="H632" s="4">
        <v>74.84</v>
      </c>
      <c r="I632" s="4" t="s">
        <v>16</v>
      </c>
      <c r="J632" s="4">
        <v>74.84</v>
      </c>
      <c r="K632" t="str">
        <f>IFERROR(INDEX(BusinessUnits!$B:$B,MATCH($C632,BusinessUnits!$A:$A,0)),"")</f>
        <v>HOTEL PANTRY</v>
      </c>
      <c r="L632" t="str">
        <f>IFERROR(INDEX(Table1[[#All],[Description]],MATCH($C632,BusinessUnits!$A:$A,0)),"")</f>
        <v>Transactions related to the hotel convenience store, including some food and beverage costs.</v>
      </c>
      <c r="M632" t="str">
        <f>IFERROR(INDEX(ChartOfAccounts!B631:B716,MATCH($B632,ChartOfAccounts!A631:A716,0)),"")</f>
        <v/>
      </c>
      <c r="N632" t="str">
        <f>IFERROR(INDEX(ChartOfAccounts!D:D,MATCH($B632,ChartOfAccounts!A631:A716,0)),"")</f>
        <v/>
      </c>
      <c r="O632" t="str">
        <f>IFERROR(INDEX(ChartOfAccounts!F:F,MATCH($B632,ChartOfAccounts!A631:A716,0)),"")</f>
        <v/>
      </c>
      <c r="P632" t="str" cm="1">
        <f t="array" ref="P632">IFERROR(INDEX(PreparerInfo!B631:B643,MATCH($D632&amp;$C632,PreparerInfo!A631:A643&amp;PreparerInfo!C631:C643,0)),"")</f>
        <v/>
      </c>
      <c r="Q632" t="str">
        <f>IFERROR(INDEX(Source!B631:B639,MATCH('Case 4 solution'!E632,Source!A631:A639,0)),"")</f>
        <v/>
      </c>
    </row>
    <row r="633" spans="1:17" x14ac:dyDescent="0.3">
      <c r="A633" s="3">
        <v>2033835</v>
      </c>
      <c r="B633">
        <v>43440</v>
      </c>
      <c r="C633">
        <v>3</v>
      </c>
      <c r="D633" s="9">
        <v>102</v>
      </c>
      <c r="E633">
        <v>1003</v>
      </c>
      <c r="F633" s="1">
        <v>44011</v>
      </c>
      <c r="G633" t="s">
        <v>15</v>
      </c>
      <c r="H633" s="4" t="s">
        <v>16</v>
      </c>
      <c r="I633" s="4">
        <v>-74.84</v>
      </c>
      <c r="J633" s="4">
        <v>-74.84</v>
      </c>
      <c r="K633" t="str">
        <f>IFERROR(INDEX(BusinessUnits!$B:$B,MATCH($C633,BusinessUnits!$A:$A,0)),"")</f>
        <v>HOTEL PANTRY</v>
      </c>
      <c r="L633" t="str">
        <f>IFERROR(INDEX(Table1[[#All],[Description]],MATCH($C633,BusinessUnits!$A:$A,0)),"")</f>
        <v>Transactions related to the hotel convenience store, including some food and beverage costs.</v>
      </c>
      <c r="M633" t="str">
        <f>IFERROR(INDEX(ChartOfAccounts!B632:B717,MATCH($B633,ChartOfAccounts!A632:A717,0)),"")</f>
        <v/>
      </c>
      <c r="N633" t="str">
        <f>IFERROR(INDEX(ChartOfAccounts!D:D,MATCH($B633,ChartOfAccounts!A632:A717,0)),"")</f>
        <v/>
      </c>
      <c r="O633" t="str">
        <f>IFERROR(INDEX(ChartOfAccounts!F:F,MATCH($B633,ChartOfAccounts!A632:A717,0)),"")</f>
        <v/>
      </c>
      <c r="P633" t="str" cm="1">
        <f t="array" ref="P633">IFERROR(INDEX(PreparerInfo!B632:B644,MATCH($D633&amp;$C633,PreparerInfo!A632:A644&amp;PreparerInfo!C632:C644,0)),"")</f>
        <v/>
      </c>
      <c r="Q633" t="str">
        <f>IFERROR(INDEX(Source!B632:B640,MATCH('Case 4 solution'!E633,Source!A632:A640,0)),"")</f>
        <v/>
      </c>
    </row>
    <row r="634" spans="1:17" x14ac:dyDescent="0.3">
      <c r="A634" s="3">
        <v>2033836</v>
      </c>
      <c r="B634">
        <v>11845</v>
      </c>
      <c r="C634">
        <v>2</v>
      </c>
      <c r="D634" s="9">
        <v>104</v>
      </c>
      <c r="E634">
        <v>1003</v>
      </c>
      <c r="F634" s="1">
        <v>44011</v>
      </c>
      <c r="G634" t="s">
        <v>41</v>
      </c>
      <c r="H634" s="4">
        <v>109</v>
      </c>
      <c r="I634" s="4" t="s">
        <v>16</v>
      </c>
      <c r="J634" s="4">
        <v>109</v>
      </c>
      <c r="K634" t="str">
        <f>IFERROR(INDEX(BusinessUnits!$B:$B,MATCH($C634,BusinessUnits!$A:$A,0)),"")</f>
        <v>HOTEL</v>
      </c>
      <c r="L634" t="str">
        <f>IFERROR(INDEX(Table1[[#All],[Description]],MATCH($C634,BusinessUnits!$A:$A,0)),"")</f>
        <v xml:space="preserve">Transactions related to guest rooms and overall hotel operations. Includes payroll for administrative staff, clerks and interns. </v>
      </c>
      <c r="M634" t="str">
        <f>IFERROR(INDEX(ChartOfAccounts!B633:B718,MATCH($B634,ChartOfAccounts!A633:A718,0)),"")</f>
        <v/>
      </c>
      <c r="N634" t="str">
        <f>IFERROR(INDEX(ChartOfAccounts!D:D,MATCH($B634,ChartOfAccounts!A633:A718,0)),"")</f>
        <v/>
      </c>
      <c r="O634" t="str">
        <f>IFERROR(INDEX(ChartOfAccounts!F:F,MATCH($B634,ChartOfAccounts!A633:A718,0)),"")</f>
        <v/>
      </c>
      <c r="P634" t="str" cm="1">
        <f t="array" ref="P634">IFERROR(INDEX(PreparerInfo!B633:B645,MATCH($D634&amp;$C634,PreparerInfo!A633:A645&amp;PreparerInfo!C633:C645,0)),"")</f>
        <v/>
      </c>
      <c r="Q634" t="str">
        <f>IFERROR(INDEX(Source!B633:B641,MATCH('Case 4 solution'!E634,Source!A633:A641,0)),"")</f>
        <v/>
      </c>
    </row>
    <row r="635" spans="1:17" x14ac:dyDescent="0.3">
      <c r="A635" s="3">
        <v>2033836</v>
      </c>
      <c r="B635">
        <v>43180</v>
      </c>
      <c r="C635">
        <v>2</v>
      </c>
      <c r="D635" s="9">
        <v>104</v>
      </c>
      <c r="E635">
        <v>1003</v>
      </c>
      <c r="F635" s="1">
        <v>44011</v>
      </c>
      <c r="G635" t="s">
        <v>41</v>
      </c>
      <c r="H635" s="4" t="s">
        <v>16</v>
      </c>
      <c r="I635" s="4">
        <v>-109</v>
      </c>
      <c r="J635" s="4">
        <v>-109</v>
      </c>
      <c r="K635" t="str">
        <f>IFERROR(INDEX(BusinessUnits!$B:$B,MATCH($C635,BusinessUnits!$A:$A,0)),"")</f>
        <v>HOTEL</v>
      </c>
      <c r="L635" t="str">
        <f>IFERROR(INDEX(Table1[[#All],[Description]],MATCH($C635,BusinessUnits!$A:$A,0)),"")</f>
        <v xml:space="preserve">Transactions related to guest rooms and overall hotel operations. Includes payroll for administrative staff, clerks and interns. </v>
      </c>
      <c r="M635" t="str">
        <f>IFERROR(INDEX(ChartOfAccounts!B634:B719,MATCH($B635,ChartOfAccounts!A634:A719,0)),"")</f>
        <v/>
      </c>
      <c r="N635" t="str">
        <f>IFERROR(INDEX(ChartOfAccounts!D:D,MATCH($B635,ChartOfAccounts!A634:A719,0)),"")</f>
        <v/>
      </c>
      <c r="O635" t="str">
        <f>IFERROR(INDEX(ChartOfAccounts!F:F,MATCH($B635,ChartOfAccounts!A634:A719,0)),"")</f>
        <v/>
      </c>
      <c r="P635" t="str" cm="1">
        <f t="array" ref="P635">IFERROR(INDEX(PreparerInfo!B634:B646,MATCH($D635&amp;$C635,PreparerInfo!A634:A646&amp;PreparerInfo!C634:C646,0)),"")</f>
        <v/>
      </c>
      <c r="Q635" t="str">
        <f>IFERROR(INDEX(Source!B634:B642,MATCH('Case 4 solution'!E635,Source!A634:A642,0)),"")</f>
        <v/>
      </c>
    </row>
    <row r="636" spans="1:17" x14ac:dyDescent="0.3">
      <c r="A636" s="3">
        <v>2033837</v>
      </c>
      <c r="B636">
        <v>11845</v>
      </c>
      <c r="C636">
        <v>1</v>
      </c>
      <c r="D636" s="9">
        <v>102</v>
      </c>
      <c r="E636">
        <v>1003</v>
      </c>
      <c r="F636" s="1">
        <v>44011</v>
      </c>
      <c r="G636" t="s">
        <v>15</v>
      </c>
      <c r="H636" s="4">
        <v>115.63</v>
      </c>
      <c r="I636" s="4" t="s">
        <v>16</v>
      </c>
      <c r="J636" s="4">
        <v>115.63</v>
      </c>
      <c r="K636" t="str">
        <f>IFERROR(INDEX(BusinessUnits!$B:$B,MATCH($C636,BusinessUnits!$A:$A,0)),"")</f>
        <v>FOOD SERVICE</v>
      </c>
      <c r="L636" t="str">
        <f>IFERROR(INDEX(Table1[[#All],[Description]],MATCH($C636,BusinessUnits!$A:$A,0)),"")</f>
        <v xml:space="preserve">Transactions related to food and beverage service. Includes all guest transactions in the hotel restaurants, catering-related transactions and food service payroll. </v>
      </c>
      <c r="M636" t="str">
        <f>IFERROR(INDEX(ChartOfAccounts!B635:B720,MATCH($B636,ChartOfAccounts!A635:A720,0)),"")</f>
        <v/>
      </c>
      <c r="N636" t="str">
        <f>IFERROR(INDEX(ChartOfAccounts!D:D,MATCH($B636,ChartOfAccounts!A635:A720,0)),"")</f>
        <v/>
      </c>
      <c r="O636" t="str">
        <f>IFERROR(INDEX(ChartOfAccounts!F:F,MATCH($B636,ChartOfAccounts!A635:A720,0)),"")</f>
        <v/>
      </c>
      <c r="P636" t="str" cm="1">
        <f t="array" ref="P636">IFERROR(INDEX(PreparerInfo!B635:B647,MATCH($D636&amp;$C636,PreparerInfo!A635:A647&amp;PreparerInfo!C635:C647,0)),"")</f>
        <v/>
      </c>
      <c r="Q636" t="str">
        <f>IFERROR(INDEX(Source!B635:B643,MATCH('Case 4 solution'!E636,Source!A635:A643,0)),"")</f>
        <v/>
      </c>
    </row>
    <row r="637" spans="1:17" x14ac:dyDescent="0.3">
      <c r="A637" s="3">
        <v>2033837</v>
      </c>
      <c r="B637">
        <v>43310</v>
      </c>
      <c r="C637">
        <v>1</v>
      </c>
      <c r="D637" s="9">
        <v>102</v>
      </c>
      <c r="E637">
        <v>1003</v>
      </c>
      <c r="F637" s="1">
        <v>44011</v>
      </c>
      <c r="G637" t="s">
        <v>15</v>
      </c>
      <c r="H637" s="4" t="s">
        <v>16</v>
      </c>
      <c r="I637" s="4">
        <v>-115.63</v>
      </c>
      <c r="J637" s="4">
        <v>-115.63</v>
      </c>
      <c r="K637" t="str">
        <f>IFERROR(INDEX(BusinessUnits!$B:$B,MATCH($C637,BusinessUnits!$A:$A,0)),"")</f>
        <v>FOOD SERVICE</v>
      </c>
      <c r="L637" t="str">
        <f>IFERROR(INDEX(Table1[[#All],[Description]],MATCH($C637,BusinessUnits!$A:$A,0)),"")</f>
        <v xml:space="preserve">Transactions related to food and beverage service. Includes all guest transactions in the hotel restaurants, catering-related transactions and food service payroll. </v>
      </c>
      <c r="M637" t="str">
        <f>IFERROR(INDEX(ChartOfAccounts!B636:B721,MATCH($B637,ChartOfAccounts!A636:A721,0)),"")</f>
        <v/>
      </c>
      <c r="N637" t="str">
        <f>IFERROR(INDEX(ChartOfAccounts!D:D,MATCH($B637,ChartOfAccounts!A636:A721,0)),"")</f>
        <v/>
      </c>
      <c r="O637" t="str">
        <f>IFERROR(INDEX(ChartOfAccounts!F:F,MATCH($B637,ChartOfAccounts!A636:A721,0)),"")</f>
        <v/>
      </c>
      <c r="P637" t="str" cm="1">
        <f t="array" ref="P637">IFERROR(INDEX(PreparerInfo!B636:B648,MATCH($D637&amp;$C637,PreparerInfo!A636:A648&amp;PreparerInfo!C636:C648,0)),"")</f>
        <v/>
      </c>
      <c r="Q637" t="str">
        <f>IFERROR(INDEX(Source!B636:B644,MATCH('Case 4 solution'!E637,Source!A636:A644,0)),"")</f>
        <v/>
      </c>
    </row>
    <row r="638" spans="1:17" x14ac:dyDescent="0.3">
      <c r="A638" s="3">
        <v>2033838</v>
      </c>
      <c r="B638">
        <v>11845</v>
      </c>
      <c r="C638">
        <v>3</v>
      </c>
      <c r="D638" s="9">
        <v>102</v>
      </c>
      <c r="E638">
        <v>1003</v>
      </c>
      <c r="F638" s="1">
        <v>44011</v>
      </c>
      <c r="G638" t="s">
        <v>15</v>
      </c>
      <c r="H638" s="4">
        <v>154.6</v>
      </c>
      <c r="I638" s="4" t="s">
        <v>16</v>
      </c>
      <c r="J638" s="4">
        <v>154.6</v>
      </c>
      <c r="K638" t="str">
        <f>IFERROR(INDEX(BusinessUnits!$B:$B,MATCH($C638,BusinessUnits!$A:$A,0)),"")</f>
        <v>HOTEL PANTRY</v>
      </c>
      <c r="L638" t="str">
        <f>IFERROR(INDEX(Table1[[#All],[Description]],MATCH($C638,BusinessUnits!$A:$A,0)),"")</f>
        <v>Transactions related to the hotel convenience store, including some food and beverage costs.</v>
      </c>
      <c r="M638" t="str">
        <f>IFERROR(INDEX(ChartOfAccounts!B637:B722,MATCH($B638,ChartOfAccounts!A637:A722,0)),"")</f>
        <v/>
      </c>
      <c r="N638" t="str">
        <f>IFERROR(INDEX(ChartOfAccounts!D:D,MATCH($B638,ChartOfAccounts!A637:A722,0)),"")</f>
        <v/>
      </c>
      <c r="O638" t="str">
        <f>IFERROR(INDEX(ChartOfAccounts!F:F,MATCH($B638,ChartOfAccounts!A637:A722,0)),"")</f>
        <v/>
      </c>
      <c r="P638" t="str" cm="1">
        <f t="array" ref="P638">IFERROR(INDEX(PreparerInfo!B637:B649,MATCH($D638&amp;$C638,PreparerInfo!A637:A649&amp;PreparerInfo!C637:C649,0)),"")</f>
        <v/>
      </c>
      <c r="Q638" t="str">
        <f>IFERROR(INDEX(Source!B637:B645,MATCH('Case 4 solution'!E638,Source!A637:A645,0)),"")</f>
        <v/>
      </c>
    </row>
    <row r="639" spans="1:17" x14ac:dyDescent="0.3">
      <c r="A639" s="3">
        <v>2033838</v>
      </c>
      <c r="B639">
        <v>43440</v>
      </c>
      <c r="C639">
        <v>3</v>
      </c>
      <c r="D639" s="9">
        <v>102</v>
      </c>
      <c r="E639">
        <v>1003</v>
      </c>
      <c r="F639" s="1">
        <v>44011</v>
      </c>
      <c r="G639" t="s">
        <v>15</v>
      </c>
      <c r="H639" s="4" t="s">
        <v>16</v>
      </c>
      <c r="I639" s="4">
        <v>-154.6</v>
      </c>
      <c r="J639" s="4">
        <v>-154.6</v>
      </c>
      <c r="K639" t="str">
        <f>IFERROR(INDEX(BusinessUnits!$B:$B,MATCH($C639,BusinessUnits!$A:$A,0)),"")</f>
        <v>HOTEL PANTRY</v>
      </c>
      <c r="L639" t="str">
        <f>IFERROR(INDEX(Table1[[#All],[Description]],MATCH($C639,BusinessUnits!$A:$A,0)),"")</f>
        <v>Transactions related to the hotel convenience store, including some food and beverage costs.</v>
      </c>
      <c r="M639" t="str">
        <f>IFERROR(INDEX(ChartOfAccounts!B638:B723,MATCH($B639,ChartOfAccounts!A638:A723,0)),"")</f>
        <v/>
      </c>
      <c r="N639" t="str">
        <f>IFERROR(INDEX(ChartOfAccounts!D:D,MATCH($B639,ChartOfAccounts!A638:A723,0)),"")</f>
        <v/>
      </c>
      <c r="O639" t="str">
        <f>IFERROR(INDEX(ChartOfAccounts!F:F,MATCH($B639,ChartOfAccounts!A638:A723,0)),"")</f>
        <v/>
      </c>
      <c r="P639" t="str" cm="1">
        <f t="array" ref="P639">IFERROR(INDEX(PreparerInfo!B638:B650,MATCH($D639&amp;$C639,PreparerInfo!A638:A650&amp;PreparerInfo!C638:C650,0)),"")</f>
        <v/>
      </c>
      <c r="Q639" t="str">
        <f>IFERROR(INDEX(Source!B638:B646,MATCH('Case 4 solution'!E639,Source!A638:A646,0)),"")</f>
        <v/>
      </c>
    </row>
    <row r="640" spans="1:17" x14ac:dyDescent="0.3">
      <c r="A640" s="3">
        <v>2033839</v>
      </c>
      <c r="B640">
        <v>71900</v>
      </c>
      <c r="C640">
        <v>1</v>
      </c>
      <c r="D640" s="9">
        <v>102</v>
      </c>
      <c r="E640">
        <v>1002</v>
      </c>
      <c r="F640" s="1">
        <v>44011</v>
      </c>
      <c r="G640" t="s">
        <v>36</v>
      </c>
      <c r="H640" s="4">
        <v>258.10000000000002</v>
      </c>
      <c r="I640" s="4" t="s">
        <v>16</v>
      </c>
      <c r="J640" s="4">
        <v>258.10000000000002</v>
      </c>
      <c r="K640" t="str">
        <f>IFERROR(INDEX(BusinessUnits!$B:$B,MATCH($C640,BusinessUnits!$A:$A,0)),"")</f>
        <v>FOOD SERVICE</v>
      </c>
      <c r="L640" t="str">
        <f>IFERROR(INDEX(Table1[[#All],[Description]],MATCH($C640,BusinessUnits!$A:$A,0)),"")</f>
        <v xml:space="preserve">Transactions related to food and beverage service. Includes all guest transactions in the hotel restaurants, catering-related transactions and food service payroll. </v>
      </c>
      <c r="M640" t="str">
        <f>IFERROR(INDEX(ChartOfAccounts!B639:B724,MATCH($B640,ChartOfAccounts!A639:A724,0)),"")</f>
        <v/>
      </c>
      <c r="N640" t="str">
        <f>IFERROR(INDEX(ChartOfAccounts!D:D,MATCH($B640,ChartOfAccounts!A639:A724,0)),"")</f>
        <v/>
      </c>
      <c r="O640" t="str">
        <f>IFERROR(INDEX(ChartOfAccounts!F:F,MATCH($B640,ChartOfAccounts!A639:A724,0)),"")</f>
        <v/>
      </c>
      <c r="P640" t="str" cm="1">
        <f t="array" ref="P640">IFERROR(INDEX(PreparerInfo!B639:B651,MATCH($D640&amp;$C640,PreparerInfo!A639:A651&amp;PreparerInfo!C639:C651,0)),"")</f>
        <v/>
      </c>
      <c r="Q640" t="str">
        <f>IFERROR(INDEX(Source!B639:B647,MATCH('Case 4 solution'!E640,Source!A639:A647,0)),"")</f>
        <v/>
      </c>
    </row>
    <row r="641" spans="1:17" x14ac:dyDescent="0.3">
      <c r="A641" s="3">
        <v>2033839</v>
      </c>
      <c r="B641">
        <v>11845</v>
      </c>
      <c r="C641">
        <v>1</v>
      </c>
      <c r="D641" s="9">
        <v>102</v>
      </c>
      <c r="E641">
        <v>1002</v>
      </c>
      <c r="F641" s="1">
        <v>44011</v>
      </c>
      <c r="G641" t="s">
        <v>36</v>
      </c>
      <c r="H641" s="4" t="s">
        <v>16</v>
      </c>
      <c r="I641" s="4">
        <v>-258.10000000000002</v>
      </c>
      <c r="J641" s="4">
        <v>-258.10000000000002</v>
      </c>
      <c r="K641" t="str">
        <f>IFERROR(INDEX(BusinessUnits!$B:$B,MATCH($C641,BusinessUnits!$A:$A,0)),"")</f>
        <v>FOOD SERVICE</v>
      </c>
      <c r="L641" t="str">
        <f>IFERROR(INDEX(Table1[[#All],[Description]],MATCH($C641,BusinessUnits!$A:$A,0)),"")</f>
        <v xml:space="preserve">Transactions related to food and beverage service. Includes all guest transactions in the hotel restaurants, catering-related transactions and food service payroll. </v>
      </c>
      <c r="M641" t="str">
        <f>IFERROR(INDEX(ChartOfAccounts!B640:B725,MATCH($B641,ChartOfAccounts!A640:A725,0)),"")</f>
        <v/>
      </c>
      <c r="N641" t="str">
        <f>IFERROR(INDEX(ChartOfAccounts!D:D,MATCH($B641,ChartOfAccounts!A640:A725,0)),"")</f>
        <v/>
      </c>
      <c r="O641" t="str">
        <f>IFERROR(INDEX(ChartOfAccounts!F:F,MATCH($B641,ChartOfAccounts!A640:A725,0)),"")</f>
        <v/>
      </c>
      <c r="P641" t="str" cm="1">
        <f t="array" ref="P641">IFERROR(INDEX(PreparerInfo!B640:B652,MATCH($D641&amp;$C641,PreparerInfo!A640:A652&amp;PreparerInfo!C640:C652,0)),"")</f>
        <v/>
      </c>
      <c r="Q641" t="str">
        <f>IFERROR(INDEX(Source!B640:B648,MATCH('Case 4 solution'!E641,Source!A640:A648,0)),"")</f>
        <v/>
      </c>
    </row>
    <row r="642" spans="1:17" x14ac:dyDescent="0.3">
      <c r="A642" s="3">
        <v>2033840</v>
      </c>
      <c r="B642">
        <v>11845</v>
      </c>
      <c r="C642">
        <v>2</v>
      </c>
      <c r="D642" s="9">
        <v>104</v>
      </c>
      <c r="E642">
        <v>1003</v>
      </c>
      <c r="F642" s="1">
        <v>44011</v>
      </c>
      <c r="G642" t="s">
        <v>41</v>
      </c>
      <c r="H642" s="4">
        <v>500</v>
      </c>
      <c r="I642" s="4" t="s">
        <v>16</v>
      </c>
      <c r="J642" s="4">
        <v>500</v>
      </c>
      <c r="K642" t="str">
        <f>IFERROR(INDEX(BusinessUnits!$B:$B,MATCH($C642,BusinessUnits!$A:$A,0)),"")</f>
        <v>HOTEL</v>
      </c>
      <c r="L642" t="str">
        <f>IFERROR(INDEX(Table1[[#All],[Description]],MATCH($C642,BusinessUnits!$A:$A,0)),"")</f>
        <v xml:space="preserve">Transactions related to guest rooms and overall hotel operations. Includes payroll for administrative staff, clerks and interns. </v>
      </c>
      <c r="M642" t="str">
        <f>IFERROR(INDEX(ChartOfAccounts!B641:B726,MATCH($B642,ChartOfAccounts!A641:A726,0)),"")</f>
        <v/>
      </c>
      <c r="N642" t="str">
        <f>IFERROR(INDEX(ChartOfAccounts!D:D,MATCH($B642,ChartOfAccounts!A641:A726,0)),"")</f>
        <v/>
      </c>
      <c r="O642" t="str">
        <f>IFERROR(INDEX(ChartOfAccounts!F:F,MATCH($B642,ChartOfAccounts!A641:A726,0)),"")</f>
        <v/>
      </c>
      <c r="P642" t="str" cm="1">
        <f t="array" ref="P642">IFERROR(INDEX(PreparerInfo!B641:B653,MATCH($D642&amp;$C642,PreparerInfo!A641:A653&amp;PreparerInfo!C641:C653,0)),"")</f>
        <v/>
      </c>
      <c r="Q642" t="str">
        <f>IFERROR(INDEX(Source!B641:B649,MATCH('Case 4 solution'!E642,Source!A641:A649,0)),"")</f>
        <v/>
      </c>
    </row>
    <row r="643" spans="1:17" x14ac:dyDescent="0.3">
      <c r="A643" s="3">
        <v>2033840</v>
      </c>
      <c r="B643">
        <v>43770</v>
      </c>
      <c r="C643">
        <v>2</v>
      </c>
      <c r="D643" s="9">
        <v>104</v>
      </c>
      <c r="E643">
        <v>1003</v>
      </c>
      <c r="F643" s="1">
        <v>44011</v>
      </c>
      <c r="G643" t="s">
        <v>41</v>
      </c>
      <c r="H643" s="4" t="s">
        <v>16</v>
      </c>
      <c r="I643" s="4">
        <v>-500</v>
      </c>
      <c r="J643" s="4">
        <v>-500</v>
      </c>
      <c r="K643" t="str">
        <f>IFERROR(INDEX(BusinessUnits!$B:$B,MATCH($C643,BusinessUnits!$A:$A,0)),"")</f>
        <v>HOTEL</v>
      </c>
      <c r="L643" t="str">
        <f>IFERROR(INDEX(Table1[[#All],[Description]],MATCH($C643,BusinessUnits!$A:$A,0)),"")</f>
        <v xml:space="preserve">Transactions related to guest rooms and overall hotel operations. Includes payroll for administrative staff, clerks and interns. </v>
      </c>
      <c r="M643" t="str">
        <f>IFERROR(INDEX(ChartOfAccounts!B642:B727,MATCH($B643,ChartOfAccounts!A642:A727,0)),"")</f>
        <v/>
      </c>
      <c r="N643" t="str">
        <f>IFERROR(INDEX(ChartOfAccounts!D:D,MATCH($B643,ChartOfAccounts!A642:A727,0)),"")</f>
        <v/>
      </c>
      <c r="O643" t="str">
        <f>IFERROR(INDEX(ChartOfAccounts!F:F,MATCH($B643,ChartOfAccounts!A642:A727,0)),"")</f>
        <v/>
      </c>
      <c r="P643" t="str" cm="1">
        <f t="array" ref="P643">IFERROR(INDEX(PreparerInfo!B642:B654,MATCH($D643&amp;$C643,PreparerInfo!A642:A654&amp;PreparerInfo!C642:C654,0)),"")</f>
        <v/>
      </c>
      <c r="Q643" t="str">
        <f>IFERROR(INDEX(Source!B642:B650,MATCH('Case 4 solution'!E643,Source!A642:A650,0)),"")</f>
        <v/>
      </c>
    </row>
    <row r="644" spans="1:17" x14ac:dyDescent="0.3">
      <c r="A644" s="3">
        <v>2033841</v>
      </c>
      <c r="B644">
        <v>71400</v>
      </c>
      <c r="C644">
        <v>4</v>
      </c>
      <c r="D644" s="9">
        <v>101</v>
      </c>
      <c r="E644">
        <v>1002</v>
      </c>
      <c r="F644" s="1">
        <v>44011</v>
      </c>
      <c r="G644" t="s">
        <v>199</v>
      </c>
      <c r="H644" s="4">
        <v>649.5</v>
      </c>
      <c r="I644" s="4" t="s">
        <v>16</v>
      </c>
      <c r="J644" s="4">
        <v>649.5</v>
      </c>
      <c r="K644" t="str">
        <f>IFERROR(INDEX(BusinessUnits!$B:$B,MATCH($C644,BusinessUnits!$A:$A,0)),"")</f>
        <v>HOUSEKEEPING</v>
      </c>
      <c r="L644" t="str">
        <f>IFERROR(INDEX(Table1[[#All],[Description]],MATCH($C644,BusinessUnits!$A:$A,0)),"")</f>
        <v xml:space="preserve">Transactions related to the Housekeeping Department. Primarily includes payroll for housekeepers and housekeeping supplies. </v>
      </c>
      <c r="M644" t="str">
        <f>IFERROR(INDEX(ChartOfAccounts!B643:B728,MATCH($B644,ChartOfAccounts!A643:A728,0)),"")</f>
        <v/>
      </c>
      <c r="N644" t="str">
        <f>IFERROR(INDEX(ChartOfAccounts!D:D,MATCH($B644,ChartOfAccounts!A643:A728,0)),"")</f>
        <v/>
      </c>
      <c r="O644" t="str">
        <f>IFERROR(INDEX(ChartOfAccounts!F:F,MATCH($B644,ChartOfAccounts!A643:A728,0)),"")</f>
        <v/>
      </c>
      <c r="P644" t="str" cm="1">
        <f t="array" ref="P644">IFERROR(INDEX(PreparerInfo!B643:B655,MATCH($D644&amp;$C644,PreparerInfo!A643:A655&amp;PreparerInfo!C643:C655,0)),"")</f>
        <v/>
      </c>
      <c r="Q644" t="str">
        <f>IFERROR(INDEX(Source!B643:B651,MATCH('Case 4 solution'!E644,Source!A643:A651,0)),"")</f>
        <v/>
      </c>
    </row>
    <row r="645" spans="1:17" x14ac:dyDescent="0.3">
      <c r="A645" s="3">
        <v>2033841</v>
      </c>
      <c r="B645">
        <v>11845</v>
      </c>
      <c r="C645">
        <v>4</v>
      </c>
      <c r="D645" s="9">
        <v>101</v>
      </c>
      <c r="E645">
        <v>1002</v>
      </c>
      <c r="F645" s="1">
        <v>44011</v>
      </c>
      <c r="G645" t="s">
        <v>199</v>
      </c>
      <c r="H645" s="4" t="s">
        <v>16</v>
      </c>
      <c r="I645" s="4">
        <v>-649.5</v>
      </c>
      <c r="J645" s="4">
        <v>-649.5</v>
      </c>
      <c r="K645" t="str">
        <f>IFERROR(INDEX(BusinessUnits!$B:$B,MATCH($C645,BusinessUnits!$A:$A,0)),"")</f>
        <v>HOUSEKEEPING</v>
      </c>
      <c r="L645" t="str">
        <f>IFERROR(INDEX(Table1[[#All],[Description]],MATCH($C645,BusinessUnits!$A:$A,0)),"")</f>
        <v xml:space="preserve">Transactions related to the Housekeeping Department. Primarily includes payroll for housekeepers and housekeeping supplies. </v>
      </c>
      <c r="M645" t="str">
        <f>IFERROR(INDEX(ChartOfAccounts!B644:B729,MATCH($B645,ChartOfAccounts!A644:A729,0)),"")</f>
        <v/>
      </c>
      <c r="N645" t="str">
        <f>IFERROR(INDEX(ChartOfAccounts!D:D,MATCH($B645,ChartOfAccounts!A644:A729,0)),"")</f>
        <v/>
      </c>
      <c r="O645" t="str">
        <f>IFERROR(INDEX(ChartOfAccounts!F:F,MATCH($B645,ChartOfAccounts!A644:A729,0)),"")</f>
        <v/>
      </c>
      <c r="P645" t="str" cm="1">
        <f t="array" ref="P645">IFERROR(INDEX(PreparerInfo!B644:B656,MATCH($D645&amp;$C645,PreparerInfo!A644:A656&amp;PreparerInfo!C644:C656,0)),"")</f>
        <v/>
      </c>
      <c r="Q645" t="str">
        <f>IFERROR(INDEX(Source!B644:B652,MATCH('Case 4 solution'!E645,Source!A644:A652,0)),"")</f>
        <v/>
      </c>
    </row>
    <row r="646" spans="1:17" x14ac:dyDescent="0.3">
      <c r="A646" s="3">
        <v>2033842</v>
      </c>
      <c r="B646">
        <v>11845</v>
      </c>
      <c r="C646">
        <v>1</v>
      </c>
      <c r="D646" s="9">
        <v>102</v>
      </c>
      <c r="E646">
        <v>1001</v>
      </c>
      <c r="F646" s="1">
        <v>44011</v>
      </c>
      <c r="G646" t="s">
        <v>41</v>
      </c>
      <c r="H646" s="4">
        <v>738.07</v>
      </c>
      <c r="I646" s="4" t="s">
        <v>16</v>
      </c>
      <c r="J646" s="4">
        <v>738.07</v>
      </c>
      <c r="K646" t="str">
        <f>IFERROR(INDEX(BusinessUnits!$B:$B,MATCH($C646,BusinessUnits!$A:$A,0)),"")</f>
        <v>FOOD SERVICE</v>
      </c>
      <c r="L646" t="str">
        <f>IFERROR(INDEX(Table1[[#All],[Description]],MATCH($C646,BusinessUnits!$A:$A,0)),"")</f>
        <v xml:space="preserve">Transactions related to food and beverage service. Includes all guest transactions in the hotel restaurants, catering-related transactions and food service payroll. </v>
      </c>
      <c r="M646" t="str">
        <f>IFERROR(INDEX(ChartOfAccounts!B645:B730,MATCH($B646,ChartOfAccounts!A645:A730,0)),"")</f>
        <v/>
      </c>
      <c r="N646" t="str">
        <f>IFERROR(INDEX(ChartOfAccounts!D:D,MATCH($B646,ChartOfAccounts!A645:A730,0)),"")</f>
        <v/>
      </c>
      <c r="O646" t="str">
        <f>IFERROR(INDEX(ChartOfAccounts!F:F,MATCH($B646,ChartOfAccounts!A645:A730,0)),"")</f>
        <v/>
      </c>
      <c r="P646" t="str" cm="1">
        <f t="array" ref="P646">IFERROR(INDEX(PreparerInfo!B645:B657,MATCH($D646&amp;$C646,PreparerInfo!A645:A657&amp;PreparerInfo!C645:C657,0)),"")</f>
        <v/>
      </c>
      <c r="Q646" t="str">
        <f>IFERROR(INDEX(Source!B645:B653,MATCH('Case 4 solution'!E646,Source!A645:A653,0)),"")</f>
        <v/>
      </c>
    </row>
    <row r="647" spans="1:17" x14ac:dyDescent="0.3">
      <c r="A647" s="3">
        <v>2033842</v>
      </c>
      <c r="B647">
        <v>43310</v>
      </c>
      <c r="C647">
        <v>1</v>
      </c>
      <c r="D647" s="9">
        <v>102</v>
      </c>
      <c r="E647">
        <v>1001</v>
      </c>
      <c r="F647" s="1">
        <v>44011</v>
      </c>
      <c r="G647" t="s">
        <v>41</v>
      </c>
      <c r="H647" s="4" t="s">
        <v>16</v>
      </c>
      <c r="I647" s="4">
        <v>-738.07</v>
      </c>
      <c r="J647" s="4">
        <v>-738.07</v>
      </c>
      <c r="K647" t="str">
        <f>IFERROR(INDEX(BusinessUnits!$B:$B,MATCH($C647,BusinessUnits!$A:$A,0)),"")</f>
        <v>FOOD SERVICE</v>
      </c>
      <c r="L647" t="str">
        <f>IFERROR(INDEX(Table1[[#All],[Description]],MATCH($C647,BusinessUnits!$A:$A,0)),"")</f>
        <v xml:space="preserve">Transactions related to food and beverage service. Includes all guest transactions in the hotel restaurants, catering-related transactions and food service payroll. </v>
      </c>
      <c r="M647" t="str">
        <f>IFERROR(INDEX(ChartOfAccounts!B646:B731,MATCH($B647,ChartOfAccounts!A646:A731,0)),"")</f>
        <v/>
      </c>
      <c r="N647" t="str">
        <f>IFERROR(INDEX(ChartOfAccounts!D:D,MATCH($B647,ChartOfAccounts!A646:A731,0)),"")</f>
        <v/>
      </c>
      <c r="O647" t="str">
        <f>IFERROR(INDEX(ChartOfAccounts!F:F,MATCH($B647,ChartOfAccounts!A646:A731,0)),"")</f>
        <v/>
      </c>
      <c r="P647" t="str" cm="1">
        <f t="array" ref="P647">IFERROR(INDEX(PreparerInfo!B646:B658,MATCH($D647&amp;$C647,PreparerInfo!A646:A658&amp;PreparerInfo!C646:C658,0)),"")</f>
        <v/>
      </c>
      <c r="Q647" t="str">
        <f>IFERROR(INDEX(Source!B646:B654,MATCH('Case 4 solution'!E647,Source!A646:A654,0)),"")</f>
        <v/>
      </c>
    </row>
    <row r="648" spans="1:17" x14ac:dyDescent="0.3">
      <c r="A648" s="3">
        <v>2033843</v>
      </c>
      <c r="B648">
        <v>74201</v>
      </c>
      <c r="C648">
        <v>2</v>
      </c>
      <c r="D648" s="9">
        <v>101</v>
      </c>
      <c r="E648">
        <v>1002</v>
      </c>
      <c r="F648" s="1">
        <v>44011</v>
      </c>
      <c r="G648" t="s">
        <v>168</v>
      </c>
      <c r="H648" s="4">
        <v>1500</v>
      </c>
      <c r="I648" s="4" t="s">
        <v>16</v>
      </c>
      <c r="J648" s="4">
        <v>1500</v>
      </c>
      <c r="K648" t="str">
        <f>IFERROR(INDEX(BusinessUnits!$B:$B,MATCH($C648,BusinessUnits!$A:$A,0)),"")</f>
        <v>HOTEL</v>
      </c>
      <c r="L648" t="str">
        <f>IFERROR(INDEX(Table1[[#All],[Description]],MATCH($C648,BusinessUnits!$A:$A,0)),"")</f>
        <v xml:space="preserve">Transactions related to guest rooms and overall hotel operations. Includes payroll for administrative staff, clerks and interns. </v>
      </c>
      <c r="M648" t="str">
        <f>IFERROR(INDEX(ChartOfAccounts!B647:B732,MATCH($B648,ChartOfAccounts!A647:A732,0)),"")</f>
        <v/>
      </c>
      <c r="N648" t="str">
        <f>IFERROR(INDEX(ChartOfAccounts!D:D,MATCH($B648,ChartOfAccounts!A647:A732,0)),"")</f>
        <v/>
      </c>
      <c r="O648" t="str">
        <f>IFERROR(INDEX(ChartOfAccounts!F:F,MATCH($B648,ChartOfAccounts!A647:A732,0)),"")</f>
        <v/>
      </c>
      <c r="P648" t="str" cm="1">
        <f t="array" ref="P648">IFERROR(INDEX(PreparerInfo!B647:B659,MATCH($D648&amp;$C648,PreparerInfo!A647:A659&amp;PreparerInfo!C647:C659,0)),"")</f>
        <v/>
      </c>
      <c r="Q648" t="str">
        <f>IFERROR(INDEX(Source!B647:B655,MATCH('Case 4 solution'!E648,Source!A647:A655,0)),"")</f>
        <v/>
      </c>
    </row>
    <row r="649" spans="1:17" x14ac:dyDescent="0.3">
      <c r="A649" s="3">
        <v>2033843</v>
      </c>
      <c r="B649">
        <v>11845</v>
      </c>
      <c r="C649">
        <v>2</v>
      </c>
      <c r="D649" s="9">
        <v>101</v>
      </c>
      <c r="E649">
        <v>1002</v>
      </c>
      <c r="F649" s="1">
        <v>44011</v>
      </c>
      <c r="G649" t="s">
        <v>168</v>
      </c>
      <c r="H649" s="4" t="s">
        <v>16</v>
      </c>
      <c r="I649" s="4">
        <v>-1500</v>
      </c>
      <c r="J649" s="4">
        <v>-1500</v>
      </c>
      <c r="K649" t="str">
        <f>IFERROR(INDEX(BusinessUnits!$B:$B,MATCH($C649,BusinessUnits!$A:$A,0)),"")</f>
        <v>HOTEL</v>
      </c>
      <c r="L649" t="str">
        <f>IFERROR(INDEX(Table1[[#All],[Description]],MATCH($C649,BusinessUnits!$A:$A,0)),"")</f>
        <v xml:space="preserve">Transactions related to guest rooms and overall hotel operations. Includes payroll for administrative staff, clerks and interns. </v>
      </c>
      <c r="M649" t="str">
        <f>IFERROR(INDEX(ChartOfAccounts!B648:B733,MATCH($B649,ChartOfAccounts!A648:A733,0)),"")</f>
        <v/>
      </c>
      <c r="N649" t="str">
        <f>IFERROR(INDEX(ChartOfAccounts!D:D,MATCH($B649,ChartOfAccounts!A648:A733,0)),"")</f>
        <v/>
      </c>
      <c r="O649" t="str">
        <f>IFERROR(INDEX(ChartOfAccounts!F:F,MATCH($B649,ChartOfAccounts!A648:A733,0)),"")</f>
        <v/>
      </c>
      <c r="P649" t="str" cm="1">
        <f t="array" ref="P649">IFERROR(INDEX(PreparerInfo!B648:B660,MATCH($D649&amp;$C649,PreparerInfo!A648:A660&amp;PreparerInfo!C648:C660,0)),"")</f>
        <v/>
      </c>
      <c r="Q649" t="str">
        <f>IFERROR(INDEX(Source!B648:B656,MATCH('Case 4 solution'!E649,Source!A648:A656,0)),"")</f>
        <v/>
      </c>
    </row>
    <row r="650" spans="1:17" x14ac:dyDescent="0.3">
      <c r="A650" s="3">
        <v>2033844</v>
      </c>
      <c r="B650">
        <v>11845</v>
      </c>
      <c r="C650">
        <v>1</v>
      </c>
      <c r="D650" s="9">
        <v>102</v>
      </c>
      <c r="E650">
        <v>1003</v>
      </c>
      <c r="F650" s="1">
        <v>44011</v>
      </c>
      <c r="G650" t="s">
        <v>15</v>
      </c>
      <c r="H650" s="4">
        <v>1656.7</v>
      </c>
      <c r="I650" s="4" t="s">
        <v>16</v>
      </c>
      <c r="J650" s="4">
        <v>1656.7</v>
      </c>
      <c r="K650" t="str">
        <f>IFERROR(INDEX(BusinessUnits!$B:$B,MATCH($C650,BusinessUnits!$A:$A,0)),"")</f>
        <v>FOOD SERVICE</v>
      </c>
      <c r="L650" t="str">
        <f>IFERROR(INDEX(Table1[[#All],[Description]],MATCH($C650,BusinessUnits!$A:$A,0)),"")</f>
        <v xml:space="preserve">Transactions related to food and beverage service. Includes all guest transactions in the hotel restaurants, catering-related transactions and food service payroll. </v>
      </c>
      <c r="M650" t="str">
        <f>IFERROR(INDEX(ChartOfAccounts!B649:B734,MATCH($B650,ChartOfAccounts!A649:A734,0)),"")</f>
        <v/>
      </c>
      <c r="N650" t="str">
        <f>IFERROR(INDEX(ChartOfAccounts!D:D,MATCH($B650,ChartOfAccounts!A649:A734,0)),"")</f>
        <v/>
      </c>
      <c r="O650" t="str">
        <f>IFERROR(INDEX(ChartOfAccounts!F:F,MATCH($B650,ChartOfAccounts!A649:A734,0)),"")</f>
        <v/>
      </c>
      <c r="P650" t="str" cm="1">
        <f t="array" ref="P650">IFERROR(INDEX(PreparerInfo!B649:B661,MATCH($D650&amp;$C650,PreparerInfo!A649:A661&amp;PreparerInfo!C649:C661,0)),"")</f>
        <v/>
      </c>
      <c r="Q650" t="str">
        <f>IFERROR(INDEX(Source!B649:B657,MATCH('Case 4 solution'!E650,Source!A649:A657,0)),"")</f>
        <v/>
      </c>
    </row>
    <row r="651" spans="1:17" x14ac:dyDescent="0.3">
      <c r="A651" s="3">
        <v>2033844</v>
      </c>
      <c r="B651">
        <v>43310</v>
      </c>
      <c r="C651">
        <v>1</v>
      </c>
      <c r="D651" s="9">
        <v>102</v>
      </c>
      <c r="E651">
        <v>1003</v>
      </c>
      <c r="F651" s="1">
        <v>44011</v>
      </c>
      <c r="G651" t="s">
        <v>15</v>
      </c>
      <c r="H651" s="4" t="s">
        <v>16</v>
      </c>
      <c r="I651" s="4">
        <v>-1656.7</v>
      </c>
      <c r="J651" s="4">
        <v>-1656.7</v>
      </c>
      <c r="K651" t="str">
        <f>IFERROR(INDEX(BusinessUnits!$B:$B,MATCH($C651,BusinessUnits!$A:$A,0)),"")</f>
        <v>FOOD SERVICE</v>
      </c>
      <c r="L651" t="str">
        <f>IFERROR(INDEX(Table1[[#All],[Description]],MATCH($C651,BusinessUnits!$A:$A,0)),"")</f>
        <v xml:space="preserve">Transactions related to food and beverage service. Includes all guest transactions in the hotel restaurants, catering-related transactions and food service payroll. </v>
      </c>
      <c r="M651" t="str">
        <f>IFERROR(INDEX(ChartOfAccounts!B650:B735,MATCH($B651,ChartOfAccounts!A650:A735,0)),"")</f>
        <v/>
      </c>
      <c r="N651" t="str">
        <f>IFERROR(INDEX(ChartOfAccounts!D:D,MATCH($B651,ChartOfAccounts!A650:A735,0)),"")</f>
        <v/>
      </c>
      <c r="O651" t="str">
        <f>IFERROR(INDEX(ChartOfAccounts!F:F,MATCH($B651,ChartOfAccounts!A650:A735,0)),"")</f>
        <v/>
      </c>
      <c r="P651" t="str" cm="1">
        <f t="array" ref="P651">IFERROR(INDEX(PreparerInfo!B650:B662,MATCH($D651&amp;$C651,PreparerInfo!A650:A662&amp;PreparerInfo!C650:C662,0)),"")</f>
        <v/>
      </c>
      <c r="Q651" t="str">
        <f>IFERROR(INDEX(Source!B650:B658,MATCH('Case 4 solution'!E651,Source!A650:A658,0)),"")</f>
        <v/>
      </c>
    </row>
    <row r="652" spans="1:17" x14ac:dyDescent="0.3">
      <c r="A652" s="3">
        <v>2033845</v>
      </c>
      <c r="B652">
        <v>11845</v>
      </c>
      <c r="C652">
        <v>1</v>
      </c>
      <c r="D652" s="9">
        <v>102</v>
      </c>
      <c r="E652">
        <v>1003</v>
      </c>
      <c r="F652" s="1">
        <v>44011</v>
      </c>
      <c r="G652" t="s">
        <v>15</v>
      </c>
      <c r="H652" s="4">
        <v>2055.8200000000002</v>
      </c>
      <c r="I652" s="4" t="s">
        <v>16</v>
      </c>
      <c r="J652" s="4">
        <v>2055.8200000000002</v>
      </c>
      <c r="K652" t="str">
        <f>IFERROR(INDEX(BusinessUnits!$B:$B,MATCH($C652,BusinessUnits!$A:$A,0)),"")</f>
        <v>FOOD SERVICE</v>
      </c>
      <c r="L652" t="str">
        <f>IFERROR(INDEX(Table1[[#All],[Description]],MATCH($C652,BusinessUnits!$A:$A,0)),"")</f>
        <v xml:space="preserve">Transactions related to food and beverage service. Includes all guest transactions in the hotel restaurants, catering-related transactions and food service payroll. </v>
      </c>
      <c r="M652" t="str">
        <f>IFERROR(INDEX(ChartOfAccounts!B651:B736,MATCH($B652,ChartOfAccounts!A651:A736,0)),"")</f>
        <v/>
      </c>
      <c r="N652" t="str">
        <f>IFERROR(INDEX(ChartOfAccounts!D:D,MATCH($B652,ChartOfAccounts!A651:A736,0)),"")</f>
        <v/>
      </c>
      <c r="O652" t="str">
        <f>IFERROR(INDEX(ChartOfAccounts!F:F,MATCH($B652,ChartOfAccounts!A651:A736,0)),"")</f>
        <v/>
      </c>
      <c r="P652" t="str" cm="1">
        <f t="array" ref="P652">IFERROR(INDEX(PreparerInfo!B651:B663,MATCH($D652&amp;$C652,PreparerInfo!A651:A663&amp;PreparerInfo!C651:C663,0)),"")</f>
        <v/>
      </c>
      <c r="Q652" t="str">
        <f>IFERROR(INDEX(Source!B651:B659,MATCH('Case 4 solution'!E652,Source!A651:A659,0)),"")</f>
        <v/>
      </c>
    </row>
    <row r="653" spans="1:17" x14ac:dyDescent="0.3">
      <c r="A653" s="3">
        <v>2033845</v>
      </c>
      <c r="B653">
        <v>43310</v>
      </c>
      <c r="C653">
        <v>1</v>
      </c>
      <c r="D653" s="9">
        <v>102</v>
      </c>
      <c r="E653">
        <v>1003</v>
      </c>
      <c r="F653" s="1">
        <v>44011</v>
      </c>
      <c r="G653" t="s">
        <v>15</v>
      </c>
      <c r="H653" s="4" t="s">
        <v>16</v>
      </c>
      <c r="I653" s="4">
        <v>-2055.8200000000002</v>
      </c>
      <c r="J653" s="4">
        <v>-2055.8200000000002</v>
      </c>
      <c r="K653" t="str">
        <f>IFERROR(INDEX(BusinessUnits!$B:$B,MATCH($C653,BusinessUnits!$A:$A,0)),"")</f>
        <v>FOOD SERVICE</v>
      </c>
      <c r="L653" t="str">
        <f>IFERROR(INDEX(Table1[[#All],[Description]],MATCH($C653,BusinessUnits!$A:$A,0)),"")</f>
        <v xml:space="preserve">Transactions related to food and beverage service. Includes all guest transactions in the hotel restaurants, catering-related transactions and food service payroll. </v>
      </c>
      <c r="M653" t="str">
        <f>IFERROR(INDEX(ChartOfAccounts!B652:B737,MATCH($B653,ChartOfAccounts!A652:A737,0)),"")</f>
        <v/>
      </c>
      <c r="N653" t="str">
        <f>IFERROR(INDEX(ChartOfAccounts!D:D,MATCH($B653,ChartOfAccounts!A652:A737,0)),"")</f>
        <v/>
      </c>
      <c r="O653" t="str">
        <f>IFERROR(INDEX(ChartOfAccounts!F:F,MATCH($B653,ChartOfAccounts!A652:A737,0)),"")</f>
        <v/>
      </c>
      <c r="P653" t="str" cm="1">
        <f t="array" ref="P653">IFERROR(INDEX(PreparerInfo!B652:B664,MATCH($D653&amp;$C653,PreparerInfo!A652:A664&amp;PreparerInfo!C652:C664,0)),"")</f>
        <v/>
      </c>
      <c r="Q653" t="str">
        <f>IFERROR(INDEX(Source!B652:B660,MATCH('Case 4 solution'!E653,Source!A652:A660,0)),"")</f>
        <v/>
      </c>
    </row>
    <row r="654" spans="1:17" x14ac:dyDescent="0.3">
      <c r="A654" s="3">
        <v>2033846</v>
      </c>
      <c r="B654">
        <v>11845</v>
      </c>
      <c r="C654">
        <v>1</v>
      </c>
      <c r="D654" s="9">
        <v>102</v>
      </c>
      <c r="E654">
        <v>1003</v>
      </c>
      <c r="F654" s="1">
        <v>44011</v>
      </c>
      <c r="G654" t="s">
        <v>15</v>
      </c>
      <c r="H654" s="4">
        <v>2158.96</v>
      </c>
      <c r="I654" s="4" t="s">
        <v>16</v>
      </c>
      <c r="J654" s="4">
        <v>2158.96</v>
      </c>
      <c r="K654" t="str">
        <f>IFERROR(INDEX(BusinessUnits!$B:$B,MATCH($C654,BusinessUnits!$A:$A,0)),"")</f>
        <v>FOOD SERVICE</v>
      </c>
      <c r="L654" t="str">
        <f>IFERROR(INDEX(Table1[[#All],[Description]],MATCH($C654,BusinessUnits!$A:$A,0)),"")</f>
        <v xml:space="preserve">Transactions related to food and beverage service. Includes all guest transactions in the hotel restaurants, catering-related transactions and food service payroll. </v>
      </c>
      <c r="M654" t="str">
        <f>IFERROR(INDEX(ChartOfAccounts!B653:B738,MATCH($B654,ChartOfAccounts!A653:A738,0)),"")</f>
        <v/>
      </c>
      <c r="N654" t="str">
        <f>IFERROR(INDEX(ChartOfAccounts!D:D,MATCH($B654,ChartOfAccounts!A653:A738,0)),"")</f>
        <v/>
      </c>
      <c r="O654" t="str">
        <f>IFERROR(INDEX(ChartOfAccounts!F:F,MATCH($B654,ChartOfAccounts!A653:A738,0)),"")</f>
        <v/>
      </c>
      <c r="P654" t="str" cm="1">
        <f t="array" ref="P654">IFERROR(INDEX(PreparerInfo!B653:B665,MATCH($D654&amp;$C654,PreparerInfo!A653:A665&amp;PreparerInfo!C653:C665,0)),"")</f>
        <v/>
      </c>
      <c r="Q654" t="str">
        <f>IFERROR(INDEX(Source!B653:B661,MATCH('Case 4 solution'!E654,Source!A653:A661,0)),"")</f>
        <v/>
      </c>
    </row>
    <row r="655" spans="1:17" x14ac:dyDescent="0.3">
      <c r="A655" s="3">
        <v>2033846</v>
      </c>
      <c r="B655">
        <v>43310</v>
      </c>
      <c r="C655">
        <v>1</v>
      </c>
      <c r="D655" s="9">
        <v>102</v>
      </c>
      <c r="E655">
        <v>1003</v>
      </c>
      <c r="F655" s="1">
        <v>44011</v>
      </c>
      <c r="G655" t="s">
        <v>15</v>
      </c>
      <c r="H655" s="4" t="s">
        <v>16</v>
      </c>
      <c r="I655" s="4">
        <v>-2158.96</v>
      </c>
      <c r="J655" s="4">
        <v>-2158.96</v>
      </c>
      <c r="K655" t="str">
        <f>IFERROR(INDEX(BusinessUnits!$B:$B,MATCH($C655,BusinessUnits!$A:$A,0)),"")</f>
        <v>FOOD SERVICE</v>
      </c>
      <c r="L655" t="str">
        <f>IFERROR(INDEX(Table1[[#All],[Description]],MATCH($C655,BusinessUnits!$A:$A,0)),"")</f>
        <v xml:space="preserve">Transactions related to food and beverage service. Includes all guest transactions in the hotel restaurants, catering-related transactions and food service payroll. </v>
      </c>
      <c r="M655" t="str">
        <f>IFERROR(INDEX(ChartOfAccounts!B654:B739,MATCH($B655,ChartOfAccounts!A654:A739,0)),"")</f>
        <v/>
      </c>
      <c r="N655" t="str">
        <f>IFERROR(INDEX(ChartOfAccounts!D:D,MATCH($B655,ChartOfAccounts!A654:A739,0)),"")</f>
        <v/>
      </c>
      <c r="O655" t="str">
        <f>IFERROR(INDEX(ChartOfAccounts!F:F,MATCH($B655,ChartOfAccounts!A654:A739,0)),"")</f>
        <v/>
      </c>
      <c r="P655" t="str" cm="1">
        <f t="array" ref="P655">IFERROR(INDEX(PreparerInfo!B654:B666,MATCH($D655&amp;$C655,PreparerInfo!A654:A666&amp;PreparerInfo!C654:C666,0)),"")</f>
        <v/>
      </c>
      <c r="Q655" t="str">
        <f>IFERROR(INDEX(Source!B654:B662,MATCH('Case 4 solution'!E655,Source!A654:A662,0)),"")</f>
        <v/>
      </c>
    </row>
    <row r="656" spans="1:17" x14ac:dyDescent="0.3">
      <c r="A656" s="3">
        <v>2033847</v>
      </c>
      <c r="B656" t="s">
        <v>166</v>
      </c>
      <c r="C656">
        <v>3</v>
      </c>
      <c r="D656" s="9">
        <v>101</v>
      </c>
      <c r="E656">
        <v>1008</v>
      </c>
      <c r="F656" s="1">
        <v>44011</v>
      </c>
      <c r="G656" t="s">
        <v>243</v>
      </c>
      <c r="H656" s="4">
        <v>4080.9</v>
      </c>
      <c r="I656" s="4" t="s">
        <v>16</v>
      </c>
      <c r="J656" s="4">
        <v>4080.9</v>
      </c>
      <c r="K656" t="str">
        <f>IFERROR(INDEX(BusinessUnits!$B:$B,MATCH($C656,BusinessUnits!$A:$A,0)),"")</f>
        <v>HOTEL PANTRY</v>
      </c>
      <c r="L656" t="str">
        <f>IFERROR(INDEX(Table1[[#All],[Description]],MATCH($C656,BusinessUnits!$A:$A,0)),"")</f>
        <v>Transactions related to the hotel convenience store, including some food and beverage costs.</v>
      </c>
      <c r="M656" t="str">
        <f>IFERROR(INDEX(ChartOfAccounts!B655:B740,MATCH($B656,ChartOfAccounts!A655:A740,0)),"")</f>
        <v/>
      </c>
      <c r="N656" t="str">
        <f>IFERROR(INDEX(ChartOfAccounts!D:D,MATCH($B656,ChartOfAccounts!A655:A740,0)),"")</f>
        <v/>
      </c>
      <c r="O656" t="str">
        <f>IFERROR(INDEX(ChartOfAccounts!F:F,MATCH($B656,ChartOfAccounts!A655:A740,0)),"")</f>
        <v/>
      </c>
      <c r="P656" t="str" cm="1">
        <f t="array" ref="P656">IFERROR(INDEX(PreparerInfo!B655:B667,MATCH($D656&amp;$C656,PreparerInfo!A655:A667&amp;PreparerInfo!C655:C667,0)),"")</f>
        <v/>
      </c>
      <c r="Q656" t="str">
        <f>IFERROR(INDEX(Source!B655:B663,MATCH('Case 4 solution'!E656,Source!A655:A663,0)),"")</f>
        <v/>
      </c>
    </row>
    <row r="657" spans="1:17" x14ac:dyDescent="0.3">
      <c r="A657" s="3">
        <v>2033847</v>
      </c>
      <c r="B657">
        <v>14250</v>
      </c>
      <c r="C657">
        <v>3</v>
      </c>
      <c r="D657" s="9">
        <v>101</v>
      </c>
      <c r="E657">
        <v>1008</v>
      </c>
      <c r="F657" s="1">
        <v>44011</v>
      </c>
      <c r="G657" t="s">
        <v>243</v>
      </c>
      <c r="H657" s="4" t="s">
        <v>16</v>
      </c>
      <c r="I657" s="4">
        <v>-4080.9</v>
      </c>
      <c r="J657" s="4">
        <v>-4080.9</v>
      </c>
      <c r="K657" t="str">
        <f>IFERROR(INDEX(BusinessUnits!$B:$B,MATCH($C657,BusinessUnits!$A:$A,0)),"")</f>
        <v>HOTEL PANTRY</v>
      </c>
      <c r="L657" t="str">
        <f>IFERROR(INDEX(Table1[[#All],[Description]],MATCH($C657,BusinessUnits!$A:$A,0)),"")</f>
        <v>Transactions related to the hotel convenience store, including some food and beverage costs.</v>
      </c>
      <c r="M657" t="str">
        <f>IFERROR(INDEX(ChartOfAccounts!B656:B741,MATCH($B657,ChartOfAccounts!A656:A741,0)),"")</f>
        <v/>
      </c>
      <c r="N657" t="str">
        <f>IFERROR(INDEX(ChartOfAccounts!D:D,MATCH($B657,ChartOfAccounts!A656:A741,0)),"")</f>
        <v/>
      </c>
      <c r="O657" t="str">
        <f>IFERROR(INDEX(ChartOfAccounts!F:F,MATCH($B657,ChartOfAccounts!A656:A741,0)),"")</f>
        <v/>
      </c>
      <c r="P657" t="str" cm="1">
        <f t="array" ref="P657">IFERROR(INDEX(PreparerInfo!B656:B668,MATCH($D657&amp;$C657,PreparerInfo!A656:A668&amp;PreparerInfo!C656:C668,0)),"")</f>
        <v/>
      </c>
      <c r="Q657" t="str">
        <f>IFERROR(INDEX(Source!B656:B664,MATCH('Case 4 solution'!E657,Source!A656:A664,0)),"")</f>
        <v/>
      </c>
    </row>
    <row r="658" spans="1:17" x14ac:dyDescent="0.3">
      <c r="A658" s="3">
        <v>2033848</v>
      </c>
      <c r="B658">
        <v>11845</v>
      </c>
      <c r="C658">
        <v>2</v>
      </c>
      <c r="D658" s="9">
        <v>104</v>
      </c>
      <c r="E658">
        <v>1003</v>
      </c>
      <c r="F658" s="1">
        <v>44011</v>
      </c>
      <c r="G658" t="s">
        <v>15</v>
      </c>
      <c r="H658" s="4">
        <v>7100</v>
      </c>
      <c r="I658" s="4" t="s">
        <v>16</v>
      </c>
      <c r="J658" s="4">
        <v>7100</v>
      </c>
      <c r="K658" t="str">
        <f>IFERROR(INDEX(BusinessUnits!$B:$B,MATCH($C658,BusinessUnits!$A:$A,0)),"")</f>
        <v>HOTEL</v>
      </c>
      <c r="L658" t="str">
        <f>IFERROR(INDEX(Table1[[#All],[Description]],MATCH($C658,BusinessUnits!$A:$A,0)),"")</f>
        <v xml:space="preserve">Transactions related to guest rooms and overall hotel operations. Includes payroll for administrative staff, clerks and interns. </v>
      </c>
      <c r="M658" t="str">
        <f>IFERROR(INDEX(ChartOfAccounts!B657:B742,MATCH($B658,ChartOfAccounts!A657:A742,0)),"")</f>
        <v/>
      </c>
      <c r="N658" t="str">
        <f>IFERROR(INDEX(ChartOfAccounts!D:D,MATCH($B658,ChartOfAccounts!A657:A742,0)),"")</f>
        <v/>
      </c>
      <c r="O658" t="str">
        <f>IFERROR(INDEX(ChartOfAccounts!F:F,MATCH($B658,ChartOfAccounts!A657:A742,0)),"")</f>
        <v/>
      </c>
      <c r="P658" t="str" cm="1">
        <f t="array" ref="P658">IFERROR(INDEX(PreparerInfo!B657:B669,MATCH($D658&amp;$C658,PreparerInfo!A657:A669&amp;PreparerInfo!C657:C669,0)),"")</f>
        <v/>
      </c>
      <c r="Q658" t="str">
        <f>IFERROR(INDEX(Source!B657:B665,MATCH('Case 4 solution'!E658,Source!A657:A665,0)),"")</f>
        <v/>
      </c>
    </row>
    <row r="659" spans="1:17" x14ac:dyDescent="0.3">
      <c r="A659" s="3">
        <v>2033848</v>
      </c>
      <c r="B659">
        <v>43180</v>
      </c>
      <c r="C659">
        <v>2</v>
      </c>
      <c r="D659" s="9">
        <v>104</v>
      </c>
      <c r="E659">
        <v>1003</v>
      </c>
      <c r="F659" s="1">
        <v>44011</v>
      </c>
      <c r="G659" t="s">
        <v>15</v>
      </c>
      <c r="H659" s="4" t="s">
        <v>16</v>
      </c>
      <c r="I659" s="4">
        <v>-7100</v>
      </c>
      <c r="J659" s="4">
        <v>-7100</v>
      </c>
      <c r="K659" t="str">
        <f>IFERROR(INDEX(BusinessUnits!$B:$B,MATCH($C659,BusinessUnits!$A:$A,0)),"")</f>
        <v>HOTEL</v>
      </c>
      <c r="L659" t="str">
        <f>IFERROR(INDEX(Table1[[#All],[Description]],MATCH($C659,BusinessUnits!$A:$A,0)),"")</f>
        <v xml:space="preserve">Transactions related to guest rooms and overall hotel operations. Includes payroll for administrative staff, clerks and interns. </v>
      </c>
      <c r="M659" t="str">
        <f>IFERROR(INDEX(ChartOfAccounts!B658:B743,MATCH($B659,ChartOfAccounts!A658:A743,0)),"")</f>
        <v/>
      </c>
      <c r="N659" t="str">
        <f>IFERROR(INDEX(ChartOfAccounts!D:D,MATCH($B659,ChartOfAccounts!A658:A743,0)),"")</f>
        <v/>
      </c>
      <c r="O659" t="str">
        <f>IFERROR(INDEX(ChartOfAccounts!F:F,MATCH($B659,ChartOfAccounts!A658:A743,0)),"")</f>
        <v/>
      </c>
      <c r="P659" t="str" cm="1">
        <f t="array" ref="P659">IFERROR(INDEX(PreparerInfo!B658:B670,MATCH($D659&amp;$C659,PreparerInfo!A658:A670&amp;PreparerInfo!C658:C670,0)),"")</f>
        <v/>
      </c>
      <c r="Q659" t="str">
        <f>IFERROR(INDEX(Source!B658:B666,MATCH('Case 4 solution'!E659,Source!A658:A666,0)),"")</f>
        <v/>
      </c>
    </row>
    <row r="660" spans="1:17" x14ac:dyDescent="0.3">
      <c r="A660" s="3">
        <v>2033849</v>
      </c>
      <c r="B660">
        <v>11845</v>
      </c>
      <c r="C660">
        <v>2</v>
      </c>
      <c r="D660" s="9">
        <v>104</v>
      </c>
      <c r="E660">
        <v>1003</v>
      </c>
      <c r="F660" s="1">
        <v>44011</v>
      </c>
      <c r="G660" t="s">
        <v>15</v>
      </c>
      <c r="H660" s="4">
        <v>16000</v>
      </c>
      <c r="I660" s="4" t="s">
        <v>16</v>
      </c>
      <c r="J660" s="4">
        <v>16000</v>
      </c>
      <c r="K660" t="str">
        <f>IFERROR(INDEX(BusinessUnits!$B:$B,MATCH($C660,BusinessUnits!$A:$A,0)),"")</f>
        <v>HOTEL</v>
      </c>
      <c r="L660" t="str">
        <f>IFERROR(INDEX(Table1[[#All],[Description]],MATCH($C660,BusinessUnits!$A:$A,0)),"")</f>
        <v xml:space="preserve">Transactions related to guest rooms and overall hotel operations. Includes payroll for administrative staff, clerks and interns. </v>
      </c>
      <c r="M660" t="str">
        <f>IFERROR(INDEX(ChartOfAccounts!B659:B744,MATCH($B660,ChartOfAccounts!A659:A744,0)),"")</f>
        <v/>
      </c>
      <c r="N660" t="str">
        <f>IFERROR(INDEX(ChartOfAccounts!D:D,MATCH($B660,ChartOfAccounts!A659:A744,0)),"")</f>
        <v/>
      </c>
      <c r="O660" t="str">
        <f>IFERROR(INDEX(ChartOfAccounts!F:F,MATCH($B660,ChartOfAccounts!A659:A744,0)),"")</f>
        <v/>
      </c>
      <c r="P660" t="str" cm="1">
        <f t="array" ref="P660">IFERROR(INDEX(PreparerInfo!B659:B671,MATCH($D660&amp;$C660,PreparerInfo!A659:A671&amp;PreparerInfo!C659:C671,0)),"")</f>
        <v/>
      </c>
      <c r="Q660" t="str">
        <f>IFERROR(INDEX(Source!B659:B667,MATCH('Case 4 solution'!E660,Source!A659:A667,0)),"")</f>
        <v/>
      </c>
    </row>
    <row r="661" spans="1:17" x14ac:dyDescent="0.3">
      <c r="A661" s="3">
        <v>2033849</v>
      </c>
      <c r="B661">
        <v>43180</v>
      </c>
      <c r="C661">
        <v>2</v>
      </c>
      <c r="D661" s="9">
        <v>104</v>
      </c>
      <c r="E661">
        <v>1003</v>
      </c>
      <c r="F661" s="1">
        <v>44011</v>
      </c>
      <c r="G661" t="s">
        <v>15</v>
      </c>
      <c r="H661" s="4" t="s">
        <v>16</v>
      </c>
      <c r="I661" s="4">
        <v>-16000</v>
      </c>
      <c r="J661" s="4">
        <v>-16000</v>
      </c>
      <c r="K661" t="str">
        <f>IFERROR(INDEX(BusinessUnits!$B:$B,MATCH($C661,BusinessUnits!$A:$A,0)),"")</f>
        <v>HOTEL</v>
      </c>
      <c r="L661" t="str">
        <f>IFERROR(INDEX(Table1[[#All],[Description]],MATCH($C661,BusinessUnits!$A:$A,0)),"")</f>
        <v xml:space="preserve">Transactions related to guest rooms and overall hotel operations. Includes payroll for administrative staff, clerks and interns. </v>
      </c>
      <c r="M661" t="str">
        <f>IFERROR(INDEX(ChartOfAccounts!B660:B745,MATCH($B661,ChartOfAccounts!A660:A745,0)),"")</f>
        <v/>
      </c>
      <c r="N661" t="str">
        <f>IFERROR(INDEX(ChartOfAccounts!D:D,MATCH($B661,ChartOfAccounts!A660:A745,0)),"")</f>
        <v/>
      </c>
      <c r="O661" t="str">
        <f>IFERROR(INDEX(ChartOfAccounts!F:F,MATCH($B661,ChartOfAccounts!A660:A745,0)),"")</f>
        <v/>
      </c>
      <c r="P661" t="str" cm="1">
        <f t="array" ref="P661">IFERROR(INDEX(PreparerInfo!B660:B672,MATCH($D661&amp;$C661,PreparerInfo!A660:A672&amp;PreparerInfo!C660:C672,0)),"")</f>
        <v/>
      </c>
      <c r="Q661" t="str">
        <f>IFERROR(INDEX(Source!B660:B668,MATCH('Case 4 solution'!E661,Source!A660:A668,0)),"")</f>
        <v/>
      </c>
    </row>
    <row r="662" spans="1:17" x14ac:dyDescent="0.3">
      <c r="A662" s="3">
        <v>2033850</v>
      </c>
      <c r="B662">
        <v>11845</v>
      </c>
      <c r="C662">
        <v>2</v>
      </c>
      <c r="D662" s="9">
        <v>104</v>
      </c>
      <c r="E662">
        <v>1003</v>
      </c>
      <c r="F662" s="1">
        <v>44011</v>
      </c>
      <c r="G662" t="s">
        <v>15</v>
      </c>
      <c r="H662" s="4">
        <v>23975</v>
      </c>
      <c r="I662" s="4" t="s">
        <v>16</v>
      </c>
      <c r="J662" s="4">
        <v>23975</v>
      </c>
      <c r="K662" t="str">
        <f>IFERROR(INDEX(BusinessUnits!$B:$B,MATCH($C662,BusinessUnits!$A:$A,0)),"")</f>
        <v>HOTEL</v>
      </c>
      <c r="L662" t="str">
        <f>IFERROR(INDEX(Table1[[#All],[Description]],MATCH($C662,BusinessUnits!$A:$A,0)),"")</f>
        <v xml:space="preserve">Transactions related to guest rooms and overall hotel operations. Includes payroll for administrative staff, clerks and interns. </v>
      </c>
      <c r="M662" t="str">
        <f>IFERROR(INDEX(ChartOfAccounts!B661:B746,MATCH($B662,ChartOfAccounts!A661:A746,0)),"")</f>
        <v/>
      </c>
      <c r="N662" t="str">
        <f>IFERROR(INDEX(ChartOfAccounts!D:D,MATCH($B662,ChartOfAccounts!A661:A746,0)),"")</f>
        <v/>
      </c>
      <c r="O662" t="str">
        <f>IFERROR(INDEX(ChartOfAccounts!F:F,MATCH($B662,ChartOfAccounts!A661:A746,0)),"")</f>
        <v/>
      </c>
      <c r="P662" t="str" cm="1">
        <f t="array" ref="P662">IFERROR(INDEX(PreparerInfo!B661:B673,MATCH($D662&amp;$C662,PreparerInfo!A661:A673&amp;PreparerInfo!C661:C673,0)),"")</f>
        <v/>
      </c>
      <c r="Q662" t="str">
        <f>IFERROR(INDEX(Source!B661:B669,MATCH('Case 4 solution'!E662,Source!A661:A669,0)),"")</f>
        <v/>
      </c>
    </row>
    <row r="663" spans="1:17" x14ac:dyDescent="0.3">
      <c r="A663" s="3">
        <v>2033850</v>
      </c>
      <c r="B663">
        <v>43180</v>
      </c>
      <c r="C663">
        <v>2</v>
      </c>
      <c r="D663" s="9">
        <v>104</v>
      </c>
      <c r="E663">
        <v>1003</v>
      </c>
      <c r="F663" s="1">
        <v>44011</v>
      </c>
      <c r="G663" t="s">
        <v>15</v>
      </c>
      <c r="H663" s="4" t="s">
        <v>16</v>
      </c>
      <c r="I663" s="4">
        <v>-23975</v>
      </c>
      <c r="J663" s="4">
        <v>-23975</v>
      </c>
      <c r="K663" t="str">
        <f>IFERROR(INDEX(BusinessUnits!$B:$B,MATCH($C663,BusinessUnits!$A:$A,0)),"")</f>
        <v>HOTEL</v>
      </c>
      <c r="L663" t="str">
        <f>IFERROR(INDEX(Table1[[#All],[Description]],MATCH($C663,BusinessUnits!$A:$A,0)),"")</f>
        <v xml:space="preserve">Transactions related to guest rooms and overall hotel operations. Includes payroll for administrative staff, clerks and interns. </v>
      </c>
      <c r="M663" t="str">
        <f>IFERROR(INDEX(ChartOfAccounts!B662:B747,MATCH($B663,ChartOfAccounts!A662:A747,0)),"")</f>
        <v/>
      </c>
      <c r="N663" t="str">
        <f>IFERROR(INDEX(ChartOfAccounts!D:D,MATCH($B663,ChartOfAccounts!A662:A747,0)),"")</f>
        <v/>
      </c>
      <c r="O663" t="str">
        <f>IFERROR(INDEX(ChartOfAccounts!F:F,MATCH($B663,ChartOfAccounts!A662:A747,0)),"")</f>
        <v/>
      </c>
      <c r="P663" t="str" cm="1">
        <f t="array" ref="P663">IFERROR(INDEX(PreparerInfo!B662:B674,MATCH($D663&amp;$C663,PreparerInfo!A662:A674&amp;PreparerInfo!C662:C674,0)),"")</f>
        <v/>
      </c>
      <c r="Q663" t="str">
        <f>IFERROR(INDEX(Source!B662:B670,MATCH('Case 4 solution'!E663,Source!A662:A670,0)),"")</f>
        <v/>
      </c>
    </row>
    <row r="664" spans="1:17" x14ac:dyDescent="0.3">
      <c r="A664" s="3">
        <v>2033851</v>
      </c>
      <c r="B664" t="s">
        <v>112</v>
      </c>
      <c r="C664">
        <v>1</v>
      </c>
      <c r="D664" s="9">
        <v>101</v>
      </c>
      <c r="E664">
        <v>1008</v>
      </c>
      <c r="F664" s="1">
        <v>44011</v>
      </c>
      <c r="G664" t="s">
        <v>163</v>
      </c>
      <c r="H664" s="4">
        <v>87934.18</v>
      </c>
      <c r="I664" s="4" t="s">
        <v>16</v>
      </c>
      <c r="J664" s="4">
        <v>87934.18</v>
      </c>
      <c r="K664" t="str">
        <f>IFERROR(INDEX(BusinessUnits!$B:$B,MATCH($C664,BusinessUnits!$A:$A,0)),"")</f>
        <v>FOOD SERVICE</v>
      </c>
      <c r="L664" t="str">
        <f>IFERROR(INDEX(Table1[[#All],[Description]],MATCH($C664,BusinessUnits!$A:$A,0)),"")</f>
        <v xml:space="preserve">Transactions related to food and beverage service. Includes all guest transactions in the hotel restaurants, catering-related transactions and food service payroll. </v>
      </c>
      <c r="M664" t="str">
        <f>IFERROR(INDEX(ChartOfAccounts!B663:B748,MATCH($B664,ChartOfAccounts!A663:A748,0)),"")</f>
        <v/>
      </c>
      <c r="N664" t="str">
        <f>IFERROR(INDEX(ChartOfAccounts!D:D,MATCH($B664,ChartOfAccounts!A663:A748,0)),"")</f>
        <v/>
      </c>
      <c r="O664" t="str">
        <f>IFERROR(INDEX(ChartOfAccounts!F:F,MATCH($B664,ChartOfAccounts!A663:A748,0)),"")</f>
        <v/>
      </c>
      <c r="P664" t="str" cm="1">
        <f t="array" ref="P664">IFERROR(INDEX(PreparerInfo!B663:B675,MATCH($D664&amp;$C664,PreparerInfo!A663:A675&amp;PreparerInfo!C663:C675,0)),"")</f>
        <v/>
      </c>
      <c r="Q664" t="str">
        <f>IFERROR(INDEX(Source!B663:B671,MATCH('Case 4 solution'!E664,Source!A663:A671,0)),"")</f>
        <v/>
      </c>
    </row>
    <row r="665" spans="1:17" x14ac:dyDescent="0.3">
      <c r="A665" s="3">
        <v>2033851</v>
      </c>
      <c r="B665">
        <v>14260</v>
      </c>
      <c r="C665">
        <v>1</v>
      </c>
      <c r="D665" s="9">
        <v>101</v>
      </c>
      <c r="E665">
        <v>1008</v>
      </c>
      <c r="F665" s="1">
        <v>44011</v>
      </c>
      <c r="G665" t="s">
        <v>163</v>
      </c>
      <c r="H665" s="4" t="s">
        <v>16</v>
      </c>
      <c r="I665" s="4">
        <v>-87934.18</v>
      </c>
      <c r="J665" s="4">
        <v>-87934.18</v>
      </c>
      <c r="K665" t="str">
        <f>IFERROR(INDEX(BusinessUnits!$B:$B,MATCH($C665,BusinessUnits!$A:$A,0)),"")</f>
        <v>FOOD SERVICE</v>
      </c>
      <c r="L665" t="str">
        <f>IFERROR(INDEX(Table1[[#All],[Description]],MATCH($C665,BusinessUnits!$A:$A,0)),"")</f>
        <v xml:space="preserve">Transactions related to food and beverage service. Includes all guest transactions in the hotel restaurants, catering-related transactions and food service payroll. </v>
      </c>
      <c r="M665" t="str">
        <f>IFERROR(INDEX(ChartOfAccounts!B664:B749,MATCH($B665,ChartOfAccounts!A664:A749,0)),"")</f>
        <v/>
      </c>
      <c r="N665" t="str">
        <f>IFERROR(INDEX(ChartOfAccounts!D:D,MATCH($B665,ChartOfAccounts!A664:A749,0)),"")</f>
        <v/>
      </c>
      <c r="O665" t="str">
        <f>IFERROR(INDEX(ChartOfAccounts!F:F,MATCH($B665,ChartOfAccounts!A664:A749,0)),"")</f>
        <v/>
      </c>
      <c r="P665" t="str" cm="1">
        <f t="array" ref="P665">IFERROR(INDEX(PreparerInfo!B664:B676,MATCH($D665&amp;$C665,PreparerInfo!A664:A676&amp;PreparerInfo!C664:C676,0)),"")</f>
        <v/>
      </c>
      <c r="Q665" t="str">
        <f>IFERROR(INDEX(Source!B664:B672,MATCH('Case 4 solution'!E665,Source!A664:A672,0)),"")</f>
        <v/>
      </c>
    </row>
    <row r="666" spans="1:17" x14ac:dyDescent="0.3">
      <c r="A666" s="3">
        <v>2033852</v>
      </c>
      <c r="B666">
        <v>14260</v>
      </c>
      <c r="C666">
        <v>1</v>
      </c>
      <c r="D666" s="9">
        <v>101</v>
      </c>
      <c r="E666">
        <v>1007</v>
      </c>
      <c r="F666" s="1">
        <v>44012</v>
      </c>
      <c r="G666" t="s">
        <v>86</v>
      </c>
      <c r="H666" s="4">
        <v>4.99</v>
      </c>
      <c r="I666" s="4" t="s">
        <v>16</v>
      </c>
      <c r="J666" s="4">
        <v>4.99</v>
      </c>
      <c r="K666" t="str">
        <f>IFERROR(INDEX(BusinessUnits!$B:$B,MATCH($C666,BusinessUnits!$A:$A,0)),"")</f>
        <v>FOOD SERVICE</v>
      </c>
      <c r="L666" t="str">
        <f>IFERROR(INDEX(Table1[[#All],[Description]],MATCH($C666,BusinessUnits!$A:$A,0)),"")</f>
        <v xml:space="preserve">Transactions related to food and beverage service. Includes all guest transactions in the hotel restaurants, catering-related transactions and food service payroll. </v>
      </c>
      <c r="M666" t="str">
        <f>IFERROR(INDEX(ChartOfAccounts!B665:B750,MATCH($B666,ChartOfAccounts!A665:A750,0)),"")</f>
        <v/>
      </c>
      <c r="N666" t="str">
        <f>IFERROR(INDEX(ChartOfAccounts!D:D,MATCH($B666,ChartOfAccounts!A665:A750,0)),"")</f>
        <v/>
      </c>
      <c r="O666" t="str">
        <f>IFERROR(INDEX(ChartOfAccounts!F:F,MATCH($B666,ChartOfAccounts!A665:A750,0)),"")</f>
        <v/>
      </c>
      <c r="P666" t="str" cm="1">
        <f t="array" ref="P666">IFERROR(INDEX(PreparerInfo!B665:B677,MATCH($D666&amp;$C666,PreparerInfo!A665:A677&amp;PreparerInfo!C665:C677,0)),"")</f>
        <v/>
      </c>
      <c r="Q666" t="str">
        <f>IFERROR(INDEX(Source!B665:B673,MATCH('Case 4 solution'!E666,Source!A665:A673,0)),"")</f>
        <v/>
      </c>
    </row>
    <row r="667" spans="1:17" x14ac:dyDescent="0.3">
      <c r="A667" s="3">
        <v>2033852</v>
      </c>
      <c r="B667">
        <v>11845</v>
      </c>
      <c r="C667">
        <v>1</v>
      </c>
      <c r="D667" s="9">
        <v>101</v>
      </c>
      <c r="E667">
        <v>1007</v>
      </c>
      <c r="F667" s="1">
        <v>44012</v>
      </c>
      <c r="G667" t="s">
        <v>86</v>
      </c>
      <c r="H667" s="4" t="s">
        <v>16</v>
      </c>
      <c r="I667" s="4">
        <v>-4.99</v>
      </c>
      <c r="J667" s="4">
        <v>-4.99</v>
      </c>
      <c r="K667" t="str">
        <f>IFERROR(INDEX(BusinessUnits!$B:$B,MATCH($C667,BusinessUnits!$A:$A,0)),"")</f>
        <v>FOOD SERVICE</v>
      </c>
      <c r="L667" t="str">
        <f>IFERROR(INDEX(Table1[[#All],[Description]],MATCH($C667,BusinessUnits!$A:$A,0)),"")</f>
        <v xml:space="preserve">Transactions related to food and beverage service. Includes all guest transactions in the hotel restaurants, catering-related transactions and food service payroll. </v>
      </c>
      <c r="M667" t="str">
        <f>IFERROR(INDEX(ChartOfAccounts!B666:B751,MATCH($B667,ChartOfAccounts!A666:A751,0)),"")</f>
        <v/>
      </c>
      <c r="N667" t="str">
        <f>IFERROR(INDEX(ChartOfAccounts!D:D,MATCH($B667,ChartOfAccounts!A666:A751,0)),"")</f>
        <v/>
      </c>
      <c r="O667" t="str">
        <f>IFERROR(INDEX(ChartOfAccounts!F:F,MATCH($B667,ChartOfAccounts!A666:A751,0)),"")</f>
        <v/>
      </c>
      <c r="P667" t="str" cm="1">
        <f t="array" ref="P667">IFERROR(INDEX(PreparerInfo!B666:B678,MATCH($D667&amp;$C667,PreparerInfo!A666:A678&amp;PreparerInfo!C666:C678,0)),"")</f>
        <v/>
      </c>
      <c r="Q667" t="str">
        <f>IFERROR(INDEX(Source!B666:B674,MATCH('Case 4 solution'!E667,Source!A666:A674,0)),"")</f>
        <v/>
      </c>
    </row>
    <row r="668" spans="1:17" x14ac:dyDescent="0.3">
      <c r="A668" s="3">
        <v>2033853</v>
      </c>
      <c r="B668">
        <v>71400</v>
      </c>
      <c r="C668">
        <v>1</v>
      </c>
      <c r="D668" s="9">
        <v>101</v>
      </c>
      <c r="E668">
        <v>1007</v>
      </c>
      <c r="F668" s="1">
        <v>44012</v>
      </c>
      <c r="G668" t="s">
        <v>83</v>
      </c>
      <c r="H668" s="4">
        <v>5.24</v>
      </c>
      <c r="I668" s="4" t="s">
        <v>16</v>
      </c>
      <c r="J668" s="4">
        <v>5.24</v>
      </c>
      <c r="K668" t="str">
        <f>IFERROR(INDEX(BusinessUnits!$B:$B,MATCH($C668,BusinessUnits!$A:$A,0)),"")</f>
        <v>FOOD SERVICE</v>
      </c>
      <c r="L668" t="str">
        <f>IFERROR(INDEX(Table1[[#All],[Description]],MATCH($C668,BusinessUnits!$A:$A,0)),"")</f>
        <v xml:space="preserve">Transactions related to food and beverage service. Includes all guest transactions in the hotel restaurants, catering-related transactions and food service payroll. </v>
      </c>
      <c r="M668" t="str">
        <f>IFERROR(INDEX(ChartOfAccounts!B667:B752,MATCH($B668,ChartOfAccounts!A667:A752,0)),"")</f>
        <v/>
      </c>
      <c r="N668" t="str">
        <f>IFERROR(INDEX(ChartOfAccounts!D:D,MATCH($B668,ChartOfAccounts!A667:A752,0)),"")</f>
        <v/>
      </c>
      <c r="O668" t="str">
        <f>IFERROR(INDEX(ChartOfAccounts!F:F,MATCH($B668,ChartOfAccounts!A667:A752,0)),"")</f>
        <v/>
      </c>
      <c r="P668" t="str" cm="1">
        <f t="array" ref="P668">IFERROR(INDEX(PreparerInfo!B667:B679,MATCH($D668&amp;$C668,PreparerInfo!A667:A679&amp;PreparerInfo!C667:C679,0)),"")</f>
        <v/>
      </c>
      <c r="Q668" t="str">
        <f>IFERROR(INDEX(Source!B667:B675,MATCH('Case 4 solution'!E668,Source!A667:A675,0)),"")</f>
        <v/>
      </c>
    </row>
    <row r="669" spans="1:17" x14ac:dyDescent="0.3">
      <c r="A669" s="3">
        <v>2033853</v>
      </c>
      <c r="B669">
        <v>11845</v>
      </c>
      <c r="C669">
        <v>1</v>
      </c>
      <c r="D669" s="9">
        <v>101</v>
      </c>
      <c r="E669">
        <v>1007</v>
      </c>
      <c r="F669" s="1">
        <v>44012</v>
      </c>
      <c r="G669" t="s">
        <v>83</v>
      </c>
      <c r="H669" s="4" t="s">
        <v>16</v>
      </c>
      <c r="I669" s="4">
        <v>-5.24</v>
      </c>
      <c r="J669" s="4">
        <v>-5.24</v>
      </c>
      <c r="K669" t="str">
        <f>IFERROR(INDEX(BusinessUnits!$B:$B,MATCH($C669,BusinessUnits!$A:$A,0)),"")</f>
        <v>FOOD SERVICE</v>
      </c>
      <c r="L669" t="str">
        <f>IFERROR(INDEX(Table1[[#All],[Description]],MATCH($C669,BusinessUnits!$A:$A,0)),"")</f>
        <v xml:space="preserve">Transactions related to food and beverage service. Includes all guest transactions in the hotel restaurants, catering-related transactions and food service payroll. </v>
      </c>
      <c r="M669" t="str">
        <f>IFERROR(INDEX(ChartOfAccounts!B668:B753,MATCH($B669,ChartOfAccounts!A668:A753,0)),"")</f>
        <v/>
      </c>
      <c r="N669" t="str">
        <f>IFERROR(INDEX(ChartOfAccounts!D:D,MATCH($B669,ChartOfAccounts!A668:A753,0)),"")</f>
        <v/>
      </c>
      <c r="O669" t="str">
        <f>IFERROR(INDEX(ChartOfAccounts!F:F,MATCH($B669,ChartOfAccounts!A668:A753,0)),"")</f>
        <v/>
      </c>
      <c r="P669" t="str" cm="1">
        <f t="array" ref="P669">IFERROR(INDEX(PreparerInfo!B668:B680,MATCH($D669&amp;$C669,PreparerInfo!A668:A680&amp;PreparerInfo!C668:C680,0)),"")</f>
        <v/>
      </c>
      <c r="Q669" t="str">
        <f>IFERROR(INDEX(Source!B668:B676,MATCH('Case 4 solution'!E669,Source!A668:A676,0)),"")</f>
        <v/>
      </c>
    </row>
    <row r="670" spans="1:17" x14ac:dyDescent="0.3">
      <c r="A670" s="3">
        <v>2033854</v>
      </c>
      <c r="B670">
        <v>11845</v>
      </c>
      <c r="C670">
        <v>1</v>
      </c>
      <c r="D670" s="9">
        <v>101</v>
      </c>
      <c r="E670">
        <v>1007</v>
      </c>
      <c r="F670" s="1">
        <v>44012</v>
      </c>
      <c r="G670" t="s">
        <v>88</v>
      </c>
      <c r="H670" s="4">
        <v>18.45</v>
      </c>
      <c r="I670" s="4" t="s">
        <v>16</v>
      </c>
      <c r="J670" s="4">
        <v>18.45</v>
      </c>
      <c r="K670" t="str">
        <f>IFERROR(INDEX(BusinessUnits!$B:$B,MATCH($C670,BusinessUnits!$A:$A,0)),"")</f>
        <v>FOOD SERVICE</v>
      </c>
      <c r="L670" t="str">
        <f>IFERROR(INDEX(Table1[[#All],[Description]],MATCH($C670,BusinessUnits!$A:$A,0)),"")</f>
        <v xml:space="preserve">Transactions related to food and beverage service. Includes all guest transactions in the hotel restaurants, catering-related transactions and food service payroll. </v>
      </c>
      <c r="M670" t="str">
        <f>IFERROR(INDEX(ChartOfAccounts!B669:B754,MATCH($B670,ChartOfAccounts!A669:A754,0)),"")</f>
        <v/>
      </c>
      <c r="N670" t="str">
        <f>IFERROR(INDEX(ChartOfAccounts!D:D,MATCH($B670,ChartOfAccounts!A669:A754,0)),"")</f>
        <v/>
      </c>
      <c r="O670" t="str">
        <f>IFERROR(INDEX(ChartOfAccounts!F:F,MATCH($B670,ChartOfAccounts!A669:A754,0)),"")</f>
        <v/>
      </c>
      <c r="P670" t="str" cm="1">
        <f t="array" ref="P670">IFERROR(INDEX(PreparerInfo!B669:B681,MATCH($D670&amp;$C670,PreparerInfo!A669:A681&amp;PreparerInfo!C669:C681,0)),"")</f>
        <v/>
      </c>
      <c r="Q670" t="str">
        <f>IFERROR(INDEX(Source!B669:B677,MATCH('Case 4 solution'!E670,Source!A669:A677,0)),"")</f>
        <v/>
      </c>
    </row>
    <row r="671" spans="1:17" x14ac:dyDescent="0.3">
      <c r="A671" s="3">
        <v>2033854</v>
      </c>
      <c r="B671">
        <v>71400</v>
      </c>
      <c r="C671">
        <v>1</v>
      </c>
      <c r="D671" s="9">
        <v>101</v>
      </c>
      <c r="E671">
        <v>1007</v>
      </c>
      <c r="F671" s="1">
        <v>44012</v>
      </c>
      <c r="G671" t="s">
        <v>88</v>
      </c>
      <c r="H671" s="4" t="s">
        <v>16</v>
      </c>
      <c r="I671" s="4">
        <v>-18.45</v>
      </c>
      <c r="J671" s="4">
        <v>-18.45</v>
      </c>
      <c r="K671" t="str">
        <f>IFERROR(INDEX(BusinessUnits!$B:$B,MATCH($C671,BusinessUnits!$A:$A,0)),"")</f>
        <v>FOOD SERVICE</v>
      </c>
      <c r="L671" t="str">
        <f>IFERROR(INDEX(Table1[[#All],[Description]],MATCH($C671,BusinessUnits!$A:$A,0)),"")</f>
        <v xml:space="preserve">Transactions related to food and beverage service. Includes all guest transactions in the hotel restaurants, catering-related transactions and food service payroll. </v>
      </c>
      <c r="M671" t="str">
        <f>IFERROR(INDEX(ChartOfAccounts!B670:B755,MATCH($B671,ChartOfAccounts!A670:A755,0)),"")</f>
        <v/>
      </c>
      <c r="N671" t="str">
        <f>IFERROR(INDEX(ChartOfAccounts!D:D,MATCH($B671,ChartOfAccounts!A670:A755,0)),"")</f>
        <v/>
      </c>
      <c r="O671" t="str">
        <f>IFERROR(INDEX(ChartOfAccounts!F:F,MATCH($B671,ChartOfAccounts!A670:A755,0)),"")</f>
        <v/>
      </c>
      <c r="P671" t="str" cm="1">
        <f t="array" ref="P671">IFERROR(INDEX(PreparerInfo!B670:B682,MATCH($D671&amp;$C671,PreparerInfo!A670:A682&amp;PreparerInfo!C670:C682,0)),"")</f>
        <v/>
      </c>
      <c r="Q671" t="str">
        <f>IFERROR(INDEX(Source!B670:B678,MATCH('Case 4 solution'!E671,Source!A670:A678,0)),"")</f>
        <v/>
      </c>
    </row>
    <row r="672" spans="1:17" x14ac:dyDescent="0.3">
      <c r="A672" s="3">
        <v>2033855</v>
      </c>
      <c r="B672">
        <v>11845</v>
      </c>
      <c r="C672">
        <v>3</v>
      </c>
      <c r="D672" s="9">
        <v>102</v>
      </c>
      <c r="E672">
        <v>1003</v>
      </c>
      <c r="F672" s="1">
        <v>44012</v>
      </c>
      <c r="G672" t="s">
        <v>15</v>
      </c>
      <c r="H672" s="4">
        <v>20.81</v>
      </c>
      <c r="I672" s="4" t="s">
        <v>16</v>
      </c>
      <c r="J672" s="4">
        <v>20.81</v>
      </c>
      <c r="K672" t="str">
        <f>IFERROR(INDEX(BusinessUnits!$B:$B,MATCH($C672,BusinessUnits!$A:$A,0)),"")</f>
        <v>HOTEL PANTRY</v>
      </c>
      <c r="L672" t="str">
        <f>IFERROR(INDEX(Table1[[#All],[Description]],MATCH($C672,BusinessUnits!$A:$A,0)),"")</f>
        <v>Transactions related to the hotel convenience store, including some food and beverage costs.</v>
      </c>
      <c r="M672" t="str">
        <f>IFERROR(INDEX(ChartOfAccounts!B671:B756,MATCH($B672,ChartOfAccounts!A671:A756,0)),"")</f>
        <v/>
      </c>
      <c r="N672" t="str">
        <f>IFERROR(INDEX(ChartOfAccounts!D:D,MATCH($B672,ChartOfAccounts!A671:A756,0)),"")</f>
        <v/>
      </c>
      <c r="O672" t="str">
        <f>IFERROR(INDEX(ChartOfAccounts!F:F,MATCH($B672,ChartOfAccounts!A671:A756,0)),"")</f>
        <v/>
      </c>
      <c r="P672" t="str" cm="1">
        <f t="array" ref="P672">IFERROR(INDEX(PreparerInfo!B671:B683,MATCH($D672&amp;$C672,PreparerInfo!A671:A683&amp;PreparerInfo!C671:C683,0)),"")</f>
        <v/>
      </c>
      <c r="Q672" t="str">
        <f>IFERROR(INDEX(Source!B671:B679,MATCH('Case 4 solution'!E672,Source!A671:A679,0)),"")</f>
        <v/>
      </c>
    </row>
    <row r="673" spans="1:17" x14ac:dyDescent="0.3">
      <c r="A673" s="3">
        <v>2033855</v>
      </c>
      <c r="B673">
        <v>43440</v>
      </c>
      <c r="C673">
        <v>3</v>
      </c>
      <c r="D673" s="9">
        <v>102</v>
      </c>
      <c r="E673">
        <v>1003</v>
      </c>
      <c r="F673" s="1">
        <v>44012</v>
      </c>
      <c r="G673" t="s">
        <v>15</v>
      </c>
      <c r="H673" s="4" t="s">
        <v>16</v>
      </c>
      <c r="I673" s="4">
        <v>-20.81</v>
      </c>
      <c r="J673" s="4">
        <v>-20.81</v>
      </c>
      <c r="K673" t="str">
        <f>IFERROR(INDEX(BusinessUnits!$B:$B,MATCH($C673,BusinessUnits!$A:$A,0)),"")</f>
        <v>HOTEL PANTRY</v>
      </c>
      <c r="L673" t="str">
        <f>IFERROR(INDEX(Table1[[#All],[Description]],MATCH($C673,BusinessUnits!$A:$A,0)),"")</f>
        <v>Transactions related to the hotel convenience store, including some food and beverage costs.</v>
      </c>
      <c r="M673" t="str">
        <f>IFERROR(INDEX(ChartOfAccounts!B672:B757,MATCH($B673,ChartOfAccounts!A672:A757,0)),"")</f>
        <v/>
      </c>
      <c r="N673" t="str">
        <f>IFERROR(INDEX(ChartOfAccounts!D:D,MATCH($B673,ChartOfAccounts!A672:A757,0)),"")</f>
        <v/>
      </c>
      <c r="O673" t="str">
        <f>IFERROR(INDEX(ChartOfAccounts!F:F,MATCH($B673,ChartOfAccounts!A672:A757,0)),"")</f>
        <v/>
      </c>
      <c r="P673" t="str" cm="1">
        <f t="array" ref="P673">IFERROR(INDEX(PreparerInfo!B672:B684,MATCH($D673&amp;$C673,PreparerInfo!A672:A684&amp;PreparerInfo!C672:C684,0)),"")</f>
        <v/>
      </c>
      <c r="Q673" t="str">
        <f>IFERROR(INDEX(Source!B672:B680,MATCH('Case 4 solution'!E673,Source!A672:A680,0)),"")</f>
        <v/>
      </c>
    </row>
    <row r="674" spans="1:17" x14ac:dyDescent="0.3">
      <c r="A674" s="3">
        <v>2033856</v>
      </c>
      <c r="B674">
        <v>14250</v>
      </c>
      <c r="C674">
        <v>3</v>
      </c>
      <c r="D674" s="9">
        <v>101</v>
      </c>
      <c r="E674">
        <v>1007</v>
      </c>
      <c r="F674" s="1">
        <v>44012</v>
      </c>
      <c r="G674" t="s">
        <v>77</v>
      </c>
      <c r="H674" s="4">
        <v>25.95</v>
      </c>
      <c r="I674" s="4" t="s">
        <v>16</v>
      </c>
      <c r="J674" s="4">
        <v>25.95</v>
      </c>
      <c r="K674" t="str">
        <f>IFERROR(INDEX(BusinessUnits!$B:$B,MATCH($C674,BusinessUnits!$A:$A,0)),"")</f>
        <v>HOTEL PANTRY</v>
      </c>
      <c r="L674" t="str">
        <f>IFERROR(INDEX(Table1[[#All],[Description]],MATCH($C674,BusinessUnits!$A:$A,0)),"")</f>
        <v>Transactions related to the hotel convenience store, including some food and beverage costs.</v>
      </c>
      <c r="M674" t="str">
        <f>IFERROR(INDEX(ChartOfAccounts!B673:B758,MATCH($B674,ChartOfAccounts!A673:A758,0)),"")</f>
        <v/>
      </c>
      <c r="N674" t="str">
        <f>IFERROR(INDEX(ChartOfAccounts!D:D,MATCH($B674,ChartOfAccounts!A673:A758,0)),"")</f>
        <v/>
      </c>
      <c r="O674" t="str">
        <f>IFERROR(INDEX(ChartOfAccounts!F:F,MATCH($B674,ChartOfAccounts!A673:A758,0)),"")</f>
        <v/>
      </c>
      <c r="P674" t="str" cm="1">
        <f t="array" ref="P674">IFERROR(INDEX(PreparerInfo!B673:B685,MATCH($D674&amp;$C674,PreparerInfo!A673:A685&amp;PreparerInfo!C673:C685,0)),"")</f>
        <v/>
      </c>
      <c r="Q674" t="str">
        <f>IFERROR(INDEX(Source!B673:B681,MATCH('Case 4 solution'!E674,Source!A673:A681,0)),"")</f>
        <v/>
      </c>
    </row>
    <row r="675" spans="1:17" x14ac:dyDescent="0.3">
      <c r="A675" s="3">
        <v>2033856</v>
      </c>
      <c r="B675">
        <v>11845</v>
      </c>
      <c r="C675">
        <v>3</v>
      </c>
      <c r="D675" s="9">
        <v>101</v>
      </c>
      <c r="E675">
        <v>1007</v>
      </c>
      <c r="F675" s="1">
        <v>44012</v>
      </c>
      <c r="G675" t="s">
        <v>77</v>
      </c>
      <c r="H675" s="4" t="s">
        <v>16</v>
      </c>
      <c r="I675" s="4">
        <v>-25.95</v>
      </c>
      <c r="J675" s="4">
        <v>-25.95</v>
      </c>
      <c r="K675" t="str">
        <f>IFERROR(INDEX(BusinessUnits!$B:$B,MATCH($C675,BusinessUnits!$A:$A,0)),"")</f>
        <v>HOTEL PANTRY</v>
      </c>
      <c r="L675" t="str">
        <f>IFERROR(INDEX(Table1[[#All],[Description]],MATCH($C675,BusinessUnits!$A:$A,0)),"")</f>
        <v>Transactions related to the hotel convenience store, including some food and beverage costs.</v>
      </c>
      <c r="M675" t="str">
        <f>IFERROR(INDEX(ChartOfAccounts!B674:B759,MATCH($B675,ChartOfAccounts!A674:A759,0)),"")</f>
        <v/>
      </c>
      <c r="N675" t="str">
        <f>IFERROR(INDEX(ChartOfAccounts!D:D,MATCH($B675,ChartOfAccounts!A674:A759,0)),"")</f>
        <v/>
      </c>
      <c r="O675" t="str">
        <f>IFERROR(INDEX(ChartOfAccounts!F:F,MATCH($B675,ChartOfAccounts!A674:A759,0)),"")</f>
        <v/>
      </c>
      <c r="P675" t="str" cm="1">
        <f t="array" ref="P675">IFERROR(INDEX(PreparerInfo!B674:B686,MATCH($D675&amp;$C675,PreparerInfo!A674:A686&amp;PreparerInfo!C674:C686,0)),"")</f>
        <v/>
      </c>
      <c r="Q675" t="str">
        <f>IFERROR(INDEX(Source!B674:B682,MATCH('Case 4 solution'!E675,Source!A674:A682,0)),"")</f>
        <v/>
      </c>
    </row>
    <row r="676" spans="1:17" x14ac:dyDescent="0.3">
      <c r="A676" s="3">
        <v>2033857</v>
      </c>
      <c r="B676">
        <v>72723</v>
      </c>
      <c r="C676">
        <v>1</v>
      </c>
      <c r="D676" s="9">
        <v>101</v>
      </c>
      <c r="E676">
        <v>1007</v>
      </c>
      <c r="F676" s="1">
        <v>44012</v>
      </c>
      <c r="G676" t="s">
        <v>123</v>
      </c>
      <c r="H676" s="4">
        <v>26.95</v>
      </c>
      <c r="I676" s="4" t="s">
        <v>16</v>
      </c>
      <c r="J676" s="4">
        <v>26.95</v>
      </c>
      <c r="K676" t="str">
        <f>IFERROR(INDEX(BusinessUnits!$B:$B,MATCH($C676,BusinessUnits!$A:$A,0)),"")</f>
        <v>FOOD SERVICE</v>
      </c>
      <c r="L676" t="str">
        <f>IFERROR(INDEX(Table1[[#All],[Description]],MATCH($C676,BusinessUnits!$A:$A,0)),"")</f>
        <v xml:space="preserve">Transactions related to food and beverage service. Includes all guest transactions in the hotel restaurants, catering-related transactions and food service payroll. </v>
      </c>
      <c r="M676" t="str">
        <f>IFERROR(INDEX(ChartOfAccounts!B675:B760,MATCH($B676,ChartOfAccounts!A675:A760,0)),"")</f>
        <v/>
      </c>
      <c r="N676" t="str">
        <f>IFERROR(INDEX(ChartOfAccounts!D:D,MATCH($B676,ChartOfAccounts!A675:A760,0)),"")</f>
        <v/>
      </c>
      <c r="O676" t="str">
        <f>IFERROR(INDEX(ChartOfAccounts!F:F,MATCH($B676,ChartOfAccounts!A675:A760,0)),"")</f>
        <v/>
      </c>
      <c r="P676" t="str" cm="1">
        <f t="array" ref="P676">IFERROR(INDEX(PreparerInfo!B675:B687,MATCH($D676&amp;$C676,PreparerInfo!A675:A687&amp;PreparerInfo!C675:C687,0)),"")</f>
        <v/>
      </c>
      <c r="Q676" t="str">
        <f>IFERROR(INDEX(Source!B675:B683,MATCH('Case 4 solution'!E676,Source!A675:A683,0)),"")</f>
        <v/>
      </c>
    </row>
    <row r="677" spans="1:17" x14ac:dyDescent="0.3">
      <c r="A677" s="3">
        <v>2033857</v>
      </c>
      <c r="B677">
        <v>11845</v>
      </c>
      <c r="C677">
        <v>1</v>
      </c>
      <c r="D677" s="9">
        <v>101</v>
      </c>
      <c r="E677">
        <v>1007</v>
      </c>
      <c r="F677" s="1">
        <v>44012</v>
      </c>
      <c r="G677" t="s">
        <v>123</v>
      </c>
      <c r="H677" s="4" t="s">
        <v>16</v>
      </c>
      <c r="I677" s="4">
        <v>-26.95</v>
      </c>
      <c r="J677" s="4">
        <v>-26.95</v>
      </c>
      <c r="K677" t="str">
        <f>IFERROR(INDEX(BusinessUnits!$B:$B,MATCH($C677,BusinessUnits!$A:$A,0)),"")</f>
        <v>FOOD SERVICE</v>
      </c>
      <c r="L677" t="str">
        <f>IFERROR(INDEX(Table1[[#All],[Description]],MATCH($C677,BusinessUnits!$A:$A,0)),"")</f>
        <v xml:space="preserve">Transactions related to food and beverage service. Includes all guest transactions in the hotel restaurants, catering-related transactions and food service payroll. </v>
      </c>
      <c r="M677" t="str">
        <f>IFERROR(INDEX(ChartOfAccounts!B676:B761,MATCH($B677,ChartOfAccounts!A676:A761,0)),"")</f>
        <v/>
      </c>
      <c r="N677" t="str">
        <f>IFERROR(INDEX(ChartOfAccounts!D:D,MATCH($B677,ChartOfAccounts!A676:A761,0)),"")</f>
        <v/>
      </c>
      <c r="O677" t="str">
        <f>IFERROR(INDEX(ChartOfAccounts!F:F,MATCH($B677,ChartOfAccounts!A676:A761,0)),"")</f>
        <v/>
      </c>
      <c r="P677" t="str" cm="1">
        <f t="array" ref="P677">IFERROR(INDEX(PreparerInfo!B676:B688,MATCH($D677&amp;$C677,PreparerInfo!A676:A688&amp;PreparerInfo!C676:C688,0)),"")</f>
        <v/>
      </c>
      <c r="Q677" t="str">
        <f>IFERROR(INDEX(Source!B676:B684,MATCH('Case 4 solution'!E677,Source!A676:A684,0)),"")</f>
        <v/>
      </c>
    </row>
    <row r="678" spans="1:17" x14ac:dyDescent="0.3">
      <c r="A678" s="3">
        <v>2033858</v>
      </c>
      <c r="B678">
        <v>72723</v>
      </c>
      <c r="C678">
        <v>1</v>
      </c>
      <c r="D678" s="9">
        <v>101</v>
      </c>
      <c r="E678">
        <v>1007</v>
      </c>
      <c r="F678" s="1">
        <v>44012</v>
      </c>
      <c r="G678" t="s">
        <v>123</v>
      </c>
      <c r="H678" s="4">
        <v>26.95</v>
      </c>
      <c r="I678" s="4" t="s">
        <v>16</v>
      </c>
      <c r="J678" s="4">
        <v>26.95</v>
      </c>
      <c r="K678" t="str">
        <f>IFERROR(INDEX(BusinessUnits!$B:$B,MATCH($C678,BusinessUnits!$A:$A,0)),"")</f>
        <v>FOOD SERVICE</v>
      </c>
      <c r="L678" t="str">
        <f>IFERROR(INDEX(Table1[[#All],[Description]],MATCH($C678,BusinessUnits!$A:$A,0)),"")</f>
        <v xml:space="preserve">Transactions related to food and beverage service. Includes all guest transactions in the hotel restaurants, catering-related transactions and food service payroll. </v>
      </c>
      <c r="M678" t="str">
        <f>IFERROR(INDEX(ChartOfAccounts!B677:B762,MATCH($B678,ChartOfAccounts!A677:A762,0)),"")</f>
        <v/>
      </c>
      <c r="N678" t="str">
        <f>IFERROR(INDEX(ChartOfAccounts!D:D,MATCH($B678,ChartOfAccounts!A677:A762,0)),"")</f>
        <v/>
      </c>
      <c r="O678" t="str">
        <f>IFERROR(INDEX(ChartOfAccounts!F:F,MATCH($B678,ChartOfAccounts!A677:A762,0)),"")</f>
        <v/>
      </c>
      <c r="P678" t="str" cm="1">
        <f t="array" ref="P678">IFERROR(INDEX(PreparerInfo!B677:B689,MATCH($D678&amp;$C678,PreparerInfo!A677:A689&amp;PreparerInfo!C677:C689,0)),"")</f>
        <v/>
      </c>
      <c r="Q678" t="str">
        <f>IFERROR(INDEX(Source!B677:B685,MATCH('Case 4 solution'!E678,Source!A677:A685,0)),"")</f>
        <v/>
      </c>
    </row>
    <row r="679" spans="1:17" x14ac:dyDescent="0.3">
      <c r="A679" s="3">
        <v>2033858</v>
      </c>
      <c r="B679">
        <v>11845</v>
      </c>
      <c r="C679">
        <v>1</v>
      </c>
      <c r="D679" s="9">
        <v>101</v>
      </c>
      <c r="E679">
        <v>1007</v>
      </c>
      <c r="F679" s="1">
        <v>44012</v>
      </c>
      <c r="G679" t="s">
        <v>123</v>
      </c>
      <c r="H679" s="4" t="s">
        <v>16</v>
      </c>
      <c r="I679" s="4">
        <v>-26.95</v>
      </c>
      <c r="J679" s="4">
        <v>-26.95</v>
      </c>
      <c r="K679" t="str">
        <f>IFERROR(INDEX(BusinessUnits!$B:$B,MATCH($C679,BusinessUnits!$A:$A,0)),"")</f>
        <v>FOOD SERVICE</v>
      </c>
      <c r="L679" t="str">
        <f>IFERROR(INDEX(Table1[[#All],[Description]],MATCH($C679,BusinessUnits!$A:$A,0)),"")</f>
        <v xml:space="preserve">Transactions related to food and beverage service. Includes all guest transactions in the hotel restaurants, catering-related transactions and food service payroll. </v>
      </c>
      <c r="M679" t="str">
        <f>IFERROR(INDEX(ChartOfAccounts!B678:B763,MATCH($B679,ChartOfAccounts!A678:A763,0)),"")</f>
        <v/>
      </c>
      <c r="N679" t="str">
        <f>IFERROR(INDEX(ChartOfAccounts!D:D,MATCH($B679,ChartOfAccounts!A678:A763,0)),"")</f>
        <v/>
      </c>
      <c r="O679" t="str">
        <f>IFERROR(INDEX(ChartOfAccounts!F:F,MATCH($B679,ChartOfAccounts!A678:A763,0)),"")</f>
        <v/>
      </c>
      <c r="P679" t="str" cm="1">
        <f t="array" ref="P679">IFERROR(INDEX(PreparerInfo!B678:B690,MATCH($D679&amp;$C679,PreparerInfo!A678:A690&amp;PreparerInfo!C678:C690,0)),"")</f>
        <v/>
      </c>
      <c r="Q679" t="str">
        <f>IFERROR(INDEX(Source!B678:B686,MATCH('Case 4 solution'!E679,Source!A678:A686,0)),"")</f>
        <v/>
      </c>
    </row>
    <row r="680" spans="1:17" x14ac:dyDescent="0.3">
      <c r="A680" s="3">
        <v>2033859</v>
      </c>
      <c r="B680">
        <v>72723</v>
      </c>
      <c r="C680">
        <v>1</v>
      </c>
      <c r="D680" s="9">
        <v>101</v>
      </c>
      <c r="E680">
        <v>1007</v>
      </c>
      <c r="F680" s="1">
        <v>44012</v>
      </c>
      <c r="G680" t="s">
        <v>123</v>
      </c>
      <c r="H680" s="4">
        <v>26.95</v>
      </c>
      <c r="I680" s="4" t="s">
        <v>16</v>
      </c>
      <c r="J680" s="4">
        <v>26.95</v>
      </c>
      <c r="K680" t="str">
        <f>IFERROR(INDEX(BusinessUnits!$B:$B,MATCH($C680,BusinessUnits!$A:$A,0)),"")</f>
        <v>FOOD SERVICE</v>
      </c>
      <c r="L680" t="str">
        <f>IFERROR(INDEX(Table1[[#All],[Description]],MATCH($C680,BusinessUnits!$A:$A,0)),"")</f>
        <v xml:space="preserve">Transactions related to food and beverage service. Includes all guest transactions in the hotel restaurants, catering-related transactions and food service payroll. </v>
      </c>
      <c r="M680" t="str">
        <f>IFERROR(INDEX(ChartOfAccounts!B679:B764,MATCH($B680,ChartOfAccounts!A679:A764,0)),"")</f>
        <v/>
      </c>
      <c r="N680" t="str">
        <f>IFERROR(INDEX(ChartOfAccounts!D:D,MATCH($B680,ChartOfAccounts!A679:A764,0)),"")</f>
        <v/>
      </c>
      <c r="O680" t="str">
        <f>IFERROR(INDEX(ChartOfAccounts!F:F,MATCH($B680,ChartOfAccounts!A679:A764,0)),"")</f>
        <v/>
      </c>
      <c r="P680" t="str" cm="1">
        <f t="array" ref="P680">IFERROR(INDEX(PreparerInfo!B679:B691,MATCH($D680&amp;$C680,PreparerInfo!A679:A691&amp;PreparerInfo!C679:C691,0)),"")</f>
        <v/>
      </c>
      <c r="Q680" t="str">
        <f>IFERROR(INDEX(Source!B679:B687,MATCH('Case 4 solution'!E680,Source!A679:A687,0)),"")</f>
        <v/>
      </c>
    </row>
    <row r="681" spans="1:17" x14ac:dyDescent="0.3">
      <c r="A681" s="3">
        <v>2033859</v>
      </c>
      <c r="B681">
        <v>11845</v>
      </c>
      <c r="C681">
        <v>1</v>
      </c>
      <c r="D681" s="9">
        <v>101</v>
      </c>
      <c r="E681">
        <v>1007</v>
      </c>
      <c r="F681" s="1">
        <v>44012</v>
      </c>
      <c r="G681" t="s">
        <v>123</v>
      </c>
      <c r="H681" s="4" t="s">
        <v>16</v>
      </c>
      <c r="I681" s="4">
        <v>-26.95</v>
      </c>
      <c r="J681" s="4">
        <v>-26.95</v>
      </c>
      <c r="K681" t="str">
        <f>IFERROR(INDEX(BusinessUnits!$B:$B,MATCH($C681,BusinessUnits!$A:$A,0)),"")</f>
        <v>FOOD SERVICE</v>
      </c>
      <c r="L681" t="str">
        <f>IFERROR(INDEX(Table1[[#All],[Description]],MATCH($C681,BusinessUnits!$A:$A,0)),"")</f>
        <v xml:space="preserve">Transactions related to food and beverage service. Includes all guest transactions in the hotel restaurants, catering-related transactions and food service payroll. </v>
      </c>
      <c r="M681" t="str">
        <f>IFERROR(INDEX(ChartOfAccounts!B680:B765,MATCH($B681,ChartOfAccounts!A680:A765,0)),"")</f>
        <v/>
      </c>
      <c r="N681" t="str">
        <f>IFERROR(INDEX(ChartOfAccounts!D:D,MATCH($B681,ChartOfAccounts!A680:A765,0)),"")</f>
        <v/>
      </c>
      <c r="O681" t="str">
        <f>IFERROR(INDEX(ChartOfAccounts!F:F,MATCH($B681,ChartOfAccounts!A680:A765,0)),"")</f>
        <v/>
      </c>
      <c r="P681" t="str" cm="1">
        <f t="array" ref="P681">IFERROR(INDEX(PreparerInfo!B680:B692,MATCH($D681&amp;$C681,PreparerInfo!A680:A692&amp;PreparerInfo!C680:C692,0)),"")</f>
        <v/>
      </c>
      <c r="Q681" t="str">
        <f>IFERROR(INDEX(Source!B680:B688,MATCH('Case 4 solution'!E681,Source!A680:A688,0)),"")</f>
        <v/>
      </c>
    </row>
    <row r="682" spans="1:17" x14ac:dyDescent="0.3">
      <c r="A682" s="3">
        <v>2033860</v>
      </c>
      <c r="B682">
        <v>11845</v>
      </c>
      <c r="C682">
        <v>1</v>
      </c>
      <c r="D682" s="9">
        <v>102</v>
      </c>
      <c r="E682">
        <v>1001</v>
      </c>
      <c r="F682" s="1">
        <v>44012</v>
      </c>
      <c r="G682" t="s">
        <v>41</v>
      </c>
      <c r="H682" s="4">
        <v>28.35</v>
      </c>
      <c r="I682" s="4" t="s">
        <v>16</v>
      </c>
      <c r="J682" s="4">
        <v>28.35</v>
      </c>
      <c r="K682" t="str">
        <f>IFERROR(INDEX(BusinessUnits!$B:$B,MATCH($C682,BusinessUnits!$A:$A,0)),"")</f>
        <v>FOOD SERVICE</v>
      </c>
      <c r="L682" t="str">
        <f>IFERROR(INDEX(Table1[[#All],[Description]],MATCH($C682,BusinessUnits!$A:$A,0)),"")</f>
        <v xml:space="preserve">Transactions related to food and beverage service. Includes all guest transactions in the hotel restaurants, catering-related transactions and food service payroll. </v>
      </c>
      <c r="M682" t="str">
        <f>IFERROR(INDEX(ChartOfAccounts!B681:B766,MATCH($B682,ChartOfAccounts!A681:A766,0)),"")</f>
        <v/>
      </c>
      <c r="N682" t="str">
        <f>IFERROR(INDEX(ChartOfAccounts!D:D,MATCH($B682,ChartOfAccounts!A681:A766,0)),"")</f>
        <v/>
      </c>
      <c r="O682" t="str">
        <f>IFERROR(INDEX(ChartOfAccounts!F:F,MATCH($B682,ChartOfAccounts!A681:A766,0)),"")</f>
        <v/>
      </c>
      <c r="P682" t="str" cm="1">
        <f t="array" ref="P682">IFERROR(INDEX(PreparerInfo!B681:B693,MATCH($D682&amp;$C682,PreparerInfo!A681:A693&amp;PreparerInfo!C681:C693,0)),"")</f>
        <v/>
      </c>
      <c r="Q682" t="str">
        <f>IFERROR(INDEX(Source!B681:B689,MATCH('Case 4 solution'!E682,Source!A681:A689,0)),"")</f>
        <v/>
      </c>
    </row>
    <row r="683" spans="1:17" x14ac:dyDescent="0.3">
      <c r="A683" s="3">
        <v>2033860</v>
      </c>
      <c r="B683">
        <v>43310</v>
      </c>
      <c r="C683">
        <v>1</v>
      </c>
      <c r="D683" s="9">
        <v>102</v>
      </c>
      <c r="E683">
        <v>1001</v>
      </c>
      <c r="F683" s="1">
        <v>44012</v>
      </c>
      <c r="G683" t="s">
        <v>41</v>
      </c>
      <c r="H683" s="4" t="s">
        <v>16</v>
      </c>
      <c r="I683" s="4">
        <v>-28.35</v>
      </c>
      <c r="J683" s="4">
        <v>-28.35</v>
      </c>
      <c r="K683" t="str">
        <f>IFERROR(INDEX(BusinessUnits!$B:$B,MATCH($C683,BusinessUnits!$A:$A,0)),"")</f>
        <v>FOOD SERVICE</v>
      </c>
      <c r="L683" t="str">
        <f>IFERROR(INDEX(Table1[[#All],[Description]],MATCH($C683,BusinessUnits!$A:$A,0)),"")</f>
        <v xml:space="preserve">Transactions related to food and beverage service. Includes all guest transactions in the hotel restaurants, catering-related transactions and food service payroll. </v>
      </c>
      <c r="M683" t="str">
        <f>IFERROR(INDEX(ChartOfAccounts!B682:B767,MATCH($B683,ChartOfAccounts!A682:A767,0)),"")</f>
        <v/>
      </c>
      <c r="N683" t="str">
        <f>IFERROR(INDEX(ChartOfAccounts!D:D,MATCH($B683,ChartOfAccounts!A682:A767,0)),"")</f>
        <v/>
      </c>
      <c r="O683" t="str">
        <f>IFERROR(INDEX(ChartOfAccounts!F:F,MATCH($B683,ChartOfAccounts!A682:A767,0)),"")</f>
        <v/>
      </c>
      <c r="P683" t="str" cm="1">
        <f t="array" ref="P683">IFERROR(INDEX(PreparerInfo!B682:B694,MATCH($D683&amp;$C683,PreparerInfo!A682:A694&amp;PreparerInfo!C682:C694,0)),"")</f>
        <v/>
      </c>
      <c r="Q683" t="str">
        <f>IFERROR(INDEX(Source!B682:B690,MATCH('Case 4 solution'!E683,Source!A682:A690,0)),"")</f>
        <v/>
      </c>
    </row>
    <row r="684" spans="1:17" x14ac:dyDescent="0.3">
      <c r="A684" s="3">
        <v>2033861</v>
      </c>
      <c r="B684">
        <v>14260</v>
      </c>
      <c r="C684">
        <v>1</v>
      </c>
      <c r="D684" s="9">
        <v>101</v>
      </c>
      <c r="E684">
        <v>1007</v>
      </c>
      <c r="F684" s="1">
        <v>44012</v>
      </c>
      <c r="G684" t="s">
        <v>86</v>
      </c>
      <c r="H684" s="4">
        <v>28.73</v>
      </c>
      <c r="I684" s="4" t="s">
        <v>16</v>
      </c>
      <c r="J684" s="4">
        <v>28.73</v>
      </c>
      <c r="K684" t="str">
        <f>IFERROR(INDEX(BusinessUnits!$B:$B,MATCH($C684,BusinessUnits!$A:$A,0)),"")</f>
        <v>FOOD SERVICE</v>
      </c>
      <c r="L684" t="str">
        <f>IFERROR(INDEX(Table1[[#All],[Description]],MATCH($C684,BusinessUnits!$A:$A,0)),"")</f>
        <v xml:space="preserve">Transactions related to food and beverage service. Includes all guest transactions in the hotel restaurants, catering-related transactions and food service payroll. </v>
      </c>
      <c r="M684" t="str">
        <f>IFERROR(INDEX(ChartOfAccounts!B683:B768,MATCH($B684,ChartOfAccounts!A683:A768,0)),"")</f>
        <v/>
      </c>
      <c r="N684" t="str">
        <f>IFERROR(INDEX(ChartOfAccounts!D:D,MATCH($B684,ChartOfAccounts!A683:A768,0)),"")</f>
        <v/>
      </c>
      <c r="O684" t="str">
        <f>IFERROR(INDEX(ChartOfAccounts!F:F,MATCH($B684,ChartOfAccounts!A683:A768,0)),"")</f>
        <v/>
      </c>
      <c r="P684" t="str" cm="1">
        <f t="array" ref="P684">IFERROR(INDEX(PreparerInfo!B683:B695,MATCH($D684&amp;$C684,PreparerInfo!A683:A695&amp;PreparerInfo!C683:C695,0)),"")</f>
        <v/>
      </c>
      <c r="Q684" t="str">
        <f>IFERROR(INDEX(Source!B683:B691,MATCH('Case 4 solution'!E684,Source!A683:A691,0)),"")</f>
        <v/>
      </c>
    </row>
    <row r="685" spans="1:17" x14ac:dyDescent="0.3">
      <c r="A685" s="3">
        <v>2033861</v>
      </c>
      <c r="B685">
        <v>11845</v>
      </c>
      <c r="C685">
        <v>1</v>
      </c>
      <c r="D685" s="9">
        <v>101</v>
      </c>
      <c r="E685">
        <v>1007</v>
      </c>
      <c r="F685" s="1">
        <v>44012</v>
      </c>
      <c r="G685" t="s">
        <v>86</v>
      </c>
      <c r="H685" s="4" t="s">
        <v>16</v>
      </c>
      <c r="I685" s="4">
        <v>-28.73</v>
      </c>
      <c r="J685" s="4">
        <v>-28.73</v>
      </c>
      <c r="K685" t="str">
        <f>IFERROR(INDEX(BusinessUnits!$B:$B,MATCH($C685,BusinessUnits!$A:$A,0)),"")</f>
        <v>FOOD SERVICE</v>
      </c>
      <c r="L685" t="str">
        <f>IFERROR(INDEX(Table1[[#All],[Description]],MATCH($C685,BusinessUnits!$A:$A,0)),"")</f>
        <v xml:space="preserve">Transactions related to food and beverage service. Includes all guest transactions in the hotel restaurants, catering-related transactions and food service payroll. </v>
      </c>
      <c r="M685" t="str">
        <f>IFERROR(INDEX(ChartOfAccounts!B684:B769,MATCH($B685,ChartOfAccounts!A684:A769,0)),"")</f>
        <v/>
      </c>
      <c r="N685" t="str">
        <f>IFERROR(INDEX(ChartOfAccounts!D:D,MATCH($B685,ChartOfAccounts!A684:A769,0)),"")</f>
        <v/>
      </c>
      <c r="O685" t="str">
        <f>IFERROR(INDEX(ChartOfAccounts!F:F,MATCH($B685,ChartOfAccounts!A684:A769,0)),"")</f>
        <v/>
      </c>
      <c r="P685" t="str" cm="1">
        <f t="array" ref="P685">IFERROR(INDEX(PreparerInfo!B684:B696,MATCH($D685&amp;$C685,PreparerInfo!A684:A696&amp;PreparerInfo!C684:C696,0)),"")</f>
        <v/>
      </c>
      <c r="Q685" t="str">
        <f>IFERROR(INDEX(Source!B684:B692,MATCH('Case 4 solution'!E685,Source!A684:A692,0)),"")</f>
        <v/>
      </c>
    </row>
    <row r="686" spans="1:17" x14ac:dyDescent="0.3">
      <c r="A686" s="3">
        <v>2033862</v>
      </c>
      <c r="B686">
        <v>71410</v>
      </c>
      <c r="C686">
        <v>1</v>
      </c>
      <c r="D686" s="9">
        <v>101</v>
      </c>
      <c r="E686">
        <v>1007</v>
      </c>
      <c r="F686" s="1">
        <v>44012</v>
      </c>
      <c r="G686" t="s">
        <v>89</v>
      </c>
      <c r="H686" s="4">
        <v>35.06</v>
      </c>
      <c r="I686" s="4" t="s">
        <v>16</v>
      </c>
      <c r="J686" s="4">
        <v>35.06</v>
      </c>
      <c r="K686" t="str">
        <f>IFERROR(INDEX(BusinessUnits!$B:$B,MATCH($C686,BusinessUnits!$A:$A,0)),"")</f>
        <v>FOOD SERVICE</v>
      </c>
      <c r="L686" t="str">
        <f>IFERROR(INDEX(Table1[[#All],[Description]],MATCH($C686,BusinessUnits!$A:$A,0)),"")</f>
        <v xml:space="preserve">Transactions related to food and beverage service. Includes all guest transactions in the hotel restaurants, catering-related transactions and food service payroll. </v>
      </c>
      <c r="M686" t="str">
        <f>IFERROR(INDEX(ChartOfAccounts!B685:B770,MATCH($B686,ChartOfAccounts!A685:A770,0)),"")</f>
        <v/>
      </c>
      <c r="N686" t="str">
        <f>IFERROR(INDEX(ChartOfAccounts!D:D,MATCH($B686,ChartOfAccounts!A685:A770,0)),"")</f>
        <v/>
      </c>
      <c r="O686" t="str">
        <f>IFERROR(INDEX(ChartOfAccounts!F:F,MATCH($B686,ChartOfAccounts!A685:A770,0)),"")</f>
        <v/>
      </c>
      <c r="P686" t="str" cm="1">
        <f t="array" ref="P686">IFERROR(INDEX(PreparerInfo!B685:B697,MATCH($D686&amp;$C686,PreparerInfo!A685:A697&amp;PreparerInfo!C685:C697,0)),"")</f>
        <v/>
      </c>
      <c r="Q686" t="str">
        <f>IFERROR(INDEX(Source!B685:B693,MATCH('Case 4 solution'!E686,Source!A685:A693,0)),"")</f>
        <v/>
      </c>
    </row>
    <row r="687" spans="1:17" x14ac:dyDescent="0.3">
      <c r="A687" s="3">
        <v>2033862</v>
      </c>
      <c r="B687">
        <v>11845</v>
      </c>
      <c r="C687">
        <v>1</v>
      </c>
      <c r="D687" s="9">
        <v>101</v>
      </c>
      <c r="E687">
        <v>1007</v>
      </c>
      <c r="F687" s="1">
        <v>44012</v>
      </c>
      <c r="G687" t="s">
        <v>89</v>
      </c>
      <c r="H687" s="4" t="s">
        <v>16</v>
      </c>
      <c r="I687" s="4">
        <v>-35.06</v>
      </c>
      <c r="J687" s="4">
        <v>-35.06</v>
      </c>
      <c r="K687" t="str">
        <f>IFERROR(INDEX(BusinessUnits!$B:$B,MATCH($C687,BusinessUnits!$A:$A,0)),"")</f>
        <v>FOOD SERVICE</v>
      </c>
      <c r="L687" t="str">
        <f>IFERROR(INDEX(Table1[[#All],[Description]],MATCH($C687,BusinessUnits!$A:$A,0)),"")</f>
        <v xml:space="preserve">Transactions related to food and beverage service. Includes all guest transactions in the hotel restaurants, catering-related transactions and food service payroll. </v>
      </c>
      <c r="M687" t="str">
        <f>IFERROR(INDEX(ChartOfAccounts!B686:B771,MATCH($B687,ChartOfAccounts!A686:A771,0)),"")</f>
        <v/>
      </c>
      <c r="N687" t="str">
        <f>IFERROR(INDEX(ChartOfAccounts!D:D,MATCH($B687,ChartOfAccounts!A686:A771,0)),"")</f>
        <v/>
      </c>
      <c r="O687" t="str">
        <f>IFERROR(INDEX(ChartOfAccounts!F:F,MATCH($B687,ChartOfAccounts!A686:A771,0)),"")</f>
        <v/>
      </c>
      <c r="P687" t="str" cm="1">
        <f t="array" ref="P687">IFERROR(INDEX(PreparerInfo!B686:B698,MATCH($D687&amp;$C687,PreparerInfo!A686:A698&amp;PreparerInfo!C686:C698,0)),"")</f>
        <v/>
      </c>
      <c r="Q687" t="str">
        <f>IFERROR(INDEX(Source!B686:B694,MATCH('Case 4 solution'!E687,Source!A686:A694,0)),"")</f>
        <v/>
      </c>
    </row>
    <row r="688" spans="1:17" x14ac:dyDescent="0.3">
      <c r="A688" s="3">
        <v>2033863</v>
      </c>
      <c r="B688">
        <v>14260</v>
      </c>
      <c r="C688">
        <v>1</v>
      </c>
      <c r="D688" s="9">
        <v>101</v>
      </c>
      <c r="E688">
        <v>1007</v>
      </c>
      <c r="F688" s="1">
        <v>44012</v>
      </c>
      <c r="G688" t="s">
        <v>209</v>
      </c>
      <c r="H688" s="4">
        <v>35.5</v>
      </c>
      <c r="I688" s="4" t="s">
        <v>16</v>
      </c>
      <c r="J688" s="4">
        <v>35.5</v>
      </c>
      <c r="K688" t="str">
        <f>IFERROR(INDEX(BusinessUnits!$B:$B,MATCH($C688,BusinessUnits!$A:$A,0)),"")</f>
        <v>FOOD SERVICE</v>
      </c>
      <c r="L688" t="str">
        <f>IFERROR(INDEX(Table1[[#All],[Description]],MATCH($C688,BusinessUnits!$A:$A,0)),"")</f>
        <v xml:space="preserve">Transactions related to food and beverage service. Includes all guest transactions in the hotel restaurants, catering-related transactions and food service payroll. </v>
      </c>
      <c r="M688" t="str">
        <f>IFERROR(INDEX(ChartOfAccounts!B687:B772,MATCH($B688,ChartOfAccounts!A687:A772,0)),"")</f>
        <v/>
      </c>
      <c r="N688" t="str">
        <f>IFERROR(INDEX(ChartOfAccounts!D:D,MATCH($B688,ChartOfAccounts!A687:A772,0)),"")</f>
        <v/>
      </c>
      <c r="O688" t="str">
        <f>IFERROR(INDEX(ChartOfAccounts!F:F,MATCH($B688,ChartOfAccounts!A687:A772,0)),"")</f>
        <v/>
      </c>
      <c r="P688" t="str" cm="1">
        <f t="array" ref="P688">IFERROR(INDEX(PreparerInfo!B687:B699,MATCH($D688&amp;$C688,PreparerInfo!A687:A699&amp;PreparerInfo!C687:C699,0)),"")</f>
        <v/>
      </c>
      <c r="Q688" t="str">
        <f>IFERROR(INDEX(Source!B687:B695,MATCH('Case 4 solution'!E688,Source!A687:A695,0)),"")</f>
        <v/>
      </c>
    </row>
    <row r="689" spans="1:17" x14ac:dyDescent="0.3">
      <c r="A689" s="3">
        <v>2033863</v>
      </c>
      <c r="B689">
        <v>11845</v>
      </c>
      <c r="C689">
        <v>1</v>
      </c>
      <c r="D689" s="9">
        <v>101</v>
      </c>
      <c r="E689">
        <v>1007</v>
      </c>
      <c r="F689" s="1">
        <v>44012</v>
      </c>
      <c r="G689" t="s">
        <v>209</v>
      </c>
      <c r="H689" s="4" t="s">
        <v>16</v>
      </c>
      <c r="I689" s="4">
        <v>-35.5</v>
      </c>
      <c r="J689" s="4">
        <v>-35.5</v>
      </c>
      <c r="K689" t="str">
        <f>IFERROR(INDEX(BusinessUnits!$B:$B,MATCH($C689,BusinessUnits!$A:$A,0)),"")</f>
        <v>FOOD SERVICE</v>
      </c>
      <c r="L689" t="str">
        <f>IFERROR(INDEX(Table1[[#All],[Description]],MATCH($C689,BusinessUnits!$A:$A,0)),"")</f>
        <v xml:space="preserve">Transactions related to food and beverage service. Includes all guest transactions in the hotel restaurants, catering-related transactions and food service payroll. </v>
      </c>
      <c r="M689" t="str">
        <f>IFERROR(INDEX(ChartOfAccounts!B688:B773,MATCH($B689,ChartOfAccounts!A688:A773,0)),"")</f>
        <v/>
      </c>
      <c r="N689" t="str">
        <f>IFERROR(INDEX(ChartOfAccounts!D:D,MATCH($B689,ChartOfAccounts!A688:A773,0)),"")</f>
        <v/>
      </c>
      <c r="O689" t="str">
        <f>IFERROR(INDEX(ChartOfAccounts!F:F,MATCH($B689,ChartOfAccounts!A688:A773,0)),"")</f>
        <v/>
      </c>
      <c r="P689" t="str" cm="1">
        <f t="array" ref="P689">IFERROR(INDEX(PreparerInfo!B688:B700,MATCH($D689&amp;$C689,PreparerInfo!A688:A700&amp;PreparerInfo!C688:C700,0)),"")</f>
        <v/>
      </c>
      <c r="Q689" t="str">
        <f>IFERROR(INDEX(Source!B688:B696,MATCH('Case 4 solution'!E689,Source!A688:A696,0)),"")</f>
        <v/>
      </c>
    </row>
    <row r="690" spans="1:17" x14ac:dyDescent="0.3">
      <c r="A690" s="3">
        <v>2033864</v>
      </c>
      <c r="B690">
        <v>71400</v>
      </c>
      <c r="C690">
        <v>4</v>
      </c>
      <c r="D690" s="9">
        <v>101</v>
      </c>
      <c r="E690">
        <v>1007</v>
      </c>
      <c r="F690" s="1">
        <v>44012</v>
      </c>
      <c r="G690" t="s">
        <v>78</v>
      </c>
      <c r="H690" s="4">
        <v>35.85</v>
      </c>
      <c r="I690" s="4" t="s">
        <v>16</v>
      </c>
      <c r="J690" s="4">
        <v>35.85</v>
      </c>
      <c r="K690" t="str">
        <f>IFERROR(INDEX(BusinessUnits!$B:$B,MATCH($C690,BusinessUnits!$A:$A,0)),"")</f>
        <v>HOUSEKEEPING</v>
      </c>
      <c r="L690" t="str">
        <f>IFERROR(INDEX(Table1[[#All],[Description]],MATCH($C690,BusinessUnits!$A:$A,0)),"")</f>
        <v xml:space="preserve">Transactions related to the Housekeeping Department. Primarily includes payroll for housekeepers and housekeeping supplies. </v>
      </c>
      <c r="M690" t="str">
        <f>IFERROR(INDEX(ChartOfAccounts!B689:B774,MATCH($B690,ChartOfAccounts!A689:A774,0)),"")</f>
        <v/>
      </c>
      <c r="N690" t="str">
        <f>IFERROR(INDEX(ChartOfAccounts!D:D,MATCH($B690,ChartOfAccounts!A689:A774,0)),"")</f>
        <v/>
      </c>
      <c r="O690" t="str">
        <f>IFERROR(INDEX(ChartOfAccounts!F:F,MATCH($B690,ChartOfAccounts!A689:A774,0)),"")</f>
        <v/>
      </c>
      <c r="P690" t="str" cm="1">
        <f t="array" ref="P690">IFERROR(INDEX(PreparerInfo!B689:B701,MATCH($D690&amp;$C690,PreparerInfo!A689:A701&amp;PreparerInfo!C689:C701,0)),"")</f>
        <v/>
      </c>
      <c r="Q690" t="str">
        <f>IFERROR(INDEX(Source!B689:B697,MATCH('Case 4 solution'!E690,Source!A689:A697,0)),"")</f>
        <v/>
      </c>
    </row>
    <row r="691" spans="1:17" x14ac:dyDescent="0.3">
      <c r="A691" s="3">
        <v>2033864</v>
      </c>
      <c r="B691">
        <v>11845</v>
      </c>
      <c r="C691">
        <v>4</v>
      </c>
      <c r="D691" s="9">
        <v>101</v>
      </c>
      <c r="E691">
        <v>1007</v>
      </c>
      <c r="F691" s="1">
        <v>44012</v>
      </c>
      <c r="G691" t="s">
        <v>78</v>
      </c>
      <c r="H691" s="4" t="s">
        <v>16</v>
      </c>
      <c r="I691" s="4">
        <v>-35.85</v>
      </c>
      <c r="J691" s="4">
        <v>-35.85</v>
      </c>
      <c r="K691" t="str">
        <f>IFERROR(INDEX(BusinessUnits!$B:$B,MATCH($C691,BusinessUnits!$A:$A,0)),"")</f>
        <v>HOUSEKEEPING</v>
      </c>
      <c r="L691" t="str">
        <f>IFERROR(INDEX(Table1[[#All],[Description]],MATCH($C691,BusinessUnits!$A:$A,0)),"")</f>
        <v xml:space="preserve">Transactions related to the Housekeeping Department. Primarily includes payroll for housekeepers and housekeeping supplies. </v>
      </c>
      <c r="M691" t="str">
        <f>IFERROR(INDEX(ChartOfAccounts!B690:B775,MATCH($B691,ChartOfAccounts!A690:A775,0)),"")</f>
        <v/>
      </c>
      <c r="N691" t="str">
        <f>IFERROR(INDEX(ChartOfAccounts!D:D,MATCH($B691,ChartOfAccounts!A690:A775,0)),"")</f>
        <v/>
      </c>
      <c r="O691" t="str">
        <f>IFERROR(INDEX(ChartOfAccounts!F:F,MATCH($B691,ChartOfAccounts!A690:A775,0)),"")</f>
        <v/>
      </c>
      <c r="P691" t="str" cm="1">
        <f t="array" ref="P691">IFERROR(INDEX(PreparerInfo!B690:B702,MATCH($D691&amp;$C691,PreparerInfo!A690:A702&amp;PreparerInfo!C690:C702,0)),"")</f>
        <v/>
      </c>
      <c r="Q691" t="str">
        <f>IFERROR(INDEX(Source!B690:B698,MATCH('Case 4 solution'!E691,Source!A690:A698,0)),"")</f>
        <v/>
      </c>
    </row>
    <row r="692" spans="1:17" x14ac:dyDescent="0.3">
      <c r="A692" s="3">
        <v>2033865</v>
      </c>
      <c r="B692">
        <v>14250</v>
      </c>
      <c r="C692">
        <v>3</v>
      </c>
      <c r="D692" s="9">
        <v>101</v>
      </c>
      <c r="E692">
        <v>1007</v>
      </c>
      <c r="F692" s="1">
        <v>44012</v>
      </c>
      <c r="G692" t="s">
        <v>84</v>
      </c>
      <c r="H692" s="4">
        <v>63.72</v>
      </c>
      <c r="I692" s="4" t="s">
        <v>16</v>
      </c>
      <c r="J692" s="4">
        <v>63.72</v>
      </c>
      <c r="K692" t="str">
        <f>IFERROR(INDEX(BusinessUnits!$B:$B,MATCH($C692,BusinessUnits!$A:$A,0)),"")</f>
        <v>HOTEL PANTRY</v>
      </c>
      <c r="L692" t="str">
        <f>IFERROR(INDEX(Table1[[#All],[Description]],MATCH($C692,BusinessUnits!$A:$A,0)),"")</f>
        <v>Transactions related to the hotel convenience store, including some food and beverage costs.</v>
      </c>
      <c r="M692" t="str">
        <f>IFERROR(INDEX(ChartOfAccounts!B691:B776,MATCH($B692,ChartOfAccounts!A691:A776,0)),"")</f>
        <v/>
      </c>
      <c r="N692" t="str">
        <f>IFERROR(INDEX(ChartOfAccounts!D:D,MATCH($B692,ChartOfAccounts!A691:A776,0)),"")</f>
        <v/>
      </c>
      <c r="O692" t="str">
        <f>IFERROR(INDEX(ChartOfAccounts!F:F,MATCH($B692,ChartOfAccounts!A691:A776,0)),"")</f>
        <v/>
      </c>
      <c r="P692" t="str" cm="1">
        <f t="array" ref="P692">IFERROR(INDEX(PreparerInfo!B691:B703,MATCH($D692&amp;$C692,PreparerInfo!A691:A703&amp;PreparerInfo!C691:C703,0)),"")</f>
        <v/>
      </c>
      <c r="Q692" t="str">
        <f>IFERROR(INDEX(Source!B691:B699,MATCH('Case 4 solution'!E692,Source!A691:A699,0)),"")</f>
        <v/>
      </c>
    </row>
    <row r="693" spans="1:17" x14ac:dyDescent="0.3">
      <c r="A693" s="3">
        <v>2033865</v>
      </c>
      <c r="B693">
        <v>11845</v>
      </c>
      <c r="C693">
        <v>3</v>
      </c>
      <c r="D693" s="9">
        <v>101</v>
      </c>
      <c r="E693">
        <v>1007</v>
      </c>
      <c r="F693" s="1">
        <v>44012</v>
      </c>
      <c r="G693" t="s">
        <v>84</v>
      </c>
      <c r="H693" s="4" t="s">
        <v>16</v>
      </c>
      <c r="I693" s="4">
        <v>-63.72</v>
      </c>
      <c r="J693" s="4">
        <v>-63.72</v>
      </c>
      <c r="K693" t="str">
        <f>IFERROR(INDEX(BusinessUnits!$B:$B,MATCH($C693,BusinessUnits!$A:$A,0)),"")</f>
        <v>HOTEL PANTRY</v>
      </c>
      <c r="L693" t="str">
        <f>IFERROR(INDEX(Table1[[#All],[Description]],MATCH($C693,BusinessUnits!$A:$A,0)),"")</f>
        <v>Transactions related to the hotel convenience store, including some food and beverage costs.</v>
      </c>
      <c r="M693" t="str">
        <f>IFERROR(INDEX(ChartOfAccounts!B692:B777,MATCH($B693,ChartOfAccounts!A692:A777,0)),"")</f>
        <v/>
      </c>
      <c r="N693" t="str">
        <f>IFERROR(INDEX(ChartOfAccounts!D:D,MATCH($B693,ChartOfAccounts!A692:A777,0)),"")</f>
        <v/>
      </c>
      <c r="O693" t="str">
        <f>IFERROR(INDEX(ChartOfAccounts!F:F,MATCH($B693,ChartOfAccounts!A692:A777,0)),"")</f>
        <v/>
      </c>
      <c r="P693" t="str" cm="1">
        <f t="array" ref="P693">IFERROR(INDEX(PreparerInfo!B692:B704,MATCH($D693&amp;$C693,PreparerInfo!A692:A704&amp;PreparerInfo!C692:C704,0)),"")</f>
        <v/>
      </c>
      <c r="Q693" t="str">
        <f>IFERROR(INDEX(Source!B692:B700,MATCH('Case 4 solution'!E693,Source!A692:A700,0)),"")</f>
        <v/>
      </c>
    </row>
    <row r="694" spans="1:17" x14ac:dyDescent="0.3">
      <c r="A694" s="3">
        <v>2033866</v>
      </c>
      <c r="B694">
        <v>11845</v>
      </c>
      <c r="C694">
        <v>3</v>
      </c>
      <c r="D694" s="9">
        <v>102</v>
      </c>
      <c r="E694">
        <v>1001</v>
      </c>
      <c r="F694" s="1">
        <v>44012</v>
      </c>
      <c r="G694" t="s">
        <v>41</v>
      </c>
      <c r="H694" s="4">
        <v>65.790000000000006</v>
      </c>
      <c r="I694" s="4" t="s">
        <v>16</v>
      </c>
      <c r="J694" s="4">
        <v>65.790000000000006</v>
      </c>
      <c r="K694" t="str">
        <f>IFERROR(INDEX(BusinessUnits!$B:$B,MATCH($C694,BusinessUnits!$A:$A,0)),"")</f>
        <v>HOTEL PANTRY</v>
      </c>
      <c r="L694" t="str">
        <f>IFERROR(INDEX(Table1[[#All],[Description]],MATCH($C694,BusinessUnits!$A:$A,0)),"")</f>
        <v>Transactions related to the hotel convenience store, including some food and beverage costs.</v>
      </c>
      <c r="M694" t="str">
        <f>IFERROR(INDEX(ChartOfAccounts!B693:B778,MATCH($B694,ChartOfAccounts!A693:A778,0)),"")</f>
        <v/>
      </c>
      <c r="N694" t="str">
        <f>IFERROR(INDEX(ChartOfAccounts!D:D,MATCH($B694,ChartOfAccounts!A693:A778,0)),"")</f>
        <v/>
      </c>
      <c r="O694" t="str">
        <f>IFERROR(INDEX(ChartOfAccounts!F:F,MATCH($B694,ChartOfAccounts!A693:A778,0)),"")</f>
        <v/>
      </c>
      <c r="P694" t="str" cm="1">
        <f t="array" ref="P694">IFERROR(INDEX(PreparerInfo!B693:B705,MATCH($D694&amp;$C694,PreparerInfo!A693:A705&amp;PreparerInfo!C693:C705,0)),"")</f>
        <v/>
      </c>
      <c r="Q694" t="str">
        <f>IFERROR(INDEX(Source!B693:B701,MATCH('Case 4 solution'!E694,Source!A693:A701,0)),"")</f>
        <v/>
      </c>
    </row>
    <row r="695" spans="1:17" x14ac:dyDescent="0.3">
      <c r="A695" s="3">
        <v>2033866</v>
      </c>
      <c r="B695">
        <v>43440</v>
      </c>
      <c r="C695">
        <v>3</v>
      </c>
      <c r="D695" s="9">
        <v>102</v>
      </c>
      <c r="E695">
        <v>1001</v>
      </c>
      <c r="F695" s="1">
        <v>44012</v>
      </c>
      <c r="G695" t="s">
        <v>41</v>
      </c>
      <c r="H695" s="4" t="s">
        <v>16</v>
      </c>
      <c r="I695" s="4">
        <v>-65.790000000000006</v>
      </c>
      <c r="J695" s="4">
        <v>-65.790000000000006</v>
      </c>
      <c r="K695" t="str">
        <f>IFERROR(INDEX(BusinessUnits!$B:$B,MATCH($C695,BusinessUnits!$A:$A,0)),"")</f>
        <v>HOTEL PANTRY</v>
      </c>
      <c r="L695" t="str">
        <f>IFERROR(INDEX(Table1[[#All],[Description]],MATCH($C695,BusinessUnits!$A:$A,0)),"")</f>
        <v>Transactions related to the hotel convenience store, including some food and beverage costs.</v>
      </c>
      <c r="M695" t="str">
        <f>IFERROR(INDEX(ChartOfAccounts!B694:B779,MATCH($B695,ChartOfAccounts!A694:A779,0)),"")</f>
        <v/>
      </c>
      <c r="N695" t="str">
        <f>IFERROR(INDEX(ChartOfAccounts!D:D,MATCH($B695,ChartOfAccounts!A694:A779,0)),"")</f>
        <v/>
      </c>
      <c r="O695" t="str">
        <f>IFERROR(INDEX(ChartOfAccounts!F:F,MATCH($B695,ChartOfAccounts!A694:A779,0)),"")</f>
        <v/>
      </c>
      <c r="P695" t="str" cm="1">
        <f t="array" ref="P695">IFERROR(INDEX(PreparerInfo!B694:B706,MATCH($D695&amp;$C695,PreparerInfo!A694:A706&amp;PreparerInfo!C694:C706,0)),"")</f>
        <v/>
      </c>
      <c r="Q695" t="str">
        <f>IFERROR(INDEX(Source!B694:B702,MATCH('Case 4 solution'!E695,Source!A694:A702,0)),"")</f>
        <v/>
      </c>
    </row>
    <row r="696" spans="1:17" x14ac:dyDescent="0.3">
      <c r="A696" s="3">
        <v>2033867</v>
      </c>
      <c r="B696">
        <v>71400</v>
      </c>
      <c r="C696">
        <v>1</v>
      </c>
      <c r="D696" s="9">
        <v>101</v>
      </c>
      <c r="E696">
        <v>1007</v>
      </c>
      <c r="F696" s="1">
        <v>44012</v>
      </c>
      <c r="G696" t="s">
        <v>95</v>
      </c>
      <c r="H696" s="4">
        <v>77.12</v>
      </c>
      <c r="I696" s="4" t="s">
        <v>16</v>
      </c>
      <c r="J696" s="4">
        <v>77.12</v>
      </c>
      <c r="K696" t="str">
        <f>IFERROR(INDEX(BusinessUnits!$B:$B,MATCH($C696,BusinessUnits!$A:$A,0)),"")</f>
        <v>FOOD SERVICE</v>
      </c>
      <c r="L696" t="str">
        <f>IFERROR(INDEX(Table1[[#All],[Description]],MATCH($C696,BusinessUnits!$A:$A,0)),"")</f>
        <v xml:space="preserve">Transactions related to food and beverage service. Includes all guest transactions in the hotel restaurants, catering-related transactions and food service payroll. </v>
      </c>
      <c r="M696" t="str">
        <f>IFERROR(INDEX(ChartOfAccounts!B695:B780,MATCH($B696,ChartOfAccounts!A695:A780,0)),"")</f>
        <v/>
      </c>
      <c r="N696" t="str">
        <f>IFERROR(INDEX(ChartOfAccounts!D:D,MATCH($B696,ChartOfAccounts!A695:A780,0)),"")</f>
        <v/>
      </c>
      <c r="O696" t="str">
        <f>IFERROR(INDEX(ChartOfAccounts!F:F,MATCH($B696,ChartOfAccounts!A695:A780,0)),"")</f>
        <v/>
      </c>
      <c r="P696" t="str" cm="1">
        <f t="array" ref="P696">IFERROR(INDEX(PreparerInfo!B695:B707,MATCH($D696&amp;$C696,PreparerInfo!A695:A707&amp;PreparerInfo!C695:C707,0)),"")</f>
        <v/>
      </c>
      <c r="Q696" t="str">
        <f>IFERROR(INDEX(Source!B695:B703,MATCH('Case 4 solution'!E696,Source!A695:A703,0)),"")</f>
        <v/>
      </c>
    </row>
    <row r="697" spans="1:17" x14ac:dyDescent="0.3">
      <c r="A697" s="3">
        <v>2033867</v>
      </c>
      <c r="B697">
        <v>11845</v>
      </c>
      <c r="C697">
        <v>1</v>
      </c>
      <c r="D697" s="9">
        <v>101</v>
      </c>
      <c r="E697">
        <v>1007</v>
      </c>
      <c r="F697" s="1">
        <v>44012</v>
      </c>
      <c r="G697" t="s">
        <v>95</v>
      </c>
      <c r="H697" s="4" t="s">
        <v>16</v>
      </c>
      <c r="I697" s="4">
        <v>-77.12</v>
      </c>
      <c r="J697" s="4">
        <v>-77.12</v>
      </c>
      <c r="K697" t="str">
        <f>IFERROR(INDEX(BusinessUnits!$B:$B,MATCH($C697,BusinessUnits!$A:$A,0)),"")</f>
        <v>FOOD SERVICE</v>
      </c>
      <c r="L697" t="str">
        <f>IFERROR(INDEX(Table1[[#All],[Description]],MATCH($C697,BusinessUnits!$A:$A,0)),"")</f>
        <v xml:space="preserve">Transactions related to food and beverage service. Includes all guest transactions in the hotel restaurants, catering-related transactions and food service payroll. </v>
      </c>
      <c r="M697" t="str">
        <f>IFERROR(INDEX(ChartOfAccounts!B696:B781,MATCH($B697,ChartOfAccounts!A696:A781,0)),"")</f>
        <v/>
      </c>
      <c r="N697" t="str">
        <f>IFERROR(INDEX(ChartOfAccounts!D:D,MATCH($B697,ChartOfAccounts!A696:A781,0)),"")</f>
        <v/>
      </c>
      <c r="O697" t="str">
        <f>IFERROR(INDEX(ChartOfAccounts!F:F,MATCH($B697,ChartOfAccounts!A696:A781,0)),"")</f>
        <v/>
      </c>
      <c r="P697" t="str" cm="1">
        <f t="array" ref="P697">IFERROR(INDEX(PreparerInfo!B696:B708,MATCH($D697&amp;$C697,PreparerInfo!A696:A708&amp;PreparerInfo!C696:C708,0)),"")</f>
        <v/>
      </c>
      <c r="Q697" t="str">
        <f>IFERROR(INDEX(Source!B696:B704,MATCH('Case 4 solution'!E697,Source!A696:A704,0)),"")</f>
        <v/>
      </c>
    </row>
    <row r="698" spans="1:17" x14ac:dyDescent="0.3">
      <c r="A698" s="3">
        <v>2033868</v>
      </c>
      <c r="B698">
        <v>14260</v>
      </c>
      <c r="C698">
        <v>1</v>
      </c>
      <c r="D698" s="9">
        <v>101</v>
      </c>
      <c r="E698">
        <v>1007</v>
      </c>
      <c r="F698" s="1">
        <v>44012</v>
      </c>
      <c r="G698" t="s">
        <v>86</v>
      </c>
      <c r="H698" s="4">
        <v>79.900000000000006</v>
      </c>
      <c r="I698" s="4" t="s">
        <v>16</v>
      </c>
      <c r="J698" s="4">
        <v>79.900000000000006</v>
      </c>
      <c r="K698" t="str">
        <f>IFERROR(INDEX(BusinessUnits!$B:$B,MATCH($C698,BusinessUnits!$A:$A,0)),"")</f>
        <v>FOOD SERVICE</v>
      </c>
      <c r="L698" t="str">
        <f>IFERROR(INDEX(Table1[[#All],[Description]],MATCH($C698,BusinessUnits!$A:$A,0)),"")</f>
        <v xml:space="preserve">Transactions related to food and beverage service. Includes all guest transactions in the hotel restaurants, catering-related transactions and food service payroll. </v>
      </c>
      <c r="M698" t="str">
        <f>IFERROR(INDEX(ChartOfAccounts!B697:B782,MATCH($B698,ChartOfAccounts!A697:A782,0)),"")</f>
        <v/>
      </c>
      <c r="N698" t="str">
        <f>IFERROR(INDEX(ChartOfAccounts!D:D,MATCH($B698,ChartOfAccounts!A697:A782,0)),"")</f>
        <v/>
      </c>
      <c r="O698" t="str">
        <f>IFERROR(INDEX(ChartOfAccounts!F:F,MATCH($B698,ChartOfAccounts!A697:A782,0)),"")</f>
        <v/>
      </c>
      <c r="P698" t="str" cm="1">
        <f t="array" ref="P698">IFERROR(INDEX(PreparerInfo!B697:B709,MATCH($D698&amp;$C698,PreparerInfo!A697:A709&amp;PreparerInfo!C697:C709,0)),"")</f>
        <v/>
      </c>
      <c r="Q698" t="str">
        <f>IFERROR(INDEX(Source!B697:B705,MATCH('Case 4 solution'!E698,Source!A697:A705,0)),"")</f>
        <v/>
      </c>
    </row>
    <row r="699" spans="1:17" x14ac:dyDescent="0.3">
      <c r="A699" s="3">
        <v>2033868</v>
      </c>
      <c r="B699">
        <v>11845</v>
      </c>
      <c r="C699">
        <v>1</v>
      </c>
      <c r="D699" s="9">
        <v>101</v>
      </c>
      <c r="E699">
        <v>1007</v>
      </c>
      <c r="F699" s="1">
        <v>44012</v>
      </c>
      <c r="G699" t="s">
        <v>86</v>
      </c>
      <c r="H699" s="4" t="s">
        <v>16</v>
      </c>
      <c r="I699" s="4">
        <v>-79.900000000000006</v>
      </c>
      <c r="J699" s="4">
        <v>-79.900000000000006</v>
      </c>
      <c r="K699" t="str">
        <f>IFERROR(INDEX(BusinessUnits!$B:$B,MATCH($C699,BusinessUnits!$A:$A,0)),"")</f>
        <v>FOOD SERVICE</v>
      </c>
      <c r="L699" t="str">
        <f>IFERROR(INDEX(Table1[[#All],[Description]],MATCH($C699,BusinessUnits!$A:$A,0)),"")</f>
        <v xml:space="preserve">Transactions related to food and beverage service. Includes all guest transactions in the hotel restaurants, catering-related transactions and food service payroll. </v>
      </c>
      <c r="M699" t="str">
        <f>IFERROR(INDEX(ChartOfAccounts!B698:B783,MATCH($B699,ChartOfAccounts!A698:A783,0)),"")</f>
        <v/>
      </c>
      <c r="N699" t="str">
        <f>IFERROR(INDEX(ChartOfAccounts!D:D,MATCH($B699,ChartOfAccounts!A698:A783,0)),"")</f>
        <v/>
      </c>
      <c r="O699" t="str">
        <f>IFERROR(INDEX(ChartOfAccounts!F:F,MATCH($B699,ChartOfAccounts!A698:A783,0)),"")</f>
        <v/>
      </c>
      <c r="P699" t="str" cm="1">
        <f t="array" ref="P699">IFERROR(INDEX(PreparerInfo!B698:B710,MATCH($D699&amp;$C699,PreparerInfo!A698:A710&amp;PreparerInfo!C698:C710,0)),"")</f>
        <v/>
      </c>
      <c r="Q699" t="str">
        <f>IFERROR(INDEX(Source!B698:B706,MATCH('Case 4 solution'!E699,Source!A698:A706,0)),"")</f>
        <v/>
      </c>
    </row>
    <row r="700" spans="1:17" x14ac:dyDescent="0.3">
      <c r="A700" s="3">
        <v>2033869</v>
      </c>
      <c r="B700">
        <v>14260</v>
      </c>
      <c r="C700">
        <v>1</v>
      </c>
      <c r="D700" s="9">
        <v>101</v>
      </c>
      <c r="E700">
        <v>1007</v>
      </c>
      <c r="F700" s="1">
        <v>44012</v>
      </c>
      <c r="G700" t="s">
        <v>244</v>
      </c>
      <c r="H700" s="4">
        <v>91.78</v>
      </c>
      <c r="I700" s="4" t="s">
        <v>16</v>
      </c>
      <c r="J700" s="4">
        <v>91.78</v>
      </c>
      <c r="K700" t="str">
        <f>IFERROR(INDEX(BusinessUnits!$B:$B,MATCH($C700,BusinessUnits!$A:$A,0)),"")</f>
        <v>FOOD SERVICE</v>
      </c>
      <c r="L700" t="str">
        <f>IFERROR(INDEX(Table1[[#All],[Description]],MATCH($C700,BusinessUnits!$A:$A,0)),"")</f>
        <v xml:space="preserve">Transactions related to food and beverage service. Includes all guest transactions in the hotel restaurants, catering-related transactions and food service payroll. </v>
      </c>
      <c r="M700" t="str">
        <f>IFERROR(INDEX(ChartOfAccounts!B699:B784,MATCH($B700,ChartOfAccounts!A699:A784,0)),"")</f>
        <v/>
      </c>
      <c r="N700" t="str">
        <f>IFERROR(INDEX(ChartOfAccounts!D:D,MATCH($B700,ChartOfAccounts!A699:A784,0)),"")</f>
        <v/>
      </c>
      <c r="O700" t="str">
        <f>IFERROR(INDEX(ChartOfAccounts!F:F,MATCH($B700,ChartOfAccounts!A699:A784,0)),"")</f>
        <v/>
      </c>
      <c r="P700" t="str" cm="1">
        <f t="array" ref="P700">IFERROR(INDEX(PreparerInfo!B699:B711,MATCH($D700&amp;$C700,PreparerInfo!A699:A711&amp;PreparerInfo!C699:C711,0)),"")</f>
        <v/>
      </c>
      <c r="Q700" t="str">
        <f>IFERROR(INDEX(Source!B699:B707,MATCH('Case 4 solution'!E700,Source!A699:A707,0)),"")</f>
        <v/>
      </c>
    </row>
    <row r="701" spans="1:17" x14ac:dyDescent="0.3">
      <c r="A701" s="3">
        <v>2033869</v>
      </c>
      <c r="B701">
        <v>11845</v>
      </c>
      <c r="C701">
        <v>1</v>
      </c>
      <c r="D701" s="9">
        <v>101</v>
      </c>
      <c r="E701">
        <v>1007</v>
      </c>
      <c r="F701" s="1">
        <v>44012</v>
      </c>
      <c r="G701" t="s">
        <v>244</v>
      </c>
      <c r="H701" s="4" t="s">
        <v>16</v>
      </c>
      <c r="I701" s="4">
        <v>-91.78</v>
      </c>
      <c r="J701" s="4">
        <v>-91.78</v>
      </c>
      <c r="K701" t="str">
        <f>IFERROR(INDEX(BusinessUnits!$B:$B,MATCH($C701,BusinessUnits!$A:$A,0)),"")</f>
        <v>FOOD SERVICE</v>
      </c>
      <c r="L701" t="str">
        <f>IFERROR(INDEX(Table1[[#All],[Description]],MATCH($C701,BusinessUnits!$A:$A,0)),"")</f>
        <v xml:space="preserve">Transactions related to food and beverage service. Includes all guest transactions in the hotel restaurants, catering-related transactions and food service payroll. </v>
      </c>
      <c r="M701" t="str">
        <f>IFERROR(INDEX(ChartOfAccounts!B700:B785,MATCH($B701,ChartOfAccounts!A700:A785,0)),"")</f>
        <v/>
      </c>
      <c r="N701" t="str">
        <f>IFERROR(INDEX(ChartOfAccounts!D:D,MATCH($B701,ChartOfAccounts!A700:A785,0)),"")</f>
        <v/>
      </c>
      <c r="O701" t="str">
        <f>IFERROR(INDEX(ChartOfAccounts!F:F,MATCH($B701,ChartOfAccounts!A700:A785,0)),"")</f>
        <v/>
      </c>
      <c r="P701" t="str" cm="1">
        <f t="array" ref="P701">IFERROR(INDEX(PreparerInfo!B700:B712,MATCH($D701&amp;$C701,PreparerInfo!A700:A712&amp;PreparerInfo!C700:C712,0)),"")</f>
        <v/>
      </c>
      <c r="Q701" t="str">
        <f>IFERROR(INDEX(Source!B700:B708,MATCH('Case 4 solution'!E701,Source!A700:A708,0)),"")</f>
        <v/>
      </c>
    </row>
    <row r="702" spans="1:17" x14ac:dyDescent="0.3">
      <c r="A702" s="3">
        <v>2033870</v>
      </c>
      <c r="B702">
        <v>71400</v>
      </c>
      <c r="C702">
        <v>4</v>
      </c>
      <c r="D702" s="9">
        <v>101</v>
      </c>
      <c r="E702">
        <v>1007</v>
      </c>
      <c r="F702" s="1">
        <v>44012</v>
      </c>
      <c r="G702" t="s">
        <v>78</v>
      </c>
      <c r="H702" s="4">
        <v>93.39</v>
      </c>
      <c r="I702" s="4" t="s">
        <v>16</v>
      </c>
      <c r="J702" s="4">
        <v>93.39</v>
      </c>
      <c r="K702" t="str">
        <f>IFERROR(INDEX(BusinessUnits!$B:$B,MATCH($C702,BusinessUnits!$A:$A,0)),"")</f>
        <v>HOUSEKEEPING</v>
      </c>
      <c r="L702" t="str">
        <f>IFERROR(INDEX(Table1[[#All],[Description]],MATCH($C702,BusinessUnits!$A:$A,0)),"")</f>
        <v xml:space="preserve">Transactions related to the Housekeeping Department. Primarily includes payroll for housekeepers and housekeeping supplies. </v>
      </c>
      <c r="M702" t="str">
        <f>IFERROR(INDEX(ChartOfAccounts!B701:B786,MATCH($B702,ChartOfAccounts!A701:A786,0)),"")</f>
        <v/>
      </c>
      <c r="N702" t="str">
        <f>IFERROR(INDEX(ChartOfAccounts!D:D,MATCH($B702,ChartOfAccounts!A701:A786,0)),"")</f>
        <v/>
      </c>
      <c r="O702" t="str">
        <f>IFERROR(INDEX(ChartOfAccounts!F:F,MATCH($B702,ChartOfAccounts!A701:A786,0)),"")</f>
        <v/>
      </c>
      <c r="P702" t="str" cm="1">
        <f t="array" ref="P702">IFERROR(INDEX(PreparerInfo!B701:B713,MATCH($D702&amp;$C702,PreparerInfo!A701:A713&amp;PreparerInfo!C701:C713,0)),"")</f>
        <v/>
      </c>
      <c r="Q702" t="str">
        <f>IFERROR(INDEX(Source!B701:B709,MATCH('Case 4 solution'!E702,Source!A701:A709,0)),"")</f>
        <v/>
      </c>
    </row>
    <row r="703" spans="1:17" x14ac:dyDescent="0.3">
      <c r="A703" s="3">
        <v>2033870</v>
      </c>
      <c r="B703">
        <v>11845</v>
      </c>
      <c r="C703">
        <v>4</v>
      </c>
      <c r="D703" s="9">
        <v>101</v>
      </c>
      <c r="E703">
        <v>1007</v>
      </c>
      <c r="F703" s="1">
        <v>44012</v>
      </c>
      <c r="G703" t="s">
        <v>78</v>
      </c>
      <c r="H703" s="4" t="s">
        <v>16</v>
      </c>
      <c r="I703" s="4">
        <v>-93.39</v>
      </c>
      <c r="J703" s="4">
        <v>-93.39</v>
      </c>
      <c r="K703" t="str">
        <f>IFERROR(INDEX(BusinessUnits!$B:$B,MATCH($C703,BusinessUnits!$A:$A,0)),"")</f>
        <v>HOUSEKEEPING</v>
      </c>
      <c r="L703" t="str">
        <f>IFERROR(INDEX(Table1[[#All],[Description]],MATCH($C703,BusinessUnits!$A:$A,0)),"")</f>
        <v xml:space="preserve">Transactions related to the Housekeeping Department. Primarily includes payroll for housekeepers and housekeeping supplies. </v>
      </c>
      <c r="M703" t="str">
        <f>IFERROR(INDEX(ChartOfAccounts!B702:B787,MATCH($B703,ChartOfAccounts!A702:A787,0)),"")</f>
        <v/>
      </c>
      <c r="N703" t="str">
        <f>IFERROR(INDEX(ChartOfAccounts!D:D,MATCH($B703,ChartOfAccounts!A702:A787,0)),"")</f>
        <v/>
      </c>
      <c r="O703" t="str">
        <f>IFERROR(INDEX(ChartOfAccounts!F:F,MATCH($B703,ChartOfAccounts!A702:A787,0)),"")</f>
        <v/>
      </c>
      <c r="P703" t="str" cm="1">
        <f t="array" ref="P703">IFERROR(INDEX(PreparerInfo!B702:B714,MATCH($D703&amp;$C703,PreparerInfo!A702:A714&amp;PreparerInfo!C702:C714,0)),"")</f>
        <v/>
      </c>
      <c r="Q703" t="str">
        <f>IFERROR(INDEX(Source!B702:B710,MATCH('Case 4 solution'!E703,Source!A702:A710,0)),"")</f>
        <v/>
      </c>
    </row>
    <row r="704" spans="1:17" x14ac:dyDescent="0.3">
      <c r="A704" s="3">
        <v>2033871</v>
      </c>
      <c r="B704">
        <v>11845</v>
      </c>
      <c r="C704">
        <v>2</v>
      </c>
      <c r="D704" s="9">
        <v>104</v>
      </c>
      <c r="E704">
        <v>1003</v>
      </c>
      <c r="F704" s="1">
        <v>44012</v>
      </c>
      <c r="G704" t="s">
        <v>245</v>
      </c>
      <c r="H704" s="4">
        <v>99</v>
      </c>
      <c r="I704" s="4" t="s">
        <v>16</v>
      </c>
      <c r="J704" s="4">
        <v>99</v>
      </c>
      <c r="K704" t="str">
        <f>IFERROR(INDEX(BusinessUnits!$B:$B,MATCH($C704,BusinessUnits!$A:$A,0)),"")</f>
        <v>HOTEL</v>
      </c>
      <c r="L704" t="str">
        <f>IFERROR(INDEX(Table1[[#All],[Description]],MATCH($C704,BusinessUnits!$A:$A,0)),"")</f>
        <v xml:space="preserve">Transactions related to guest rooms and overall hotel operations. Includes payroll for administrative staff, clerks and interns. </v>
      </c>
      <c r="M704" t="str">
        <f>IFERROR(INDEX(ChartOfAccounts!B703:B788,MATCH($B704,ChartOfAccounts!A703:A788,0)),"")</f>
        <v/>
      </c>
      <c r="N704" t="str">
        <f>IFERROR(INDEX(ChartOfAccounts!D:D,MATCH($B704,ChartOfAccounts!A703:A788,0)),"")</f>
        <v/>
      </c>
      <c r="O704" t="str">
        <f>IFERROR(INDEX(ChartOfAccounts!F:F,MATCH($B704,ChartOfAccounts!A703:A788,0)),"")</f>
        <v/>
      </c>
      <c r="P704" t="str" cm="1">
        <f t="array" ref="P704">IFERROR(INDEX(PreparerInfo!B703:B715,MATCH($D704&amp;$C704,PreparerInfo!A703:A715&amp;PreparerInfo!C703:C715,0)),"")</f>
        <v/>
      </c>
      <c r="Q704" t="str">
        <f>IFERROR(INDEX(Source!B703:B711,MATCH('Case 4 solution'!E704,Source!A703:A711,0)),"")</f>
        <v/>
      </c>
    </row>
    <row r="705" spans="1:17" x14ac:dyDescent="0.3">
      <c r="A705" s="3">
        <v>2033871</v>
      </c>
      <c r="B705">
        <v>43180</v>
      </c>
      <c r="C705">
        <v>2</v>
      </c>
      <c r="D705" s="9">
        <v>104</v>
      </c>
      <c r="E705">
        <v>1003</v>
      </c>
      <c r="F705" s="1">
        <v>44012</v>
      </c>
      <c r="G705" t="s">
        <v>245</v>
      </c>
      <c r="H705" s="4" t="s">
        <v>16</v>
      </c>
      <c r="I705" s="4">
        <v>-99</v>
      </c>
      <c r="J705" s="4">
        <v>-99</v>
      </c>
      <c r="K705" t="str">
        <f>IFERROR(INDEX(BusinessUnits!$B:$B,MATCH($C705,BusinessUnits!$A:$A,0)),"")</f>
        <v>HOTEL</v>
      </c>
      <c r="L705" t="str">
        <f>IFERROR(INDEX(Table1[[#All],[Description]],MATCH($C705,BusinessUnits!$A:$A,0)),"")</f>
        <v xml:space="preserve">Transactions related to guest rooms and overall hotel operations. Includes payroll for administrative staff, clerks and interns. </v>
      </c>
      <c r="M705" t="str">
        <f>IFERROR(INDEX(ChartOfAccounts!B704:B789,MATCH($B705,ChartOfAccounts!A704:A789,0)),"")</f>
        <v/>
      </c>
      <c r="N705" t="str">
        <f>IFERROR(INDEX(ChartOfAccounts!D:D,MATCH($B705,ChartOfAccounts!A704:A789,0)),"")</f>
        <v/>
      </c>
      <c r="O705" t="str">
        <f>IFERROR(INDEX(ChartOfAccounts!F:F,MATCH($B705,ChartOfAccounts!A704:A789,0)),"")</f>
        <v/>
      </c>
      <c r="P705" t="str" cm="1">
        <f t="array" ref="P705">IFERROR(INDEX(PreparerInfo!B704:B716,MATCH($D705&amp;$C705,PreparerInfo!A704:A716&amp;PreparerInfo!C704:C716,0)),"")</f>
        <v/>
      </c>
      <c r="Q705" t="str">
        <f>IFERROR(INDEX(Source!B704:B712,MATCH('Case 4 solution'!E705,Source!A704:A712,0)),"")</f>
        <v/>
      </c>
    </row>
    <row r="706" spans="1:17" x14ac:dyDescent="0.3">
      <c r="A706" s="3">
        <v>2033872</v>
      </c>
      <c r="B706">
        <v>71410</v>
      </c>
      <c r="C706">
        <v>1</v>
      </c>
      <c r="D706" s="9">
        <v>101</v>
      </c>
      <c r="E706">
        <v>1007</v>
      </c>
      <c r="F706" s="1">
        <v>44012</v>
      </c>
      <c r="G706" t="s">
        <v>79</v>
      </c>
      <c r="H706" s="4">
        <v>116.62</v>
      </c>
      <c r="I706" s="4" t="s">
        <v>16</v>
      </c>
      <c r="J706" s="4">
        <v>116.62</v>
      </c>
      <c r="K706" t="str">
        <f>IFERROR(INDEX(BusinessUnits!$B:$B,MATCH($C706,BusinessUnits!$A:$A,0)),"")</f>
        <v>FOOD SERVICE</v>
      </c>
      <c r="L706" t="str">
        <f>IFERROR(INDEX(Table1[[#All],[Description]],MATCH($C706,BusinessUnits!$A:$A,0)),"")</f>
        <v xml:space="preserve">Transactions related to food and beverage service. Includes all guest transactions in the hotel restaurants, catering-related transactions and food service payroll. </v>
      </c>
      <c r="M706" t="str">
        <f>IFERROR(INDEX(ChartOfAccounts!B705:B790,MATCH($B706,ChartOfAccounts!A705:A790,0)),"")</f>
        <v/>
      </c>
      <c r="N706" t="str">
        <f>IFERROR(INDEX(ChartOfAccounts!D:D,MATCH($B706,ChartOfAccounts!A705:A790,0)),"")</f>
        <v/>
      </c>
      <c r="O706" t="str">
        <f>IFERROR(INDEX(ChartOfAccounts!F:F,MATCH($B706,ChartOfAccounts!A705:A790,0)),"")</f>
        <v/>
      </c>
      <c r="P706" t="str" cm="1">
        <f t="array" ref="P706">IFERROR(INDEX(PreparerInfo!B705:B717,MATCH($D706&amp;$C706,PreparerInfo!A705:A717&amp;PreparerInfo!C705:C717,0)),"")</f>
        <v/>
      </c>
      <c r="Q706" t="str">
        <f>IFERROR(INDEX(Source!B705:B713,MATCH('Case 4 solution'!E706,Source!A705:A713,0)),"")</f>
        <v/>
      </c>
    </row>
    <row r="707" spans="1:17" x14ac:dyDescent="0.3">
      <c r="A707" s="3">
        <v>2033872</v>
      </c>
      <c r="B707">
        <v>11845</v>
      </c>
      <c r="C707">
        <v>1</v>
      </c>
      <c r="D707" s="9">
        <v>101</v>
      </c>
      <c r="E707">
        <v>1007</v>
      </c>
      <c r="F707" s="1">
        <v>44012</v>
      </c>
      <c r="G707" t="s">
        <v>79</v>
      </c>
      <c r="H707" s="4" t="s">
        <v>16</v>
      </c>
      <c r="I707" s="4">
        <v>-116.62</v>
      </c>
      <c r="J707" s="4">
        <v>-116.62</v>
      </c>
      <c r="K707" t="str">
        <f>IFERROR(INDEX(BusinessUnits!$B:$B,MATCH($C707,BusinessUnits!$A:$A,0)),"")</f>
        <v>FOOD SERVICE</v>
      </c>
      <c r="L707" t="str">
        <f>IFERROR(INDEX(Table1[[#All],[Description]],MATCH($C707,BusinessUnits!$A:$A,0)),"")</f>
        <v xml:space="preserve">Transactions related to food and beverage service. Includes all guest transactions in the hotel restaurants, catering-related transactions and food service payroll. </v>
      </c>
      <c r="M707" t="str">
        <f>IFERROR(INDEX(ChartOfAccounts!B706:B791,MATCH($B707,ChartOfAccounts!A706:A791,0)),"")</f>
        <v/>
      </c>
      <c r="N707" t="str">
        <f>IFERROR(INDEX(ChartOfAccounts!D:D,MATCH($B707,ChartOfAccounts!A706:A791,0)),"")</f>
        <v/>
      </c>
      <c r="O707" t="str">
        <f>IFERROR(INDEX(ChartOfAccounts!F:F,MATCH($B707,ChartOfAccounts!A706:A791,0)),"")</f>
        <v/>
      </c>
      <c r="P707" t="str" cm="1">
        <f t="array" ref="P707">IFERROR(INDEX(PreparerInfo!B706:B718,MATCH($D707&amp;$C707,PreparerInfo!A706:A718&amp;PreparerInfo!C706:C718,0)),"")</f>
        <v/>
      </c>
      <c r="Q707" t="str">
        <f>IFERROR(INDEX(Source!B706:B714,MATCH('Case 4 solution'!E707,Source!A706:A714,0)),"")</f>
        <v/>
      </c>
    </row>
    <row r="708" spans="1:17" x14ac:dyDescent="0.3">
      <c r="A708" s="3">
        <v>2033873</v>
      </c>
      <c r="B708">
        <v>71400</v>
      </c>
      <c r="C708">
        <v>1</v>
      </c>
      <c r="D708" s="9">
        <v>101</v>
      </c>
      <c r="E708">
        <v>1007</v>
      </c>
      <c r="F708" s="1">
        <v>44012</v>
      </c>
      <c r="G708" t="s">
        <v>95</v>
      </c>
      <c r="H708" s="4">
        <v>129.19999999999999</v>
      </c>
      <c r="I708" s="4" t="s">
        <v>16</v>
      </c>
      <c r="J708" s="4">
        <v>129.19999999999999</v>
      </c>
      <c r="K708" t="str">
        <f>IFERROR(INDEX(BusinessUnits!$B:$B,MATCH($C708,BusinessUnits!$A:$A,0)),"")</f>
        <v>FOOD SERVICE</v>
      </c>
      <c r="L708" t="str">
        <f>IFERROR(INDEX(Table1[[#All],[Description]],MATCH($C708,BusinessUnits!$A:$A,0)),"")</f>
        <v xml:space="preserve">Transactions related to food and beverage service. Includes all guest transactions in the hotel restaurants, catering-related transactions and food service payroll. </v>
      </c>
      <c r="M708" t="str">
        <f>IFERROR(INDEX(ChartOfAccounts!B707:B792,MATCH($B708,ChartOfAccounts!A707:A792,0)),"")</f>
        <v/>
      </c>
      <c r="N708" t="str">
        <f>IFERROR(INDEX(ChartOfAccounts!D:D,MATCH($B708,ChartOfAccounts!A707:A792,0)),"")</f>
        <v/>
      </c>
      <c r="O708" t="str">
        <f>IFERROR(INDEX(ChartOfAccounts!F:F,MATCH($B708,ChartOfAccounts!A707:A792,0)),"")</f>
        <v/>
      </c>
      <c r="P708" t="str" cm="1">
        <f t="array" ref="P708">IFERROR(INDEX(PreparerInfo!B707:B719,MATCH($D708&amp;$C708,PreparerInfo!A707:A719&amp;PreparerInfo!C707:C719,0)),"")</f>
        <v/>
      </c>
      <c r="Q708" t="str">
        <f>IFERROR(INDEX(Source!B707:B715,MATCH('Case 4 solution'!E708,Source!A707:A715,0)),"")</f>
        <v/>
      </c>
    </row>
    <row r="709" spans="1:17" x14ac:dyDescent="0.3">
      <c r="A709" s="3">
        <v>2033873</v>
      </c>
      <c r="B709">
        <v>11845</v>
      </c>
      <c r="C709">
        <v>1</v>
      </c>
      <c r="D709" s="9">
        <v>101</v>
      </c>
      <c r="E709">
        <v>1007</v>
      </c>
      <c r="F709" s="1">
        <v>44012</v>
      </c>
      <c r="G709" t="s">
        <v>95</v>
      </c>
      <c r="H709" s="4" t="s">
        <v>16</v>
      </c>
      <c r="I709" s="4">
        <v>-129.19999999999999</v>
      </c>
      <c r="J709" s="4">
        <v>-129.19999999999999</v>
      </c>
      <c r="K709" t="str">
        <f>IFERROR(INDEX(BusinessUnits!$B:$B,MATCH($C709,BusinessUnits!$A:$A,0)),"")</f>
        <v>FOOD SERVICE</v>
      </c>
      <c r="L709" t="str">
        <f>IFERROR(INDEX(Table1[[#All],[Description]],MATCH($C709,BusinessUnits!$A:$A,0)),"")</f>
        <v xml:space="preserve">Transactions related to food and beverage service. Includes all guest transactions in the hotel restaurants, catering-related transactions and food service payroll. </v>
      </c>
      <c r="M709" t="str">
        <f>IFERROR(INDEX(ChartOfAccounts!B708:B793,MATCH($B709,ChartOfAccounts!A708:A793,0)),"")</f>
        <v/>
      </c>
      <c r="N709" t="str">
        <f>IFERROR(INDEX(ChartOfAccounts!D:D,MATCH($B709,ChartOfAccounts!A708:A793,0)),"")</f>
        <v/>
      </c>
      <c r="O709" t="str">
        <f>IFERROR(INDEX(ChartOfAccounts!F:F,MATCH($B709,ChartOfAccounts!A708:A793,0)),"")</f>
        <v/>
      </c>
      <c r="P709" t="str" cm="1">
        <f t="array" ref="P709">IFERROR(INDEX(PreparerInfo!B708:B720,MATCH($D709&amp;$C709,PreparerInfo!A708:A720&amp;PreparerInfo!C708:C720,0)),"")</f>
        <v/>
      </c>
      <c r="Q709" t="str">
        <f>IFERROR(INDEX(Source!B708:B716,MATCH('Case 4 solution'!E709,Source!A708:A716,0)),"")</f>
        <v/>
      </c>
    </row>
    <row r="710" spans="1:17" x14ac:dyDescent="0.3">
      <c r="A710" s="3">
        <v>2033874</v>
      </c>
      <c r="B710">
        <v>71400</v>
      </c>
      <c r="C710">
        <v>1</v>
      </c>
      <c r="D710" s="9">
        <v>101</v>
      </c>
      <c r="E710">
        <v>1007</v>
      </c>
      <c r="F710" s="1">
        <v>44012</v>
      </c>
      <c r="G710" t="s">
        <v>88</v>
      </c>
      <c r="H710" s="4">
        <v>137.05000000000001</v>
      </c>
      <c r="I710" s="4" t="s">
        <v>16</v>
      </c>
      <c r="J710" s="4">
        <v>137.05000000000001</v>
      </c>
      <c r="K710" t="str">
        <f>IFERROR(INDEX(BusinessUnits!$B:$B,MATCH($C710,BusinessUnits!$A:$A,0)),"")</f>
        <v>FOOD SERVICE</v>
      </c>
      <c r="L710" t="str">
        <f>IFERROR(INDEX(Table1[[#All],[Description]],MATCH($C710,BusinessUnits!$A:$A,0)),"")</f>
        <v xml:space="preserve">Transactions related to food and beverage service. Includes all guest transactions in the hotel restaurants, catering-related transactions and food service payroll. </v>
      </c>
      <c r="M710" t="str">
        <f>IFERROR(INDEX(ChartOfAccounts!B709:B794,MATCH($B710,ChartOfAccounts!A709:A794,0)),"")</f>
        <v/>
      </c>
      <c r="N710" t="str">
        <f>IFERROR(INDEX(ChartOfAccounts!D:D,MATCH($B710,ChartOfAccounts!A709:A794,0)),"")</f>
        <v/>
      </c>
      <c r="O710" t="str">
        <f>IFERROR(INDEX(ChartOfAccounts!F:F,MATCH($B710,ChartOfAccounts!A709:A794,0)),"")</f>
        <v/>
      </c>
      <c r="P710" t="str" cm="1">
        <f t="array" ref="P710">IFERROR(INDEX(PreparerInfo!B709:B721,MATCH($D710&amp;$C710,PreparerInfo!A709:A721&amp;PreparerInfo!C709:C721,0)),"")</f>
        <v/>
      </c>
      <c r="Q710" t="str">
        <f>IFERROR(INDEX(Source!B709:B717,MATCH('Case 4 solution'!E710,Source!A709:A717,0)),"")</f>
        <v/>
      </c>
    </row>
    <row r="711" spans="1:17" x14ac:dyDescent="0.3">
      <c r="A711" s="3">
        <v>2033874</v>
      </c>
      <c r="B711">
        <v>11845</v>
      </c>
      <c r="C711">
        <v>1</v>
      </c>
      <c r="D711" s="9">
        <v>101</v>
      </c>
      <c r="E711">
        <v>1007</v>
      </c>
      <c r="F711" s="1">
        <v>44012</v>
      </c>
      <c r="G711" t="s">
        <v>88</v>
      </c>
      <c r="H711" s="4" t="s">
        <v>16</v>
      </c>
      <c r="I711" s="4">
        <v>-137.05000000000001</v>
      </c>
      <c r="J711" s="4">
        <v>-137.05000000000001</v>
      </c>
      <c r="K711" t="str">
        <f>IFERROR(INDEX(BusinessUnits!$B:$B,MATCH($C711,BusinessUnits!$A:$A,0)),"")</f>
        <v>FOOD SERVICE</v>
      </c>
      <c r="L711" t="str">
        <f>IFERROR(INDEX(Table1[[#All],[Description]],MATCH($C711,BusinessUnits!$A:$A,0)),"")</f>
        <v xml:space="preserve">Transactions related to food and beverage service. Includes all guest transactions in the hotel restaurants, catering-related transactions and food service payroll. </v>
      </c>
      <c r="M711" t="str">
        <f>IFERROR(INDEX(ChartOfAccounts!B710:B795,MATCH($B711,ChartOfAccounts!A710:A795,0)),"")</f>
        <v/>
      </c>
      <c r="N711" t="str">
        <f>IFERROR(INDEX(ChartOfAccounts!D:D,MATCH($B711,ChartOfAccounts!A710:A795,0)),"")</f>
        <v/>
      </c>
      <c r="O711" t="str">
        <f>IFERROR(INDEX(ChartOfAccounts!F:F,MATCH($B711,ChartOfAccounts!A710:A795,0)),"")</f>
        <v/>
      </c>
      <c r="P711" t="str" cm="1">
        <f t="array" ref="P711">IFERROR(INDEX(PreparerInfo!B710:B722,MATCH($D711&amp;$C711,PreparerInfo!A710:A722&amp;PreparerInfo!C710:C722,0)),"")</f>
        <v/>
      </c>
      <c r="Q711" t="str">
        <f>IFERROR(INDEX(Source!B710:B718,MATCH('Case 4 solution'!E711,Source!A710:A718,0)),"")</f>
        <v/>
      </c>
    </row>
    <row r="712" spans="1:17" x14ac:dyDescent="0.3">
      <c r="A712" s="3">
        <v>2033875</v>
      </c>
      <c r="B712">
        <v>71400</v>
      </c>
      <c r="C712">
        <v>1</v>
      </c>
      <c r="D712" s="9">
        <v>101</v>
      </c>
      <c r="E712">
        <v>1007</v>
      </c>
      <c r="F712" s="1">
        <v>44012</v>
      </c>
      <c r="G712" t="s">
        <v>246</v>
      </c>
      <c r="H712" s="4">
        <v>152.02000000000001</v>
      </c>
      <c r="I712" s="4" t="s">
        <v>16</v>
      </c>
      <c r="J712" s="4">
        <v>152.02000000000001</v>
      </c>
      <c r="K712" t="str">
        <f>IFERROR(INDEX(BusinessUnits!$B:$B,MATCH($C712,BusinessUnits!$A:$A,0)),"")</f>
        <v>FOOD SERVICE</v>
      </c>
      <c r="L712" t="str">
        <f>IFERROR(INDEX(Table1[[#All],[Description]],MATCH($C712,BusinessUnits!$A:$A,0)),"")</f>
        <v xml:space="preserve">Transactions related to food and beverage service. Includes all guest transactions in the hotel restaurants, catering-related transactions and food service payroll. </v>
      </c>
      <c r="M712" t="str">
        <f>IFERROR(INDEX(ChartOfAccounts!B711:B796,MATCH($B712,ChartOfAccounts!A711:A796,0)),"")</f>
        <v/>
      </c>
      <c r="N712" t="str">
        <f>IFERROR(INDEX(ChartOfAccounts!D:D,MATCH($B712,ChartOfAccounts!A711:A796,0)),"")</f>
        <v/>
      </c>
      <c r="O712" t="str">
        <f>IFERROR(INDEX(ChartOfAccounts!F:F,MATCH($B712,ChartOfAccounts!A711:A796,0)),"")</f>
        <v/>
      </c>
      <c r="P712" t="str" cm="1">
        <f t="array" ref="P712">IFERROR(INDEX(PreparerInfo!B711:B723,MATCH($D712&amp;$C712,PreparerInfo!A711:A723&amp;PreparerInfo!C711:C723,0)),"")</f>
        <v/>
      </c>
      <c r="Q712" t="str">
        <f>IFERROR(INDEX(Source!B711:B719,MATCH('Case 4 solution'!E712,Source!A711:A719,0)),"")</f>
        <v/>
      </c>
    </row>
    <row r="713" spans="1:17" x14ac:dyDescent="0.3">
      <c r="A713" s="3">
        <v>2033875</v>
      </c>
      <c r="B713">
        <v>11845</v>
      </c>
      <c r="C713">
        <v>1</v>
      </c>
      <c r="D713" s="9">
        <v>101</v>
      </c>
      <c r="E713">
        <v>1007</v>
      </c>
      <c r="F713" s="1">
        <v>44012</v>
      </c>
      <c r="G713" t="s">
        <v>246</v>
      </c>
      <c r="H713" s="4" t="s">
        <v>16</v>
      </c>
      <c r="I713" s="4">
        <v>-152.02000000000001</v>
      </c>
      <c r="J713" s="4">
        <v>-152.02000000000001</v>
      </c>
      <c r="K713" t="str">
        <f>IFERROR(INDEX(BusinessUnits!$B:$B,MATCH($C713,BusinessUnits!$A:$A,0)),"")</f>
        <v>FOOD SERVICE</v>
      </c>
      <c r="L713" t="str">
        <f>IFERROR(INDEX(Table1[[#All],[Description]],MATCH($C713,BusinessUnits!$A:$A,0)),"")</f>
        <v xml:space="preserve">Transactions related to food and beverage service. Includes all guest transactions in the hotel restaurants, catering-related transactions and food service payroll. </v>
      </c>
      <c r="M713" t="str">
        <f>IFERROR(INDEX(ChartOfAccounts!B712:B797,MATCH($B713,ChartOfAccounts!A712:A797,0)),"")</f>
        <v/>
      </c>
      <c r="N713" t="str">
        <f>IFERROR(INDEX(ChartOfAccounts!D:D,MATCH($B713,ChartOfAccounts!A712:A797,0)),"")</f>
        <v/>
      </c>
      <c r="O713" t="str">
        <f>IFERROR(INDEX(ChartOfAccounts!F:F,MATCH($B713,ChartOfAccounts!A712:A797,0)),"")</f>
        <v/>
      </c>
      <c r="P713" t="str" cm="1">
        <f t="array" ref="P713">IFERROR(INDEX(PreparerInfo!B712:B724,MATCH($D713&amp;$C713,PreparerInfo!A712:A724&amp;PreparerInfo!C712:C724,0)),"")</f>
        <v/>
      </c>
      <c r="Q713" t="str">
        <f>IFERROR(INDEX(Source!B712:B720,MATCH('Case 4 solution'!E713,Source!A712:A720,0)),"")</f>
        <v/>
      </c>
    </row>
    <row r="714" spans="1:17" x14ac:dyDescent="0.3">
      <c r="A714" s="3">
        <v>2033876</v>
      </c>
      <c r="B714">
        <v>71400</v>
      </c>
      <c r="C714">
        <v>4</v>
      </c>
      <c r="D714" s="9">
        <v>101</v>
      </c>
      <c r="E714">
        <v>1007</v>
      </c>
      <c r="F714" s="1">
        <v>44012</v>
      </c>
      <c r="G714" t="s">
        <v>132</v>
      </c>
      <c r="H714" s="4">
        <v>159.9</v>
      </c>
      <c r="I714" s="4" t="s">
        <v>16</v>
      </c>
      <c r="J714" s="4">
        <v>159.9</v>
      </c>
      <c r="K714" t="str">
        <f>IFERROR(INDEX(BusinessUnits!$B:$B,MATCH($C714,BusinessUnits!$A:$A,0)),"")</f>
        <v>HOUSEKEEPING</v>
      </c>
      <c r="L714" t="str">
        <f>IFERROR(INDEX(Table1[[#All],[Description]],MATCH($C714,BusinessUnits!$A:$A,0)),"")</f>
        <v xml:space="preserve">Transactions related to the Housekeeping Department. Primarily includes payroll for housekeepers and housekeeping supplies. </v>
      </c>
      <c r="M714" t="str">
        <f>IFERROR(INDEX(ChartOfAccounts!B713:B798,MATCH($B714,ChartOfAccounts!A713:A798,0)),"")</f>
        <v/>
      </c>
      <c r="N714" t="str">
        <f>IFERROR(INDEX(ChartOfAccounts!D:D,MATCH($B714,ChartOfAccounts!A713:A798,0)),"")</f>
        <v/>
      </c>
      <c r="O714" t="str">
        <f>IFERROR(INDEX(ChartOfAccounts!F:F,MATCH($B714,ChartOfAccounts!A713:A798,0)),"")</f>
        <v/>
      </c>
      <c r="P714" t="str" cm="1">
        <f t="array" ref="P714">IFERROR(INDEX(PreparerInfo!B713:B725,MATCH($D714&amp;$C714,PreparerInfo!A713:A725&amp;PreparerInfo!C713:C725,0)),"")</f>
        <v/>
      </c>
      <c r="Q714" t="str">
        <f>IFERROR(INDEX(Source!B713:B721,MATCH('Case 4 solution'!E714,Source!A713:A721,0)),"")</f>
        <v/>
      </c>
    </row>
    <row r="715" spans="1:17" x14ac:dyDescent="0.3">
      <c r="A715" s="3">
        <v>2033876</v>
      </c>
      <c r="B715">
        <v>11845</v>
      </c>
      <c r="C715">
        <v>4</v>
      </c>
      <c r="D715" s="9">
        <v>101</v>
      </c>
      <c r="E715">
        <v>1007</v>
      </c>
      <c r="F715" s="1">
        <v>44012</v>
      </c>
      <c r="G715" t="s">
        <v>132</v>
      </c>
      <c r="H715" s="4" t="s">
        <v>16</v>
      </c>
      <c r="I715" s="4">
        <v>-159.9</v>
      </c>
      <c r="J715" s="4">
        <v>-159.9</v>
      </c>
      <c r="K715" t="str">
        <f>IFERROR(INDEX(BusinessUnits!$B:$B,MATCH($C715,BusinessUnits!$A:$A,0)),"")</f>
        <v>HOUSEKEEPING</v>
      </c>
      <c r="L715" t="str">
        <f>IFERROR(INDEX(Table1[[#All],[Description]],MATCH($C715,BusinessUnits!$A:$A,0)),"")</f>
        <v xml:space="preserve">Transactions related to the Housekeeping Department. Primarily includes payroll for housekeepers and housekeeping supplies. </v>
      </c>
      <c r="M715" t="str">
        <f>IFERROR(INDEX(ChartOfAccounts!B714:B799,MATCH($B715,ChartOfAccounts!A714:A799,0)),"")</f>
        <v/>
      </c>
      <c r="N715" t="str">
        <f>IFERROR(INDEX(ChartOfAccounts!D:D,MATCH($B715,ChartOfAccounts!A714:A799,0)),"")</f>
        <v/>
      </c>
      <c r="O715" t="str">
        <f>IFERROR(INDEX(ChartOfAccounts!F:F,MATCH($B715,ChartOfAccounts!A714:A799,0)),"")</f>
        <v/>
      </c>
      <c r="P715" t="str" cm="1">
        <f t="array" ref="P715">IFERROR(INDEX(PreparerInfo!B714:B726,MATCH($D715&amp;$C715,PreparerInfo!A714:A726&amp;PreparerInfo!C714:C726,0)),"")</f>
        <v/>
      </c>
      <c r="Q715" t="str">
        <f>IFERROR(INDEX(Source!B714:B722,MATCH('Case 4 solution'!E715,Source!A714:A722,0)),"")</f>
        <v/>
      </c>
    </row>
    <row r="716" spans="1:17" x14ac:dyDescent="0.3">
      <c r="A716" s="3">
        <v>2033877</v>
      </c>
      <c r="B716">
        <v>14250</v>
      </c>
      <c r="C716">
        <v>3</v>
      </c>
      <c r="D716" s="9">
        <v>101</v>
      </c>
      <c r="E716">
        <v>1007</v>
      </c>
      <c r="F716" s="1">
        <v>44012</v>
      </c>
      <c r="G716" t="s">
        <v>77</v>
      </c>
      <c r="H716" s="4">
        <v>166.2</v>
      </c>
      <c r="I716" s="4" t="s">
        <v>16</v>
      </c>
      <c r="J716" s="4">
        <v>166.2</v>
      </c>
      <c r="K716" t="str">
        <f>IFERROR(INDEX(BusinessUnits!$B:$B,MATCH($C716,BusinessUnits!$A:$A,0)),"")</f>
        <v>HOTEL PANTRY</v>
      </c>
      <c r="L716" t="str">
        <f>IFERROR(INDEX(Table1[[#All],[Description]],MATCH($C716,BusinessUnits!$A:$A,0)),"")</f>
        <v>Transactions related to the hotel convenience store, including some food and beverage costs.</v>
      </c>
      <c r="M716" t="str">
        <f>IFERROR(INDEX(ChartOfAccounts!B715:B800,MATCH($B716,ChartOfAccounts!A715:A800,0)),"")</f>
        <v/>
      </c>
      <c r="N716" t="str">
        <f>IFERROR(INDEX(ChartOfAccounts!D:D,MATCH($B716,ChartOfAccounts!A715:A800,0)),"")</f>
        <v/>
      </c>
      <c r="O716" t="str">
        <f>IFERROR(INDEX(ChartOfAccounts!F:F,MATCH($B716,ChartOfAccounts!A715:A800,0)),"")</f>
        <v/>
      </c>
      <c r="P716" t="str" cm="1">
        <f t="array" ref="P716">IFERROR(INDEX(PreparerInfo!B715:B727,MATCH($D716&amp;$C716,PreparerInfo!A715:A727&amp;PreparerInfo!C715:C727,0)),"")</f>
        <v/>
      </c>
      <c r="Q716" t="str">
        <f>IFERROR(INDEX(Source!B715:B723,MATCH('Case 4 solution'!E716,Source!A715:A723,0)),"")</f>
        <v/>
      </c>
    </row>
    <row r="717" spans="1:17" x14ac:dyDescent="0.3">
      <c r="A717" s="3">
        <v>2033877</v>
      </c>
      <c r="B717">
        <v>11845</v>
      </c>
      <c r="C717">
        <v>3</v>
      </c>
      <c r="D717" s="9">
        <v>101</v>
      </c>
      <c r="E717">
        <v>1007</v>
      </c>
      <c r="F717" s="1">
        <v>44012</v>
      </c>
      <c r="G717" t="s">
        <v>77</v>
      </c>
      <c r="H717" s="4" t="s">
        <v>16</v>
      </c>
      <c r="I717" s="4">
        <v>-166.2</v>
      </c>
      <c r="J717" s="4">
        <v>-166.2</v>
      </c>
      <c r="K717" t="str">
        <f>IFERROR(INDEX(BusinessUnits!$B:$B,MATCH($C717,BusinessUnits!$A:$A,0)),"")</f>
        <v>HOTEL PANTRY</v>
      </c>
      <c r="L717" t="str">
        <f>IFERROR(INDEX(Table1[[#All],[Description]],MATCH($C717,BusinessUnits!$A:$A,0)),"")</f>
        <v>Transactions related to the hotel convenience store, including some food and beverage costs.</v>
      </c>
      <c r="M717" t="str">
        <f>IFERROR(INDEX(ChartOfAccounts!B716:B801,MATCH($B717,ChartOfAccounts!A716:A801,0)),"")</f>
        <v/>
      </c>
      <c r="N717" t="str">
        <f>IFERROR(INDEX(ChartOfAccounts!D:D,MATCH($B717,ChartOfAccounts!A716:A801,0)),"")</f>
        <v/>
      </c>
      <c r="O717" t="str">
        <f>IFERROR(INDEX(ChartOfAccounts!F:F,MATCH($B717,ChartOfAccounts!A716:A801,0)),"")</f>
        <v/>
      </c>
      <c r="P717" t="str" cm="1">
        <f t="array" ref="P717">IFERROR(INDEX(PreparerInfo!B716:B728,MATCH($D717&amp;$C717,PreparerInfo!A716:A728&amp;PreparerInfo!C716:C728,0)),"")</f>
        <v/>
      </c>
      <c r="Q717" t="str">
        <f>IFERROR(INDEX(Source!B716:B724,MATCH('Case 4 solution'!E717,Source!A716:A724,0)),"")</f>
        <v/>
      </c>
    </row>
    <row r="718" spans="1:17" x14ac:dyDescent="0.3">
      <c r="A718" s="3">
        <v>2033878</v>
      </c>
      <c r="B718">
        <v>71900</v>
      </c>
      <c r="C718">
        <v>1</v>
      </c>
      <c r="D718" s="9">
        <v>102</v>
      </c>
      <c r="E718">
        <v>1002</v>
      </c>
      <c r="F718" s="1">
        <v>44012</v>
      </c>
      <c r="G718" t="s">
        <v>36</v>
      </c>
      <c r="H718" s="4">
        <v>223.2</v>
      </c>
      <c r="I718" s="4" t="s">
        <v>16</v>
      </c>
      <c r="J718" s="4">
        <v>223.2</v>
      </c>
      <c r="K718" t="str">
        <f>IFERROR(INDEX(BusinessUnits!$B:$B,MATCH($C718,BusinessUnits!$A:$A,0)),"")</f>
        <v>FOOD SERVICE</v>
      </c>
      <c r="L718" t="str">
        <f>IFERROR(INDEX(Table1[[#All],[Description]],MATCH($C718,BusinessUnits!$A:$A,0)),"")</f>
        <v xml:space="preserve">Transactions related to food and beverage service. Includes all guest transactions in the hotel restaurants, catering-related transactions and food service payroll. </v>
      </c>
      <c r="M718" t="str">
        <f>IFERROR(INDEX(ChartOfAccounts!B717:B802,MATCH($B718,ChartOfAccounts!A717:A802,0)),"")</f>
        <v/>
      </c>
      <c r="N718" t="str">
        <f>IFERROR(INDEX(ChartOfAccounts!D:D,MATCH($B718,ChartOfAccounts!A717:A802,0)),"")</f>
        <v/>
      </c>
      <c r="O718" t="str">
        <f>IFERROR(INDEX(ChartOfAccounts!F:F,MATCH($B718,ChartOfAccounts!A717:A802,0)),"")</f>
        <v/>
      </c>
      <c r="P718" t="str" cm="1">
        <f t="array" ref="P718">IFERROR(INDEX(PreparerInfo!B717:B729,MATCH($D718&amp;$C718,PreparerInfo!A717:A729&amp;PreparerInfo!C717:C729,0)),"")</f>
        <v/>
      </c>
      <c r="Q718" t="str">
        <f>IFERROR(INDEX(Source!B717:B725,MATCH('Case 4 solution'!E718,Source!A717:A725,0)),"")</f>
        <v/>
      </c>
    </row>
    <row r="719" spans="1:17" x14ac:dyDescent="0.3">
      <c r="A719" s="3">
        <v>2033878</v>
      </c>
      <c r="B719">
        <v>11845</v>
      </c>
      <c r="C719">
        <v>1</v>
      </c>
      <c r="D719" s="9">
        <v>102</v>
      </c>
      <c r="E719">
        <v>1002</v>
      </c>
      <c r="F719" s="1">
        <v>44012</v>
      </c>
      <c r="G719" t="s">
        <v>36</v>
      </c>
      <c r="H719" s="4" t="s">
        <v>16</v>
      </c>
      <c r="I719" s="4">
        <v>-223.2</v>
      </c>
      <c r="J719" s="4">
        <v>-223.2</v>
      </c>
      <c r="K719" t="str">
        <f>IFERROR(INDEX(BusinessUnits!$B:$B,MATCH($C719,BusinessUnits!$A:$A,0)),"")</f>
        <v>FOOD SERVICE</v>
      </c>
      <c r="L719" t="str">
        <f>IFERROR(INDEX(Table1[[#All],[Description]],MATCH($C719,BusinessUnits!$A:$A,0)),"")</f>
        <v xml:space="preserve">Transactions related to food and beverage service. Includes all guest transactions in the hotel restaurants, catering-related transactions and food service payroll. </v>
      </c>
      <c r="M719" t="str">
        <f>IFERROR(INDEX(ChartOfAccounts!B718:B803,MATCH($B719,ChartOfAccounts!A718:A803,0)),"")</f>
        <v/>
      </c>
      <c r="N719" t="str">
        <f>IFERROR(INDEX(ChartOfAccounts!D:D,MATCH($B719,ChartOfAccounts!A718:A803,0)),"")</f>
        <v/>
      </c>
      <c r="O719" t="str">
        <f>IFERROR(INDEX(ChartOfAccounts!F:F,MATCH($B719,ChartOfAccounts!A718:A803,0)),"")</f>
        <v/>
      </c>
      <c r="P719" t="str" cm="1">
        <f t="array" ref="P719">IFERROR(INDEX(PreparerInfo!B718:B730,MATCH($D719&amp;$C719,PreparerInfo!A718:A730&amp;PreparerInfo!C718:C730,0)),"")</f>
        <v/>
      </c>
      <c r="Q719" t="str">
        <f>IFERROR(INDEX(Source!B718:B726,MATCH('Case 4 solution'!E719,Source!A718:A726,0)),"")</f>
        <v/>
      </c>
    </row>
    <row r="720" spans="1:17" x14ac:dyDescent="0.3">
      <c r="A720" s="3">
        <v>2033879</v>
      </c>
      <c r="B720">
        <v>71400</v>
      </c>
      <c r="C720">
        <v>2</v>
      </c>
      <c r="D720" s="9">
        <v>101</v>
      </c>
      <c r="E720">
        <v>1002</v>
      </c>
      <c r="F720" s="1">
        <v>44012</v>
      </c>
      <c r="G720" t="s">
        <v>208</v>
      </c>
      <c r="H720" s="4">
        <v>294.39999999999998</v>
      </c>
      <c r="I720" s="4" t="s">
        <v>16</v>
      </c>
      <c r="J720" s="4">
        <v>294.39999999999998</v>
      </c>
      <c r="K720" t="str">
        <f>IFERROR(INDEX(BusinessUnits!$B:$B,MATCH($C720,BusinessUnits!$A:$A,0)),"")</f>
        <v>HOTEL</v>
      </c>
      <c r="L720" t="str">
        <f>IFERROR(INDEX(Table1[[#All],[Description]],MATCH($C720,BusinessUnits!$A:$A,0)),"")</f>
        <v xml:space="preserve">Transactions related to guest rooms and overall hotel operations. Includes payroll for administrative staff, clerks and interns. </v>
      </c>
      <c r="M720" t="str">
        <f>IFERROR(INDEX(ChartOfAccounts!B719:B804,MATCH($B720,ChartOfAccounts!A719:A804,0)),"")</f>
        <v/>
      </c>
      <c r="N720" t="str">
        <f>IFERROR(INDEX(ChartOfAccounts!D:D,MATCH($B720,ChartOfAccounts!A719:A804,0)),"")</f>
        <v/>
      </c>
      <c r="O720" t="str">
        <f>IFERROR(INDEX(ChartOfAccounts!F:F,MATCH($B720,ChartOfAccounts!A719:A804,0)),"")</f>
        <v/>
      </c>
      <c r="P720" t="str" cm="1">
        <f t="array" ref="P720">IFERROR(INDEX(PreparerInfo!B719:B731,MATCH($D720&amp;$C720,PreparerInfo!A719:A731&amp;PreparerInfo!C719:C731,0)),"")</f>
        <v/>
      </c>
      <c r="Q720" t="str">
        <f>IFERROR(INDEX(Source!B719:B727,MATCH('Case 4 solution'!E720,Source!A719:A727,0)),"")</f>
        <v/>
      </c>
    </row>
    <row r="721" spans="1:17" x14ac:dyDescent="0.3">
      <c r="A721" s="3">
        <v>2033879</v>
      </c>
      <c r="B721">
        <v>11845</v>
      </c>
      <c r="C721">
        <v>2</v>
      </c>
      <c r="D721" s="9">
        <v>101</v>
      </c>
      <c r="E721">
        <v>1002</v>
      </c>
      <c r="F721" s="1">
        <v>44012</v>
      </c>
      <c r="G721" t="s">
        <v>208</v>
      </c>
      <c r="H721" s="4" t="s">
        <v>16</v>
      </c>
      <c r="I721" s="4">
        <v>-294.39999999999998</v>
      </c>
      <c r="J721" s="4">
        <v>-294.39999999999998</v>
      </c>
      <c r="K721" t="str">
        <f>IFERROR(INDEX(BusinessUnits!$B:$B,MATCH($C721,BusinessUnits!$A:$A,0)),"")</f>
        <v>HOTEL</v>
      </c>
      <c r="L721" t="str">
        <f>IFERROR(INDEX(Table1[[#All],[Description]],MATCH($C721,BusinessUnits!$A:$A,0)),"")</f>
        <v xml:space="preserve">Transactions related to guest rooms and overall hotel operations. Includes payroll for administrative staff, clerks and interns. </v>
      </c>
      <c r="M721" t="str">
        <f>IFERROR(INDEX(ChartOfAccounts!B720:B805,MATCH($B721,ChartOfAccounts!A720:A805,0)),"")</f>
        <v/>
      </c>
      <c r="N721" t="str">
        <f>IFERROR(INDEX(ChartOfAccounts!D:D,MATCH($B721,ChartOfAccounts!A720:A805,0)),"")</f>
        <v/>
      </c>
      <c r="O721" t="str">
        <f>IFERROR(INDEX(ChartOfAccounts!F:F,MATCH($B721,ChartOfAccounts!A720:A805,0)),"")</f>
        <v/>
      </c>
      <c r="P721" t="str" cm="1">
        <f t="array" ref="P721">IFERROR(INDEX(PreparerInfo!B720:B732,MATCH($D721&amp;$C721,PreparerInfo!A720:A732&amp;PreparerInfo!C720:C732,0)),"")</f>
        <v/>
      </c>
      <c r="Q721" t="str">
        <f>IFERROR(INDEX(Source!B720:B728,MATCH('Case 4 solution'!E721,Source!A720:A728,0)),"")</f>
        <v/>
      </c>
    </row>
    <row r="722" spans="1:17" x14ac:dyDescent="0.3">
      <c r="A722" s="3">
        <v>2033880</v>
      </c>
      <c r="B722">
        <v>71410</v>
      </c>
      <c r="C722">
        <v>1</v>
      </c>
      <c r="D722" s="9">
        <v>101</v>
      </c>
      <c r="E722">
        <v>1007</v>
      </c>
      <c r="F722" s="1">
        <v>44012</v>
      </c>
      <c r="G722" t="s">
        <v>71</v>
      </c>
      <c r="H722" s="4">
        <v>336.51</v>
      </c>
      <c r="I722" s="4" t="s">
        <v>16</v>
      </c>
      <c r="J722" s="4">
        <v>336.51</v>
      </c>
      <c r="K722" t="str">
        <f>IFERROR(INDEX(BusinessUnits!$B:$B,MATCH($C722,BusinessUnits!$A:$A,0)),"")</f>
        <v>FOOD SERVICE</v>
      </c>
      <c r="L722" t="str">
        <f>IFERROR(INDEX(Table1[[#All],[Description]],MATCH($C722,BusinessUnits!$A:$A,0)),"")</f>
        <v xml:space="preserve">Transactions related to food and beverage service. Includes all guest transactions in the hotel restaurants, catering-related transactions and food service payroll. </v>
      </c>
      <c r="M722" t="str">
        <f>IFERROR(INDEX(ChartOfAccounts!B721:B806,MATCH($B722,ChartOfAccounts!A721:A806,0)),"")</f>
        <v/>
      </c>
      <c r="N722" t="str">
        <f>IFERROR(INDEX(ChartOfAccounts!D:D,MATCH($B722,ChartOfAccounts!A721:A806,0)),"")</f>
        <v/>
      </c>
      <c r="O722" t="str">
        <f>IFERROR(INDEX(ChartOfAccounts!F:F,MATCH($B722,ChartOfAccounts!A721:A806,0)),"")</f>
        <v/>
      </c>
      <c r="P722" t="str" cm="1">
        <f t="array" ref="P722">IFERROR(INDEX(PreparerInfo!B721:B733,MATCH($D722&amp;$C722,PreparerInfo!A721:A733&amp;PreparerInfo!C721:C733,0)),"")</f>
        <v/>
      </c>
      <c r="Q722" t="str">
        <f>IFERROR(INDEX(Source!B721:B729,MATCH('Case 4 solution'!E722,Source!A721:A729,0)),"")</f>
        <v/>
      </c>
    </row>
    <row r="723" spans="1:17" x14ac:dyDescent="0.3">
      <c r="A723" s="3">
        <v>2033880</v>
      </c>
      <c r="B723">
        <v>11845</v>
      </c>
      <c r="C723">
        <v>1</v>
      </c>
      <c r="D723" s="9">
        <v>101</v>
      </c>
      <c r="E723">
        <v>1007</v>
      </c>
      <c r="F723" s="1">
        <v>44012</v>
      </c>
      <c r="G723" t="s">
        <v>71</v>
      </c>
      <c r="H723" s="4" t="s">
        <v>16</v>
      </c>
      <c r="I723" s="4">
        <v>-336.51</v>
      </c>
      <c r="J723" s="4">
        <v>-336.51</v>
      </c>
      <c r="K723" t="str">
        <f>IFERROR(INDEX(BusinessUnits!$B:$B,MATCH($C723,BusinessUnits!$A:$A,0)),"")</f>
        <v>FOOD SERVICE</v>
      </c>
      <c r="L723" t="str">
        <f>IFERROR(INDEX(Table1[[#All],[Description]],MATCH($C723,BusinessUnits!$A:$A,0)),"")</f>
        <v xml:space="preserve">Transactions related to food and beverage service. Includes all guest transactions in the hotel restaurants, catering-related transactions and food service payroll. </v>
      </c>
      <c r="M723" t="str">
        <f>IFERROR(INDEX(ChartOfAccounts!B722:B807,MATCH($B723,ChartOfAccounts!A722:A807,0)),"")</f>
        <v/>
      </c>
      <c r="N723" t="str">
        <f>IFERROR(INDEX(ChartOfAccounts!D:D,MATCH($B723,ChartOfAccounts!A722:A807,0)),"")</f>
        <v/>
      </c>
      <c r="O723" t="str">
        <f>IFERROR(INDEX(ChartOfAccounts!F:F,MATCH($B723,ChartOfAccounts!A722:A807,0)),"")</f>
        <v/>
      </c>
      <c r="P723" t="str" cm="1">
        <f t="array" ref="P723">IFERROR(INDEX(PreparerInfo!B722:B734,MATCH($D723&amp;$C723,PreparerInfo!A722:A734&amp;PreparerInfo!C722:C734,0)),"")</f>
        <v/>
      </c>
      <c r="Q723" t="str">
        <f>IFERROR(INDEX(Source!B722:B730,MATCH('Case 4 solution'!E723,Source!A722:A730,0)),"")</f>
        <v/>
      </c>
    </row>
    <row r="724" spans="1:17" x14ac:dyDescent="0.3">
      <c r="A724" s="3">
        <v>2033881</v>
      </c>
      <c r="B724">
        <v>71400</v>
      </c>
      <c r="C724">
        <v>1</v>
      </c>
      <c r="D724" s="9">
        <v>101</v>
      </c>
      <c r="E724">
        <v>1007</v>
      </c>
      <c r="F724" s="1">
        <v>44012</v>
      </c>
      <c r="G724" t="s">
        <v>92</v>
      </c>
      <c r="H724" s="4">
        <v>343.35</v>
      </c>
      <c r="I724" s="4" t="s">
        <v>16</v>
      </c>
      <c r="J724" s="4">
        <v>343.35</v>
      </c>
      <c r="K724" t="str">
        <f>IFERROR(INDEX(BusinessUnits!$B:$B,MATCH($C724,BusinessUnits!$A:$A,0)),"")</f>
        <v>FOOD SERVICE</v>
      </c>
      <c r="L724" t="str">
        <f>IFERROR(INDEX(Table1[[#All],[Description]],MATCH($C724,BusinessUnits!$A:$A,0)),"")</f>
        <v xml:space="preserve">Transactions related to food and beverage service. Includes all guest transactions in the hotel restaurants, catering-related transactions and food service payroll. </v>
      </c>
      <c r="M724" t="str">
        <f>IFERROR(INDEX(ChartOfAccounts!B723:B808,MATCH($B724,ChartOfAccounts!A723:A808,0)),"")</f>
        <v/>
      </c>
      <c r="N724" t="str">
        <f>IFERROR(INDEX(ChartOfAccounts!D:D,MATCH($B724,ChartOfAccounts!A723:A808,0)),"")</f>
        <v/>
      </c>
      <c r="O724" t="str">
        <f>IFERROR(INDEX(ChartOfAccounts!F:F,MATCH($B724,ChartOfAccounts!A723:A808,0)),"")</f>
        <v/>
      </c>
      <c r="P724" t="str" cm="1">
        <f t="array" ref="P724">IFERROR(INDEX(PreparerInfo!B723:B735,MATCH($D724&amp;$C724,PreparerInfo!A723:A735&amp;PreparerInfo!C723:C735,0)),"")</f>
        <v/>
      </c>
      <c r="Q724" t="str">
        <f>IFERROR(INDEX(Source!B723:B731,MATCH('Case 4 solution'!E724,Source!A723:A731,0)),"")</f>
        <v/>
      </c>
    </row>
    <row r="725" spans="1:17" x14ac:dyDescent="0.3">
      <c r="A725" s="3">
        <v>2033881</v>
      </c>
      <c r="B725">
        <v>11845</v>
      </c>
      <c r="C725">
        <v>1</v>
      </c>
      <c r="D725" s="9">
        <v>101</v>
      </c>
      <c r="E725">
        <v>1007</v>
      </c>
      <c r="F725" s="1">
        <v>44012</v>
      </c>
      <c r="G725" t="s">
        <v>92</v>
      </c>
      <c r="H725" s="4" t="s">
        <v>16</v>
      </c>
      <c r="I725" s="4">
        <v>-343.35</v>
      </c>
      <c r="J725" s="4">
        <v>-343.35</v>
      </c>
      <c r="K725" t="str">
        <f>IFERROR(INDEX(BusinessUnits!$B:$B,MATCH($C725,BusinessUnits!$A:$A,0)),"")</f>
        <v>FOOD SERVICE</v>
      </c>
      <c r="L725" t="str">
        <f>IFERROR(INDEX(Table1[[#All],[Description]],MATCH($C725,BusinessUnits!$A:$A,0)),"")</f>
        <v xml:space="preserve">Transactions related to food and beverage service. Includes all guest transactions in the hotel restaurants, catering-related transactions and food service payroll. </v>
      </c>
      <c r="M725" t="str">
        <f>IFERROR(INDEX(ChartOfAccounts!B724:B809,MATCH($B725,ChartOfAccounts!A724:A809,0)),"")</f>
        <v/>
      </c>
      <c r="N725" t="str">
        <f>IFERROR(INDEX(ChartOfAccounts!D:D,MATCH($B725,ChartOfAccounts!A724:A809,0)),"")</f>
        <v/>
      </c>
      <c r="O725" t="str">
        <f>IFERROR(INDEX(ChartOfAccounts!F:F,MATCH($B725,ChartOfAccounts!A724:A809,0)),"")</f>
        <v/>
      </c>
      <c r="P725" t="str" cm="1">
        <f t="array" ref="P725">IFERROR(INDEX(PreparerInfo!B724:B736,MATCH($D725&amp;$C725,PreparerInfo!A724:A736&amp;PreparerInfo!C724:C736,0)),"")</f>
        <v/>
      </c>
      <c r="Q725" t="str">
        <f>IFERROR(INDEX(Source!B724:B732,MATCH('Case 4 solution'!E725,Source!A724:A732,0)),"")</f>
        <v/>
      </c>
    </row>
    <row r="726" spans="1:17" x14ac:dyDescent="0.3">
      <c r="A726" s="3">
        <v>2033882</v>
      </c>
      <c r="B726">
        <v>11845</v>
      </c>
      <c r="C726">
        <v>1</v>
      </c>
      <c r="D726" s="9">
        <v>102</v>
      </c>
      <c r="E726">
        <v>1003</v>
      </c>
      <c r="F726" s="1">
        <v>44012</v>
      </c>
      <c r="G726" t="s">
        <v>15</v>
      </c>
      <c r="H726" s="4">
        <v>373.76</v>
      </c>
      <c r="I726" s="4" t="s">
        <v>16</v>
      </c>
      <c r="J726" s="4">
        <v>373.76</v>
      </c>
      <c r="K726" t="str">
        <f>IFERROR(INDEX(BusinessUnits!$B:$B,MATCH($C726,BusinessUnits!$A:$A,0)),"")</f>
        <v>FOOD SERVICE</v>
      </c>
      <c r="L726" t="str">
        <f>IFERROR(INDEX(Table1[[#All],[Description]],MATCH($C726,BusinessUnits!$A:$A,0)),"")</f>
        <v xml:space="preserve">Transactions related to food and beverage service. Includes all guest transactions in the hotel restaurants, catering-related transactions and food service payroll. </v>
      </c>
      <c r="M726" t="str">
        <f>IFERROR(INDEX(ChartOfAccounts!B725:B810,MATCH($B726,ChartOfAccounts!A725:A810,0)),"")</f>
        <v/>
      </c>
      <c r="N726" t="str">
        <f>IFERROR(INDEX(ChartOfAccounts!D:D,MATCH($B726,ChartOfAccounts!A725:A810,0)),"")</f>
        <v/>
      </c>
      <c r="O726" t="str">
        <f>IFERROR(INDEX(ChartOfAccounts!F:F,MATCH($B726,ChartOfAccounts!A725:A810,0)),"")</f>
        <v/>
      </c>
      <c r="P726" t="str" cm="1">
        <f t="array" ref="P726">IFERROR(INDEX(PreparerInfo!B725:B737,MATCH($D726&amp;$C726,PreparerInfo!A725:A737&amp;PreparerInfo!C725:C737,0)),"")</f>
        <v/>
      </c>
      <c r="Q726" t="str">
        <f>IFERROR(INDEX(Source!B725:B733,MATCH('Case 4 solution'!E726,Source!A725:A733,0)),"")</f>
        <v/>
      </c>
    </row>
    <row r="727" spans="1:17" x14ac:dyDescent="0.3">
      <c r="A727" s="3">
        <v>2033882</v>
      </c>
      <c r="B727">
        <v>43310</v>
      </c>
      <c r="C727">
        <v>1</v>
      </c>
      <c r="D727" s="9">
        <v>102</v>
      </c>
      <c r="E727">
        <v>1003</v>
      </c>
      <c r="F727" s="1">
        <v>44012</v>
      </c>
      <c r="G727" t="s">
        <v>15</v>
      </c>
      <c r="H727" s="4" t="s">
        <v>16</v>
      </c>
      <c r="I727" s="4">
        <v>-373.76</v>
      </c>
      <c r="J727" s="4">
        <v>-373.76</v>
      </c>
      <c r="K727" t="str">
        <f>IFERROR(INDEX(BusinessUnits!$B:$B,MATCH($C727,BusinessUnits!$A:$A,0)),"")</f>
        <v>FOOD SERVICE</v>
      </c>
      <c r="L727" t="str">
        <f>IFERROR(INDEX(Table1[[#All],[Description]],MATCH($C727,BusinessUnits!$A:$A,0)),"")</f>
        <v xml:space="preserve">Transactions related to food and beverage service. Includes all guest transactions in the hotel restaurants, catering-related transactions and food service payroll. </v>
      </c>
      <c r="M727" t="str">
        <f>IFERROR(INDEX(ChartOfAccounts!B726:B811,MATCH($B727,ChartOfAccounts!A726:A811,0)),"")</f>
        <v/>
      </c>
      <c r="N727" t="str">
        <f>IFERROR(INDEX(ChartOfAccounts!D:D,MATCH($B727,ChartOfAccounts!A726:A811,0)),"")</f>
        <v/>
      </c>
      <c r="O727" t="str">
        <f>IFERROR(INDEX(ChartOfAccounts!F:F,MATCH($B727,ChartOfAccounts!A726:A811,0)),"")</f>
        <v/>
      </c>
      <c r="P727" t="str" cm="1">
        <f t="array" ref="P727">IFERROR(INDEX(PreparerInfo!B726:B738,MATCH($D727&amp;$C727,PreparerInfo!A726:A738&amp;PreparerInfo!C726:C738,0)),"")</f>
        <v/>
      </c>
      <c r="Q727" t="str">
        <f>IFERROR(INDEX(Source!B726:B734,MATCH('Case 4 solution'!E727,Source!A726:A734,0)),"")</f>
        <v/>
      </c>
    </row>
    <row r="728" spans="1:17" x14ac:dyDescent="0.3">
      <c r="A728" s="3">
        <v>2033883</v>
      </c>
      <c r="B728">
        <v>71400</v>
      </c>
      <c r="C728">
        <v>4</v>
      </c>
      <c r="D728" s="9">
        <v>101</v>
      </c>
      <c r="E728">
        <v>1007</v>
      </c>
      <c r="F728" s="1">
        <v>44012</v>
      </c>
      <c r="G728" t="s">
        <v>77</v>
      </c>
      <c r="H728" s="4">
        <v>385.74</v>
      </c>
      <c r="I728" s="4" t="s">
        <v>16</v>
      </c>
      <c r="J728" s="4">
        <v>385.74</v>
      </c>
      <c r="K728" t="str">
        <f>IFERROR(INDEX(BusinessUnits!$B:$B,MATCH($C728,BusinessUnits!$A:$A,0)),"")</f>
        <v>HOUSEKEEPING</v>
      </c>
      <c r="L728" t="str">
        <f>IFERROR(INDEX(Table1[[#All],[Description]],MATCH($C728,BusinessUnits!$A:$A,0)),"")</f>
        <v xml:space="preserve">Transactions related to the Housekeeping Department. Primarily includes payroll for housekeepers and housekeeping supplies. </v>
      </c>
      <c r="M728" t="str">
        <f>IFERROR(INDEX(ChartOfAccounts!B727:B812,MATCH($B728,ChartOfAccounts!A727:A812,0)),"")</f>
        <v/>
      </c>
      <c r="N728" t="str">
        <f>IFERROR(INDEX(ChartOfAccounts!D:D,MATCH($B728,ChartOfAccounts!A727:A812,0)),"")</f>
        <v/>
      </c>
      <c r="O728" t="str">
        <f>IFERROR(INDEX(ChartOfAccounts!F:F,MATCH($B728,ChartOfAccounts!A727:A812,0)),"")</f>
        <v/>
      </c>
      <c r="P728" t="str" cm="1">
        <f t="array" ref="P728">IFERROR(INDEX(PreparerInfo!B727:B739,MATCH($D728&amp;$C728,PreparerInfo!A727:A739&amp;PreparerInfo!C727:C739,0)),"")</f>
        <v/>
      </c>
      <c r="Q728" t="str">
        <f>IFERROR(INDEX(Source!B727:B735,MATCH('Case 4 solution'!E728,Source!A727:A735,0)),"")</f>
        <v/>
      </c>
    </row>
    <row r="729" spans="1:17" x14ac:dyDescent="0.3">
      <c r="A729" s="3">
        <v>2033883</v>
      </c>
      <c r="B729">
        <v>11845</v>
      </c>
      <c r="C729">
        <v>4</v>
      </c>
      <c r="D729" s="9">
        <v>101</v>
      </c>
      <c r="E729">
        <v>1007</v>
      </c>
      <c r="F729" s="1">
        <v>44012</v>
      </c>
      <c r="G729" t="s">
        <v>77</v>
      </c>
      <c r="H729" s="4" t="s">
        <v>16</v>
      </c>
      <c r="I729" s="4">
        <v>-385.74</v>
      </c>
      <c r="J729" s="4">
        <v>-385.74</v>
      </c>
      <c r="K729" t="str">
        <f>IFERROR(INDEX(BusinessUnits!$B:$B,MATCH($C729,BusinessUnits!$A:$A,0)),"")</f>
        <v>HOUSEKEEPING</v>
      </c>
      <c r="L729" t="str">
        <f>IFERROR(INDEX(Table1[[#All],[Description]],MATCH($C729,BusinessUnits!$A:$A,0)),"")</f>
        <v xml:space="preserve">Transactions related to the Housekeeping Department. Primarily includes payroll for housekeepers and housekeeping supplies. </v>
      </c>
      <c r="M729" t="str">
        <f>IFERROR(INDEX(ChartOfAccounts!B728:B813,MATCH($B729,ChartOfAccounts!A728:A813,0)),"")</f>
        <v/>
      </c>
      <c r="N729" t="str">
        <f>IFERROR(INDEX(ChartOfAccounts!D:D,MATCH($B729,ChartOfAccounts!A728:A813,0)),"")</f>
        <v/>
      </c>
      <c r="O729" t="str">
        <f>IFERROR(INDEX(ChartOfAccounts!F:F,MATCH($B729,ChartOfAccounts!A728:A813,0)),"")</f>
        <v/>
      </c>
      <c r="P729" t="str" cm="1">
        <f t="array" ref="P729">IFERROR(INDEX(PreparerInfo!B728:B740,MATCH($D729&amp;$C729,PreparerInfo!A728:A740&amp;PreparerInfo!C728:C740,0)),"")</f>
        <v/>
      </c>
      <c r="Q729" t="str">
        <f>IFERROR(INDEX(Source!B728:B736,MATCH('Case 4 solution'!E729,Source!A728:A736,0)),"")</f>
        <v/>
      </c>
    </row>
    <row r="730" spans="1:17" x14ac:dyDescent="0.3">
      <c r="A730" s="3">
        <v>2033884</v>
      </c>
      <c r="B730">
        <v>71400</v>
      </c>
      <c r="C730">
        <v>1</v>
      </c>
      <c r="D730" s="9">
        <v>101</v>
      </c>
      <c r="E730">
        <v>1007</v>
      </c>
      <c r="F730" s="1">
        <v>44012</v>
      </c>
      <c r="G730" t="s">
        <v>203</v>
      </c>
      <c r="H730" s="4">
        <v>400</v>
      </c>
      <c r="I730" s="4" t="s">
        <v>16</v>
      </c>
      <c r="J730" s="4">
        <v>400</v>
      </c>
      <c r="K730" t="str">
        <f>IFERROR(INDEX(BusinessUnits!$B:$B,MATCH($C730,BusinessUnits!$A:$A,0)),"")</f>
        <v>FOOD SERVICE</v>
      </c>
      <c r="L730" t="str">
        <f>IFERROR(INDEX(Table1[[#All],[Description]],MATCH($C730,BusinessUnits!$A:$A,0)),"")</f>
        <v xml:space="preserve">Transactions related to food and beverage service. Includes all guest transactions in the hotel restaurants, catering-related transactions and food service payroll. </v>
      </c>
      <c r="M730" t="str">
        <f>IFERROR(INDEX(ChartOfAccounts!B729:B814,MATCH($B730,ChartOfAccounts!A729:A814,0)),"")</f>
        <v/>
      </c>
      <c r="N730" t="str">
        <f>IFERROR(INDEX(ChartOfAccounts!D:D,MATCH($B730,ChartOfAccounts!A729:A814,0)),"")</f>
        <v/>
      </c>
      <c r="O730" t="str">
        <f>IFERROR(INDEX(ChartOfAccounts!F:F,MATCH($B730,ChartOfAccounts!A729:A814,0)),"")</f>
        <v/>
      </c>
      <c r="P730" t="str" cm="1">
        <f t="array" ref="P730">IFERROR(INDEX(PreparerInfo!B729:B741,MATCH($D730&amp;$C730,PreparerInfo!A729:A741&amp;PreparerInfo!C729:C741,0)),"")</f>
        <v/>
      </c>
      <c r="Q730" t="str">
        <f>IFERROR(INDEX(Source!B729:B737,MATCH('Case 4 solution'!E730,Source!A729:A737,0)),"")</f>
        <v/>
      </c>
    </row>
    <row r="731" spans="1:17" x14ac:dyDescent="0.3">
      <c r="A731" s="3">
        <v>2033884</v>
      </c>
      <c r="B731">
        <v>11845</v>
      </c>
      <c r="C731">
        <v>1</v>
      </c>
      <c r="D731" s="9">
        <v>101</v>
      </c>
      <c r="E731">
        <v>1007</v>
      </c>
      <c r="F731" s="1">
        <v>44012</v>
      </c>
      <c r="G731" t="s">
        <v>203</v>
      </c>
      <c r="H731" s="4" t="s">
        <v>16</v>
      </c>
      <c r="I731" s="4">
        <v>-400</v>
      </c>
      <c r="J731" s="4">
        <v>-400</v>
      </c>
      <c r="K731" t="str">
        <f>IFERROR(INDEX(BusinessUnits!$B:$B,MATCH($C731,BusinessUnits!$A:$A,0)),"")</f>
        <v>FOOD SERVICE</v>
      </c>
      <c r="L731" t="str">
        <f>IFERROR(INDEX(Table1[[#All],[Description]],MATCH($C731,BusinessUnits!$A:$A,0)),"")</f>
        <v xml:space="preserve">Transactions related to food and beverage service. Includes all guest transactions in the hotel restaurants, catering-related transactions and food service payroll. </v>
      </c>
      <c r="M731" t="str">
        <f>IFERROR(INDEX(ChartOfAccounts!B730:B815,MATCH($B731,ChartOfAccounts!A730:A815,0)),"")</f>
        <v/>
      </c>
      <c r="N731" t="str">
        <f>IFERROR(INDEX(ChartOfAccounts!D:D,MATCH($B731,ChartOfAccounts!A730:A815,0)),"")</f>
        <v/>
      </c>
      <c r="O731" t="str">
        <f>IFERROR(INDEX(ChartOfAccounts!F:F,MATCH($B731,ChartOfAccounts!A730:A815,0)),"")</f>
        <v/>
      </c>
      <c r="P731" t="str" cm="1">
        <f t="array" ref="P731">IFERROR(INDEX(PreparerInfo!B730:B742,MATCH($D731&amp;$C731,PreparerInfo!A730:A742&amp;PreparerInfo!C730:C742,0)),"")</f>
        <v/>
      </c>
      <c r="Q731" t="str">
        <f>IFERROR(INDEX(Source!B730:B738,MATCH('Case 4 solution'!E731,Source!A730:A738,0)),"")</f>
        <v/>
      </c>
    </row>
    <row r="732" spans="1:17" x14ac:dyDescent="0.3">
      <c r="A732" s="3">
        <v>2033885</v>
      </c>
      <c r="B732">
        <v>71400</v>
      </c>
      <c r="C732">
        <v>4</v>
      </c>
      <c r="D732" s="9">
        <v>101</v>
      </c>
      <c r="E732">
        <v>1007</v>
      </c>
      <c r="F732" s="1">
        <v>44012</v>
      </c>
      <c r="G732" t="s">
        <v>78</v>
      </c>
      <c r="H732" s="4">
        <v>506.04</v>
      </c>
      <c r="I732" s="4" t="s">
        <v>16</v>
      </c>
      <c r="J732" s="4">
        <v>506.04</v>
      </c>
      <c r="K732" t="str">
        <f>IFERROR(INDEX(BusinessUnits!$B:$B,MATCH($C732,BusinessUnits!$A:$A,0)),"")</f>
        <v>HOUSEKEEPING</v>
      </c>
      <c r="L732" t="str">
        <f>IFERROR(INDEX(Table1[[#All],[Description]],MATCH($C732,BusinessUnits!$A:$A,0)),"")</f>
        <v xml:space="preserve">Transactions related to the Housekeeping Department. Primarily includes payroll for housekeepers and housekeeping supplies. </v>
      </c>
      <c r="M732" t="str">
        <f>IFERROR(INDEX(ChartOfAccounts!B731:B816,MATCH($B732,ChartOfAccounts!A731:A816,0)),"")</f>
        <v/>
      </c>
      <c r="N732" t="str">
        <f>IFERROR(INDEX(ChartOfAccounts!D:D,MATCH($B732,ChartOfAccounts!A731:A816,0)),"")</f>
        <v/>
      </c>
      <c r="O732" t="str">
        <f>IFERROR(INDEX(ChartOfAccounts!F:F,MATCH($B732,ChartOfAccounts!A731:A816,0)),"")</f>
        <v/>
      </c>
      <c r="P732" t="str" cm="1">
        <f t="array" ref="P732">IFERROR(INDEX(PreparerInfo!B731:B743,MATCH($D732&amp;$C732,PreparerInfo!A731:A743&amp;PreparerInfo!C731:C743,0)),"")</f>
        <v/>
      </c>
      <c r="Q732" t="str">
        <f>IFERROR(INDEX(Source!B731:B739,MATCH('Case 4 solution'!E732,Source!A731:A739,0)),"")</f>
        <v/>
      </c>
    </row>
    <row r="733" spans="1:17" x14ac:dyDescent="0.3">
      <c r="A733" s="3">
        <v>2033885</v>
      </c>
      <c r="B733">
        <v>11845</v>
      </c>
      <c r="C733">
        <v>4</v>
      </c>
      <c r="D733" s="9">
        <v>101</v>
      </c>
      <c r="E733">
        <v>1007</v>
      </c>
      <c r="F733" s="1">
        <v>44012</v>
      </c>
      <c r="G733" t="s">
        <v>78</v>
      </c>
      <c r="H733" s="4" t="s">
        <v>16</v>
      </c>
      <c r="I733" s="4">
        <v>-506.04</v>
      </c>
      <c r="J733" s="4">
        <v>-506.04</v>
      </c>
      <c r="K733" t="str">
        <f>IFERROR(INDEX(BusinessUnits!$B:$B,MATCH($C733,BusinessUnits!$A:$A,0)),"")</f>
        <v>HOUSEKEEPING</v>
      </c>
      <c r="L733" t="str">
        <f>IFERROR(INDEX(Table1[[#All],[Description]],MATCH($C733,BusinessUnits!$A:$A,0)),"")</f>
        <v xml:space="preserve">Transactions related to the Housekeeping Department. Primarily includes payroll for housekeepers and housekeeping supplies. </v>
      </c>
      <c r="M733" t="str">
        <f>IFERROR(INDEX(ChartOfAccounts!B732:B817,MATCH($B733,ChartOfAccounts!A732:A817,0)),"")</f>
        <v/>
      </c>
      <c r="N733" t="str">
        <f>IFERROR(INDEX(ChartOfAccounts!D:D,MATCH($B733,ChartOfAccounts!A732:A817,0)),"")</f>
        <v/>
      </c>
      <c r="O733" t="str">
        <f>IFERROR(INDEX(ChartOfAccounts!F:F,MATCH($B733,ChartOfAccounts!A732:A817,0)),"")</f>
        <v/>
      </c>
      <c r="P733" t="str" cm="1">
        <f t="array" ref="P733">IFERROR(INDEX(PreparerInfo!B732:B744,MATCH($D733&amp;$C733,PreparerInfo!A732:A744&amp;PreparerInfo!C732:C744,0)),"")</f>
        <v/>
      </c>
      <c r="Q733" t="str">
        <f>IFERROR(INDEX(Source!B732:B740,MATCH('Case 4 solution'!E733,Source!A732:A740,0)),"")</f>
        <v/>
      </c>
    </row>
    <row r="734" spans="1:17" x14ac:dyDescent="0.3">
      <c r="A734" s="3">
        <v>2033886</v>
      </c>
      <c r="B734">
        <v>71400</v>
      </c>
      <c r="C734">
        <v>1</v>
      </c>
      <c r="D734" s="9">
        <v>101</v>
      </c>
      <c r="E734">
        <v>1007</v>
      </c>
      <c r="F734" s="1">
        <v>44012</v>
      </c>
      <c r="G734" t="s">
        <v>88</v>
      </c>
      <c r="H734" s="4">
        <v>522.45000000000005</v>
      </c>
      <c r="I734" s="4" t="s">
        <v>16</v>
      </c>
      <c r="J734" s="4">
        <v>522.45000000000005</v>
      </c>
      <c r="K734" t="str">
        <f>IFERROR(INDEX(BusinessUnits!$B:$B,MATCH($C734,BusinessUnits!$A:$A,0)),"")</f>
        <v>FOOD SERVICE</v>
      </c>
      <c r="L734" t="str">
        <f>IFERROR(INDEX(Table1[[#All],[Description]],MATCH($C734,BusinessUnits!$A:$A,0)),"")</f>
        <v xml:space="preserve">Transactions related to food and beverage service. Includes all guest transactions in the hotel restaurants, catering-related transactions and food service payroll. </v>
      </c>
      <c r="M734" t="str">
        <f>IFERROR(INDEX(ChartOfAccounts!B733:B818,MATCH($B734,ChartOfAccounts!A733:A818,0)),"")</f>
        <v/>
      </c>
      <c r="N734" t="str">
        <f>IFERROR(INDEX(ChartOfAccounts!D:D,MATCH($B734,ChartOfAccounts!A733:A818,0)),"")</f>
        <v/>
      </c>
      <c r="O734" t="str">
        <f>IFERROR(INDEX(ChartOfAccounts!F:F,MATCH($B734,ChartOfAccounts!A733:A818,0)),"")</f>
        <v/>
      </c>
      <c r="P734" t="str" cm="1">
        <f t="array" ref="P734">IFERROR(INDEX(PreparerInfo!B733:B745,MATCH($D734&amp;$C734,PreparerInfo!A733:A745&amp;PreparerInfo!C733:C745,0)),"")</f>
        <v/>
      </c>
      <c r="Q734" t="str">
        <f>IFERROR(INDEX(Source!B733:B741,MATCH('Case 4 solution'!E734,Source!A733:A741,0)),"")</f>
        <v/>
      </c>
    </row>
    <row r="735" spans="1:17" x14ac:dyDescent="0.3">
      <c r="A735" s="3">
        <v>2033886</v>
      </c>
      <c r="B735">
        <v>11845</v>
      </c>
      <c r="C735">
        <v>1</v>
      </c>
      <c r="D735" s="9">
        <v>101</v>
      </c>
      <c r="E735">
        <v>1007</v>
      </c>
      <c r="F735" s="1">
        <v>44012</v>
      </c>
      <c r="G735" t="s">
        <v>88</v>
      </c>
      <c r="H735" s="4" t="s">
        <v>16</v>
      </c>
      <c r="I735" s="4">
        <v>-522.45000000000005</v>
      </c>
      <c r="J735" s="4">
        <v>-522.45000000000005</v>
      </c>
      <c r="K735" t="str">
        <f>IFERROR(INDEX(BusinessUnits!$B:$B,MATCH($C735,BusinessUnits!$A:$A,0)),"")</f>
        <v>FOOD SERVICE</v>
      </c>
      <c r="L735" t="str">
        <f>IFERROR(INDEX(Table1[[#All],[Description]],MATCH($C735,BusinessUnits!$A:$A,0)),"")</f>
        <v xml:space="preserve">Transactions related to food and beverage service. Includes all guest transactions in the hotel restaurants, catering-related transactions and food service payroll. </v>
      </c>
      <c r="M735" t="str">
        <f>IFERROR(INDEX(ChartOfAccounts!B734:B819,MATCH($B735,ChartOfAccounts!A734:A819,0)),"")</f>
        <v/>
      </c>
      <c r="N735" t="str">
        <f>IFERROR(INDEX(ChartOfAccounts!D:D,MATCH($B735,ChartOfAccounts!A734:A819,0)),"")</f>
        <v/>
      </c>
      <c r="O735" t="str">
        <f>IFERROR(INDEX(ChartOfAccounts!F:F,MATCH($B735,ChartOfAccounts!A734:A819,0)),"")</f>
        <v/>
      </c>
      <c r="P735" t="str" cm="1">
        <f t="array" ref="P735">IFERROR(INDEX(PreparerInfo!B734:B746,MATCH($D735&amp;$C735,PreparerInfo!A734:A746&amp;PreparerInfo!C734:C746,0)),"")</f>
        <v/>
      </c>
      <c r="Q735" t="str">
        <f>IFERROR(INDEX(Source!B734:B742,MATCH('Case 4 solution'!E735,Source!A734:A742,0)),"")</f>
        <v/>
      </c>
    </row>
    <row r="736" spans="1:17" x14ac:dyDescent="0.3">
      <c r="A736" s="3">
        <v>2033887</v>
      </c>
      <c r="B736">
        <v>71400</v>
      </c>
      <c r="C736">
        <v>1</v>
      </c>
      <c r="D736" s="9">
        <v>101</v>
      </c>
      <c r="E736">
        <v>1007</v>
      </c>
      <c r="F736" s="1">
        <v>44012</v>
      </c>
      <c r="G736" t="s">
        <v>88</v>
      </c>
      <c r="H736" s="4">
        <v>525.70000000000005</v>
      </c>
      <c r="I736" s="4" t="s">
        <v>16</v>
      </c>
      <c r="J736" s="4">
        <v>525.70000000000005</v>
      </c>
      <c r="K736" t="str">
        <f>IFERROR(INDEX(BusinessUnits!$B:$B,MATCH($C736,BusinessUnits!$A:$A,0)),"")</f>
        <v>FOOD SERVICE</v>
      </c>
      <c r="L736" t="str">
        <f>IFERROR(INDEX(Table1[[#All],[Description]],MATCH($C736,BusinessUnits!$A:$A,0)),"")</f>
        <v xml:space="preserve">Transactions related to food and beverage service. Includes all guest transactions in the hotel restaurants, catering-related transactions and food service payroll. </v>
      </c>
      <c r="M736" t="str">
        <f>IFERROR(INDEX(ChartOfAccounts!B735:B820,MATCH($B736,ChartOfAccounts!A735:A820,0)),"")</f>
        <v/>
      </c>
      <c r="N736" t="str">
        <f>IFERROR(INDEX(ChartOfAccounts!D:D,MATCH($B736,ChartOfAccounts!A735:A820,0)),"")</f>
        <v/>
      </c>
      <c r="O736" t="str">
        <f>IFERROR(INDEX(ChartOfAccounts!F:F,MATCH($B736,ChartOfAccounts!A735:A820,0)),"")</f>
        <v/>
      </c>
      <c r="P736" t="str" cm="1">
        <f t="array" ref="P736">IFERROR(INDEX(PreparerInfo!B735:B747,MATCH($D736&amp;$C736,PreparerInfo!A735:A747&amp;PreparerInfo!C735:C747,0)),"")</f>
        <v/>
      </c>
      <c r="Q736" t="str">
        <f>IFERROR(INDEX(Source!B735:B743,MATCH('Case 4 solution'!E736,Source!A735:A743,0)),"")</f>
        <v/>
      </c>
    </row>
    <row r="737" spans="1:17" x14ac:dyDescent="0.3">
      <c r="A737" s="3">
        <v>2033887</v>
      </c>
      <c r="B737">
        <v>11845</v>
      </c>
      <c r="C737">
        <v>1</v>
      </c>
      <c r="D737" s="9">
        <v>101</v>
      </c>
      <c r="E737">
        <v>1007</v>
      </c>
      <c r="F737" s="1">
        <v>44012</v>
      </c>
      <c r="G737" t="s">
        <v>88</v>
      </c>
      <c r="H737" s="4" t="s">
        <v>16</v>
      </c>
      <c r="I737" s="4">
        <v>-525.70000000000005</v>
      </c>
      <c r="J737" s="4">
        <v>-525.70000000000005</v>
      </c>
      <c r="K737" t="str">
        <f>IFERROR(INDEX(BusinessUnits!$B:$B,MATCH($C737,BusinessUnits!$A:$A,0)),"")</f>
        <v>FOOD SERVICE</v>
      </c>
      <c r="L737" t="str">
        <f>IFERROR(INDEX(Table1[[#All],[Description]],MATCH($C737,BusinessUnits!$A:$A,0)),"")</f>
        <v xml:space="preserve">Transactions related to food and beverage service. Includes all guest transactions in the hotel restaurants, catering-related transactions and food service payroll. </v>
      </c>
      <c r="M737" t="str">
        <f>IFERROR(INDEX(ChartOfAccounts!B736:B821,MATCH($B737,ChartOfAccounts!A736:A821,0)),"")</f>
        <v/>
      </c>
      <c r="N737" t="str">
        <f>IFERROR(INDEX(ChartOfAccounts!D:D,MATCH($B737,ChartOfAccounts!A736:A821,0)),"")</f>
        <v/>
      </c>
      <c r="O737" t="str">
        <f>IFERROR(INDEX(ChartOfAccounts!F:F,MATCH($B737,ChartOfAccounts!A736:A821,0)),"")</f>
        <v/>
      </c>
      <c r="P737" t="str" cm="1">
        <f t="array" ref="P737">IFERROR(INDEX(PreparerInfo!B736:B748,MATCH($D737&amp;$C737,PreparerInfo!A736:A748&amp;PreparerInfo!C736:C748,0)),"")</f>
        <v/>
      </c>
      <c r="Q737" t="str">
        <f>IFERROR(INDEX(Source!B736:B744,MATCH('Case 4 solution'!E737,Source!A736:A744,0)),"")</f>
        <v/>
      </c>
    </row>
    <row r="738" spans="1:17" x14ac:dyDescent="0.3">
      <c r="A738" s="3">
        <v>2033888</v>
      </c>
      <c r="B738">
        <v>71400</v>
      </c>
      <c r="C738">
        <v>4</v>
      </c>
      <c r="D738" s="9">
        <v>101</v>
      </c>
      <c r="E738">
        <v>1007</v>
      </c>
      <c r="F738" s="1">
        <v>44012</v>
      </c>
      <c r="G738" t="s">
        <v>79</v>
      </c>
      <c r="H738" s="4">
        <v>570.4</v>
      </c>
      <c r="I738" s="4" t="s">
        <v>16</v>
      </c>
      <c r="J738" s="4">
        <v>570.4</v>
      </c>
      <c r="K738" t="str">
        <f>IFERROR(INDEX(BusinessUnits!$B:$B,MATCH($C738,BusinessUnits!$A:$A,0)),"")</f>
        <v>HOUSEKEEPING</v>
      </c>
      <c r="L738" t="str">
        <f>IFERROR(INDEX(Table1[[#All],[Description]],MATCH($C738,BusinessUnits!$A:$A,0)),"")</f>
        <v xml:space="preserve">Transactions related to the Housekeeping Department. Primarily includes payroll for housekeepers and housekeeping supplies. </v>
      </c>
      <c r="M738" t="str">
        <f>IFERROR(INDEX(ChartOfAccounts!B737:B822,MATCH($B738,ChartOfAccounts!A737:A822,0)),"")</f>
        <v/>
      </c>
      <c r="N738" t="str">
        <f>IFERROR(INDEX(ChartOfAccounts!D:D,MATCH($B738,ChartOfAccounts!A737:A822,0)),"")</f>
        <v/>
      </c>
      <c r="O738" t="str">
        <f>IFERROR(INDEX(ChartOfAccounts!F:F,MATCH($B738,ChartOfAccounts!A737:A822,0)),"")</f>
        <v/>
      </c>
      <c r="P738" t="str" cm="1">
        <f t="array" ref="P738">IFERROR(INDEX(PreparerInfo!B737:B749,MATCH($D738&amp;$C738,PreparerInfo!A737:A749&amp;PreparerInfo!C737:C749,0)),"")</f>
        <v/>
      </c>
      <c r="Q738" t="str">
        <f>IFERROR(INDEX(Source!B737:B745,MATCH('Case 4 solution'!E738,Source!A737:A745,0)),"")</f>
        <v/>
      </c>
    </row>
    <row r="739" spans="1:17" x14ac:dyDescent="0.3">
      <c r="A739" s="3">
        <v>2033888</v>
      </c>
      <c r="B739">
        <v>11845</v>
      </c>
      <c r="C739">
        <v>4</v>
      </c>
      <c r="D739" s="9">
        <v>101</v>
      </c>
      <c r="E739">
        <v>1007</v>
      </c>
      <c r="F739" s="1">
        <v>44012</v>
      </c>
      <c r="G739" t="s">
        <v>79</v>
      </c>
      <c r="H739" s="4" t="s">
        <v>16</v>
      </c>
      <c r="I739" s="4">
        <v>-570.4</v>
      </c>
      <c r="J739" s="4">
        <v>-570.4</v>
      </c>
      <c r="K739" t="str">
        <f>IFERROR(INDEX(BusinessUnits!$B:$B,MATCH($C739,BusinessUnits!$A:$A,0)),"")</f>
        <v>HOUSEKEEPING</v>
      </c>
      <c r="L739" t="str">
        <f>IFERROR(INDEX(Table1[[#All],[Description]],MATCH($C739,BusinessUnits!$A:$A,0)),"")</f>
        <v xml:space="preserve">Transactions related to the Housekeeping Department. Primarily includes payroll for housekeepers and housekeeping supplies. </v>
      </c>
      <c r="M739" t="str">
        <f>IFERROR(INDEX(ChartOfAccounts!B738:B823,MATCH($B739,ChartOfAccounts!A738:A823,0)),"")</f>
        <v/>
      </c>
      <c r="N739" t="str">
        <f>IFERROR(INDEX(ChartOfAccounts!D:D,MATCH($B739,ChartOfAccounts!A738:A823,0)),"")</f>
        <v/>
      </c>
      <c r="O739" t="str">
        <f>IFERROR(INDEX(ChartOfAccounts!F:F,MATCH($B739,ChartOfAccounts!A738:A823,0)),"")</f>
        <v/>
      </c>
      <c r="P739" t="str" cm="1">
        <f t="array" ref="P739">IFERROR(INDEX(PreparerInfo!B738:B750,MATCH($D739&amp;$C739,PreparerInfo!A738:A750&amp;PreparerInfo!C738:C750,0)),"")</f>
        <v/>
      </c>
      <c r="Q739" t="str">
        <f>IFERROR(INDEX(Source!B738:B746,MATCH('Case 4 solution'!E739,Source!A738:A746,0)),"")</f>
        <v/>
      </c>
    </row>
    <row r="740" spans="1:17" x14ac:dyDescent="0.3">
      <c r="A740" s="3">
        <v>2033889</v>
      </c>
      <c r="B740">
        <v>71400</v>
      </c>
      <c r="C740">
        <v>4</v>
      </c>
      <c r="D740" s="9">
        <v>101</v>
      </c>
      <c r="E740">
        <v>1007</v>
      </c>
      <c r="F740" s="1">
        <v>44012</v>
      </c>
      <c r="G740" t="s">
        <v>133</v>
      </c>
      <c r="H740" s="4">
        <v>651.70000000000005</v>
      </c>
      <c r="I740" s="4" t="s">
        <v>16</v>
      </c>
      <c r="J740" s="4">
        <v>651.70000000000005</v>
      </c>
      <c r="K740" t="str">
        <f>IFERROR(INDEX(BusinessUnits!$B:$B,MATCH($C740,BusinessUnits!$A:$A,0)),"")</f>
        <v>HOUSEKEEPING</v>
      </c>
      <c r="L740" t="str">
        <f>IFERROR(INDEX(Table1[[#All],[Description]],MATCH($C740,BusinessUnits!$A:$A,0)),"")</f>
        <v xml:space="preserve">Transactions related to the Housekeeping Department. Primarily includes payroll for housekeepers and housekeeping supplies. </v>
      </c>
      <c r="M740" t="str">
        <f>IFERROR(INDEX(ChartOfAccounts!B739:B824,MATCH($B740,ChartOfAccounts!A739:A824,0)),"")</f>
        <v/>
      </c>
      <c r="N740" t="str">
        <f>IFERROR(INDEX(ChartOfAccounts!D:D,MATCH($B740,ChartOfAccounts!A739:A824,0)),"")</f>
        <v/>
      </c>
      <c r="O740" t="str">
        <f>IFERROR(INDEX(ChartOfAccounts!F:F,MATCH($B740,ChartOfAccounts!A739:A824,0)),"")</f>
        <v/>
      </c>
      <c r="P740" t="str" cm="1">
        <f t="array" ref="P740">IFERROR(INDEX(PreparerInfo!B739:B751,MATCH($D740&amp;$C740,PreparerInfo!A739:A751&amp;PreparerInfo!C739:C751,0)),"")</f>
        <v/>
      </c>
      <c r="Q740" t="str">
        <f>IFERROR(INDEX(Source!B739:B747,MATCH('Case 4 solution'!E740,Source!A739:A747,0)),"")</f>
        <v/>
      </c>
    </row>
    <row r="741" spans="1:17" x14ac:dyDescent="0.3">
      <c r="A741" s="3">
        <v>2033889</v>
      </c>
      <c r="B741">
        <v>11845</v>
      </c>
      <c r="C741">
        <v>4</v>
      </c>
      <c r="D741" s="9">
        <v>101</v>
      </c>
      <c r="E741">
        <v>1007</v>
      </c>
      <c r="F741" s="1">
        <v>44012</v>
      </c>
      <c r="G741" t="s">
        <v>133</v>
      </c>
      <c r="H741" s="4" t="s">
        <v>16</v>
      </c>
      <c r="I741" s="4">
        <v>-651.70000000000005</v>
      </c>
      <c r="J741" s="4">
        <v>-651.70000000000005</v>
      </c>
      <c r="K741" t="str">
        <f>IFERROR(INDEX(BusinessUnits!$B:$B,MATCH($C741,BusinessUnits!$A:$A,0)),"")</f>
        <v>HOUSEKEEPING</v>
      </c>
      <c r="L741" t="str">
        <f>IFERROR(INDEX(Table1[[#All],[Description]],MATCH($C741,BusinessUnits!$A:$A,0)),"")</f>
        <v xml:space="preserve">Transactions related to the Housekeeping Department. Primarily includes payroll for housekeepers and housekeeping supplies. </v>
      </c>
      <c r="M741" t="str">
        <f>IFERROR(INDEX(ChartOfAccounts!B740:B825,MATCH($B741,ChartOfAccounts!A740:A825,0)),"")</f>
        <v/>
      </c>
      <c r="N741" t="str">
        <f>IFERROR(INDEX(ChartOfAccounts!D:D,MATCH($B741,ChartOfAccounts!A740:A825,0)),"")</f>
        <v/>
      </c>
      <c r="O741" t="str">
        <f>IFERROR(INDEX(ChartOfAccounts!F:F,MATCH($B741,ChartOfAccounts!A740:A825,0)),"")</f>
        <v/>
      </c>
      <c r="P741" t="str" cm="1">
        <f t="array" ref="P741">IFERROR(INDEX(PreparerInfo!B740:B752,MATCH($D741&amp;$C741,PreparerInfo!A740:A752&amp;PreparerInfo!C740:C752,0)),"")</f>
        <v/>
      </c>
      <c r="Q741" t="str">
        <f>IFERROR(INDEX(Source!B740:B748,MATCH('Case 4 solution'!E741,Source!A740:A748,0)),"")</f>
        <v/>
      </c>
    </row>
    <row r="742" spans="1:17" x14ac:dyDescent="0.3">
      <c r="A742" s="3">
        <v>2033890</v>
      </c>
      <c r="B742">
        <v>71400</v>
      </c>
      <c r="C742">
        <v>1</v>
      </c>
      <c r="D742" s="9">
        <v>101</v>
      </c>
      <c r="E742">
        <v>1007</v>
      </c>
      <c r="F742" s="1">
        <v>44012</v>
      </c>
      <c r="G742" t="s">
        <v>128</v>
      </c>
      <c r="H742" s="4">
        <v>711</v>
      </c>
      <c r="I742" s="4" t="s">
        <v>16</v>
      </c>
      <c r="J742" s="4">
        <v>711</v>
      </c>
      <c r="K742" t="str">
        <f>IFERROR(INDEX(BusinessUnits!$B:$B,MATCH($C742,BusinessUnits!$A:$A,0)),"")</f>
        <v>FOOD SERVICE</v>
      </c>
      <c r="L742" t="str">
        <f>IFERROR(INDEX(Table1[[#All],[Description]],MATCH($C742,BusinessUnits!$A:$A,0)),"")</f>
        <v xml:space="preserve">Transactions related to food and beverage service. Includes all guest transactions in the hotel restaurants, catering-related transactions and food service payroll. </v>
      </c>
      <c r="M742" t="str">
        <f>IFERROR(INDEX(ChartOfAccounts!B741:B826,MATCH($B742,ChartOfAccounts!A741:A826,0)),"")</f>
        <v/>
      </c>
      <c r="N742" t="str">
        <f>IFERROR(INDEX(ChartOfAccounts!D:D,MATCH($B742,ChartOfAccounts!A741:A826,0)),"")</f>
        <v/>
      </c>
      <c r="O742" t="str">
        <f>IFERROR(INDEX(ChartOfAccounts!F:F,MATCH($B742,ChartOfAccounts!A741:A826,0)),"")</f>
        <v/>
      </c>
      <c r="P742" t="str" cm="1">
        <f t="array" ref="P742">IFERROR(INDEX(PreparerInfo!B741:B753,MATCH($D742&amp;$C742,PreparerInfo!A741:A753&amp;PreparerInfo!C741:C753,0)),"")</f>
        <v/>
      </c>
      <c r="Q742" t="str">
        <f>IFERROR(INDEX(Source!B741:B749,MATCH('Case 4 solution'!E742,Source!A741:A749,0)),"")</f>
        <v/>
      </c>
    </row>
    <row r="743" spans="1:17" x14ac:dyDescent="0.3">
      <c r="A743" s="3">
        <v>2033890</v>
      </c>
      <c r="B743">
        <v>11845</v>
      </c>
      <c r="C743">
        <v>1</v>
      </c>
      <c r="D743" s="9">
        <v>101</v>
      </c>
      <c r="E743">
        <v>1007</v>
      </c>
      <c r="F743" s="1">
        <v>44012</v>
      </c>
      <c r="G743" t="s">
        <v>128</v>
      </c>
      <c r="H743" s="4" t="s">
        <v>16</v>
      </c>
      <c r="I743" s="4">
        <v>-711</v>
      </c>
      <c r="J743" s="4">
        <v>-711</v>
      </c>
      <c r="K743" t="str">
        <f>IFERROR(INDEX(BusinessUnits!$B:$B,MATCH($C743,BusinessUnits!$A:$A,0)),"")</f>
        <v>FOOD SERVICE</v>
      </c>
      <c r="L743" t="str">
        <f>IFERROR(INDEX(Table1[[#All],[Description]],MATCH($C743,BusinessUnits!$A:$A,0)),"")</f>
        <v xml:space="preserve">Transactions related to food and beverage service. Includes all guest transactions in the hotel restaurants, catering-related transactions and food service payroll. </v>
      </c>
      <c r="M743" t="str">
        <f>IFERROR(INDEX(ChartOfAccounts!B742:B827,MATCH($B743,ChartOfAccounts!A742:A827,0)),"")</f>
        <v/>
      </c>
      <c r="N743" t="str">
        <f>IFERROR(INDEX(ChartOfAccounts!D:D,MATCH($B743,ChartOfAccounts!A742:A827,0)),"")</f>
        <v/>
      </c>
      <c r="O743" t="str">
        <f>IFERROR(INDEX(ChartOfAccounts!F:F,MATCH($B743,ChartOfAccounts!A742:A827,0)),"")</f>
        <v/>
      </c>
      <c r="P743" t="str" cm="1">
        <f t="array" ref="P743">IFERROR(INDEX(PreparerInfo!B742:B754,MATCH($D743&amp;$C743,PreparerInfo!A742:A754&amp;PreparerInfo!C742:C754,0)),"")</f>
        <v/>
      </c>
      <c r="Q743" t="str">
        <f>IFERROR(INDEX(Source!B742:B750,MATCH('Case 4 solution'!E743,Source!A742:A750,0)),"")</f>
        <v/>
      </c>
    </row>
    <row r="744" spans="1:17" x14ac:dyDescent="0.3">
      <c r="A744" s="3">
        <v>2033891</v>
      </c>
      <c r="B744">
        <v>71500</v>
      </c>
      <c r="C744">
        <v>6</v>
      </c>
      <c r="D744" s="9">
        <v>101</v>
      </c>
      <c r="E744">
        <v>1002</v>
      </c>
      <c r="F744" s="1">
        <v>44012</v>
      </c>
      <c r="G744" t="s">
        <v>186</v>
      </c>
      <c r="H744" s="4">
        <v>827</v>
      </c>
      <c r="I744" s="4" t="s">
        <v>16</v>
      </c>
      <c r="J744" s="4">
        <v>827</v>
      </c>
      <c r="K744" t="str">
        <f>IFERROR(INDEX(BusinessUnits!$B:$B,MATCH($C744,BusinessUnits!$A:$A,0)),"")</f>
        <v>MAINTENANCE</v>
      </c>
      <c r="L744" t="str">
        <f>IFERROR(INDEX(Table1[[#All],[Description]],MATCH($C744,BusinessUnits!$A:$A,0)),"")</f>
        <v>Transactions related to the hotel Maintenance Department. Primarily includes payroll for maintenance, grounds keepers and related supplies.</v>
      </c>
      <c r="M744" t="str">
        <f>IFERROR(INDEX(ChartOfAccounts!B743:B828,MATCH($B744,ChartOfAccounts!A743:A828,0)),"")</f>
        <v/>
      </c>
      <c r="N744" t="str">
        <f>IFERROR(INDEX(ChartOfAccounts!D:D,MATCH($B744,ChartOfAccounts!A743:A828,0)),"")</f>
        <v/>
      </c>
      <c r="O744" t="str">
        <f>IFERROR(INDEX(ChartOfAccounts!F:F,MATCH($B744,ChartOfAccounts!A743:A828,0)),"")</f>
        <v/>
      </c>
      <c r="P744" t="str" cm="1">
        <f t="array" ref="P744">IFERROR(INDEX(PreparerInfo!B743:B755,MATCH($D744&amp;$C744,PreparerInfo!A743:A755&amp;PreparerInfo!C743:C755,0)),"")</f>
        <v/>
      </c>
      <c r="Q744" t="str">
        <f>IFERROR(INDEX(Source!B743:B751,MATCH('Case 4 solution'!E744,Source!A743:A751,0)),"")</f>
        <v/>
      </c>
    </row>
    <row r="745" spans="1:17" x14ac:dyDescent="0.3">
      <c r="A745" s="3">
        <v>2033891</v>
      </c>
      <c r="B745">
        <v>11845</v>
      </c>
      <c r="C745">
        <v>6</v>
      </c>
      <c r="D745" s="9">
        <v>101</v>
      </c>
      <c r="E745">
        <v>1002</v>
      </c>
      <c r="F745" s="1">
        <v>44012</v>
      </c>
      <c r="G745" t="s">
        <v>186</v>
      </c>
      <c r="H745" s="4" t="s">
        <v>16</v>
      </c>
      <c r="I745" s="4">
        <v>-827</v>
      </c>
      <c r="J745" s="4">
        <v>-827</v>
      </c>
      <c r="K745" t="str">
        <f>IFERROR(INDEX(BusinessUnits!$B:$B,MATCH($C745,BusinessUnits!$A:$A,0)),"")</f>
        <v>MAINTENANCE</v>
      </c>
      <c r="L745" t="str">
        <f>IFERROR(INDEX(Table1[[#All],[Description]],MATCH($C745,BusinessUnits!$A:$A,0)),"")</f>
        <v>Transactions related to the hotel Maintenance Department. Primarily includes payroll for maintenance, grounds keepers and related supplies.</v>
      </c>
      <c r="M745" t="str">
        <f>IFERROR(INDEX(ChartOfAccounts!B744:B829,MATCH($B745,ChartOfAccounts!A744:A829,0)),"")</f>
        <v/>
      </c>
      <c r="N745" t="str">
        <f>IFERROR(INDEX(ChartOfAccounts!D:D,MATCH($B745,ChartOfAccounts!A744:A829,0)),"")</f>
        <v/>
      </c>
      <c r="O745" t="str">
        <f>IFERROR(INDEX(ChartOfAccounts!F:F,MATCH($B745,ChartOfAccounts!A744:A829,0)),"")</f>
        <v/>
      </c>
      <c r="P745" t="str" cm="1">
        <f t="array" ref="P745">IFERROR(INDEX(PreparerInfo!B744:B756,MATCH($D745&amp;$C745,PreparerInfo!A744:A756&amp;PreparerInfo!C744:C756,0)),"")</f>
        <v/>
      </c>
      <c r="Q745" t="str">
        <f>IFERROR(INDEX(Source!B744:B752,MATCH('Case 4 solution'!E745,Source!A744:A752,0)),"")</f>
        <v/>
      </c>
    </row>
    <row r="746" spans="1:17" x14ac:dyDescent="0.3">
      <c r="A746" s="3">
        <v>2033892</v>
      </c>
      <c r="B746">
        <v>71400</v>
      </c>
      <c r="C746">
        <v>1</v>
      </c>
      <c r="D746" s="9">
        <v>101</v>
      </c>
      <c r="E746">
        <v>1007</v>
      </c>
      <c r="F746" s="1">
        <v>44012</v>
      </c>
      <c r="G746" t="s">
        <v>88</v>
      </c>
      <c r="H746" s="4">
        <v>876.5</v>
      </c>
      <c r="I746" s="4" t="s">
        <v>16</v>
      </c>
      <c r="J746" s="4">
        <v>876.5</v>
      </c>
      <c r="K746" t="str">
        <f>IFERROR(INDEX(BusinessUnits!$B:$B,MATCH($C746,BusinessUnits!$A:$A,0)),"")</f>
        <v>FOOD SERVICE</v>
      </c>
      <c r="L746" t="str">
        <f>IFERROR(INDEX(Table1[[#All],[Description]],MATCH($C746,BusinessUnits!$A:$A,0)),"")</f>
        <v xml:space="preserve">Transactions related to food and beverage service. Includes all guest transactions in the hotel restaurants, catering-related transactions and food service payroll. </v>
      </c>
      <c r="M746" t="str">
        <f>IFERROR(INDEX(ChartOfAccounts!B745:B830,MATCH($B746,ChartOfAccounts!A745:A830,0)),"")</f>
        <v/>
      </c>
      <c r="N746" t="str">
        <f>IFERROR(INDEX(ChartOfAccounts!D:D,MATCH($B746,ChartOfAccounts!A745:A830,0)),"")</f>
        <v/>
      </c>
      <c r="O746" t="str">
        <f>IFERROR(INDEX(ChartOfAccounts!F:F,MATCH($B746,ChartOfAccounts!A745:A830,0)),"")</f>
        <v/>
      </c>
      <c r="P746" t="str" cm="1">
        <f t="array" ref="P746">IFERROR(INDEX(PreparerInfo!B745:B757,MATCH($D746&amp;$C746,PreparerInfo!A745:A757&amp;PreparerInfo!C745:C757,0)),"")</f>
        <v/>
      </c>
      <c r="Q746" t="str">
        <f>IFERROR(INDEX(Source!B745:B753,MATCH('Case 4 solution'!E746,Source!A745:A753,0)),"")</f>
        <v/>
      </c>
    </row>
    <row r="747" spans="1:17" x14ac:dyDescent="0.3">
      <c r="A747" s="3">
        <v>2033892</v>
      </c>
      <c r="B747">
        <v>11845</v>
      </c>
      <c r="C747">
        <v>1</v>
      </c>
      <c r="D747" s="9">
        <v>101</v>
      </c>
      <c r="E747">
        <v>1007</v>
      </c>
      <c r="F747" s="1">
        <v>44012</v>
      </c>
      <c r="G747" t="s">
        <v>88</v>
      </c>
      <c r="H747" s="4" t="s">
        <v>16</v>
      </c>
      <c r="I747" s="4">
        <v>-876.5</v>
      </c>
      <c r="J747" s="4">
        <v>-876.5</v>
      </c>
      <c r="K747" t="str">
        <f>IFERROR(INDEX(BusinessUnits!$B:$B,MATCH($C747,BusinessUnits!$A:$A,0)),"")</f>
        <v>FOOD SERVICE</v>
      </c>
      <c r="L747" t="str">
        <f>IFERROR(INDEX(Table1[[#All],[Description]],MATCH($C747,BusinessUnits!$A:$A,0)),"")</f>
        <v xml:space="preserve">Transactions related to food and beverage service. Includes all guest transactions in the hotel restaurants, catering-related transactions and food service payroll. </v>
      </c>
      <c r="M747" t="str">
        <f>IFERROR(INDEX(ChartOfAccounts!B746:B831,MATCH($B747,ChartOfAccounts!A746:A831,0)),"")</f>
        <v/>
      </c>
      <c r="N747" t="str">
        <f>IFERROR(INDEX(ChartOfAccounts!D:D,MATCH($B747,ChartOfAccounts!A746:A831,0)),"")</f>
        <v/>
      </c>
      <c r="O747" t="str">
        <f>IFERROR(INDEX(ChartOfAccounts!F:F,MATCH($B747,ChartOfAccounts!A746:A831,0)),"")</f>
        <v/>
      </c>
      <c r="P747" t="str" cm="1">
        <f t="array" ref="P747">IFERROR(INDEX(PreparerInfo!B746:B758,MATCH($D747&amp;$C747,PreparerInfo!A746:A758&amp;PreparerInfo!C746:C758,0)),"")</f>
        <v/>
      </c>
      <c r="Q747" t="str">
        <f>IFERROR(INDEX(Source!B746:B754,MATCH('Case 4 solution'!E747,Source!A746:A754,0)),"")</f>
        <v/>
      </c>
    </row>
    <row r="748" spans="1:17" x14ac:dyDescent="0.3">
      <c r="A748" s="3">
        <v>2033893</v>
      </c>
      <c r="B748">
        <v>11845</v>
      </c>
      <c r="C748">
        <v>1</v>
      </c>
      <c r="D748" s="9">
        <v>102</v>
      </c>
      <c r="E748">
        <v>1001</v>
      </c>
      <c r="F748" s="1">
        <v>44012</v>
      </c>
      <c r="G748" t="s">
        <v>41</v>
      </c>
      <c r="H748" s="4">
        <v>1039.21</v>
      </c>
      <c r="I748" s="4" t="s">
        <v>16</v>
      </c>
      <c r="J748" s="4">
        <v>1039.21</v>
      </c>
      <c r="K748" t="str">
        <f>IFERROR(INDEX(BusinessUnits!$B:$B,MATCH($C748,BusinessUnits!$A:$A,0)),"")</f>
        <v>FOOD SERVICE</v>
      </c>
      <c r="L748" t="str">
        <f>IFERROR(INDEX(Table1[[#All],[Description]],MATCH($C748,BusinessUnits!$A:$A,0)),"")</f>
        <v xml:space="preserve">Transactions related to food and beverage service. Includes all guest transactions in the hotel restaurants, catering-related transactions and food service payroll. </v>
      </c>
      <c r="M748" t="str">
        <f>IFERROR(INDEX(ChartOfAccounts!B747:B832,MATCH($B748,ChartOfAccounts!A747:A832,0)),"")</f>
        <v/>
      </c>
      <c r="N748" t="str">
        <f>IFERROR(INDEX(ChartOfAccounts!D:D,MATCH($B748,ChartOfAccounts!A747:A832,0)),"")</f>
        <v/>
      </c>
      <c r="O748" t="str">
        <f>IFERROR(INDEX(ChartOfAccounts!F:F,MATCH($B748,ChartOfAccounts!A747:A832,0)),"")</f>
        <v/>
      </c>
      <c r="P748" t="str" cm="1">
        <f t="array" ref="P748">IFERROR(INDEX(PreparerInfo!B747:B759,MATCH($D748&amp;$C748,PreparerInfo!A747:A759&amp;PreparerInfo!C747:C759,0)),"")</f>
        <v/>
      </c>
      <c r="Q748" t="str">
        <f>IFERROR(INDEX(Source!B747:B755,MATCH('Case 4 solution'!E748,Source!A747:A755,0)),"")</f>
        <v/>
      </c>
    </row>
    <row r="749" spans="1:17" x14ac:dyDescent="0.3">
      <c r="A749" s="3">
        <v>2033893</v>
      </c>
      <c r="B749">
        <v>43310</v>
      </c>
      <c r="C749">
        <v>1</v>
      </c>
      <c r="D749" s="9">
        <v>102</v>
      </c>
      <c r="E749">
        <v>1001</v>
      </c>
      <c r="F749" s="1">
        <v>44012</v>
      </c>
      <c r="G749" t="s">
        <v>41</v>
      </c>
      <c r="H749" s="4" t="s">
        <v>16</v>
      </c>
      <c r="I749" s="4">
        <v>-1039.21</v>
      </c>
      <c r="J749" s="4">
        <v>-1039.21</v>
      </c>
      <c r="K749" t="str">
        <f>IFERROR(INDEX(BusinessUnits!$B:$B,MATCH($C749,BusinessUnits!$A:$A,0)),"")</f>
        <v>FOOD SERVICE</v>
      </c>
      <c r="L749" t="str">
        <f>IFERROR(INDEX(Table1[[#All],[Description]],MATCH($C749,BusinessUnits!$A:$A,0)),"")</f>
        <v xml:space="preserve">Transactions related to food and beverage service. Includes all guest transactions in the hotel restaurants, catering-related transactions and food service payroll. </v>
      </c>
      <c r="M749" t="str">
        <f>IFERROR(INDEX(ChartOfAccounts!B748:B833,MATCH($B749,ChartOfAccounts!A748:A833,0)),"")</f>
        <v/>
      </c>
      <c r="N749" t="str">
        <f>IFERROR(INDEX(ChartOfAccounts!D:D,MATCH($B749,ChartOfAccounts!A748:A833,0)),"")</f>
        <v/>
      </c>
      <c r="O749" t="str">
        <f>IFERROR(INDEX(ChartOfAccounts!F:F,MATCH($B749,ChartOfAccounts!A748:A833,0)),"")</f>
        <v/>
      </c>
      <c r="P749" t="str" cm="1">
        <f t="array" ref="P749">IFERROR(INDEX(PreparerInfo!B748:B760,MATCH($D749&amp;$C749,PreparerInfo!A748:A760&amp;PreparerInfo!C748:C760,0)),"")</f>
        <v/>
      </c>
      <c r="Q749" t="str">
        <f>IFERROR(INDEX(Source!B748:B756,MATCH('Case 4 solution'!E749,Source!A748:A756,0)),"")</f>
        <v/>
      </c>
    </row>
    <row r="750" spans="1:17" x14ac:dyDescent="0.3">
      <c r="A750" s="3">
        <v>2033894</v>
      </c>
      <c r="B750">
        <v>11845</v>
      </c>
      <c r="C750">
        <v>1</v>
      </c>
      <c r="D750" s="9">
        <v>101</v>
      </c>
      <c r="E750">
        <v>1007</v>
      </c>
      <c r="F750" s="1">
        <v>44012</v>
      </c>
      <c r="G750" t="s">
        <v>90</v>
      </c>
      <c r="H750" s="4">
        <v>1170</v>
      </c>
      <c r="I750" s="4" t="s">
        <v>16</v>
      </c>
      <c r="J750" s="4">
        <v>1170</v>
      </c>
      <c r="K750" t="str">
        <f>IFERROR(INDEX(BusinessUnits!$B:$B,MATCH($C750,BusinessUnits!$A:$A,0)),"")</f>
        <v>FOOD SERVICE</v>
      </c>
      <c r="L750" t="str">
        <f>IFERROR(INDEX(Table1[[#All],[Description]],MATCH($C750,BusinessUnits!$A:$A,0)),"")</f>
        <v xml:space="preserve">Transactions related to food and beverage service. Includes all guest transactions in the hotel restaurants, catering-related transactions and food service payroll. </v>
      </c>
      <c r="M750" t="str">
        <f>IFERROR(INDEX(ChartOfAccounts!B749:B834,MATCH($B750,ChartOfAccounts!A749:A834,0)),"")</f>
        <v/>
      </c>
      <c r="N750" t="str">
        <f>IFERROR(INDEX(ChartOfAccounts!D:D,MATCH($B750,ChartOfAccounts!A749:A834,0)),"")</f>
        <v/>
      </c>
      <c r="O750" t="str">
        <f>IFERROR(INDEX(ChartOfAccounts!F:F,MATCH($B750,ChartOfAccounts!A749:A834,0)),"")</f>
        <v/>
      </c>
      <c r="P750" t="str" cm="1">
        <f t="array" ref="P750">IFERROR(INDEX(PreparerInfo!B749:B761,MATCH($D750&amp;$C750,PreparerInfo!A749:A761&amp;PreparerInfo!C749:C761,0)),"")</f>
        <v/>
      </c>
      <c r="Q750" t="str">
        <f>IFERROR(INDEX(Source!B749:B757,MATCH('Case 4 solution'!E750,Source!A749:A757,0)),"")</f>
        <v/>
      </c>
    </row>
    <row r="751" spans="1:17" x14ac:dyDescent="0.3">
      <c r="A751" s="3">
        <v>2033894</v>
      </c>
      <c r="B751">
        <v>71400</v>
      </c>
      <c r="C751">
        <v>1</v>
      </c>
      <c r="D751" s="9">
        <v>101</v>
      </c>
      <c r="E751">
        <v>1007</v>
      </c>
      <c r="F751" s="1">
        <v>44012</v>
      </c>
      <c r="G751" t="s">
        <v>90</v>
      </c>
      <c r="H751" s="4" t="s">
        <v>16</v>
      </c>
      <c r="I751" s="4">
        <v>-1170</v>
      </c>
      <c r="J751" s="4">
        <v>-1170</v>
      </c>
      <c r="K751" t="str">
        <f>IFERROR(INDEX(BusinessUnits!$B:$B,MATCH($C751,BusinessUnits!$A:$A,0)),"")</f>
        <v>FOOD SERVICE</v>
      </c>
      <c r="L751" t="str">
        <f>IFERROR(INDEX(Table1[[#All],[Description]],MATCH($C751,BusinessUnits!$A:$A,0)),"")</f>
        <v xml:space="preserve">Transactions related to food and beverage service. Includes all guest transactions in the hotel restaurants, catering-related transactions and food service payroll. </v>
      </c>
      <c r="M751" t="str">
        <f>IFERROR(INDEX(ChartOfAccounts!B750:B835,MATCH($B751,ChartOfAccounts!A750:A835,0)),"")</f>
        <v/>
      </c>
      <c r="N751" t="str">
        <f>IFERROR(INDEX(ChartOfAccounts!D:D,MATCH($B751,ChartOfAccounts!A750:A835,0)),"")</f>
        <v/>
      </c>
      <c r="O751" t="str">
        <f>IFERROR(INDEX(ChartOfAccounts!F:F,MATCH($B751,ChartOfAccounts!A750:A835,0)),"")</f>
        <v/>
      </c>
      <c r="P751" t="str" cm="1">
        <f t="array" ref="P751">IFERROR(INDEX(PreparerInfo!B750:B762,MATCH($D751&amp;$C751,PreparerInfo!A750:A762&amp;PreparerInfo!C750:C762,0)),"")</f>
        <v/>
      </c>
      <c r="Q751" t="str">
        <f>IFERROR(INDEX(Source!B750:B758,MATCH('Case 4 solution'!E751,Source!A750:A758,0)),"")</f>
        <v/>
      </c>
    </row>
    <row r="752" spans="1:17" x14ac:dyDescent="0.3">
      <c r="A752" s="3">
        <v>2033895</v>
      </c>
      <c r="B752">
        <v>71400</v>
      </c>
      <c r="C752">
        <v>1</v>
      </c>
      <c r="D752" s="9">
        <v>101</v>
      </c>
      <c r="E752">
        <v>1007</v>
      </c>
      <c r="F752" s="1">
        <v>44012</v>
      </c>
      <c r="G752" t="s">
        <v>88</v>
      </c>
      <c r="H752" s="4">
        <v>1184.94</v>
      </c>
      <c r="I752" s="4" t="s">
        <v>16</v>
      </c>
      <c r="J752" s="4">
        <v>1184.94</v>
      </c>
      <c r="K752" t="str">
        <f>IFERROR(INDEX(BusinessUnits!$B:$B,MATCH($C752,BusinessUnits!$A:$A,0)),"")</f>
        <v>FOOD SERVICE</v>
      </c>
      <c r="L752" t="str">
        <f>IFERROR(INDEX(Table1[[#All],[Description]],MATCH($C752,BusinessUnits!$A:$A,0)),"")</f>
        <v xml:space="preserve">Transactions related to food and beverage service. Includes all guest transactions in the hotel restaurants, catering-related transactions and food service payroll. </v>
      </c>
      <c r="M752" t="str">
        <f>IFERROR(INDEX(ChartOfAccounts!B751:B836,MATCH($B752,ChartOfAccounts!A751:A836,0)),"")</f>
        <v/>
      </c>
      <c r="N752" t="str">
        <f>IFERROR(INDEX(ChartOfAccounts!D:D,MATCH($B752,ChartOfAccounts!A751:A836,0)),"")</f>
        <v/>
      </c>
      <c r="O752" t="str">
        <f>IFERROR(INDEX(ChartOfAccounts!F:F,MATCH($B752,ChartOfAccounts!A751:A836,0)),"")</f>
        <v/>
      </c>
      <c r="P752" t="str" cm="1">
        <f t="array" ref="P752">IFERROR(INDEX(PreparerInfo!B751:B763,MATCH($D752&amp;$C752,PreparerInfo!A751:A763&amp;PreparerInfo!C751:C763,0)),"")</f>
        <v/>
      </c>
      <c r="Q752" t="str">
        <f>IFERROR(INDEX(Source!B751:B759,MATCH('Case 4 solution'!E752,Source!A751:A759,0)),"")</f>
        <v/>
      </c>
    </row>
    <row r="753" spans="1:17" x14ac:dyDescent="0.3">
      <c r="A753" s="3">
        <v>2033895</v>
      </c>
      <c r="B753">
        <v>11845</v>
      </c>
      <c r="C753">
        <v>1</v>
      </c>
      <c r="D753" s="9">
        <v>101</v>
      </c>
      <c r="E753">
        <v>1007</v>
      </c>
      <c r="F753" s="1">
        <v>44012</v>
      </c>
      <c r="G753" t="s">
        <v>88</v>
      </c>
      <c r="H753" s="4" t="s">
        <v>16</v>
      </c>
      <c r="I753" s="4">
        <v>-1184.94</v>
      </c>
      <c r="J753" s="4">
        <v>-1184.94</v>
      </c>
      <c r="K753" t="str">
        <f>IFERROR(INDEX(BusinessUnits!$B:$B,MATCH($C753,BusinessUnits!$A:$A,0)),"")</f>
        <v>FOOD SERVICE</v>
      </c>
      <c r="L753" t="str">
        <f>IFERROR(INDEX(Table1[[#All],[Description]],MATCH($C753,BusinessUnits!$A:$A,0)),"")</f>
        <v xml:space="preserve">Transactions related to food and beverage service. Includes all guest transactions in the hotel restaurants, catering-related transactions and food service payroll. </v>
      </c>
      <c r="M753" t="str">
        <f>IFERROR(INDEX(ChartOfAccounts!B752:B837,MATCH($B753,ChartOfAccounts!A752:A837,0)),"")</f>
        <v/>
      </c>
      <c r="N753" t="str">
        <f>IFERROR(INDEX(ChartOfAccounts!D:D,MATCH($B753,ChartOfAccounts!A752:A837,0)),"")</f>
        <v/>
      </c>
      <c r="O753" t="str">
        <f>IFERROR(INDEX(ChartOfAccounts!F:F,MATCH($B753,ChartOfAccounts!A752:A837,0)),"")</f>
        <v/>
      </c>
      <c r="P753" t="str" cm="1">
        <f t="array" ref="P753">IFERROR(INDEX(PreparerInfo!B752:B764,MATCH($D753&amp;$C753,PreparerInfo!A752:A764&amp;PreparerInfo!C752:C764,0)),"")</f>
        <v/>
      </c>
      <c r="Q753" t="str">
        <f>IFERROR(INDEX(Source!B752:B760,MATCH('Case 4 solution'!E753,Source!A752:A760,0)),"")</f>
        <v/>
      </c>
    </row>
    <row r="754" spans="1:17" x14ac:dyDescent="0.3">
      <c r="A754" s="3">
        <v>2033896</v>
      </c>
      <c r="B754">
        <v>71400</v>
      </c>
      <c r="C754">
        <v>1</v>
      </c>
      <c r="D754" s="9">
        <v>101</v>
      </c>
      <c r="E754">
        <v>1007</v>
      </c>
      <c r="F754" s="1">
        <v>44012</v>
      </c>
      <c r="G754" t="s">
        <v>95</v>
      </c>
      <c r="H754" s="4">
        <v>1382.47</v>
      </c>
      <c r="I754" s="4" t="s">
        <v>16</v>
      </c>
      <c r="J754" s="4">
        <v>1382.47</v>
      </c>
      <c r="K754" t="str">
        <f>IFERROR(INDEX(BusinessUnits!$B:$B,MATCH($C754,BusinessUnits!$A:$A,0)),"")</f>
        <v>FOOD SERVICE</v>
      </c>
      <c r="L754" t="str">
        <f>IFERROR(INDEX(Table1[[#All],[Description]],MATCH($C754,BusinessUnits!$A:$A,0)),"")</f>
        <v xml:space="preserve">Transactions related to food and beverage service. Includes all guest transactions in the hotel restaurants, catering-related transactions and food service payroll. </v>
      </c>
      <c r="M754" t="str">
        <f>IFERROR(INDEX(ChartOfAccounts!B753:B838,MATCH($B754,ChartOfAccounts!A753:A838,0)),"")</f>
        <v/>
      </c>
      <c r="N754" t="str">
        <f>IFERROR(INDEX(ChartOfAccounts!D:D,MATCH($B754,ChartOfAccounts!A753:A838,0)),"")</f>
        <v/>
      </c>
      <c r="O754" t="str">
        <f>IFERROR(INDEX(ChartOfAccounts!F:F,MATCH($B754,ChartOfAccounts!A753:A838,0)),"")</f>
        <v/>
      </c>
      <c r="P754" t="str" cm="1">
        <f t="array" ref="P754">IFERROR(INDEX(PreparerInfo!B753:B765,MATCH($D754&amp;$C754,PreparerInfo!A753:A765&amp;PreparerInfo!C753:C765,0)),"")</f>
        <v/>
      </c>
      <c r="Q754" t="str">
        <f>IFERROR(INDEX(Source!B753:B761,MATCH('Case 4 solution'!E754,Source!A753:A761,0)),"")</f>
        <v/>
      </c>
    </row>
    <row r="755" spans="1:17" x14ac:dyDescent="0.3">
      <c r="A755" s="3">
        <v>2033896</v>
      </c>
      <c r="B755">
        <v>11845</v>
      </c>
      <c r="C755">
        <v>1</v>
      </c>
      <c r="D755" s="9">
        <v>101</v>
      </c>
      <c r="E755">
        <v>1007</v>
      </c>
      <c r="F755" s="1">
        <v>44012</v>
      </c>
      <c r="G755" t="s">
        <v>95</v>
      </c>
      <c r="H755" s="4" t="s">
        <v>16</v>
      </c>
      <c r="I755" s="4">
        <v>-1382.47</v>
      </c>
      <c r="J755" s="4">
        <v>-1382.47</v>
      </c>
      <c r="K755" t="str">
        <f>IFERROR(INDEX(BusinessUnits!$B:$B,MATCH($C755,BusinessUnits!$A:$A,0)),"")</f>
        <v>FOOD SERVICE</v>
      </c>
      <c r="L755" t="str">
        <f>IFERROR(INDEX(Table1[[#All],[Description]],MATCH($C755,BusinessUnits!$A:$A,0)),"")</f>
        <v xml:space="preserve">Transactions related to food and beverage service. Includes all guest transactions in the hotel restaurants, catering-related transactions and food service payroll. </v>
      </c>
      <c r="M755" t="str">
        <f>IFERROR(INDEX(ChartOfAccounts!B754:B839,MATCH($B755,ChartOfAccounts!A754:A839,0)),"")</f>
        <v/>
      </c>
      <c r="N755" t="str">
        <f>IFERROR(INDEX(ChartOfAccounts!D:D,MATCH($B755,ChartOfAccounts!A754:A839,0)),"")</f>
        <v/>
      </c>
      <c r="O755" t="str">
        <f>IFERROR(INDEX(ChartOfAccounts!F:F,MATCH($B755,ChartOfAccounts!A754:A839,0)),"")</f>
        <v/>
      </c>
      <c r="P755" t="str" cm="1">
        <f t="array" ref="P755">IFERROR(INDEX(PreparerInfo!B754:B766,MATCH($D755&amp;$C755,PreparerInfo!A754:A766&amp;PreparerInfo!C754:C766,0)),"")</f>
        <v/>
      </c>
      <c r="Q755" t="str">
        <f>IFERROR(INDEX(Source!B754:B762,MATCH('Case 4 solution'!E755,Source!A754:A762,0)),"")</f>
        <v/>
      </c>
    </row>
    <row r="756" spans="1:17" x14ac:dyDescent="0.3">
      <c r="A756" s="3">
        <v>2033897</v>
      </c>
      <c r="B756">
        <v>71400</v>
      </c>
      <c r="C756">
        <v>1</v>
      </c>
      <c r="D756" s="9">
        <v>101</v>
      </c>
      <c r="E756">
        <v>1007</v>
      </c>
      <c r="F756" s="1">
        <v>44012</v>
      </c>
      <c r="G756" t="s">
        <v>88</v>
      </c>
      <c r="H756" s="4">
        <v>1386.24</v>
      </c>
      <c r="I756" s="4" t="s">
        <v>16</v>
      </c>
      <c r="J756" s="4">
        <v>1386.24</v>
      </c>
      <c r="K756" t="str">
        <f>IFERROR(INDEX(BusinessUnits!$B:$B,MATCH($C756,BusinessUnits!$A:$A,0)),"")</f>
        <v>FOOD SERVICE</v>
      </c>
      <c r="L756" t="str">
        <f>IFERROR(INDEX(Table1[[#All],[Description]],MATCH($C756,BusinessUnits!$A:$A,0)),"")</f>
        <v xml:space="preserve">Transactions related to food and beverage service. Includes all guest transactions in the hotel restaurants, catering-related transactions and food service payroll. </v>
      </c>
      <c r="M756" t="str">
        <f>IFERROR(INDEX(ChartOfAccounts!B755:B840,MATCH($B756,ChartOfAccounts!A755:A840,0)),"")</f>
        <v/>
      </c>
      <c r="N756" t="str">
        <f>IFERROR(INDEX(ChartOfAccounts!D:D,MATCH($B756,ChartOfAccounts!A755:A840,0)),"")</f>
        <v/>
      </c>
      <c r="O756" t="str">
        <f>IFERROR(INDEX(ChartOfAccounts!F:F,MATCH($B756,ChartOfAccounts!A755:A840,0)),"")</f>
        <v/>
      </c>
      <c r="P756" t="str" cm="1">
        <f t="array" ref="P756">IFERROR(INDEX(PreparerInfo!B755:B767,MATCH($D756&amp;$C756,PreparerInfo!A755:A767&amp;PreparerInfo!C755:C767,0)),"")</f>
        <v/>
      </c>
      <c r="Q756" t="str">
        <f>IFERROR(INDEX(Source!B755:B763,MATCH('Case 4 solution'!E756,Source!A755:A763,0)),"")</f>
        <v/>
      </c>
    </row>
    <row r="757" spans="1:17" x14ac:dyDescent="0.3">
      <c r="A757" s="3">
        <v>2033897</v>
      </c>
      <c r="B757">
        <v>11845</v>
      </c>
      <c r="C757">
        <v>1</v>
      </c>
      <c r="D757" s="9">
        <v>101</v>
      </c>
      <c r="E757">
        <v>1007</v>
      </c>
      <c r="F757" s="1">
        <v>44012</v>
      </c>
      <c r="G757" t="s">
        <v>88</v>
      </c>
      <c r="H757" s="4" t="s">
        <v>16</v>
      </c>
      <c r="I757" s="4">
        <v>-1386.24</v>
      </c>
      <c r="J757" s="4">
        <v>-1386.24</v>
      </c>
      <c r="K757" t="str">
        <f>IFERROR(INDEX(BusinessUnits!$B:$B,MATCH($C757,BusinessUnits!$A:$A,0)),"")</f>
        <v>FOOD SERVICE</v>
      </c>
      <c r="L757" t="str">
        <f>IFERROR(INDEX(Table1[[#All],[Description]],MATCH($C757,BusinessUnits!$A:$A,0)),"")</f>
        <v xml:space="preserve">Transactions related to food and beverage service. Includes all guest transactions in the hotel restaurants, catering-related transactions and food service payroll. </v>
      </c>
      <c r="M757" t="str">
        <f>IFERROR(INDEX(ChartOfAccounts!B756:B841,MATCH($B757,ChartOfAccounts!A756:A841,0)),"")</f>
        <v/>
      </c>
      <c r="N757" t="str">
        <f>IFERROR(INDEX(ChartOfAccounts!D:D,MATCH($B757,ChartOfAccounts!A756:A841,0)),"")</f>
        <v/>
      </c>
      <c r="O757" t="str">
        <f>IFERROR(INDEX(ChartOfAccounts!F:F,MATCH($B757,ChartOfAccounts!A756:A841,0)),"")</f>
        <v/>
      </c>
      <c r="P757" t="str" cm="1">
        <f t="array" ref="P757">IFERROR(INDEX(PreparerInfo!B756:B768,MATCH($D757&amp;$C757,PreparerInfo!A756:A768&amp;PreparerInfo!C756:C768,0)),"")</f>
        <v/>
      </c>
      <c r="Q757" t="str">
        <f>IFERROR(INDEX(Source!B756:B764,MATCH('Case 4 solution'!E757,Source!A756:A764,0)),"")</f>
        <v/>
      </c>
    </row>
    <row r="758" spans="1:17" x14ac:dyDescent="0.3">
      <c r="A758" s="3">
        <v>2033898</v>
      </c>
      <c r="B758">
        <v>71400</v>
      </c>
      <c r="C758">
        <v>1</v>
      </c>
      <c r="D758" s="9">
        <v>101</v>
      </c>
      <c r="E758">
        <v>1007</v>
      </c>
      <c r="F758" s="1">
        <v>44012</v>
      </c>
      <c r="G758" t="s">
        <v>88</v>
      </c>
      <c r="H758" s="4">
        <v>1944.24</v>
      </c>
      <c r="I758" s="4" t="s">
        <v>16</v>
      </c>
      <c r="J758" s="4">
        <v>1944.24</v>
      </c>
      <c r="K758" t="str">
        <f>IFERROR(INDEX(BusinessUnits!$B:$B,MATCH($C758,BusinessUnits!$A:$A,0)),"")</f>
        <v>FOOD SERVICE</v>
      </c>
      <c r="L758" t="str">
        <f>IFERROR(INDEX(Table1[[#All],[Description]],MATCH($C758,BusinessUnits!$A:$A,0)),"")</f>
        <v xml:space="preserve">Transactions related to food and beverage service. Includes all guest transactions in the hotel restaurants, catering-related transactions and food service payroll. </v>
      </c>
      <c r="M758" t="str">
        <f>IFERROR(INDEX(ChartOfAccounts!B757:B842,MATCH($B758,ChartOfAccounts!A757:A842,0)),"")</f>
        <v/>
      </c>
      <c r="N758" t="str">
        <f>IFERROR(INDEX(ChartOfAccounts!D:D,MATCH($B758,ChartOfAccounts!A757:A842,0)),"")</f>
        <v/>
      </c>
      <c r="O758" t="str">
        <f>IFERROR(INDEX(ChartOfAccounts!F:F,MATCH($B758,ChartOfAccounts!A757:A842,0)),"")</f>
        <v/>
      </c>
      <c r="P758" t="str" cm="1">
        <f t="array" ref="P758">IFERROR(INDEX(PreparerInfo!B757:B769,MATCH($D758&amp;$C758,PreparerInfo!A757:A769&amp;PreparerInfo!C757:C769,0)),"")</f>
        <v/>
      </c>
      <c r="Q758" t="str">
        <f>IFERROR(INDEX(Source!B757:B765,MATCH('Case 4 solution'!E758,Source!A757:A765,0)),"")</f>
        <v/>
      </c>
    </row>
    <row r="759" spans="1:17" x14ac:dyDescent="0.3">
      <c r="A759" s="3">
        <v>2033898</v>
      </c>
      <c r="B759">
        <v>11845</v>
      </c>
      <c r="C759">
        <v>1</v>
      </c>
      <c r="D759" s="9">
        <v>101</v>
      </c>
      <c r="E759">
        <v>1007</v>
      </c>
      <c r="F759" s="1">
        <v>44012</v>
      </c>
      <c r="G759" t="s">
        <v>88</v>
      </c>
      <c r="H759" s="4" t="s">
        <v>16</v>
      </c>
      <c r="I759" s="4">
        <v>-1944.24</v>
      </c>
      <c r="J759" s="4">
        <v>-1944.24</v>
      </c>
      <c r="K759" t="str">
        <f>IFERROR(INDEX(BusinessUnits!$B:$B,MATCH($C759,BusinessUnits!$A:$A,0)),"")</f>
        <v>FOOD SERVICE</v>
      </c>
      <c r="L759" t="str">
        <f>IFERROR(INDEX(Table1[[#All],[Description]],MATCH($C759,BusinessUnits!$A:$A,0)),"")</f>
        <v xml:space="preserve">Transactions related to food and beverage service. Includes all guest transactions in the hotel restaurants, catering-related transactions and food service payroll. </v>
      </c>
      <c r="M759" t="str">
        <f>IFERROR(INDEX(ChartOfAccounts!B758:B843,MATCH($B759,ChartOfAccounts!A758:A843,0)),"")</f>
        <v/>
      </c>
      <c r="N759" t="str">
        <f>IFERROR(INDEX(ChartOfAccounts!D:D,MATCH($B759,ChartOfAccounts!A758:A843,0)),"")</f>
        <v/>
      </c>
      <c r="O759" t="str">
        <f>IFERROR(INDEX(ChartOfAccounts!F:F,MATCH($B759,ChartOfAccounts!A758:A843,0)),"")</f>
        <v/>
      </c>
      <c r="P759" t="str" cm="1">
        <f t="array" ref="P759">IFERROR(INDEX(PreparerInfo!B758:B770,MATCH($D759&amp;$C759,PreparerInfo!A758:A770&amp;PreparerInfo!C758:C770,0)),"")</f>
        <v/>
      </c>
      <c r="Q759" t="str">
        <f>IFERROR(INDEX(Source!B758:B766,MATCH('Case 4 solution'!E759,Source!A758:A766,0)),"")</f>
        <v/>
      </c>
    </row>
    <row r="760" spans="1:17" x14ac:dyDescent="0.3">
      <c r="A760" s="3">
        <v>2033899</v>
      </c>
      <c r="B760">
        <v>14260</v>
      </c>
      <c r="C760">
        <v>1</v>
      </c>
      <c r="D760" s="9">
        <v>101</v>
      </c>
      <c r="E760">
        <v>1007</v>
      </c>
      <c r="F760" s="1">
        <v>44012</v>
      </c>
      <c r="G760" t="s">
        <v>216</v>
      </c>
      <c r="H760" s="4">
        <v>1964.6</v>
      </c>
      <c r="I760" s="4" t="s">
        <v>16</v>
      </c>
      <c r="J760" s="4">
        <v>1964.6</v>
      </c>
      <c r="K760" t="str">
        <f>IFERROR(INDEX(BusinessUnits!$B:$B,MATCH($C760,BusinessUnits!$A:$A,0)),"")</f>
        <v>FOOD SERVICE</v>
      </c>
      <c r="L760" t="str">
        <f>IFERROR(INDEX(Table1[[#All],[Description]],MATCH($C760,BusinessUnits!$A:$A,0)),"")</f>
        <v xml:space="preserve">Transactions related to food and beverage service. Includes all guest transactions in the hotel restaurants, catering-related transactions and food service payroll. </v>
      </c>
      <c r="M760" t="str">
        <f>IFERROR(INDEX(ChartOfAccounts!B759:B844,MATCH($B760,ChartOfAccounts!A759:A844,0)),"")</f>
        <v/>
      </c>
      <c r="N760" t="str">
        <f>IFERROR(INDEX(ChartOfAccounts!D:D,MATCH($B760,ChartOfAccounts!A759:A844,0)),"")</f>
        <v/>
      </c>
      <c r="O760" t="str">
        <f>IFERROR(INDEX(ChartOfAccounts!F:F,MATCH($B760,ChartOfAccounts!A759:A844,0)),"")</f>
        <v/>
      </c>
      <c r="P760" t="str" cm="1">
        <f t="array" ref="P760">IFERROR(INDEX(PreparerInfo!B759:B771,MATCH($D760&amp;$C760,PreparerInfo!A759:A771&amp;PreparerInfo!C759:C771,0)),"")</f>
        <v/>
      </c>
      <c r="Q760" t="str">
        <f>IFERROR(INDEX(Source!B759:B767,MATCH('Case 4 solution'!E760,Source!A759:A767,0)),"")</f>
        <v/>
      </c>
    </row>
    <row r="761" spans="1:17" x14ac:dyDescent="0.3">
      <c r="A761" s="3">
        <v>2033899</v>
      </c>
      <c r="B761">
        <v>11845</v>
      </c>
      <c r="C761">
        <v>1</v>
      </c>
      <c r="D761" s="9">
        <v>101</v>
      </c>
      <c r="E761">
        <v>1007</v>
      </c>
      <c r="F761" s="1">
        <v>44012</v>
      </c>
      <c r="G761" t="s">
        <v>216</v>
      </c>
      <c r="H761" s="4" t="s">
        <v>16</v>
      </c>
      <c r="I761" s="4">
        <v>-1964.6</v>
      </c>
      <c r="J761" s="4">
        <v>-1964.6</v>
      </c>
      <c r="K761" t="str">
        <f>IFERROR(INDEX(BusinessUnits!$B:$B,MATCH($C761,BusinessUnits!$A:$A,0)),"")</f>
        <v>FOOD SERVICE</v>
      </c>
      <c r="L761" t="str">
        <f>IFERROR(INDEX(Table1[[#All],[Description]],MATCH($C761,BusinessUnits!$A:$A,0)),"")</f>
        <v xml:space="preserve">Transactions related to food and beverage service. Includes all guest transactions in the hotel restaurants, catering-related transactions and food service payroll. </v>
      </c>
      <c r="M761" t="str">
        <f>IFERROR(INDEX(ChartOfAccounts!B760:B845,MATCH($B761,ChartOfAccounts!A760:A845,0)),"")</f>
        <v/>
      </c>
      <c r="N761" t="str">
        <f>IFERROR(INDEX(ChartOfAccounts!D:D,MATCH($B761,ChartOfAccounts!A760:A845,0)),"")</f>
        <v/>
      </c>
      <c r="O761" t="str">
        <f>IFERROR(INDEX(ChartOfAccounts!F:F,MATCH($B761,ChartOfAccounts!A760:A845,0)),"")</f>
        <v/>
      </c>
      <c r="P761" t="str" cm="1">
        <f t="array" ref="P761">IFERROR(INDEX(PreparerInfo!B760:B772,MATCH($D761&amp;$C761,PreparerInfo!A760:A772&amp;PreparerInfo!C760:C772,0)),"")</f>
        <v/>
      </c>
      <c r="Q761" t="str">
        <f>IFERROR(INDEX(Source!B760:B768,MATCH('Case 4 solution'!E761,Source!A760:A768,0)),"")</f>
        <v/>
      </c>
    </row>
    <row r="762" spans="1:17" x14ac:dyDescent="0.3">
      <c r="A762" s="3">
        <v>2033900</v>
      </c>
      <c r="B762">
        <v>71400</v>
      </c>
      <c r="C762">
        <v>1</v>
      </c>
      <c r="D762" s="9">
        <v>101</v>
      </c>
      <c r="E762">
        <v>1007</v>
      </c>
      <c r="F762" s="1">
        <v>44012</v>
      </c>
      <c r="G762" t="s">
        <v>216</v>
      </c>
      <c r="H762" s="4">
        <v>2308.65</v>
      </c>
      <c r="I762" s="4" t="s">
        <v>16</v>
      </c>
      <c r="J762" s="4">
        <v>2308.65</v>
      </c>
      <c r="K762" t="str">
        <f>IFERROR(INDEX(BusinessUnits!$B:$B,MATCH($C762,BusinessUnits!$A:$A,0)),"")</f>
        <v>FOOD SERVICE</v>
      </c>
      <c r="L762" t="str">
        <f>IFERROR(INDEX(Table1[[#All],[Description]],MATCH($C762,BusinessUnits!$A:$A,0)),"")</f>
        <v xml:space="preserve">Transactions related to food and beverage service. Includes all guest transactions in the hotel restaurants, catering-related transactions and food service payroll. </v>
      </c>
      <c r="M762" t="str">
        <f>IFERROR(INDEX(ChartOfAccounts!B761:B846,MATCH($B762,ChartOfAccounts!A761:A846,0)),"")</f>
        <v/>
      </c>
      <c r="N762" t="str">
        <f>IFERROR(INDEX(ChartOfAccounts!D:D,MATCH($B762,ChartOfAccounts!A761:A846,0)),"")</f>
        <v/>
      </c>
      <c r="O762" t="str">
        <f>IFERROR(INDEX(ChartOfAccounts!F:F,MATCH($B762,ChartOfAccounts!A761:A846,0)),"")</f>
        <v/>
      </c>
      <c r="P762" t="str" cm="1">
        <f t="array" ref="P762">IFERROR(INDEX(PreparerInfo!B761:B773,MATCH($D762&amp;$C762,PreparerInfo!A761:A773&amp;PreparerInfo!C761:C773,0)),"")</f>
        <v/>
      </c>
      <c r="Q762" t="str">
        <f>IFERROR(INDEX(Source!B761:B769,MATCH('Case 4 solution'!E762,Source!A761:A769,0)),"")</f>
        <v/>
      </c>
    </row>
    <row r="763" spans="1:17" x14ac:dyDescent="0.3">
      <c r="A763" s="3">
        <v>2033900</v>
      </c>
      <c r="B763">
        <v>11845</v>
      </c>
      <c r="C763">
        <v>1</v>
      </c>
      <c r="D763" s="9">
        <v>101</v>
      </c>
      <c r="E763">
        <v>1007</v>
      </c>
      <c r="F763" s="1">
        <v>44012</v>
      </c>
      <c r="G763" t="s">
        <v>216</v>
      </c>
      <c r="H763" s="4" t="s">
        <v>16</v>
      </c>
      <c r="I763" s="4">
        <v>-2308.65</v>
      </c>
      <c r="J763" s="4">
        <v>-2308.65</v>
      </c>
      <c r="K763" t="str">
        <f>IFERROR(INDEX(BusinessUnits!$B:$B,MATCH($C763,BusinessUnits!$A:$A,0)),"")</f>
        <v>FOOD SERVICE</v>
      </c>
      <c r="L763" t="str">
        <f>IFERROR(INDEX(Table1[[#All],[Description]],MATCH($C763,BusinessUnits!$A:$A,0)),"")</f>
        <v xml:space="preserve">Transactions related to food and beverage service. Includes all guest transactions in the hotel restaurants, catering-related transactions and food service payroll. </v>
      </c>
      <c r="M763" t="str">
        <f>IFERROR(INDEX(ChartOfAccounts!B762:B847,MATCH($B763,ChartOfAccounts!A762:A847,0)),"")</f>
        <v/>
      </c>
      <c r="N763" t="str">
        <f>IFERROR(INDEX(ChartOfAccounts!D:D,MATCH($B763,ChartOfAccounts!A762:A847,0)),"")</f>
        <v/>
      </c>
      <c r="O763" t="str">
        <f>IFERROR(INDEX(ChartOfAccounts!F:F,MATCH($B763,ChartOfAccounts!A762:A847,0)),"")</f>
        <v/>
      </c>
      <c r="P763" t="str" cm="1">
        <f t="array" ref="P763">IFERROR(INDEX(PreparerInfo!B762:B774,MATCH($D763&amp;$C763,PreparerInfo!A762:A774&amp;PreparerInfo!C762:C774,0)),"")</f>
        <v/>
      </c>
      <c r="Q763" t="str">
        <f>IFERROR(INDEX(Source!B762:B770,MATCH('Case 4 solution'!E763,Source!A762:A770,0)),"")</f>
        <v/>
      </c>
    </row>
    <row r="764" spans="1:17" x14ac:dyDescent="0.3">
      <c r="A764" s="3">
        <v>2033901</v>
      </c>
      <c r="B764">
        <v>71400</v>
      </c>
      <c r="C764">
        <v>1</v>
      </c>
      <c r="D764" s="9">
        <v>101</v>
      </c>
      <c r="E764">
        <v>1007</v>
      </c>
      <c r="F764" s="1">
        <v>44012</v>
      </c>
      <c r="G764" t="s">
        <v>145</v>
      </c>
      <c r="H764" s="4">
        <v>2415.8200000000002</v>
      </c>
      <c r="I764" s="4" t="s">
        <v>16</v>
      </c>
      <c r="J764" s="4">
        <v>2415.8200000000002</v>
      </c>
      <c r="K764" t="str">
        <f>IFERROR(INDEX(BusinessUnits!$B:$B,MATCH($C764,BusinessUnits!$A:$A,0)),"")</f>
        <v>FOOD SERVICE</v>
      </c>
      <c r="L764" t="str">
        <f>IFERROR(INDEX(Table1[[#All],[Description]],MATCH($C764,BusinessUnits!$A:$A,0)),"")</f>
        <v xml:space="preserve">Transactions related to food and beverage service. Includes all guest transactions in the hotel restaurants, catering-related transactions and food service payroll. </v>
      </c>
      <c r="M764" t="str">
        <f>IFERROR(INDEX(ChartOfAccounts!B763:B848,MATCH($B764,ChartOfAccounts!A763:A848,0)),"")</f>
        <v/>
      </c>
      <c r="N764" t="str">
        <f>IFERROR(INDEX(ChartOfAccounts!D:D,MATCH($B764,ChartOfAccounts!A763:A848,0)),"")</f>
        <v/>
      </c>
      <c r="O764" t="str">
        <f>IFERROR(INDEX(ChartOfAccounts!F:F,MATCH($B764,ChartOfAccounts!A763:A848,0)),"")</f>
        <v/>
      </c>
      <c r="P764" t="str" cm="1">
        <f t="array" ref="P764">IFERROR(INDEX(PreparerInfo!B763:B775,MATCH($D764&amp;$C764,PreparerInfo!A763:A775&amp;PreparerInfo!C763:C775,0)),"")</f>
        <v/>
      </c>
      <c r="Q764" t="str">
        <f>IFERROR(INDEX(Source!B763:B771,MATCH('Case 4 solution'!E764,Source!A763:A771,0)),"")</f>
        <v/>
      </c>
    </row>
    <row r="765" spans="1:17" x14ac:dyDescent="0.3">
      <c r="A765" s="3">
        <v>2033901</v>
      </c>
      <c r="B765">
        <v>11845</v>
      </c>
      <c r="C765">
        <v>1</v>
      </c>
      <c r="D765" s="9">
        <v>101</v>
      </c>
      <c r="E765">
        <v>1007</v>
      </c>
      <c r="F765" s="1">
        <v>44012</v>
      </c>
      <c r="G765" t="s">
        <v>145</v>
      </c>
      <c r="H765" s="4" t="s">
        <v>16</v>
      </c>
      <c r="I765" s="4">
        <v>-2415.8200000000002</v>
      </c>
      <c r="J765" s="4">
        <v>-2415.8200000000002</v>
      </c>
      <c r="K765" t="str">
        <f>IFERROR(INDEX(BusinessUnits!$B:$B,MATCH($C765,BusinessUnits!$A:$A,0)),"")</f>
        <v>FOOD SERVICE</v>
      </c>
      <c r="L765" t="str">
        <f>IFERROR(INDEX(Table1[[#All],[Description]],MATCH($C765,BusinessUnits!$A:$A,0)),"")</f>
        <v xml:space="preserve">Transactions related to food and beverage service. Includes all guest transactions in the hotel restaurants, catering-related transactions and food service payroll. </v>
      </c>
      <c r="M765" t="str">
        <f>IFERROR(INDEX(ChartOfAccounts!B764:B849,MATCH($B765,ChartOfAccounts!A764:A849,0)),"")</f>
        <v/>
      </c>
      <c r="N765" t="str">
        <f>IFERROR(INDEX(ChartOfAccounts!D:D,MATCH($B765,ChartOfAccounts!A764:A849,0)),"")</f>
        <v/>
      </c>
      <c r="O765" t="str">
        <f>IFERROR(INDEX(ChartOfAccounts!F:F,MATCH($B765,ChartOfAccounts!A764:A849,0)),"")</f>
        <v/>
      </c>
      <c r="P765" t="str" cm="1">
        <f t="array" ref="P765">IFERROR(INDEX(PreparerInfo!B764:B776,MATCH($D765&amp;$C765,PreparerInfo!A764:A776&amp;PreparerInfo!C764:C776,0)),"")</f>
        <v/>
      </c>
      <c r="Q765" t="str">
        <f>IFERROR(INDEX(Source!B764:B772,MATCH('Case 4 solution'!E765,Source!A764:A772,0)),"")</f>
        <v/>
      </c>
    </row>
    <row r="766" spans="1:17" x14ac:dyDescent="0.3">
      <c r="A766" s="3">
        <v>2033902</v>
      </c>
      <c r="B766">
        <v>71500</v>
      </c>
      <c r="C766">
        <v>6</v>
      </c>
      <c r="D766" s="9">
        <v>101</v>
      </c>
      <c r="E766">
        <v>1002</v>
      </c>
      <c r="F766" s="1">
        <v>44012</v>
      </c>
      <c r="G766" t="s">
        <v>186</v>
      </c>
      <c r="H766" s="4">
        <v>3381</v>
      </c>
      <c r="I766" s="4" t="s">
        <v>16</v>
      </c>
      <c r="J766" s="4">
        <v>3381</v>
      </c>
      <c r="K766" t="str">
        <f>IFERROR(INDEX(BusinessUnits!$B:$B,MATCH($C766,BusinessUnits!$A:$A,0)),"")</f>
        <v>MAINTENANCE</v>
      </c>
      <c r="L766" t="str">
        <f>IFERROR(INDEX(Table1[[#All],[Description]],MATCH($C766,BusinessUnits!$A:$A,0)),"")</f>
        <v>Transactions related to the hotel Maintenance Department. Primarily includes payroll for maintenance, grounds keepers and related supplies.</v>
      </c>
      <c r="M766" t="str">
        <f>IFERROR(INDEX(ChartOfAccounts!B765:B850,MATCH($B766,ChartOfAccounts!A765:A850,0)),"")</f>
        <v/>
      </c>
      <c r="N766" t="str">
        <f>IFERROR(INDEX(ChartOfAccounts!D:D,MATCH($B766,ChartOfAccounts!A765:A850,0)),"")</f>
        <v/>
      </c>
      <c r="O766" t="str">
        <f>IFERROR(INDEX(ChartOfAccounts!F:F,MATCH($B766,ChartOfAccounts!A765:A850,0)),"")</f>
        <v/>
      </c>
      <c r="P766" t="str" cm="1">
        <f t="array" ref="P766">IFERROR(INDEX(PreparerInfo!B765:B777,MATCH($D766&amp;$C766,PreparerInfo!A765:A777&amp;PreparerInfo!C765:C777,0)),"")</f>
        <v/>
      </c>
      <c r="Q766" t="str">
        <f>IFERROR(INDEX(Source!B765:B773,MATCH('Case 4 solution'!E766,Source!A765:A773,0)),"")</f>
        <v/>
      </c>
    </row>
    <row r="767" spans="1:17" x14ac:dyDescent="0.3">
      <c r="A767" s="3">
        <v>2033902</v>
      </c>
      <c r="B767">
        <v>11845</v>
      </c>
      <c r="C767">
        <v>6</v>
      </c>
      <c r="D767" s="9">
        <v>101</v>
      </c>
      <c r="E767">
        <v>1002</v>
      </c>
      <c r="F767" s="1">
        <v>44012</v>
      </c>
      <c r="G767" t="s">
        <v>186</v>
      </c>
      <c r="H767" s="4" t="s">
        <v>16</v>
      </c>
      <c r="I767" s="4">
        <v>-3381</v>
      </c>
      <c r="J767" s="4">
        <v>-3381</v>
      </c>
      <c r="K767" t="str">
        <f>IFERROR(INDEX(BusinessUnits!$B:$B,MATCH($C767,BusinessUnits!$A:$A,0)),"")</f>
        <v>MAINTENANCE</v>
      </c>
      <c r="L767" t="str">
        <f>IFERROR(INDEX(Table1[[#All],[Description]],MATCH($C767,BusinessUnits!$A:$A,0)),"")</f>
        <v>Transactions related to the hotel Maintenance Department. Primarily includes payroll for maintenance, grounds keepers and related supplies.</v>
      </c>
      <c r="M767" t="str">
        <f>IFERROR(INDEX(ChartOfAccounts!B766:B851,MATCH($B767,ChartOfAccounts!A766:A851,0)),"")</f>
        <v/>
      </c>
      <c r="N767" t="str">
        <f>IFERROR(INDEX(ChartOfAccounts!D:D,MATCH($B767,ChartOfAccounts!A766:A851,0)),"")</f>
        <v/>
      </c>
      <c r="O767" t="str">
        <f>IFERROR(INDEX(ChartOfAccounts!F:F,MATCH($B767,ChartOfAccounts!A766:A851,0)),"")</f>
        <v/>
      </c>
      <c r="P767" t="str" cm="1">
        <f t="array" ref="P767">IFERROR(INDEX(PreparerInfo!B766:B778,MATCH($D767&amp;$C767,PreparerInfo!A766:A778&amp;PreparerInfo!C766:C778,0)),"")</f>
        <v/>
      </c>
      <c r="Q767" t="str">
        <f>IFERROR(INDEX(Source!B766:B774,MATCH('Case 4 solution'!E767,Source!A766:A774,0)),"")</f>
        <v/>
      </c>
    </row>
    <row r="768" spans="1:17" x14ac:dyDescent="0.3">
      <c r="A768" s="3">
        <v>2033903</v>
      </c>
      <c r="B768">
        <v>74201</v>
      </c>
      <c r="C768">
        <v>2</v>
      </c>
      <c r="D768" s="9">
        <v>101</v>
      </c>
      <c r="E768">
        <v>1002</v>
      </c>
      <c r="F768" s="1">
        <v>44012</v>
      </c>
      <c r="G768" t="s">
        <v>183</v>
      </c>
      <c r="H768" s="4">
        <v>3864.84</v>
      </c>
      <c r="I768" s="4" t="s">
        <v>16</v>
      </c>
      <c r="J768" s="4">
        <v>3864.84</v>
      </c>
      <c r="K768" t="str">
        <f>IFERROR(INDEX(BusinessUnits!$B:$B,MATCH($C768,BusinessUnits!$A:$A,0)),"")</f>
        <v>HOTEL</v>
      </c>
      <c r="L768" t="str">
        <f>IFERROR(INDEX(Table1[[#All],[Description]],MATCH($C768,BusinessUnits!$A:$A,0)),"")</f>
        <v xml:space="preserve">Transactions related to guest rooms and overall hotel operations. Includes payroll for administrative staff, clerks and interns. </v>
      </c>
      <c r="M768" t="str">
        <f>IFERROR(INDEX(ChartOfAccounts!B767:B852,MATCH($B768,ChartOfAccounts!A767:A852,0)),"")</f>
        <v/>
      </c>
      <c r="N768" t="str">
        <f>IFERROR(INDEX(ChartOfAccounts!D:D,MATCH($B768,ChartOfAccounts!A767:A852,0)),"")</f>
        <v/>
      </c>
      <c r="O768" t="str">
        <f>IFERROR(INDEX(ChartOfAccounts!F:F,MATCH($B768,ChartOfAccounts!A767:A852,0)),"")</f>
        <v/>
      </c>
      <c r="P768" t="str" cm="1">
        <f t="array" ref="P768">IFERROR(INDEX(PreparerInfo!B767:B779,MATCH($D768&amp;$C768,PreparerInfo!A767:A779&amp;PreparerInfo!C767:C779,0)),"")</f>
        <v/>
      </c>
      <c r="Q768" t="str">
        <f>IFERROR(INDEX(Source!B767:B775,MATCH('Case 4 solution'!E768,Source!A767:A775,0)),"")</f>
        <v/>
      </c>
    </row>
    <row r="769" spans="1:17" x14ac:dyDescent="0.3">
      <c r="A769" s="3">
        <v>2033903</v>
      </c>
      <c r="B769">
        <v>11845</v>
      </c>
      <c r="C769">
        <v>2</v>
      </c>
      <c r="D769" s="9">
        <v>101</v>
      </c>
      <c r="E769">
        <v>1002</v>
      </c>
      <c r="F769" s="1">
        <v>44012</v>
      </c>
      <c r="G769" t="s">
        <v>183</v>
      </c>
      <c r="H769" s="4" t="s">
        <v>16</v>
      </c>
      <c r="I769" s="4">
        <v>-3864.84</v>
      </c>
      <c r="J769" s="4">
        <v>-3864.84</v>
      </c>
      <c r="K769" t="str">
        <f>IFERROR(INDEX(BusinessUnits!$B:$B,MATCH($C769,BusinessUnits!$A:$A,0)),"")</f>
        <v>HOTEL</v>
      </c>
      <c r="L769" t="str">
        <f>IFERROR(INDEX(Table1[[#All],[Description]],MATCH($C769,BusinessUnits!$A:$A,0)),"")</f>
        <v xml:space="preserve">Transactions related to guest rooms and overall hotel operations. Includes payroll for administrative staff, clerks and interns. </v>
      </c>
      <c r="M769" t="str">
        <f>IFERROR(INDEX(ChartOfAccounts!B768:B853,MATCH($B769,ChartOfAccounts!A768:A853,0)),"")</f>
        <v/>
      </c>
      <c r="N769" t="str">
        <f>IFERROR(INDEX(ChartOfAccounts!D:D,MATCH($B769,ChartOfAccounts!A768:A853,0)),"")</f>
        <v/>
      </c>
      <c r="O769" t="str">
        <f>IFERROR(INDEX(ChartOfAccounts!F:F,MATCH($B769,ChartOfAccounts!A768:A853,0)),"")</f>
        <v/>
      </c>
      <c r="P769" t="str" cm="1">
        <f t="array" ref="P769">IFERROR(INDEX(PreparerInfo!B768:B780,MATCH($D769&amp;$C769,PreparerInfo!A768:A780&amp;PreparerInfo!C768:C780,0)),"")</f>
        <v/>
      </c>
      <c r="Q769" t="str">
        <f>IFERROR(INDEX(Source!B768:B776,MATCH('Case 4 solution'!E769,Source!A768:A776,0)),"")</f>
        <v/>
      </c>
    </row>
    <row r="770" spans="1:17" x14ac:dyDescent="0.3">
      <c r="A770" s="3">
        <v>2033904</v>
      </c>
      <c r="B770">
        <v>11845</v>
      </c>
      <c r="C770">
        <v>2</v>
      </c>
      <c r="D770" s="9">
        <v>104</v>
      </c>
      <c r="E770">
        <v>1003</v>
      </c>
      <c r="F770" s="1">
        <v>44012</v>
      </c>
      <c r="G770" t="s">
        <v>41</v>
      </c>
      <c r="H770" s="4">
        <v>4600</v>
      </c>
      <c r="I770" s="4" t="s">
        <v>16</v>
      </c>
      <c r="J770" s="4">
        <v>4600</v>
      </c>
      <c r="K770" t="str">
        <f>IFERROR(INDEX(BusinessUnits!$B:$B,MATCH($C770,BusinessUnits!$A:$A,0)),"")</f>
        <v>HOTEL</v>
      </c>
      <c r="L770" t="str">
        <f>IFERROR(INDEX(Table1[[#All],[Description]],MATCH($C770,BusinessUnits!$A:$A,0)),"")</f>
        <v xml:space="preserve">Transactions related to guest rooms and overall hotel operations. Includes payroll for administrative staff, clerks and interns. </v>
      </c>
      <c r="M770" t="str">
        <f>IFERROR(INDEX(ChartOfAccounts!B769:B854,MATCH($B770,ChartOfAccounts!A769:A854,0)),"")</f>
        <v/>
      </c>
      <c r="N770" t="str">
        <f>IFERROR(INDEX(ChartOfAccounts!D:D,MATCH($B770,ChartOfAccounts!A769:A854,0)),"")</f>
        <v/>
      </c>
      <c r="O770" t="str">
        <f>IFERROR(INDEX(ChartOfAccounts!F:F,MATCH($B770,ChartOfAccounts!A769:A854,0)),"")</f>
        <v/>
      </c>
      <c r="P770" t="str" cm="1">
        <f t="array" ref="P770">IFERROR(INDEX(PreparerInfo!B769:B781,MATCH($D770&amp;$C770,PreparerInfo!A769:A781&amp;PreparerInfo!C769:C781,0)),"")</f>
        <v/>
      </c>
      <c r="Q770" t="str">
        <f>IFERROR(INDEX(Source!B769:B777,MATCH('Case 4 solution'!E770,Source!A769:A777,0)),"")</f>
        <v/>
      </c>
    </row>
    <row r="771" spans="1:17" x14ac:dyDescent="0.3">
      <c r="A771" s="3">
        <v>2033904</v>
      </c>
      <c r="B771">
        <v>43180</v>
      </c>
      <c r="C771">
        <v>2</v>
      </c>
      <c r="D771" s="9">
        <v>104</v>
      </c>
      <c r="E771">
        <v>1003</v>
      </c>
      <c r="F771" s="1">
        <v>44012</v>
      </c>
      <c r="G771" t="s">
        <v>41</v>
      </c>
      <c r="H771" s="4" t="s">
        <v>16</v>
      </c>
      <c r="I771" s="4">
        <v>-4600</v>
      </c>
      <c r="J771" s="4">
        <v>-4600</v>
      </c>
      <c r="K771" t="str">
        <f>IFERROR(INDEX(BusinessUnits!$B:$B,MATCH($C771,BusinessUnits!$A:$A,0)),"")</f>
        <v>HOTEL</v>
      </c>
      <c r="L771" t="str">
        <f>IFERROR(INDEX(Table1[[#All],[Description]],MATCH($C771,BusinessUnits!$A:$A,0)),"")</f>
        <v xml:space="preserve">Transactions related to guest rooms and overall hotel operations. Includes payroll for administrative staff, clerks and interns. </v>
      </c>
      <c r="M771" t="str">
        <f>IFERROR(INDEX(ChartOfAccounts!B770:B855,MATCH($B771,ChartOfAccounts!A770:A855,0)),"")</f>
        <v/>
      </c>
      <c r="N771" t="str">
        <f>IFERROR(INDEX(ChartOfAccounts!D:D,MATCH($B771,ChartOfAccounts!A770:A855,0)),"")</f>
        <v/>
      </c>
      <c r="O771" t="str">
        <f>IFERROR(INDEX(ChartOfAccounts!F:F,MATCH($B771,ChartOfAccounts!A770:A855,0)),"")</f>
        <v/>
      </c>
      <c r="P771" t="str" cm="1">
        <f t="array" ref="P771">IFERROR(INDEX(PreparerInfo!B770:B782,MATCH($D771&amp;$C771,PreparerInfo!A770:A782&amp;PreparerInfo!C770:C782,0)),"")</f>
        <v/>
      </c>
      <c r="Q771" t="str">
        <f>IFERROR(INDEX(Source!B770:B778,MATCH('Case 4 solution'!E771,Source!A770:A778,0)),"")</f>
        <v/>
      </c>
    </row>
    <row r="772" spans="1:17" x14ac:dyDescent="0.3">
      <c r="A772" s="3">
        <v>2033905</v>
      </c>
      <c r="B772">
        <v>11845</v>
      </c>
      <c r="C772">
        <v>2</v>
      </c>
      <c r="D772" s="9">
        <v>104</v>
      </c>
      <c r="E772">
        <v>1003</v>
      </c>
      <c r="F772" s="1">
        <v>44012</v>
      </c>
      <c r="G772" t="s">
        <v>15</v>
      </c>
      <c r="H772" s="4">
        <v>5000</v>
      </c>
      <c r="I772" s="4" t="s">
        <v>16</v>
      </c>
      <c r="J772" s="4">
        <v>5000</v>
      </c>
      <c r="K772" t="str">
        <f>IFERROR(INDEX(BusinessUnits!$B:$B,MATCH($C772,BusinessUnits!$A:$A,0)),"")</f>
        <v>HOTEL</v>
      </c>
      <c r="L772" t="str">
        <f>IFERROR(INDEX(Table1[[#All],[Description]],MATCH($C772,BusinessUnits!$A:$A,0)),"")</f>
        <v xml:space="preserve">Transactions related to guest rooms and overall hotel operations. Includes payroll for administrative staff, clerks and interns. </v>
      </c>
      <c r="M772" t="str">
        <f>IFERROR(INDEX(ChartOfAccounts!B771:B856,MATCH($B772,ChartOfAccounts!A771:A856,0)),"")</f>
        <v/>
      </c>
      <c r="N772" t="str">
        <f>IFERROR(INDEX(ChartOfAccounts!D:D,MATCH($B772,ChartOfAccounts!A771:A856,0)),"")</f>
        <v/>
      </c>
      <c r="O772" t="str">
        <f>IFERROR(INDEX(ChartOfAccounts!F:F,MATCH($B772,ChartOfAccounts!A771:A856,0)),"")</f>
        <v/>
      </c>
      <c r="P772" t="str" cm="1">
        <f t="array" ref="P772">IFERROR(INDEX(PreparerInfo!B771:B783,MATCH($D772&amp;$C772,PreparerInfo!A771:A783&amp;PreparerInfo!C771:C783,0)),"")</f>
        <v/>
      </c>
      <c r="Q772" t="str">
        <f>IFERROR(INDEX(Source!B771:B779,MATCH('Case 4 solution'!E772,Source!A771:A779,0)),"")</f>
        <v/>
      </c>
    </row>
    <row r="773" spans="1:17" x14ac:dyDescent="0.3">
      <c r="A773" s="3">
        <v>2033905</v>
      </c>
      <c r="B773">
        <v>43180</v>
      </c>
      <c r="C773">
        <v>2</v>
      </c>
      <c r="D773" s="9">
        <v>104</v>
      </c>
      <c r="E773">
        <v>1003</v>
      </c>
      <c r="F773" s="1">
        <v>44012</v>
      </c>
      <c r="G773" t="s">
        <v>15</v>
      </c>
      <c r="H773" s="4" t="s">
        <v>16</v>
      </c>
      <c r="I773" s="4">
        <v>-5000</v>
      </c>
      <c r="J773" s="4">
        <v>-5000</v>
      </c>
      <c r="K773" t="str">
        <f>IFERROR(INDEX(BusinessUnits!$B:$B,MATCH($C773,BusinessUnits!$A:$A,0)),"")</f>
        <v>HOTEL</v>
      </c>
      <c r="L773" t="str">
        <f>IFERROR(INDEX(Table1[[#All],[Description]],MATCH($C773,BusinessUnits!$A:$A,0)),"")</f>
        <v xml:space="preserve">Transactions related to guest rooms and overall hotel operations. Includes payroll for administrative staff, clerks and interns. </v>
      </c>
      <c r="M773" t="str">
        <f>IFERROR(INDEX(ChartOfAccounts!B772:B857,MATCH($B773,ChartOfAccounts!A772:A857,0)),"")</f>
        <v/>
      </c>
      <c r="N773" t="str">
        <f>IFERROR(INDEX(ChartOfAccounts!D:D,MATCH($B773,ChartOfAccounts!A772:A857,0)),"")</f>
        <v/>
      </c>
      <c r="O773" t="str">
        <f>IFERROR(INDEX(ChartOfAccounts!F:F,MATCH($B773,ChartOfAccounts!A772:A857,0)),"")</f>
        <v/>
      </c>
      <c r="P773" t="str" cm="1">
        <f t="array" ref="P773">IFERROR(INDEX(PreparerInfo!B772:B784,MATCH($D773&amp;$C773,PreparerInfo!A772:A784&amp;PreparerInfo!C772:C784,0)),"")</f>
        <v/>
      </c>
      <c r="Q773" t="str">
        <f>IFERROR(INDEX(Source!B772:B780,MATCH('Case 4 solution'!E773,Source!A772:A780,0)),"")</f>
        <v/>
      </c>
    </row>
    <row r="774" spans="1:17" x14ac:dyDescent="0.3">
      <c r="A774" s="3">
        <v>2033906</v>
      </c>
      <c r="B774">
        <v>11845</v>
      </c>
      <c r="C774">
        <v>2</v>
      </c>
      <c r="D774" s="9">
        <v>104</v>
      </c>
      <c r="E774">
        <v>1003</v>
      </c>
      <c r="F774" s="1">
        <v>44012</v>
      </c>
      <c r="G774" t="s">
        <v>248</v>
      </c>
      <c r="H774" s="4">
        <v>12375</v>
      </c>
      <c r="I774" s="4" t="s">
        <v>16</v>
      </c>
      <c r="J774" s="4">
        <v>12375</v>
      </c>
      <c r="K774" t="str">
        <f>IFERROR(INDEX(BusinessUnits!$B:$B,MATCH($C774,BusinessUnits!$A:$A,0)),"")</f>
        <v>HOTEL</v>
      </c>
      <c r="L774" t="str">
        <f>IFERROR(INDEX(Table1[[#All],[Description]],MATCH($C774,BusinessUnits!$A:$A,0)),"")</f>
        <v xml:space="preserve">Transactions related to guest rooms and overall hotel operations. Includes payroll for administrative staff, clerks and interns. </v>
      </c>
      <c r="M774" t="str">
        <f>IFERROR(INDEX(ChartOfAccounts!B773:B858,MATCH($B774,ChartOfAccounts!A773:A858,0)),"")</f>
        <v/>
      </c>
      <c r="N774" t="str">
        <f>IFERROR(INDEX(ChartOfAccounts!D:D,MATCH($B774,ChartOfAccounts!A773:A858,0)),"")</f>
        <v/>
      </c>
      <c r="O774" t="str">
        <f>IFERROR(INDEX(ChartOfAccounts!F:F,MATCH($B774,ChartOfAccounts!A773:A858,0)),"")</f>
        <v/>
      </c>
      <c r="P774" t="str" cm="1">
        <f t="array" ref="P774">IFERROR(INDEX(PreparerInfo!B773:B785,MATCH($D774&amp;$C774,PreparerInfo!A773:A785&amp;PreparerInfo!C773:C785,0)),"")</f>
        <v/>
      </c>
      <c r="Q774" t="str">
        <f>IFERROR(INDEX(Source!B773:B781,MATCH('Case 4 solution'!E774,Source!A773:A781,0)),"")</f>
        <v/>
      </c>
    </row>
    <row r="775" spans="1:17" x14ac:dyDescent="0.3">
      <c r="A775" s="3">
        <v>2033906</v>
      </c>
      <c r="B775">
        <v>43180</v>
      </c>
      <c r="C775">
        <v>2</v>
      </c>
      <c r="D775" s="9">
        <v>104</v>
      </c>
      <c r="E775">
        <v>1003</v>
      </c>
      <c r="F775" s="1">
        <v>44012</v>
      </c>
      <c r="G775" t="s">
        <v>248</v>
      </c>
      <c r="H775" s="4" t="s">
        <v>16</v>
      </c>
      <c r="I775" s="4">
        <v>-12375</v>
      </c>
      <c r="J775" s="4">
        <v>-12375</v>
      </c>
      <c r="K775" t="str">
        <f>IFERROR(INDEX(BusinessUnits!$B:$B,MATCH($C775,BusinessUnits!$A:$A,0)),"")</f>
        <v>HOTEL</v>
      </c>
      <c r="L775" t="str">
        <f>IFERROR(INDEX(Table1[[#All],[Description]],MATCH($C775,BusinessUnits!$A:$A,0)),"")</f>
        <v xml:space="preserve">Transactions related to guest rooms and overall hotel operations. Includes payroll for administrative staff, clerks and interns. </v>
      </c>
      <c r="M775" t="str">
        <f>IFERROR(INDEX(ChartOfAccounts!B774:B859,MATCH($B775,ChartOfAccounts!A774:A859,0)),"")</f>
        <v/>
      </c>
      <c r="N775" t="str">
        <f>IFERROR(INDEX(ChartOfAccounts!D:D,MATCH($B775,ChartOfAccounts!A774:A859,0)),"")</f>
        <v/>
      </c>
      <c r="O775" t="str">
        <f>IFERROR(INDEX(ChartOfAccounts!F:F,MATCH($B775,ChartOfAccounts!A774:A859,0)),"")</f>
        <v/>
      </c>
      <c r="P775" t="str" cm="1">
        <f t="array" ref="P775">IFERROR(INDEX(PreparerInfo!B774:B786,MATCH($D775&amp;$C775,PreparerInfo!A774:A786&amp;PreparerInfo!C774:C786,0)),"")</f>
        <v/>
      </c>
      <c r="Q775" t="str">
        <f>IFERROR(INDEX(Source!B774:B782,MATCH('Case 4 solution'!E775,Source!A774:A782,0)),"")</f>
        <v/>
      </c>
    </row>
    <row r="776" spans="1:17" x14ac:dyDescent="0.3">
      <c r="A776" s="3">
        <v>2033907</v>
      </c>
      <c r="B776">
        <v>11845</v>
      </c>
      <c r="C776">
        <v>3</v>
      </c>
      <c r="D776" s="9">
        <v>102</v>
      </c>
      <c r="E776">
        <v>1003</v>
      </c>
      <c r="F776" s="1">
        <v>44012</v>
      </c>
      <c r="G776" t="s">
        <v>15</v>
      </c>
      <c r="H776" s="4">
        <v>75.52</v>
      </c>
      <c r="I776" s="4" t="s">
        <v>16</v>
      </c>
      <c r="J776" s="4">
        <v>75.52</v>
      </c>
      <c r="K776" t="str">
        <f>IFERROR(INDEX(BusinessUnits!$B:$B,MATCH($C776,BusinessUnits!$A:$A,0)),"")</f>
        <v>HOTEL PANTRY</v>
      </c>
      <c r="L776" t="str">
        <f>IFERROR(INDEX(Table1[[#All],[Description]],MATCH($C776,BusinessUnits!$A:$A,0)),"")</f>
        <v>Transactions related to the hotel convenience store, including some food and beverage costs.</v>
      </c>
      <c r="M776" t="str">
        <f>IFERROR(INDEX(ChartOfAccounts!B775:B860,MATCH($B776,ChartOfAccounts!A775:A860,0)),"")</f>
        <v/>
      </c>
      <c r="N776" t="str">
        <f>IFERROR(INDEX(ChartOfAccounts!D:D,MATCH($B776,ChartOfAccounts!A775:A860,0)),"")</f>
        <v/>
      </c>
      <c r="O776" t="str">
        <f>IFERROR(INDEX(ChartOfAccounts!F:F,MATCH($B776,ChartOfAccounts!A775:A860,0)),"")</f>
        <v/>
      </c>
      <c r="P776" t="str" cm="1">
        <f t="array" ref="P776">IFERROR(INDEX(PreparerInfo!B775:B787,MATCH($D776&amp;$C776,PreparerInfo!A775:A787&amp;PreparerInfo!C775:C787,0)),"")</f>
        <v/>
      </c>
      <c r="Q776" t="str">
        <f>IFERROR(INDEX(Source!B775:B783,MATCH('Case 4 solution'!E776,Source!A775:A783,0)),"")</f>
        <v/>
      </c>
    </row>
    <row r="777" spans="1:17" x14ac:dyDescent="0.3">
      <c r="A777" s="3">
        <v>2033907</v>
      </c>
      <c r="B777">
        <v>43440</v>
      </c>
      <c r="C777">
        <v>3</v>
      </c>
      <c r="D777" s="9">
        <v>102</v>
      </c>
      <c r="E777">
        <v>1003</v>
      </c>
      <c r="F777" s="1">
        <v>44012</v>
      </c>
      <c r="G777" t="s">
        <v>15</v>
      </c>
      <c r="H777" s="4" t="s">
        <v>16</v>
      </c>
      <c r="I777" s="4">
        <v>-75.52</v>
      </c>
      <c r="J777" s="4">
        <v>-75.52</v>
      </c>
      <c r="K777" t="str">
        <f>IFERROR(INDEX(BusinessUnits!$B:$B,MATCH($C777,BusinessUnits!$A:$A,0)),"")</f>
        <v>HOTEL PANTRY</v>
      </c>
      <c r="L777" t="str">
        <f>IFERROR(INDEX(Table1[[#All],[Description]],MATCH($C777,BusinessUnits!$A:$A,0)),"")</f>
        <v>Transactions related to the hotel convenience store, including some food and beverage costs.</v>
      </c>
      <c r="M777" t="str">
        <f>IFERROR(INDEX(ChartOfAccounts!B776:B861,MATCH($B777,ChartOfAccounts!A776:A861,0)),"")</f>
        <v/>
      </c>
      <c r="N777" t="str">
        <f>IFERROR(INDEX(ChartOfAccounts!D:D,MATCH($B777,ChartOfAccounts!A776:A861,0)),"")</f>
        <v/>
      </c>
      <c r="O777" t="str">
        <f>IFERROR(INDEX(ChartOfAccounts!F:F,MATCH($B777,ChartOfAccounts!A776:A861,0)),"")</f>
        <v/>
      </c>
      <c r="P777" t="str" cm="1">
        <f t="array" ref="P777">IFERROR(INDEX(PreparerInfo!B776:B788,MATCH($D777&amp;$C777,PreparerInfo!A776:A788&amp;PreparerInfo!C776:C788,0)),"")</f>
        <v/>
      </c>
      <c r="Q777" t="str">
        <f>IFERROR(INDEX(Source!B776:B784,MATCH('Case 4 solution'!E777,Source!A776:A784,0)),"")</f>
        <v/>
      </c>
    </row>
    <row r="778" spans="1:17" x14ac:dyDescent="0.3">
      <c r="A778" s="3">
        <v>2033908</v>
      </c>
      <c r="B778">
        <v>11845</v>
      </c>
      <c r="C778">
        <v>1</v>
      </c>
      <c r="D778" s="9">
        <v>102</v>
      </c>
      <c r="E778">
        <v>1003</v>
      </c>
      <c r="F778" s="1">
        <v>44012</v>
      </c>
      <c r="G778" t="s">
        <v>15</v>
      </c>
      <c r="H778" s="4">
        <v>478.89</v>
      </c>
      <c r="I778" s="4" t="s">
        <v>16</v>
      </c>
      <c r="J778" s="4">
        <v>478.89</v>
      </c>
      <c r="K778" t="str">
        <f>IFERROR(INDEX(BusinessUnits!$B:$B,MATCH($C778,BusinessUnits!$A:$A,0)),"")</f>
        <v>FOOD SERVICE</v>
      </c>
      <c r="L778" t="str">
        <f>IFERROR(INDEX(Table1[[#All],[Description]],MATCH($C778,BusinessUnits!$A:$A,0)),"")</f>
        <v xml:space="preserve">Transactions related to food and beverage service. Includes all guest transactions in the hotel restaurants, catering-related transactions and food service payroll. </v>
      </c>
      <c r="M778" t="str">
        <f>IFERROR(INDEX(ChartOfAccounts!B777:B862,MATCH($B778,ChartOfAccounts!A777:A862,0)),"")</f>
        <v/>
      </c>
      <c r="N778" t="str">
        <f>IFERROR(INDEX(ChartOfAccounts!D:D,MATCH($B778,ChartOfAccounts!A777:A862,0)),"")</f>
        <v/>
      </c>
      <c r="O778" t="str">
        <f>IFERROR(INDEX(ChartOfAccounts!F:F,MATCH($B778,ChartOfAccounts!A777:A862,0)),"")</f>
        <v/>
      </c>
      <c r="P778" t="str" cm="1">
        <f t="array" ref="P778">IFERROR(INDEX(PreparerInfo!B777:B789,MATCH($D778&amp;$C778,PreparerInfo!A777:A789&amp;PreparerInfo!C777:C789,0)),"")</f>
        <v/>
      </c>
      <c r="Q778" t="str">
        <f>IFERROR(INDEX(Source!B777:B785,MATCH('Case 4 solution'!E778,Source!A777:A785,0)),"")</f>
        <v/>
      </c>
    </row>
    <row r="779" spans="1:17" x14ac:dyDescent="0.3">
      <c r="A779" s="3">
        <v>2033908</v>
      </c>
      <c r="B779">
        <v>43310</v>
      </c>
      <c r="C779">
        <v>1</v>
      </c>
      <c r="D779" s="9">
        <v>102</v>
      </c>
      <c r="E779">
        <v>1003</v>
      </c>
      <c r="F779" s="1">
        <v>44012</v>
      </c>
      <c r="G779" t="s">
        <v>15</v>
      </c>
      <c r="H779" s="4" t="s">
        <v>16</v>
      </c>
      <c r="I779" s="4">
        <v>-478.89</v>
      </c>
      <c r="J779" s="4">
        <v>-478.89</v>
      </c>
      <c r="K779" t="str">
        <f>IFERROR(INDEX(BusinessUnits!$B:$B,MATCH($C779,BusinessUnits!$A:$A,0)),"")</f>
        <v>FOOD SERVICE</v>
      </c>
      <c r="L779" t="str">
        <f>IFERROR(INDEX(Table1[[#All],[Description]],MATCH($C779,BusinessUnits!$A:$A,0)),"")</f>
        <v xml:space="preserve">Transactions related to food and beverage service. Includes all guest transactions in the hotel restaurants, catering-related transactions and food service payroll. </v>
      </c>
      <c r="M779" t="str">
        <f>IFERROR(INDEX(ChartOfAccounts!B778:B863,MATCH($B779,ChartOfAccounts!A778:A863,0)),"")</f>
        <v/>
      </c>
      <c r="N779" t="str">
        <f>IFERROR(INDEX(ChartOfAccounts!D:D,MATCH($B779,ChartOfAccounts!A778:A863,0)),"")</f>
        <v/>
      </c>
      <c r="O779" t="str">
        <f>IFERROR(INDEX(ChartOfAccounts!F:F,MATCH($B779,ChartOfAccounts!A778:A863,0)),"")</f>
        <v/>
      </c>
      <c r="P779" t="str" cm="1">
        <f t="array" ref="P779">IFERROR(INDEX(PreparerInfo!B778:B790,MATCH($D779&amp;$C779,PreparerInfo!A778:A790&amp;PreparerInfo!C778:C790,0)),"")</f>
        <v/>
      </c>
      <c r="Q779" t="str">
        <f>IFERROR(INDEX(Source!B778:B786,MATCH('Case 4 solution'!E779,Source!A778:A786,0)),"")</f>
        <v/>
      </c>
    </row>
    <row r="780" spans="1:17" x14ac:dyDescent="0.3">
      <c r="A780" s="3">
        <v>2033909</v>
      </c>
      <c r="B780">
        <v>11845</v>
      </c>
      <c r="C780">
        <v>2</v>
      </c>
      <c r="D780" s="9">
        <v>104</v>
      </c>
      <c r="E780">
        <v>1003</v>
      </c>
      <c r="F780" s="1">
        <v>44012</v>
      </c>
      <c r="G780" t="s">
        <v>15</v>
      </c>
      <c r="H780" s="4">
        <v>1497</v>
      </c>
      <c r="I780" s="4" t="s">
        <v>16</v>
      </c>
      <c r="J780" s="4">
        <v>1497</v>
      </c>
      <c r="K780" t="str">
        <f>IFERROR(INDEX(BusinessUnits!$B:$B,MATCH($C780,BusinessUnits!$A:$A,0)),"")</f>
        <v>HOTEL</v>
      </c>
      <c r="L780" t="str">
        <f>IFERROR(INDEX(Table1[[#All],[Description]],MATCH($C780,BusinessUnits!$A:$A,0)),"")</f>
        <v xml:space="preserve">Transactions related to guest rooms and overall hotel operations. Includes payroll for administrative staff, clerks and interns. </v>
      </c>
      <c r="M780" t="str">
        <f>IFERROR(INDEX(ChartOfAccounts!B779:B864,MATCH($B780,ChartOfAccounts!A779:A864,0)),"")</f>
        <v/>
      </c>
      <c r="N780" t="str">
        <f>IFERROR(INDEX(ChartOfAccounts!D:D,MATCH($B780,ChartOfAccounts!A779:A864,0)),"")</f>
        <v/>
      </c>
      <c r="O780" t="str">
        <f>IFERROR(INDEX(ChartOfAccounts!F:F,MATCH($B780,ChartOfAccounts!A779:A864,0)),"")</f>
        <v/>
      </c>
      <c r="P780" t="str" cm="1">
        <f t="array" ref="P780">IFERROR(INDEX(PreparerInfo!B779:B791,MATCH($D780&amp;$C780,PreparerInfo!A779:A791&amp;PreparerInfo!C779:C791,0)),"")</f>
        <v/>
      </c>
      <c r="Q780" t="str">
        <f>IFERROR(INDEX(Source!B779:B787,MATCH('Case 4 solution'!E780,Source!A779:A787,0)),"")</f>
        <v/>
      </c>
    </row>
    <row r="781" spans="1:17" x14ac:dyDescent="0.3">
      <c r="A781" s="3">
        <v>2033909</v>
      </c>
      <c r="B781">
        <v>43180</v>
      </c>
      <c r="C781">
        <v>2</v>
      </c>
      <c r="D781" s="9">
        <v>104</v>
      </c>
      <c r="E781">
        <v>1003</v>
      </c>
      <c r="F781" s="1">
        <v>44012</v>
      </c>
      <c r="G781" t="s">
        <v>15</v>
      </c>
      <c r="H781" s="4" t="s">
        <v>16</v>
      </c>
      <c r="I781" s="4">
        <v>-1497</v>
      </c>
      <c r="J781" s="4">
        <v>-1497</v>
      </c>
      <c r="K781" t="str">
        <f>IFERROR(INDEX(BusinessUnits!$B:$B,MATCH($C781,BusinessUnits!$A:$A,0)),"")</f>
        <v>HOTEL</v>
      </c>
      <c r="L781" t="str">
        <f>IFERROR(INDEX(Table1[[#All],[Description]],MATCH($C781,BusinessUnits!$A:$A,0)),"")</f>
        <v xml:space="preserve">Transactions related to guest rooms and overall hotel operations. Includes payroll for administrative staff, clerks and interns. </v>
      </c>
      <c r="M781" t="str">
        <f>IFERROR(INDEX(ChartOfAccounts!B780:B865,MATCH($B781,ChartOfAccounts!A780:A865,0)),"")</f>
        <v/>
      </c>
      <c r="N781" t="str">
        <f>IFERROR(INDEX(ChartOfAccounts!D:D,MATCH($B781,ChartOfAccounts!A780:A865,0)),"")</f>
        <v/>
      </c>
      <c r="O781" t="str">
        <f>IFERROR(INDEX(ChartOfAccounts!F:F,MATCH($B781,ChartOfAccounts!A780:A865,0)),"")</f>
        <v/>
      </c>
      <c r="P781" t="str" cm="1">
        <f t="array" ref="P781">IFERROR(INDEX(PreparerInfo!B780:B792,MATCH($D781&amp;$C781,PreparerInfo!A780:A792&amp;PreparerInfo!C780:C792,0)),"")</f>
        <v/>
      </c>
      <c r="Q781" t="str">
        <f>IFERROR(INDEX(Source!B780:B788,MATCH('Case 4 solution'!E781,Source!A780:A788,0)),"")</f>
        <v/>
      </c>
    </row>
    <row r="782" spans="1:17" x14ac:dyDescent="0.3">
      <c r="A782" s="3">
        <v>2033910</v>
      </c>
      <c r="B782">
        <v>40910</v>
      </c>
      <c r="C782">
        <v>5</v>
      </c>
      <c r="D782" s="9">
        <v>103</v>
      </c>
      <c r="E782">
        <v>1008</v>
      </c>
      <c r="F782" s="1">
        <v>44012</v>
      </c>
      <c r="G782" t="s">
        <v>281</v>
      </c>
      <c r="H782" s="4">
        <v>6770.96</v>
      </c>
      <c r="I782" s="4" t="s">
        <v>16</v>
      </c>
      <c r="J782" s="4">
        <v>6770.96</v>
      </c>
      <c r="K782" t="str">
        <f>IFERROR(INDEX(BusinessUnits!$B:$B,MATCH($C782,BusinessUnits!$A:$A,0)),"")</f>
        <v>INTEREST</v>
      </c>
      <c r="L782" t="str">
        <f>IFERROR(INDEX(Table1[[#All],[Description]],MATCH($C782,BusinessUnits!$A:$A,0)),"")</f>
        <v>Interest from the cash operations account.</v>
      </c>
      <c r="M782" t="str">
        <f>IFERROR(INDEX(ChartOfAccounts!B781:B866,MATCH($B782,ChartOfAccounts!A781:A866,0)),"")</f>
        <v/>
      </c>
      <c r="N782" t="str">
        <f>IFERROR(INDEX(ChartOfAccounts!D:D,MATCH($B782,ChartOfAccounts!A781:A866,0)),"")</f>
        <v/>
      </c>
      <c r="O782" t="str">
        <f>IFERROR(INDEX(ChartOfAccounts!F:F,MATCH($B782,ChartOfAccounts!A781:A866,0)),"")</f>
        <v/>
      </c>
      <c r="P782" t="str" cm="1">
        <f t="array" ref="P782">IFERROR(INDEX(PreparerInfo!B781:B793,MATCH($D782&amp;$C782,PreparerInfo!A781:A793&amp;PreparerInfo!C781:C793,0)),"")</f>
        <v/>
      </c>
      <c r="Q782" t="str">
        <f>IFERROR(INDEX(Source!B781:B789,MATCH('Case 4 solution'!E782,Source!A781:A789,0)),"")</f>
        <v/>
      </c>
    </row>
    <row r="783" spans="1:17" x14ac:dyDescent="0.3">
      <c r="A783" s="3">
        <v>2033910</v>
      </c>
      <c r="B783">
        <v>40910</v>
      </c>
      <c r="C783">
        <v>2</v>
      </c>
      <c r="D783" s="9">
        <v>103</v>
      </c>
      <c r="E783">
        <v>1008</v>
      </c>
      <c r="F783" s="1">
        <v>44012</v>
      </c>
      <c r="G783" t="s">
        <v>249</v>
      </c>
      <c r="H783" s="4" t="s">
        <v>16</v>
      </c>
      <c r="I783" s="4">
        <v>-3385.48</v>
      </c>
      <c r="J783" s="4">
        <v>-3385.48</v>
      </c>
      <c r="K783" t="str">
        <f>IFERROR(INDEX(BusinessUnits!$B:$B,MATCH($C783,BusinessUnits!$A:$A,0)),"")</f>
        <v>HOTEL</v>
      </c>
      <c r="L783" t="str">
        <f>IFERROR(INDEX(Table1[[#All],[Description]],MATCH($C783,BusinessUnits!$A:$A,0)),"")</f>
        <v xml:space="preserve">Transactions related to guest rooms and overall hotel operations. Includes payroll for administrative staff, clerks and interns. </v>
      </c>
      <c r="M783" t="str">
        <f>IFERROR(INDEX(ChartOfAccounts!B782:B867,MATCH($B783,ChartOfAccounts!A782:A867,0)),"")</f>
        <v/>
      </c>
      <c r="N783" t="str">
        <f>IFERROR(INDEX(ChartOfAccounts!D:D,MATCH($B783,ChartOfAccounts!A782:A867,0)),"")</f>
        <v/>
      </c>
      <c r="O783" t="str">
        <f>IFERROR(INDEX(ChartOfAccounts!F:F,MATCH($B783,ChartOfAccounts!A782:A867,0)),"")</f>
        <v/>
      </c>
      <c r="P783" t="str" cm="1">
        <f t="array" ref="P783">IFERROR(INDEX(PreparerInfo!B782:B794,MATCH($D783&amp;$C783,PreparerInfo!A782:A794&amp;PreparerInfo!C782:C794,0)),"")</f>
        <v/>
      </c>
      <c r="Q783" t="str">
        <f>IFERROR(INDEX(Source!B782:B790,MATCH('Case 4 solution'!E783,Source!A782:A790,0)),"")</f>
        <v/>
      </c>
    </row>
    <row r="784" spans="1:17" x14ac:dyDescent="0.3">
      <c r="A784" s="3">
        <v>2033910</v>
      </c>
      <c r="B784">
        <v>40910</v>
      </c>
      <c r="C784">
        <v>1</v>
      </c>
      <c r="D784" s="9">
        <v>103</v>
      </c>
      <c r="E784">
        <v>1008</v>
      </c>
      <c r="F784" s="1">
        <v>44012</v>
      </c>
      <c r="G784" t="s">
        <v>249</v>
      </c>
      <c r="H784" s="4" t="s">
        <v>16</v>
      </c>
      <c r="I784" s="4">
        <v>-3385.48</v>
      </c>
      <c r="J784" s="4">
        <v>-3385.48</v>
      </c>
      <c r="K784" t="str">
        <f>IFERROR(INDEX(BusinessUnits!$B:$B,MATCH($C784,BusinessUnits!$A:$A,0)),"")</f>
        <v>FOOD SERVICE</v>
      </c>
      <c r="L784" t="str">
        <f>IFERROR(INDEX(Table1[[#All],[Description]],MATCH($C784,BusinessUnits!$A:$A,0)),"")</f>
        <v xml:space="preserve">Transactions related to food and beverage service. Includes all guest transactions in the hotel restaurants, catering-related transactions and food service payroll. </v>
      </c>
      <c r="M784" t="str">
        <f>IFERROR(INDEX(ChartOfAccounts!B783:B868,MATCH($B784,ChartOfAccounts!A783:A868,0)),"")</f>
        <v/>
      </c>
      <c r="N784" t="str">
        <f>IFERROR(INDEX(ChartOfAccounts!D:D,MATCH($B784,ChartOfAccounts!A783:A868,0)),"")</f>
        <v/>
      </c>
      <c r="O784" t="str">
        <f>IFERROR(INDEX(ChartOfAccounts!F:F,MATCH($B784,ChartOfAccounts!A783:A868,0)),"")</f>
        <v/>
      </c>
      <c r="P784" t="str" cm="1">
        <f t="array" ref="P784">IFERROR(INDEX(PreparerInfo!B783:B795,MATCH($D784&amp;$C784,PreparerInfo!A783:A795&amp;PreparerInfo!C783:C795,0)),"")</f>
        <v/>
      </c>
      <c r="Q784" t="str">
        <f>IFERROR(INDEX(Source!B783:B791,MATCH('Case 4 solution'!E784,Source!A783:A791,0)),"")</f>
        <v/>
      </c>
    </row>
    <row r="785" spans="1:17" x14ac:dyDescent="0.3">
      <c r="A785" s="3">
        <v>2033911</v>
      </c>
      <c r="B785">
        <v>86100</v>
      </c>
      <c r="C785">
        <v>7</v>
      </c>
      <c r="D785" s="9">
        <v>103</v>
      </c>
      <c r="E785">
        <v>1008</v>
      </c>
      <c r="F785" s="1">
        <v>44012</v>
      </c>
      <c r="G785" t="s">
        <v>103</v>
      </c>
      <c r="H785" s="4">
        <v>66957.22</v>
      </c>
      <c r="I785" s="4" t="s">
        <v>16</v>
      </c>
      <c r="J785" s="4">
        <v>66957.22</v>
      </c>
      <c r="K785" t="str">
        <f>IFERROR(INDEX(BusinessUnits!$B:$B,MATCH($C785,BusinessUnits!$A:$A,0)),"")</f>
        <v>OPER - GENERAL</v>
      </c>
      <c r="L785" t="str">
        <f>IFERROR(INDEX(Table1[[#All],[Description]],MATCH($C785,BusinessUnits!$A:$A,0)),"")</f>
        <v>Transactions related to corporate accounting functions, e.g., monthly depreciation entries.</v>
      </c>
      <c r="M785" t="str">
        <f>IFERROR(INDEX(ChartOfAccounts!B784:B869,MATCH($B785,ChartOfAccounts!A784:A869,0)),"")</f>
        <v/>
      </c>
      <c r="N785" t="str">
        <f>IFERROR(INDEX(ChartOfAccounts!D:D,MATCH($B785,ChartOfAccounts!A784:A869,0)),"")</f>
        <v/>
      </c>
      <c r="O785" t="str">
        <f>IFERROR(INDEX(ChartOfAccounts!F:F,MATCH($B785,ChartOfAccounts!A784:A869,0)),"")</f>
        <v/>
      </c>
      <c r="P785" t="str" cm="1">
        <f t="array" ref="P785">IFERROR(INDEX(PreparerInfo!B784:B796,MATCH($D785&amp;$C785,PreparerInfo!A784:A796&amp;PreparerInfo!C784:C796,0)),"")</f>
        <v/>
      </c>
      <c r="Q785" t="str">
        <f>IFERROR(INDEX(Source!B784:B792,MATCH('Case 4 solution'!E785,Source!A784:A792,0)),"")</f>
        <v/>
      </c>
    </row>
    <row r="786" spans="1:17" x14ac:dyDescent="0.3">
      <c r="A786" s="3">
        <v>2033911</v>
      </c>
      <c r="B786">
        <v>16290</v>
      </c>
      <c r="C786">
        <v>7</v>
      </c>
      <c r="D786" s="9">
        <v>103</v>
      </c>
      <c r="E786">
        <v>1008</v>
      </c>
      <c r="F786" s="1">
        <v>44012</v>
      </c>
      <c r="G786" t="s">
        <v>103</v>
      </c>
      <c r="H786" s="4" t="s">
        <v>16</v>
      </c>
      <c r="I786" s="4">
        <v>-66957.22</v>
      </c>
      <c r="J786" s="4">
        <v>-66957.22</v>
      </c>
      <c r="K786" t="str">
        <f>IFERROR(INDEX(BusinessUnits!$B:$B,MATCH($C786,BusinessUnits!$A:$A,0)),"")</f>
        <v>OPER - GENERAL</v>
      </c>
      <c r="L786" t="str">
        <f>IFERROR(INDEX(Table1[[#All],[Description]],MATCH($C786,BusinessUnits!$A:$A,0)),"")</f>
        <v>Transactions related to corporate accounting functions, e.g., monthly depreciation entries.</v>
      </c>
      <c r="M786" t="str">
        <f>IFERROR(INDEX(ChartOfAccounts!B785:B870,MATCH($B786,ChartOfAccounts!A785:A870,0)),"")</f>
        <v/>
      </c>
      <c r="N786" t="str">
        <f>IFERROR(INDEX(ChartOfAccounts!D:D,MATCH($B786,ChartOfAccounts!A785:A870,0)),"")</f>
        <v/>
      </c>
      <c r="O786" t="str">
        <f>IFERROR(INDEX(ChartOfAccounts!F:F,MATCH($B786,ChartOfAccounts!A785:A870,0)),"")</f>
        <v/>
      </c>
      <c r="P786" t="str" cm="1">
        <f t="array" ref="P786">IFERROR(INDEX(PreparerInfo!B785:B797,MATCH($D786&amp;$C786,PreparerInfo!A785:A797&amp;PreparerInfo!C785:C797,0)),"")</f>
        <v/>
      </c>
      <c r="Q786" t="str">
        <f>IFERROR(INDEX(Source!B785:B793,MATCH('Case 4 solution'!E786,Source!A785:A793,0)),"")</f>
        <v/>
      </c>
    </row>
    <row r="787" spans="1:17" x14ac:dyDescent="0.3">
      <c r="A787" s="3">
        <v>2033912</v>
      </c>
      <c r="B787">
        <v>86200</v>
      </c>
      <c r="C787">
        <v>7</v>
      </c>
      <c r="D787" s="9">
        <v>103</v>
      </c>
      <c r="E787">
        <v>1008</v>
      </c>
      <c r="F787" s="1">
        <v>44012</v>
      </c>
      <c r="G787" t="s">
        <v>108</v>
      </c>
      <c r="H787" s="4">
        <v>12035.24</v>
      </c>
      <c r="I787" s="4" t="s">
        <v>16</v>
      </c>
      <c r="J787" s="4">
        <v>12035.24</v>
      </c>
      <c r="K787" t="str">
        <f>IFERROR(INDEX(BusinessUnits!$B:$B,MATCH($C787,BusinessUnits!$A:$A,0)),"")</f>
        <v>OPER - GENERAL</v>
      </c>
      <c r="L787" t="str">
        <f>IFERROR(INDEX(Table1[[#All],[Description]],MATCH($C787,BusinessUnits!$A:$A,0)),"")</f>
        <v>Transactions related to corporate accounting functions, e.g., monthly depreciation entries.</v>
      </c>
      <c r="M787" t="str">
        <f>IFERROR(INDEX(ChartOfAccounts!B786:B871,MATCH($B787,ChartOfAccounts!A786:A871,0)),"")</f>
        <v/>
      </c>
      <c r="N787" t="str">
        <f>IFERROR(INDEX(ChartOfAccounts!D:D,MATCH($B787,ChartOfAccounts!A786:A871,0)),"")</f>
        <v/>
      </c>
      <c r="O787" t="str">
        <f>IFERROR(INDEX(ChartOfAccounts!F:F,MATCH($B787,ChartOfAccounts!A786:A871,0)),"")</f>
        <v/>
      </c>
      <c r="P787" t="str" cm="1">
        <f t="array" ref="P787">IFERROR(INDEX(PreparerInfo!B786:B798,MATCH($D787&amp;$C787,PreparerInfo!A786:A798&amp;PreparerInfo!C786:C798,0)),"")</f>
        <v/>
      </c>
      <c r="Q787" t="str">
        <f>IFERROR(INDEX(Source!B786:B794,MATCH('Case 4 solution'!E787,Source!A786:A794,0)),"")</f>
        <v/>
      </c>
    </row>
    <row r="788" spans="1:17" x14ac:dyDescent="0.3">
      <c r="A788" s="3">
        <v>2033912</v>
      </c>
      <c r="B788">
        <v>16590</v>
      </c>
      <c r="C788">
        <v>7</v>
      </c>
      <c r="D788" s="9">
        <v>103</v>
      </c>
      <c r="E788">
        <v>1008</v>
      </c>
      <c r="F788" s="1">
        <v>44012</v>
      </c>
      <c r="G788" t="s">
        <v>108</v>
      </c>
      <c r="H788" s="4" t="s">
        <v>16</v>
      </c>
      <c r="I788" s="4">
        <v>-12035.24</v>
      </c>
      <c r="J788" s="4">
        <v>-12035.24</v>
      </c>
      <c r="K788" t="str">
        <f>IFERROR(INDEX(BusinessUnits!$B:$B,MATCH($C788,BusinessUnits!$A:$A,0)),"")</f>
        <v>OPER - GENERAL</v>
      </c>
      <c r="L788" t="str">
        <f>IFERROR(INDEX(Table1[[#All],[Description]],MATCH($C788,BusinessUnits!$A:$A,0)),"")</f>
        <v>Transactions related to corporate accounting functions, e.g., monthly depreciation entries.</v>
      </c>
      <c r="M788" t="str">
        <f>IFERROR(INDEX(ChartOfAccounts!B787:B872,MATCH($B788,ChartOfAccounts!A787:A872,0)),"")</f>
        <v/>
      </c>
      <c r="N788" t="str">
        <f>IFERROR(INDEX(ChartOfAccounts!D:D,MATCH($B788,ChartOfAccounts!A787:A872,0)),"")</f>
        <v/>
      </c>
      <c r="O788" t="str">
        <f>IFERROR(INDEX(ChartOfAccounts!F:F,MATCH($B788,ChartOfAccounts!A787:A872,0)),"")</f>
        <v/>
      </c>
      <c r="P788" t="str" cm="1">
        <f t="array" ref="P788">IFERROR(INDEX(PreparerInfo!B787:B799,MATCH($D788&amp;$C788,PreparerInfo!A787:A799&amp;PreparerInfo!C787:C799,0)),"")</f>
        <v/>
      </c>
      <c r="Q788" t="str">
        <f>IFERROR(INDEX(Source!B787:B795,MATCH('Case 4 solution'!E788,Source!A787:A795,0)),"")</f>
        <v/>
      </c>
    </row>
    <row r="789" spans="1:17" x14ac:dyDescent="0.3">
      <c r="A789" s="3">
        <v>2033913</v>
      </c>
      <c r="B789">
        <v>22110</v>
      </c>
      <c r="C789">
        <v>8</v>
      </c>
      <c r="D789" s="9">
        <v>103</v>
      </c>
      <c r="E789">
        <v>1002</v>
      </c>
      <c r="F789" s="1">
        <v>44012</v>
      </c>
      <c r="G789" t="s">
        <v>31</v>
      </c>
      <c r="H789" s="4">
        <v>57357.63</v>
      </c>
      <c r="I789" s="4" t="s">
        <v>16</v>
      </c>
      <c r="J789" s="4">
        <v>57357.63</v>
      </c>
      <c r="K789" t="str">
        <f>IFERROR(INDEX(BusinessUnits!$B:$B,MATCH($C789,BusinessUnits!$A:$A,0)),"")</f>
        <v>PAYROLL S/B JV</v>
      </c>
      <c r="L789" t="str">
        <f>IFERROR(INDEX(Table1[[#All],[Description]],MATCH($C789,BusinessUnits!$A:$A,0)),"")</f>
        <v>Transactions related to payroll for employees.</v>
      </c>
      <c r="M789" t="str">
        <f>IFERROR(INDEX(ChartOfAccounts!B788:B873,MATCH($B789,ChartOfAccounts!A788:A873,0)),"")</f>
        <v/>
      </c>
      <c r="N789" t="str">
        <f>IFERROR(INDEX(ChartOfAccounts!D:D,MATCH($B789,ChartOfAccounts!A788:A873,0)),"")</f>
        <v/>
      </c>
      <c r="O789" t="str">
        <f>IFERROR(INDEX(ChartOfAccounts!F:F,MATCH($B789,ChartOfAccounts!A788:A873,0)),"")</f>
        <v/>
      </c>
      <c r="P789" t="str" cm="1">
        <f t="array" ref="P789">IFERROR(INDEX(PreparerInfo!B788:B800,MATCH($D789&amp;$C789,PreparerInfo!A788:A800&amp;PreparerInfo!C788:C800,0)),"")</f>
        <v/>
      </c>
      <c r="Q789" t="str">
        <f>IFERROR(INDEX(Source!B788:B796,MATCH('Case 4 solution'!E789,Source!A788:A796,0)),"")</f>
        <v/>
      </c>
    </row>
    <row r="790" spans="1:17" x14ac:dyDescent="0.3">
      <c r="A790" s="3">
        <v>2033913</v>
      </c>
      <c r="B790">
        <v>11845</v>
      </c>
      <c r="C790">
        <v>8</v>
      </c>
      <c r="D790" s="9">
        <v>103</v>
      </c>
      <c r="E790">
        <v>1002</v>
      </c>
      <c r="F790" s="1">
        <v>44012</v>
      </c>
      <c r="G790" t="s">
        <v>31</v>
      </c>
      <c r="H790" s="4" t="s">
        <v>16</v>
      </c>
      <c r="I790" s="4">
        <v>-57357.63</v>
      </c>
      <c r="J790" s="4">
        <v>-57357.63</v>
      </c>
      <c r="K790" t="str">
        <f>IFERROR(INDEX(BusinessUnits!$B:$B,MATCH($C790,BusinessUnits!$A:$A,0)),"")</f>
        <v>PAYROLL S/B JV</v>
      </c>
      <c r="L790" t="str">
        <f>IFERROR(INDEX(Table1[[#All],[Description]],MATCH($C790,BusinessUnits!$A:$A,0)),"")</f>
        <v>Transactions related to payroll for employees.</v>
      </c>
      <c r="M790" t="str">
        <f>IFERROR(INDEX(ChartOfAccounts!B789:B874,MATCH($B790,ChartOfAccounts!A789:A874,0)),"")</f>
        <v/>
      </c>
      <c r="N790" t="str">
        <f>IFERROR(INDEX(ChartOfAccounts!D:D,MATCH($B790,ChartOfAccounts!A789:A874,0)),"")</f>
        <v/>
      </c>
      <c r="O790" t="str">
        <f>IFERROR(INDEX(ChartOfAccounts!F:F,MATCH($B790,ChartOfAccounts!A789:A874,0)),"")</f>
        <v/>
      </c>
      <c r="P790" t="str" cm="1">
        <f t="array" ref="P790">IFERROR(INDEX(PreparerInfo!B789:B801,MATCH($D790&amp;$C790,PreparerInfo!A789:A801&amp;PreparerInfo!C789:C801,0)),"")</f>
        <v/>
      </c>
      <c r="Q790" t="str">
        <f>IFERROR(INDEX(Source!B789:B797,MATCH('Case 4 solution'!E790,Source!A789:A797,0)),"")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9F140-D539-458D-A9F7-B03DB96CD981}">
  <dimension ref="A1:Q790"/>
  <sheetViews>
    <sheetView workbookViewId="0">
      <selection activeCell="Q2" sqref="Q2"/>
    </sheetView>
  </sheetViews>
  <sheetFormatPr defaultRowHeight="14.4" x14ac:dyDescent="0.3"/>
  <cols>
    <col min="3" max="3" width="13.21875" bestFit="1" customWidth="1"/>
    <col min="6" max="6" width="11.21875" bestFit="1" customWidth="1"/>
    <col min="16" max="16" width="16.5546875" customWidth="1"/>
  </cols>
  <sheetData>
    <row r="1" spans="1:17" x14ac:dyDescent="0.3">
      <c r="A1" t="s">
        <v>0</v>
      </c>
      <c r="B1" t="s">
        <v>1</v>
      </c>
      <c r="C1" t="s">
        <v>285</v>
      </c>
      <c r="D1" s="2" t="s">
        <v>3</v>
      </c>
      <c r="E1" t="s">
        <v>287</v>
      </c>
      <c r="F1" s="1" t="s">
        <v>2</v>
      </c>
      <c r="G1" t="s">
        <v>6</v>
      </c>
      <c r="H1" s="4" t="s">
        <v>7</v>
      </c>
      <c r="I1" s="4" t="s">
        <v>8</v>
      </c>
      <c r="J1" s="4" t="s">
        <v>9</v>
      </c>
      <c r="K1" t="s">
        <v>5</v>
      </c>
      <c r="L1" t="s">
        <v>300</v>
      </c>
      <c r="M1" t="s">
        <v>12</v>
      </c>
      <c r="N1" t="s">
        <v>10</v>
      </c>
      <c r="O1" t="s">
        <v>11</v>
      </c>
      <c r="P1" s="2" t="s">
        <v>286</v>
      </c>
      <c r="Q1" t="s">
        <v>4</v>
      </c>
    </row>
    <row r="2" spans="1:17" x14ac:dyDescent="0.3">
      <c r="A2" s="3">
        <v>2033520</v>
      </c>
      <c r="B2">
        <v>76930</v>
      </c>
      <c r="C2">
        <v>1</v>
      </c>
      <c r="D2" s="9">
        <v>101</v>
      </c>
      <c r="E2">
        <v>1002</v>
      </c>
      <c r="F2" s="1">
        <v>44002</v>
      </c>
      <c r="G2" t="s">
        <v>212</v>
      </c>
      <c r="H2" s="4">
        <v>36.9</v>
      </c>
      <c r="I2" s="4" t="s">
        <v>16</v>
      </c>
      <c r="J2" s="4">
        <v>36.9</v>
      </c>
      <c r="K2" t="str">
        <f>_xlfn.XLOOKUP($C2,Table1[BusinessUnitID],Table1[BusinessUnit],"",0)</f>
        <v>FOOD SERVICE</v>
      </c>
      <c r="L2" t="str" cm="1">
        <f t="array" ref="L2">_xlfn.XLOOKUP($C2,Table1[[#All],[BusinessUnitID]],Table1[[#All],[Description]],"",0,1)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" t="str">
        <f>_xlfn.XLOOKUP($B2,ChartOfAccounts!A1:A86,ChartOfAccounts!B1:B86,"",0,1)</f>
        <v>Telecommunications - Other</v>
      </c>
      <c r="N2" t="str">
        <f>_xlfn.XLOOKUP($B2,ChartOfAccounts!A1:A86,ChartOfAccounts!D1:D86,0,1)</f>
        <v>Expenses</v>
      </c>
      <c r="O2" t="str">
        <f>_xlfn.XLOOKUP($B2,ChartOfAccounts!A1:A86,ChartOfAccounts!F1:F86,"",0,1)</f>
        <v>SG&amp;A</v>
      </c>
      <c r="P2" t="str" cm="1">
        <f t="array" ref="P2">_xlfn.XLOOKUP($D2&amp;$C2,PreparerInfo!A1:A13&amp;PreparerInfo!C1:C13,PreparerInfo!B1:B13,"",0,1)</f>
        <v xml:space="preserve">Carolyn Slater|Food Operations Manager       </v>
      </c>
      <c r="Q2" t="str">
        <f>_xlfn.XLOOKUP($E2,Source!A1:A9,Source!B1:B9,"",0,1)</f>
        <v>CHECK</v>
      </c>
    </row>
    <row r="3" spans="1:17" x14ac:dyDescent="0.3">
      <c r="A3" s="3">
        <v>2033520</v>
      </c>
      <c r="B3">
        <v>11845</v>
      </c>
      <c r="C3">
        <v>1</v>
      </c>
      <c r="D3" s="9">
        <v>101</v>
      </c>
      <c r="E3">
        <v>1002</v>
      </c>
      <c r="F3" s="1">
        <v>44002</v>
      </c>
      <c r="G3" t="s">
        <v>212</v>
      </c>
      <c r="H3" s="4" t="s">
        <v>16</v>
      </c>
      <c r="I3" s="4">
        <v>-36.9</v>
      </c>
      <c r="J3" s="4">
        <v>-36.9</v>
      </c>
      <c r="K3" t="str">
        <f>_xlfn.XLOOKUP($C3,Table1[BusinessUnitID],Table1[BusinessUnit],"",0)</f>
        <v>FOOD SERVICE</v>
      </c>
      <c r="L3" t="str" cm="1">
        <f t="array" ref="L3">_xlfn.XLOOKUP($C3,Table1[[#All],[BusinessUnitID]],Table1[[#All],[Description]],"",0,1)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" t="str">
        <f>_xlfn.XLOOKUP($B3,ChartOfAccounts!A2:A87,ChartOfAccounts!B2:B87,"",0,1)</f>
        <v>Operating Bank Account</v>
      </c>
      <c r="N3" t="str">
        <f>_xlfn.XLOOKUP($B3,ChartOfAccounts!A2:A87,ChartOfAccounts!D2:D87,0,1)</f>
        <v>Assets</v>
      </c>
      <c r="O3" t="str">
        <f>_xlfn.XLOOKUP($B3,ChartOfAccounts!A2:A87,ChartOfAccounts!F2:F87,"",0,1)</f>
        <v>Cash</v>
      </c>
      <c r="P3" t="str" cm="1">
        <f t="array" ref="P3">_xlfn.XLOOKUP($D3&amp;$C3,PreparerInfo!A2:A14&amp;PreparerInfo!C2:C14,PreparerInfo!B2:B14,"",0,1)</f>
        <v xml:space="preserve">Carolyn Slater|Food Operations Manager       </v>
      </c>
      <c r="Q3" t="str">
        <f>_xlfn.XLOOKUP($E3,Source!A2:A10,Source!B2:B10,"",0,1)</f>
        <v>CHECK</v>
      </c>
    </row>
    <row r="4" spans="1:17" x14ac:dyDescent="0.3">
      <c r="A4" s="3">
        <v>2033521</v>
      </c>
      <c r="B4">
        <v>11845</v>
      </c>
      <c r="C4">
        <v>3</v>
      </c>
      <c r="D4" s="9">
        <v>102</v>
      </c>
      <c r="E4">
        <v>1001</v>
      </c>
      <c r="F4" s="1">
        <v>44002</v>
      </c>
      <c r="G4" t="s">
        <v>41</v>
      </c>
      <c r="H4" s="4">
        <v>63.1</v>
      </c>
      <c r="I4" s="4" t="s">
        <v>16</v>
      </c>
      <c r="J4" s="4">
        <v>63.1</v>
      </c>
      <c r="K4" t="str">
        <f>_xlfn.XLOOKUP($C4,Table1[BusinessUnitID],Table1[BusinessUnit],"",0)</f>
        <v>HOTEL PANTRY</v>
      </c>
      <c r="L4" t="str" cm="1">
        <f t="array" ref="L4">_xlfn.XLOOKUP($C4,Table1[[#All],[BusinessUnitID]],Table1[[#All],[Description]],"",0,1)</f>
        <v>Transactions related to the hotel convenience store, including some food and beverage costs.</v>
      </c>
      <c r="M4" t="str">
        <f>_xlfn.XLOOKUP($B4,ChartOfAccounts!A3:A88,ChartOfAccounts!B3:B88,"",0,1)</f>
        <v>Operating Bank Account</v>
      </c>
      <c r="N4" t="str">
        <f>_xlfn.XLOOKUP($B4,ChartOfAccounts!A3:A88,ChartOfAccounts!D3:D88,0,1)</f>
        <v>Assets</v>
      </c>
      <c r="O4" t="str">
        <f>_xlfn.XLOOKUP($B4,ChartOfAccounts!A3:A88,ChartOfAccounts!F3:F88,"",0,1)</f>
        <v>Cash</v>
      </c>
      <c r="P4" t="str" cm="1">
        <f t="array" ref="P4">_xlfn.XLOOKUP($D4&amp;$C4,PreparerInfo!A3:A15&amp;PreparerInfo!C3:C15,PreparerInfo!B3:B15,"",0,1)</f>
        <v>POS</v>
      </c>
      <c r="Q4" t="str">
        <f>_xlfn.XLOOKUP($E4,Source!A3:A11,Source!B3:B11,"",0,1)</f>
        <v/>
      </c>
    </row>
    <row r="5" spans="1:17" x14ac:dyDescent="0.3">
      <c r="A5" s="3">
        <v>2033521</v>
      </c>
      <c r="B5">
        <v>43440</v>
      </c>
      <c r="C5">
        <v>3</v>
      </c>
      <c r="D5" s="9">
        <v>102</v>
      </c>
      <c r="E5">
        <v>1001</v>
      </c>
      <c r="F5" s="1">
        <v>44002</v>
      </c>
      <c r="G5" t="s">
        <v>41</v>
      </c>
      <c r="H5" s="4" t="s">
        <v>16</v>
      </c>
      <c r="I5" s="4">
        <v>-63.1</v>
      </c>
      <c r="J5" s="4">
        <v>-63.1</v>
      </c>
      <c r="K5" t="str">
        <f>_xlfn.XLOOKUP($C5,Table1[BusinessUnitID],Table1[BusinessUnit],"",0)</f>
        <v>HOTEL PANTRY</v>
      </c>
      <c r="L5" t="str" cm="1">
        <f t="array" ref="L5">_xlfn.XLOOKUP($C5,Table1[[#All],[BusinessUnitID]],Table1[[#All],[Description]],"",0,1)</f>
        <v>Transactions related to the hotel convenience store, including some food and beverage costs.</v>
      </c>
      <c r="M5" t="str">
        <f>_xlfn.XLOOKUP($B5,ChartOfAccounts!A4:A89,ChartOfAccounts!B4:B89,"",0,1)</f>
        <v>Sales - Other</v>
      </c>
      <c r="N5" t="str">
        <f>_xlfn.XLOOKUP($B5,ChartOfAccounts!A4:A89,ChartOfAccounts!D4:D89,0,1)</f>
        <v>Revenue</v>
      </c>
      <c r="O5" t="str">
        <f>_xlfn.XLOOKUP($B5,ChartOfAccounts!A4:A89,ChartOfAccounts!F4:F89,"",0,1)</f>
        <v>Sales-Other</v>
      </c>
      <c r="P5" t="str" cm="1">
        <f t="array" ref="P5">_xlfn.XLOOKUP($D5&amp;$C5,PreparerInfo!A4:A16&amp;PreparerInfo!C4:C16,PreparerInfo!B4:B16,"",0,1)</f>
        <v>POS</v>
      </c>
      <c r="Q5" t="str">
        <f>_xlfn.XLOOKUP($E5,Source!A4:A12,Source!B4:B12,"",0,1)</f>
        <v/>
      </c>
    </row>
    <row r="6" spans="1:17" x14ac:dyDescent="0.3">
      <c r="A6" s="3">
        <v>2033522</v>
      </c>
      <c r="B6">
        <v>11845</v>
      </c>
      <c r="C6">
        <v>1</v>
      </c>
      <c r="D6" s="9">
        <v>102</v>
      </c>
      <c r="E6">
        <v>1003</v>
      </c>
      <c r="F6" s="1">
        <v>44002</v>
      </c>
      <c r="G6" t="s">
        <v>15</v>
      </c>
      <c r="H6" s="4">
        <v>68.28</v>
      </c>
      <c r="I6" s="4" t="s">
        <v>16</v>
      </c>
      <c r="J6" s="4">
        <v>68.28</v>
      </c>
      <c r="K6" t="str">
        <f>_xlfn.XLOOKUP($C6,Table1[BusinessUnitID],Table1[BusinessUnit],"",0)</f>
        <v>FOOD SERVICE</v>
      </c>
      <c r="L6" t="str" cm="1">
        <f t="array" ref="L6">_xlfn.XLOOKUP($C6,Table1[[#All],[BusinessUnitID]],Table1[[#All],[Description]],"",0,1)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" t="str">
        <f>_xlfn.XLOOKUP($B6,ChartOfAccounts!A5:A90,ChartOfAccounts!B5:B90,"",0,1)</f>
        <v/>
      </c>
      <c r="N6" t="str">
        <f>_xlfn.XLOOKUP($B6,ChartOfAccounts!A5:A90,ChartOfAccounts!D5:D90,0,1)</f>
        <v>Assets</v>
      </c>
      <c r="O6" t="str">
        <f>_xlfn.XLOOKUP($B6,ChartOfAccounts!A5:A90,ChartOfAccounts!F5:F90,"",0,1)</f>
        <v/>
      </c>
      <c r="P6" t="str" cm="1">
        <f t="array" ref="P6">_xlfn.XLOOKUP($D6&amp;$C6,PreparerInfo!A5:A17&amp;PreparerInfo!C5:C17,PreparerInfo!B5:B17,"",0,1)</f>
        <v xml:space="preserve">Elizabeth Rees|Food Operations Manager       </v>
      </c>
      <c r="Q6" t="str">
        <f>_xlfn.XLOOKUP($E6,Source!A5:A13,Source!B5:B13,"",0,1)</f>
        <v/>
      </c>
    </row>
    <row r="7" spans="1:17" x14ac:dyDescent="0.3">
      <c r="A7" s="3">
        <v>2033522</v>
      </c>
      <c r="B7">
        <v>43310</v>
      </c>
      <c r="C7">
        <v>1</v>
      </c>
      <c r="D7" s="9">
        <v>102</v>
      </c>
      <c r="E7">
        <v>1003</v>
      </c>
      <c r="F7" s="1">
        <v>44002</v>
      </c>
      <c r="G7" t="s">
        <v>15</v>
      </c>
      <c r="H7" s="4" t="s">
        <v>16</v>
      </c>
      <c r="I7" s="4">
        <v>-68.28</v>
      </c>
      <c r="J7" s="4">
        <v>-68.28</v>
      </c>
      <c r="K7" t="str">
        <f>_xlfn.XLOOKUP($C7,Table1[BusinessUnitID],Table1[BusinessUnit],"",0)</f>
        <v>FOOD SERVICE</v>
      </c>
      <c r="L7" t="str" cm="1">
        <f t="array" ref="L7">_xlfn.XLOOKUP($C7,Table1[[#All],[BusinessUnitID]],Table1[[#All],[Description]],"",0,1)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" t="str">
        <f>_xlfn.XLOOKUP($B7,ChartOfAccounts!A6:A91,ChartOfAccounts!B6:B91,"",0,1)</f>
        <v>Sales - Dining Halls</v>
      </c>
      <c r="N7" t="str">
        <f>_xlfn.XLOOKUP($B7,ChartOfAccounts!A6:A91,ChartOfAccounts!D6:D91,0,1)</f>
        <v>Revenue</v>
      </c>
      <c r="O7" t="str">
        <f>_xlfn.XLOOKUP($B7,ChartOfAccounts!A6:A91,ChartOfAccounts!F6:F91,"",0,1)</f>
        <v>Sales-Dining</v>
      </c>
      <c r="P7" t="str" cm="1">
        <f t="array" ref="P7">_xlfn.XLOOKUP($D7&amp;$C7,PreparerInfo!A6:A18&amp;PreparerInfo!C6:C18,PreparerInfo!B6:B18,"",0,1)</f>
        <v xml:space="preserve">Elizabeth Rees|Food Operations Manager       </v>
      </c>
      <c r="Q7" t="str">
        <f>_xlfn.XLOOKUP($E7,Source!A6:A14,Source!B6:B14,"",0,1)</f>
        <v/>
      </c>
    </row>
    <row r="8" spans="1:17" x14ac:dyDescent="0.3">
      <c r="A8" s="3">
        <v>2033523</v>
      </c>
      <c r="B8">
        <v>11845</v>
      </c>
      <c r="C8">
        <v>2</v>
      </c>
      <c r="D8" s="9">
        <v>106</v>
      </c>
      <c r="E8">
        <v>1003</v>
      </c>
      <c r="F8" s="1">
        <v>44002</v>
      </c>
      <c r="G8" t="s">
        <v>81</v>
      </c>
      <c r="H8" s="4">
        <v>99</v>
      </c>
      <c r="I8" s="4" t="s">
        <v>16</v>
      </c>
      <c r="J8" s="4">
        <v>99</v>
      </c>
      <c r="K8" t="str">
        <f>_xlfn.XLOOKUP($C8,Table1[BusinessUnitID],Table1[BusinessUnit],"",0)</f>
        <v>HOTEL</v>
      </c>
      <c r="L8" t="str" cm="1">
        <f t="array" ref="L8">_xlfn.XLOOKUP($C8,Table1[[#All],[BusinessUnitID]],Table1[[#All],[Description]],"",0,1)</f>
        <v xml:space="preserve">Transactions related to guest rooms and overall hotel operations. Includes payroll for administrative staff, clerks and interns. </v>
      </c>
      <c r="M8" t="str">
        <f>_xlfn.XLOOKUP($B8,ChartOfAccounts!A7:A92,ChartOfAccounts!B7:B92,"",0,1)</f>
        <v/>
      </c>
      <c r="N8" t="str">
        <f>_xlfn.XLOOKUP($B8,ChartOfAccounts!A7:A92,ChartOfAccounts!D7:D92,0,1)</f>
        <v>Assets</v>
      </c>
      <c r="O8" t="str">
        <f>_xlfn.XLOOKUP($B8,ChartOfAccounts!A7:A92,ChartOfAccounts!F7:F92,"",0,1)</f>
        <v/>
      </c>
      <c r="P8" t="str" cm="1">
        <f t="array" ref="P8">_xlfn.XLOOKUP($D8&amp;$C8,PreparerInfo!A7:A19&amp;PreparerInfo!C7:C19,PreparerInfo!B7:B19,"",0,1)</f>
        <v>Yvonne Chapman|Catering Manager              </v>
      </c>
      <c r="Q8" t="str">
        <f>_xlfn.XLOOKUP($E8,Source!A7:A15,Source!B7:B15,"",0,1)</f>
        <v/>
      </c>
    </row>
    <row r="9" spans="1:17" x14ac:dyDescent="0.3">
      <c r="A9" s="3">
        <v>2033523</v>
      </c>
      <c r="B9">
        <v>43180</v>
      </c>
      <c r="C9">
        <v>2</v>
      </c>
      <c r="D9" s="9">
        <v>106</v>
      </c>
      <c r="E9">
        <v>1003</v>
      </c>
      <c r="F9" s="1">
        <v>44002</v>
      </c>
      <c r="G9" t="s">
        <v>81</v>
      </c>
      <c r="H9" s="4" t="s">
        <v>16</v>
      </c>
      <c r="I9" s="4">
        <v>-99</v>
      </c>
      <c r="J9" s="4">
        <v>-99</v>
      </c>
      <c r="K9" t="str">
        <f>_xlfn.XLOOKUP($C9,Table1[BusinessUnitID],Table1[BusinessUnit],"",0)</f>
        <v>HOTEL</v>
      </c>
      <c r="L9" t="str" cm="1">
        <f t="array" ref="L9">_xlfn.XLOOKUP($C9,Table1[[#All],[BusinessUnitID]],Table1[[#All],[Description]],"",0,1)</f>
        <v xml:space="preserve">Transactions related to guest rooms and overall hotel operations. Includes payroll for administrative staff, clerks and interns. </v>
      </c>
      <c r="M9" t="str">
        <f>_xlfn.XLOOKUP($B9,ChartOfAccounts!A8:A93,ChartOfAccounts!B8:B93,"",0,1)</f>
        <v>Rents - Hotels</v>
      </c>
      <c r="N9" t="str">
        <f>_xlfn.XLOOKUP($B9,ChartOfAccounts!A8:A93,ChartOfAccounts!D8:D93,0,1)</f>
        <v>Revenue</v>
      </c>
      <c r="O9" t="str">
        <f>_xlfn.XLOOKUP($B9,ChartOfAccounts!A8:A93,ChartOfAccounts!F8:F93,"",0,1)</f>
        <v>Sales-Hotel</v>
      </c>
      <c r="P9" t="str" cm="1">
        <f t="array" ref="P9">_xlfn.XLOOKUP($D9&amp;$C9,PreparerInfo!A8:A20&amp;PreparerInfo!C8:C20,PreparerInfo!B8:B20,"",0,1)</f>
        <v>Yvonne Chapman|Catering Manager              </v>
      </c>
      <c r="Q9" t="str">
        <f>_xlfn.XLOOKUP($E9,Source!A8:A16,Source!B8:B16,"",0,1)</f>
        <v/>
      </c>
    </row>
    <row r="10" spans="1:17" x14ac:dyDescent="0.3">
      <c r="A10" s="3">
        <v>2033524</v>
      </c>
      <c r="B10">
        <v>11845</v>
      </c>
      <c r="C10">
        <v>3</v>
      </c>
      <c r="D10" s="9">
        <v>102</v>
      </c>
      <c r="E10">
        <v>1003</v>
      </c>
      <c r="F10" s="1">
        <v>44002</v>
      </c>
      <c r="G10" t="s">
        <v>15</v>
      </c>
      <c r="H10" s="4">
        <v>107.21</v>
      </c>
      <c r="I10" s="4" t="s">
        <v>16</v>
      </c>
      <c r="J10" s="4">
        <v>107.21</v>
      </c>
      <c r="K10" t="str">
        <f>_xlfn.XLOOKUP($C10,Table1[BusinessUnitID],Table1[BusinessUnit],"",0)</f>
        <v>HOTEL PANTRY</v>
      </c>
      <c r="L10" t="str" cm="1">
        <f t="array" ref="L10">_xlfn.XLOOKUP($C10,Table1[[#All],[BusinessUnitID]],Table1[[#All],[Description]],"",0,1)</f>
        <v>Transactions related to the hotel convenience store, including some food and beverage costs.</v>
      </c>
      <c r="M10" t="str">
        <f>_xlfn.XLOOKUP($B10,ChartOfAccounts!A9:A94,ChartOfAccounts!B9:B94,"",0,1)</f>
        <v/>
      </c>
      <c r="N10" t="str">
        <f>_xlfn.XLOOKUP($B10,ChartOfAccounts!A9:A94,ChartOfAccounts!D9:D94,0,1)</f>
        <v>Assets</v>
      </c>
      <c r="O10" t="str">
        <f>_xlfn.XLOOKUP($B10,ChartOfAccounts!A9:A94,ChartOfAccounts!F9:F94,"",0,1)</f>
        <v/>
      </c>
      <c r="P10" t="str" cm="1">
        <f t="array" ref="P10">_xlfn.XLOOKUP($D10&amp;$C10,PreparerInfo!A9:A21&amp;PreparerInfo!C9:C21,PreparerInfo!B9:B21,"",0,1)</f>
        <v>POS</v>
      </c>
      <c r="Q10" t="str">
        <f>_xlfn.XLOOKUP($E10,Source!A9:A17,Source!B9:B17,"",0,1)</f>
        <v/>
      </c>
    </row>
    <row r="11" spans="1:17" x14ac:dyDescent="0.3">
      <c r="A11" s="3">
        <v>2033524</v>
      </c>
      <c r="B11">
        <v>43440</v>
      </c>
      <c r="C11">
        <v>3</v>
      </c>
      <c r="D11" s="9">
        <v>102</v>
      </c>
      <c r="E11">
        <v>1003</v>
      </c>
      <c r="F11" s="1">
        <v>44002</v>
      </c>
      <c r="G11" t="s">
        <v>15</v>
      </c>
      <c r="H11" s="4" t="s">
        <v>16</v>
      </c>
      <c r="I11" s="4">
        <v>-107.21</v>
      </c>
      <c r="J11" s="4">
        <v>-107.21</v>
      </c>
      <c r="K11" t="str">
        <f>_xlfn.XLOOKUP($C11,Table1[BusinessUnitID],Table1[BusinessUnit],"",0)</f>
        <v>HOTEL PANTRY</v>
      </c>
      <c r="L11" t="str" cm="1">
        <f t="array" ref="L11">_xlfn.XLOOKUP($C11,Table1[[#All],[BusinessUnitID]],Table1[[#All],[Description]],"",0,1)</f>
        <v>Transactions related to the hotel convenience store, including some food and beverage costs.</v>
      </c>
      <c r="M11" t="str">
        <f>_xlfn.XLOOKUP($B11,ChartOfAccounts!A10:A95,ChartOfAccounts!B10:B95,"",0,1)</f>
        <v>Sales - Other</v>
      </c>
      <c r="N11" t="str">
        <f>_xlfn.XLOOKUP($B11,ChartOfAccounts!A10:A95,ChartOfAccounts!D10:D95,0,1)</f>
        <v>Revenue</v>
      </c>
      <c r="O11" t="str">
        <f>_xlfn.XLOOKUP($B11,ChartOfAccounts!A10:A95,ChartOfAccounts!F10:F95,"",0,1)</f>
        <v>Sales-Other</v>
      </c>
      <c r="P11" t="str" cm="1">
        <f t="array" ref="P11">_xlfn.XLOOKUP($D11&amp;$C11,PreparerInfo!A10:A22&amp;PreparerInfo!C10:C22,PreparerInfo!B10:B22,"",0,1)</f>
        <v/>
      </c>
      <c r="Q11" t="str">
        <f>_xlfn.XLOOKUP($E11,Source!A10:A18,Source!B10:B18,"",0,1)</f>
        <v/>
      </c>
    </row>
    <row r="12" spans="1:17" x14ac:dyDescent="0.3">
      <c r="A12" s="3">
        <v>2033525</v>
      </c>
      <c r="B12">
        <v>11845</v>
      </c>
      <c r="C12">
        <v>2</v>
      </c>
      <c r="D12" s="9">
        <v>104</v>
      </c>
      <c r="E12">
        <v>1003</v>
      </c>
      <c r="F12" s="1">
        <v>44002</v>
      </c>
      <c r="G12" t="s">
        <v>220</v>
      </c>
      <c r="H12" s="4">
        <v>129</v>
      </c>
      <c r="I12" s="4" t="s">
        <v>16</v>
      </c>
      <c r="J12" s="4">
        <v>129</v>
      </c>
      <c r="K12" t="str">
        <f>_xlfn.XLOOKUP($C12,Table1[BusinessUnitID],Table1[BusinessUnit],"",0)</f>
        <v>HOTEL</v>
      </c>
      <c r="L12" t="str" cm="1">
        <f t="array" ref="L12">_xlfn.XLOOKUP($C12,Table1[[#All],[BusinessUnitID]],Table1[[#All],[Description]],"",0,1)</f>
        <v xml:space="preserve">Transactions related to guest rooms and overall hotel operations. Includes payroll for administrative staff, clerks and interns. </v>
      </c>
      <c r="M12" t="str">
        <f>_xlfn.XLOOKUP($B12,ChartOfAccounts!A11:A96,ChartOfAccounts!B11:B96,"",0,1)</f>
        <v/>
      </c>
      <c r="N12" t="str">
        <f>_xlfn.XLOOKUP($B12,ChartOfAccounts!A11:A96,ChartOfAccounts!D11:D96,0,1)</f>
        <v>Assets</v>
      </c>
      <c r="O12" t="str">
        <f>_xlfn.XLOOKUP($B12,ChartOfAccounts!A11:A96,ChartOfAccounts!F11:F96,"",0,1)</f>
        <v/>
      </c>
      <c r="P12" t="str" cm="1">
        <f t="array" ref="P12">_xlfn.XLOOKUP($D12&amp;$C12,PreparerInfo!A11:A23&amp;PreparerInfo!C11:C23,PreparerInfo!B11:B23,"",0,1)</f>
        <v>GUESTSYS</v>
      </c>
      <c r="Q12" t="str">
        <f>_xlfn.XLOOKUP($E12,Source!A11:A19,Source!B11:B19,"",0,1)</f>
        <v/>
      </c>
    </row>
    <row r="13" spans="1:17" x14ac:dyDescent="0.3">
      <c r="A13" s="3">
        <v>2033525</v>
      </c>
      <c r="B13">
        <v>43180</v>
      </c>
      <c r="C13">
        <v>2</v>
      </c>
      <c r="D13" s="9">
        <v>104</v>
      </c>
      <c r="E13">
        <v>1003</v>
      </c>
      <c r="F13" s="1">
        <v>44002</v>
      </c>
      <c r="G13" t="s">
        <v>220</v>
      </c>
      <c r="H13" s="4" t="s">
        <v>16</v>
      </c>
      <c r="I13" s="4">
        <v>-129</v>
      </c>
      <c r="J13" s="4">
        <v>-129</v>
      </c>
      <c r="K13" t="str">
        <f>_xlfn.XLOOKUP($C13,Table1[BusinessUnitID],Table1[BusinessUnit],"",0)</f>
        <v>HOTEL</v>
      </c>
      <c r="L13" t="str" cm="1">
        <f t="array" ref="L13">_xlfn.XLOOKUP($C13,Table1[[#All],[BusinessUnitID]],Table1[[#All],[Description]],"",0,1)</f>
        <v xml:space="preserve">Transactions related to guest rooms and overall hotel operations. Includes payroll for administrative staff, clerks and interns. </v>
      </c>
      <c r="M13" t="str">
        <f>_xlfn.XLOOKUP($B13,ChartOfAccounts!A12:A97,ChartOfAccounts!B12:B97,"",0,1)</f>
        <v>Rents - Hotels</v>
      </c>
      <c r="N13" t="str">
        <f>_xlfn.XLOOKUP($B13,ChartOfAccounts!A12:A97,ChartOfAccounts!D12:D97,0,1)</f>
        <v>Revenue</v>
      </c>
      <c r="O13" t="str">
        <f>_xlfn.XLOOKUP($B13,ChartOfAccounts!A12:A97,ChartOfAccounts!F12:F97,"",0,1)</f>
        <v>Sales-Hotel</v>
      </c>
      <c r="P13" t="str" cm="1">
        <f t="array" ref="P13">_xlfn.XLOOKUP($D13&amp;$C13,PreparerInfo!A12:A24&amp;PreparerInfo!C12:C24,PreparerInfo!B12:B24,"",0,1)</f>
        <v/>
      </c>
      <c r="Q13" t="str">
        <f>_xlfn.XLOOKUP($E13,Source!A12:A20,Source!B12:B20,"",0,1)</f>
        <v/>
      </c>
    </row>
    <row r="14" spans="1:17" x14ac:dyDescent="0.3">
      <c r="A14" s="3">
        <v>2033526</v>
      </c>
      <c r="B14">
        <v>11845</v>
      </c>
      <c r="C14">
        <v>2</v>
      </c>
      <c r="D14" s="9">
        <v>104</v>
      </c>
      <c r="E14">
        <v>1003</v>
      </c>
      <c r="F14" s="1">
        <v>44002</v>
      </c>
      <c r="G14" t="s">
        <v>125</v>
      </c>
      <c r="H14" s="4">
        <v>258</v>
      </c>
      <c r="I14" s="4" t="s">
        <v>16</v>
      </c>
      <c r="J14" s="4">
        <v>258</v>
      </c>
      <c r="K14" t="str">
        <f>_xlfn.XLOOKUP($C14,Table1[BusinessUnitID],Table1[BusinessUnit],"",0)</f>
        <v>HOTEL</v>
      </c>
      <c r="L14" t="str" cm="1">
        <f t="array" ref="L14">_xlfn.XLOOKUP($C14,Table1[[#All],[BusinessUnitID]],Table1[[#All],[Description]],"",0,1)</f>
        <v xml:space="preserve">Transactions related to guest rooms and overall hotel operations. Includes payroll for administrative staff, clerks and interns. </v>
      </c>
      <c r="M14" t="str">
        <f>_xlfn.XLOOKUP($B14,ChartOfAccounts!A13:A98,ChartOfAccounts!B13:B98,"",0,1)</f>
        <v/>
      </c>
      <c r="N14" t="str">
        <f>_xlfn.XLOOKUP($B14,ChartOfAccounts!A13:A98,ChartOfAccounts!D13:D98,0,1)</f>
        <v>Assets</v>
      </c>
      <c r="O14" t="str">
        <f>_xlfn.XLOOKUP($B14,ChartOfAccounts!A13:A98,ChartOfAccounts!F13:F98,"",0,1)</f>
        <v/>
      </c>
      <c r="P14" t="str" cm="1">
        <f t="array" ref="P14">_xlfn.XLOOKUP($D14&amp;$C14,PreparerInfo!A13:A25&amp;PreparerInfo!C13:C25,PreparerInfo!B13:B25,"",0,1)</f>
        <v/>
      </c>
      <c r="Q14" t="str">
        <f>_xlfn.XLOOKUP($E14,Source!A13:A21,Source!B13:B21,"",0,1)</f>
        <v/>
      </c>
    </row>
    <row r="15" spans="1:17" x14ac:dyDescent="0.3">
      <c r="A15" s="3">
        <v>2033526</v>
      </c>
      <c r="B15">
        <v>43180</v>
      </c>
      <c r="C15">
        <v>2</v>
      </c>
      <c r="D15" s="9">
        <v>104</v>
      </c>
      <c r="E15">
        <v>1003</v>
      </c>
      <c r="F15" s="1">
        <v>44002</v>
      </c>
      <c r="G15" t="s">
        <v>125</v>
      </c>
      <c r="H15" s="4" t="s">
        <v>16</v>
      </c>
      <c r="I15" s="4">
        <v>-258</v>
      </c>
      <c r="J15" s="4">
        <v>-258</v>
      </c>
      <c r="K15" t="str">
        <f>_xlfn.XLOOKUP($C15,Table1[BusinessUnitID],Table1[BusinessUnit],"",0)</f>
        <v>HOTEL</v>
      </c>
      <c r="L15" t="str" cm="1">
        <f t="array" ref="L15">_xlfn.XLOOKUP($C15,Table1[[#All],[BusinessUnitID]],Table1[[#All],[Description]],"",0,1)</f>
        <v xml:space="preserve">Transactions related to guest rooms and overall hotel operations. Includes payroll for administrative staff, clerks and interns. </v>
      </c>
      <c r="M15" t="str">
        <f>_xlfn.XLOOKUP($B15,ChartOfAccounts!A14:A99,ChartOfAccounts!B14:B99,"",0,1)</f>
        <v>Rents - Hotels</v>
      </c>
      <c r="N15" t="str">
        <f>_xlfn.XLOOKUP($B15,ChartOfAccounts!A14:A99,ChartOfAccounts!D14:D99,0,1)</f>
        <v>Revenue</v>
      </c>
      <c r="O15" t="str">
        <f>_xlfn.XLOOKUP($B15,ChartOfAccounts!A14:A99,ChartOfAccounts!F14:F99,"",0,1)</f>
        <v>Sales-Hotel</v>
      </c>
      <c r="P15" t="str" cm="1">
        <f t="array" ref="P15">_xlfn.XLOOKUP($D15&amp;$C15,PreparerInfo!A14:A26&amp;PreparerInfo!C14:C26,PreparerInfo!B14:B26,"",0,1)</f>
        <v/>
      </c>
      <c r="Q15" t="str">
        <f>_xlfn.XLOOKUP($E15,Source!A14:A22,Source!B14:B22,"",0,1)</f>
        <v/>
      </c>
    </row>
    <row r="16" spans="1:17" x14ac:dyDescent="0.3">
      <c r="A16" s="3">
        <v>2033527</v>
      </c>
      <c r="B16">
        <v>11845</v>
      </c>
      <c r="C16">
        <v>2</v>
      </c>
      <c r="D16" s="9">
        <v>104</v>
      </c>
      <c r="E16">
        <v>1003</v>
      </c>
      <c r="F16" s="1">
        <v>44002</v>
      </c>
      <c r="G16" t="s">
        <v>221</v>
      </c>
      <c r="H16" s="4">
        <v>418</v>
      </c>
      <c r="I16" s="4" t="s">
        <v>16</v>
      </c>
      <c r="J16" s="4">
        <v>418</v>
      </c>
      <c r="K16" t="str">
        <f>_xlfn.XLOOKUP($C16,Table1[BusinessUnitID],Table1[BusinessUnit],"",0)</f>
        <v>HOTEL</v>
      </c>
      <c r="L16" t="str" cm="1">
        <f t="array" ref="L16">_xlfn.XLOOKUP($C16,Table1[[#All],[BusinessUnitID]],Table1[[#All],[Description]],"",0,1)</f>
        <v xml:space="preserve">Transactions related to guest rooms and overall hotel operations. Includes payroll for administrative staff, clerks and interns. </v>
      </c>
      <c r="M16" t="str">
        <f>_xlfn.XLOOKUP($B16,ChartOfAccounts!A15:A100,ChartOfAccounts!B15:B100,"",0,1)</f>
        <v/>
      </c>
      <c r="N16" t="str">
        <f>_xlfn.XLOOKUP($B16,ChartOfAccounts!A15:A100,ChartOfAccounts!D15:D100,0,1)</f>
        <v>Liabilities</v>
      </c>
      <c r="O16" t="str">
        <f>_xlfn.XLOOKUP($B16,ChartOfAccounts!A15:A100,ChartOfAccounts!F15:F100,"",0,1)</f>
        <v/>
      </c>
      <c r="P16" t="str" cm="1">
        <f t="array" ref="P16">_xlfn.XLOOKUP($D16&amp;$C16,PreparerInfo!A15:A27&amp;PreparerInfo!C15:C27,PreparerInfo!B15:B27,"",0,1)</f>
        <v/>
      </c>
      <c r="Q16" t="str">
        <f>_xlfn.XLOOKUP($E16,Source!A15:A23,Source!B15:B23,"",0,1)</f>
        <v/>
      </c>
    </row>
    <row r="17" spans="1:17" x14ac:dyDescent="0.3">
      <c r="A17" s="3">
        <v>2033527</v>
      </c>
      <c r="B17">
        <v>43180</v>
      </c>
      <c r="C17">
        <v>2</v>
      </c>
      <c r="D17" s="9">
        <v>104</v>
      </c>
      <c r="E17">
        <v>1003</v>
      </c>
      <c r="F17" s="1">
        <v>44002</v>
      </c>
      <c r="G17" t="s">
        <v>221</v>
      </c>
      <c r="H17" s="4" t="s">
        <v>16</v>
      </c>
      <c r="I17" s="4">
        <v>-418</v>
      </c>
      <c r="J17" s="4">
        <v>-418</v>
      </c>
      <c r="K17" t="str">
        <f>_xlfn.XLOOKUP($C17,Table1[BusinessUnitID],Table1[BusinessUnit],"",0)</f>
        <v>HOTEL</v>
      </c>
      <c r="L17" t="str" cm="1">
        <f t="array" ref="L17">_xlfn.XLOOKUP($C17,Table1[[#All],[BusinessUnitID]],Table1[[#All],[Description]],"",0,1)</f>
        <v xml:space="preserve">Transactions related to guest rooms and overall hotel operations. Includes payroll for administrative staff, clerks and interns. </v>
      </c>
      <c r="M17" t="str">
        <f>_xlfn.XLOOKUP($B17,ChartOfAccounts!A16:A101,ChartOfAccounts!B16:B101,"",0,1)</f>
        <v>Rents - Hotels</v>
      </c>
      <c r="N17" t="str">
        <f>_xlfn.XLOOKUP($B17,ChartOfAccounts!A16:A101,ChartOfAccounts!D16:D101,0,1)</f>
        <v>Revenue</v>
      </c>
      <c r="O17" t="str">
        <f>_xlfn.XLOOKUP($B17,ChartOfAccounts!A16:A101,ChartOfAccounts!F16:F101,"",0,1)</f>
        <v>Sales-Hotel</v>
      </c>
      <c r="P17" t="str" cm="1">
        <f t="array" ref="P17">_xlfn.XLOOKUP($D17&amp;$C17,PreparerInfo!A16:A28&amp;PreparerInfo!C16:C28,PreparerInfo!B16:B28,"",0,1)</f>
        <v/>
      </c>
      <c r="Q17" t="str">
        <f>_xlfn.XLOOKUP($E17,Source!A16:A24,Source!B16:B24,"",0,1)</f>
        <v/>
      </c>
    </row>
    <row r="18" spans="1:17" x14ac:dyDescent="0.3">
      <c r="A18" s="3">
        <v>2033528</v>
      </c>
      <c r="B18">
        <v>71900</v>
      </c>
      <c r="C18">
        <v>1</v>
      </c>
      <c r="D18" s="9">
        <v>102</v>
      </c>
      <c r="E18">
        <v>1002</v>
      </c>
      <c r="F18" s="1">
        <v>44002</v>
      </c>
      <c r="G18" t="s">
        <v>36</v>
      </c>
      <c r="H18" s="4">
        <v>431.8</v>
      </c>
      <c r="I18" s="4" t="s">
        <v>16</v>
      </c>
      <c r="J18" s="4">
        <v>431.8</v>
      </c>
      <c r="K18" t="str">
        <f>_xlfn.XLOOKUP($C18,Table1[BusinessUnitID],Table1[BusinessUnit],"",0)</f>
        <v>FOOD SERVICE</v>
      </c>
      <c r="L18" t="str" cm="1">
        <f t="array" ref="L18">_xlfn.XLOOKUP($C18,Table1[[#All],[BusinessUnitID]],Table1[[#All],[Description]],"",0,1)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18" t="str">
        <f>_xlfn.XLOOKUP($B18,ChartOfAccounts!A17:A102,ChartOfAccounts!B17:B102,"",0,1)</f>
        <v>Rents - Other Than Real Estate</v>
      </c>
      <c r="N18" t="str">
        <f>_xlfn.XLOOKUP($B18,ChartOfAccounts!A17:A102,ChartOfAccounts!D17:D102,0,1)</f>
        <v>Expenses</v>
      </c>
      <c r="O18" t="str">
        <f>_xlfn.XLOOKUP($B18,ChartOfAccounts!A17:A102,ChartOfAccounts!F17:F102,"",0,1)</f>
        <v>SG&amp;A</v>
      </c>
      <c r="P18" t="str" cm="1">
        <f t="array" ref="P18">_xlfn.XLOOKUP($D18&amp;$C18,PreparerInfo!A17:A29&amp;PreparerInfo!C17:C29,PreparerInfo!B17:B29,"",0,1)</f>
        <v/>
      </c>
      <c r="Q18" t="str">
        <f>_xlfn.XLOOKUP($E18,Source!A17:A25,Source!B17:B25,"",0,1)</f>
        <v/>
      </c>
    </row>
    <row r="19" spans="1:17" x14ac:dyDescent="0.3">
      <c r="A19" s="3">
        <v>2033528</v>
      </c>
      <c r="B19">
        <v>11845</v>
      </c>
      <c r="C19">
        <v>1</v>
      </c>
      <c r="D19" s="9">
        <v>102</v>
      </c>
      <c r="E19">
        <v>1002</v>
      </c>
      <c r="F19" s="1">
        <v>44002</v>
      </c>
      <c r="G19" t="s">
        <v>36</v>
      </c>
      <c r="H19" s="4" t="s">
        <v>16</v>
      </c>
      <c r="I19" s="4">
        <v>-431.8</v>
      </c>
      <c r="J19" s="4">
        <v>-431.8</v>
      </c>
      <c r="K19" t="str">
        <f>_xlfn.XLOOKUP($C19,Table1[BusinessUnitID],Table1[BusinessUnit],"",0)</f>
        <v>FOOD SERVICE</v>
      </c>
      <c r="L19" t="str" cm="1">
        <f t="array" ref="L19">_xlfn.XLOOKUP($C19,Table1[[#All],[BusinessUnitID]],Table1[[#All],[Description]],"",0,1)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19" t="str">
        <f>_xlfn.XLOOKUP($B19,ChartOfAccounts!A18:A103,ChartOfAccounts!B18:B103,"",0,1)</f>
        <v/>
      </c>
      <c r="N19" t="str">
        <f>_xlfn.XLOOKUP($B19,ChartOfAccounts!A18:A103,ChartOfAccounts!D18:D103,0,1)</f>
        <v>Liabilities</v>
      </c>
      <c r="O19" t="str">
        <f>_xlfn.XLOOKUP($B19,ChartOfAccounts!A18:A103,ChartOfAccounts!F18:F103,"",0,1)</f>
        <v/>
      </c>
      <c r="P19" t="str" cm="1">
        <f t="array" ref="P19">_xlfn.XLOOKUP($D19&amp;$C19,PreparerInfo!A18:A30&amp;PreparerInfo!C18:C30,PreparerInfo!B18:B30,"",0,1)</f>
        <v/>
      </c>
      <c r="Q19" t="str">
        <f>_xlfn.XLOOKUP($E19,Source!A18:A26,Source!B18:B26,"",0,1)</f>
        <v/>
      </c>
    </row>
    <row r="20" spans="1:17" x14ac:dyDescent="0.3">
      <c r="A20" s="3">
        <v>2033529</v>
      </c>
      <c r="B20">
        <v>11845</v>
      </c>
      <c r="C20">
        <v>1</v>
      </c>
      <c r="D20" s="9">
        <v>102</v>
      </c>
      <c r="E20">
        <v>1001</v>
      </c>
      <c r="F20" s="1">
        <v>44002</v>
      </c>
      <c r="G20" t="s">
        <v>41</v>
      </c>
      <c r="H20" s="4">
        <v>612.54</v>
      </c>
      <c r="I20" s="4" t="s">
        <v>16</v>
      </c>
      <c r="J20" s="4">
        <v>612.54</v>
      </c>
      <c r="K20" t="str">
        <f>_xlfn.XLOOKUP($C20,Table1[BusinessUnitID],Table1[BusinessUnit],"",0)</f>
        <v>FOOD SERVICE</v>
      </c>
      <c r="L20" t="str" cm="1">
        <f t="array" ref="L20">_xlfn.XLOOKUP($C20,Table1[[#All],[BusinessUnitID]],Table1[[#All],[Description]],"",0,1)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0" t="str">
        <f>_xlfn.XLOOKUP($B20,ChartOfAccounts!A19:A104,ChartOfAccounts!B19:B104,"",0,1)</f>
        <v/>
      </c>
      <c r="N20" t="str">
        <f>_xlfn.XLOOKUP($B20,ChartOfAccounts!A19:A104,ChartOfAccounts!D19:D104,0,1)</f>
        <v>Equity</v>
      </c>
      <c r="O20" t="str">
        <f>_xlfn.XLOOKUP($B20,ChartOfAccounts!A19:A104,ChartOfAccounts!F19:F104,"",0,1)</f>
        <v/>
      </c>
      <c r="P20" t="str" cm="1">
        <f t="array" ref="P20">_xlfn.XLOOKUP($D20&amp;$C20,PreparerInfo!A19:A31&amp;PreparerInfo!C19:C31,PreparerInfo!B19:B31,"",0,1)</f>
        <v/>
      </c>
      <c r="Q20" t="str">
        <f>_xlfn.XLOOKUP($E20,Source!A19:A27,Source!B19:B27,"",0,1)</f>
        <v/>
      </c>
    </row>
    <row r="21" spans="1:17" x14ac:dyDescent="0.3">
      <c r="A21" s="3">
        <v>2033529</v>
      </c>
      <c r="B21">
        <v>43310</v>
      </c>
      <c r="C21">
        <v>1</v>
      </c>
      <c r="D21" s="9">
        <v>102</v>
      </c>
      <c r="E21">
        <v>1001</v>
      </c>
      <c r="F21" s="1">
        <v>44002</v>
      </c>
      <c r="G21" t="s">
        <v>41</v>
      </c>
      <c r="H21" s="4" t="s">
        <v>16</v>
      </c>
      <c r="I21" s="4">
        <v>-612.54</v>
      </c>
      <c r="J21" s="4">
        <v>-612.54</v>
      </c>
      <c r="K21" t="str">
        <f>_xlfn.XLOOKUP($C21,Table1[BusinessUnitID],Table1[BusinessUnit],"",0)</f>
        <v>FOOD SERVICE</v>
      </c>
      <c r="L21" t="str" cm="1">
        <f t="array" ref="L21">_xlfn.XLOOKUP($C21,Table1[[#All],[BusinessUnitID]],Table1[[#All],[Description]],"",0,1)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1" t="str">
        <f>_xlfn.XLOOKUP($B21,ChartOfAccounts!A20:A105,ChartOfAccounts!B20:B105,"",0,1)</f>
        <v>Sales - Dining Halls</v>
      </c>
      <c r="N21" t="str">
        <f>_xlfn.XLOOKUP($B21,ChartOfAccounts!A20:A105,ChartOfAccounts!D20:D105,0,1)</f>
        <v>Revenue</v>
      </c>
      <c r="O21" t="str">
        <f>_xlfn.XLOOKUP($B21,ChartOfAccounts!A20:A105,ChartOfAccounts!F20:F105,"",0,1)</f>
        <v>Sales-Dining</v>
      </c>
      <c r="P21" t="str" cm="1">
        <f t="array" ref="P21">_xlfn.XLOOKUP($D21&amp;$C21,PreparerInfo!A20:A32&amp;PreparerInfo!C20:C32,PreparerInfo!B20:B32,"",0,1)</f>
        <v/>
      </c>
      <c r="Q21" t="str">
        <f>_xlfn.XLOOKUP($E21,Source!A20:A28,Source!B20:B28,"",0,1)</f>
        <v/>
      </c>
    </row>
    <row r="22" spans="1:17" x14ac:dyDescent="0.3">
      <c r="A22" s="3">
        <v>2033530</v>
      </c>
      <c r="B22">
        <v>76930</v>
      </c>
      <c r="C22">
        <v>2</v>
      </c>
      <c r="D22" s="9">
        <v>101</v>
      </c>
      <c r="E22">
        <v>1002</v>
      </c>
      <c r="F22" s="1">
        <v>44002</v>
      </c>
      <c r="G22" t="s">
        <v>212</v>
      </c>
      <c r="H22" s="4">
        <v>1015.21</v>
      </c>
      <c r="I22" s="4" t="s">
        <v>16</v>
      </c>
      <c r="J22" s="4">
        <v>1015.21</v>
      </c>
      <c r="K22" t="str">
        <f>_xlfn.XLOOKUP($C22,Table1[BusinessUnitID],Table1[BusinessUnit],"",0)</f>
        <v>HOTEL</v>
      </c>
      <c r="L22" t="str" cm="1">
        <f t="array" ref="L22">_xlfn.XLOOKUP($C22,Table1[[#All],[BusinessUnitID]],Table1[[#All],[Description]],"",0,1)</f>
        <v xml:space="preserve">Transactions related to guest rooms and overall hotel operations. Includes payroll for administrative staff, clerks and interns. </v>
      </c>
      <c r="M22" t="str">
        <f>_xlfn.XLOOKUP($B22,ChartOfAccounts!A21:A106,ChartOfAccounts!B21:B106,"",0,1)</f>
        <v>Telecommunications - Other</v>
      </c>
      <c r="N22" t="str">
        <f>_xlfn.XLOOKUP($B22,ChartOfAccounts!A21:A106,ChartOfAccounts!D21:D106,0,1)</f>
        <v>Expenses</v>
      </c>
      <c r="O22" t="str">
        <f>_xlfn.XLOOKUP($B22,ChartOfAccounts!A21:A106,ChartOfAccounts!F21:F106,"",0,1)</f>
        <v>SG&amp;A</v>
      </c>
      <c r="P22" t="str" cm="1">
        <f t="array" ref="P22">_xlfn.XLOOKUP($D22&amp;$C22,PreparerInfo!A21:A33&amp;PreparerInfo!C21:C33,PreparerInfo!B21:B33,"",0,1)</f>
        <v/>
      </c>
      <c r="Q22" t="str">
        <f>_xlfn.XLOOKUP($E22,Source!A21:A29,Source!B21:B29,"",0,1)</f>
        <v/>
      </c>
    </row>
    <row r="23" spans="1:17" x14ac:dyDescent="0.3">
      <c r="A23" s="3">
        <v>2033530</v>
      </c>
      <c r="B23">
        <v>11845</v>
      </c>
      <c r="C23">
        <v>2</v>
      </c>
      <c r="D23" s="9">
        <v>101</v>
      </c>
      <c r="E23">
        <v>1002</v>
      </c>
      <c r="F23" s="1">
        <v>44002</v>
      </c>
      <c r="G23" t="s">
        <v>212</v>
      </c>
      <c r="H23" s="4" t="s">
        <v>16</v>
      </c>
      <c r="I23" s="4">
        <v>-1015.21</v>
      </c>
      <c r="J23" s="4">
        <v>-1015.21</v>
      </c>
      <c r="K23" t="str">
        <f>_xlfn.XLOOKUP($C23,Table1[BusinessUnitID],Table1[BusinessUnit],"",0)</f>
        <v>HOTEL</v>
      </c>
      <c r="L23" t="str" cm="1">
        <f t="array" ref="L23">_xlfn.XLOOKUP($C23,Table1[[#All],[BusinessUnitID]],Table1[[#All],[Description]],"",0,1)</f>
        <v xml:space="preserve">Transactions related to guest rooms and overall hotel operations. Includes payroll for administrative staff, clerks and interns. </v>
      </c>
      <c r="M23" t="str">
        <f>_xlfn.XLOOKUP($B23,ChartOfAccounts!A22:A107,ChartOfAccounts!B22:B107,"",0,1)</f>
        <v/>
      </c>
      <c r="N23" t="str">
        <f>_xlfn.XLOOKUP($B23,ChartOfAccounts!A22:A107,ChartOfAccounts!D22:D107,0,1)</f>
        <v>Revenue</v>
      </c>
      <c r="O23" t="str">
        <f>_xlfn.XLOOKUP($B23,ChartOfAccounts!A22:A107,ChartOfAccounts!F22:F107,"",0,1)</f>
        <v/>
      </c>
      <c r="P23" t="str" cm="1">
        <f t="array" ref="P23">_xlfn.XLOOKUP($D23&amp;$C23,PreparerInfo!A22:A34&amp;PreparerInfo!C22:C34,PreparerInfo!B22:B34,"",0,1)</f>
        <v/>
      </c>
      <c r="Q23" t="str">
        <f>_xlfn.XLOOKUP($E23,Source!A22:A30,Source!B22:B30,"",0,1)</f>
        <v/>
      </c>
    </row>
    <row r="24" spans="1:17" x14ac:dyDescent="0.3">
      <c r="A24" s="3">
        <v>2033531</v>
      </c>
      <c r="B24">
        <v>11845</v>
      </c>
      <c r="C24">
        <v>1</v>
      </c>
      <c r="D24" s="9">
        <v>102</v>
      </c>
      <c r="E24">
        <v>1003</v>
      </c>
      <c r="F24" s="1">
        <v>44002</v>
      </c>
      <c r="G24" t="s">
        <v>15</v>
      </c>
      <c r="H24" s="4">
        <v>2157.2199999999998</v>
      </c>
      <c r="I24" s="4" t="s">
        <v>16</v>
      </c>
      <c r="J24" s="4">
        <v>2157.2199999999998</v>
      </c>
      <c r="K24" t="str">
        <f>_xlfn.XLOOKUP($C24,Table1[BusinessUnitID],Table1[BusinessUnit],"",0)</f>
        <v>FOOD SERVICE</v>
      </c>
      <c r="L24" t="str" cm="1">
        <f t="array" ref="L24">_xlfn.XLOOKUP($C24,Table1[[#All],[BusinessUnitID]],Table1[[#All],[Description]],"",0,1)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4" t="str">
        <f>_xlfn.XLOOKUP($B24,ChartOfAccounts!A23:A108,ChartOfAccounts!B23:B108,"",0,1)</f>
        <v/>
      </c>
      <c r="N24" t="str">
        <f>_xlfn.XLOOKUP($B24,ChartOfAccounts!A23:A108,ChartOfAccounts!D23:D108,0,1)</f>
        <v>Revenue</v>
      </c>
      <c r="O24" t="str">
        <f>_xlfn.XLOOKUP($B24,ChartOfAccounts!A23:A108,ChartOfAccounts!F23:F108,"",0,1)</f>
        <v/>
      </c>
      <c r="P24" t="str" cm="1">
        <f t="array" ref="P24">_xlfn.XLOOKUP($D24&amp;$C24,PreparerInfo!A23:A35&amp;PreparerInfo!C23:C35,PreparerInfo!B23:B35,"",0,1)</f>
        <v/>
      </c>
      <c r="Q24" t="str">
        <f>_xlfn.XLOOKUP($E24,Source!A23:A31,Source!B23:B31,"",0,1)</f>
        <v/>
      </c>
    </row>
    <row r="25" spans="1:17" x14ac:dyDescent="0.3">
      <c r="A25" s="3">
        <v>2033531</v>
      </c>
      <c r="B25">
        <v>43310</v>
      </c>
      <c r="C25">
        <v>1</v>
      </c>
      <c r="D25" s="9">
        <v>102</v>
      </c>
      <c r="E25">
        <v>1003</v>
      </c>
      <c r="F25" s="1">
        <v>44002</v>
      </c>
      <c r="G25" t="s">
        <v>15</v>
      </c>
      <c r="H25" s="4" t="s">
        <v>16</v>
      </c>
      <c r="I25" s="4">
        <v>-2157.2199999999998</v>
      </c>
      <c r="J25" s="4">
        <v>-2157.2199999999998</v>
      </c>
      <c r="K25" t="str">
        <f>_xlfn.XLOOKUP($C25,Table1[BusinessUnitID],Table1[BusinessUnit],"",0)</f>
        <v>FOOD SERVICE</v>
      </c>
      <c r="L25" t="str" cm="1">
        <f t="array" ref="L25">_xlfn.XLOOKUP($C25,Table1[[#All],[BusinessUnitID]],Table1[[#All],[Description]],"",0,1)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5" t="str">
        <f>_xlfn.XLOOKUP($B25,ChartOfAccounts!A24:A109,ChartOfAccounts!B24:B109,"",0,1)</f>
        <v/>
      </c>
      <c r="N25" t="str">
        <f>_xlfn.XLOOKUP($B25,ChartOfAccounts!A24:A109,ChartOfAccounts!D24:D109,0,1)</f>
        <v>Revenue</v>
      </c>
      <c r="O25" t="str">
        <f>_xlfn.XLOOKUP($B25,ChartOfAccounts!A24:A109,ChartOfAccounts!F24:F109,"",0,1)</f>
        <v/>
      </c>
      <c r="P25" t="str" cm="1">
        <f t="array" ref="P25">_xlfn.XLOOKUP($D25&amp;$C25,PreparerInfo!A24:A36&amp;PreparerInfo!C24:C36,PreparerInfo!B24:B36,"",0,1)</f>
        <v/>
      </c>
      <c r="Q25" t="str">
        <f>_xlfn.XLOOKUP($E25,Source!A24:A32,Source!B24:B32,"",0,1)</f>
        <v/>
      </c>
    </row>
    <row r="26" spans="1:17" x14ac:dyDescent="0.3">
      <c r="A26" s="3">
        <v>2033532</v>
      </c>
      <c r="B26">
        <v>11845</v>
      </c>
      <c r="C26">
        <v>1</v>
      </c>
      <c r="D26" s="9">
        <v>106</v>
      </c>
      <c r="E26">
        <v>1003</v>
      </c>
      <c r="F26" s="1">
        <v>44002</v>
      </c>
      <c r="G26" t="s">
        <v>80</v>
      </c>
      <c r="H26" s="4">
        <v>4503.3</v>
      </c>
      <c r="I26" s="4" t="s">
        <v>16</v>
      </c>
      <c r="J26" s="4">
        <v>4503.3</v>
      </c>
      <c r="K26" t="str">
        <f>_xlfn.XLOOKUP($C26,Table1[BusinessUnitID],Table1[BusinessUnit],"",0)</f>
        <v>FOOD SERVICE</v>
      </c>
      <c r="L26" t="str" cm="1">
        <f t="array" ref="L26">_xlfn.XLOOKUP($C26,Table1[[#All],[BusinessUnitID]],Table1[[#All],[Description]],"",0,1)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6" t="str">
        <f>_xlfn.XLOOKUP($B26,ChartOfAccounts!A25:A110,ChartOfAccounts!B25:B110,"",0,1)</f>
        <v/>
      </c>
      <c r="N26" t="str">
        <f>_xlfn.XLOOKUP($B26,ChartOfAccounts!A25:A110,ChartOfAccounts!D25:D110,0,1)</f>
        <v>Revenue</v>
      </c>
      <c r="O26" t="str">
        <f>_xlfn.XLOOKUP($B26,ChartOfAccounts!A25:A110,ChartOfAccounts!F25:F110,"",0,1)</f>
        <v/>
      </c>
      <c r="P26" t="str" cm="1">
        <f t="array" ref="P26">_xlfn.XLOOKUP($D26&amp;$C26,PreparerInfo!A25:A37&amp;PreparerInfo!C25:C37,PreparerInfo!B25:B37,"",0,1)</f>
        <v/>
      </c>
      <c r="Q26" t="str">
        <f>_xlfn.XLOOKUP($E26,Source!A25:A33,Source!B25:B33,"",0,1)</f>
        <v/>
      </c>
    </row>
    <row r="27" spans="1:17" x14ac:dyDescent="0.3">
      <c r="A27" s="3">
        <v>2033532</v>
      </c>
      <c r="B27">
        <v>43310</v>
      </c>
      <c r="C27">
        <v>1</v>
      </c>
      <c r="D27" s="9">
        <v>106</v>
      </c>
      <c r="E27">
        <v>1003</v>
      </c>
      <c r="F27" s="1">
        <v>44002</v>
      </c>
      <c r="G27" t="s">
        <v>80</v>
      </c>
      <c r="H27" s="4" t="s">
        <v>16</v>
      </c>
      <c r="I27" s="4">
        <v>-4503.3</v>
      </c>
      <c r="J27" s="4">
        <v>-4503.3</v>
      </c>
      <c r="K27" t="str">
        <f>_xlfn.XLOOKUP($C27,Table1[BusinessUnitID],Table1[BusinessUnit],"",0)</f>
        <v>FOOD SERVICE</v>
      </c>
      <c r="L27" t="str" cm="1">
        <f t="array" ref="L27">_xlfn.XLOOKUP($C27,Table1[[#All],[BusinessUnitID]],Table1[[#All],[Description]],"",0,1)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7" t="str">
        <f>_xlfn.XLOOKUP($B27,ChartOfAccounts!A26:A111,ChartOfAccounts!B26:B111,"",0,1)</f>
        <v/>
      </c>
      <c r="N27" t="str">
        <f>_xlfn.XLOOKUP($B27,ChartOfAccounts!A26:A111,ChartOfAccounts!D26:D111,0,1)</f>
        <v>Revenue</v>
      </c>
      <c r="O27" t="str">
        <f>_xlfn.XLOOKUP($B27,ChartOfAccounts!A26:A111,ChartOfAccounts!F26:F111,"",0,1)</f>
        <v/>
      </c>
      <c r="P27" t="str" cm="1">
        <f t="array" ref="P27">_xlfn.XLOOKUP($D27&amp;$C27,PreparerInfo!A26:A38&amp;PreparerInfo!C26:C38,PreparerInfo!B26:B38,"",0,1)</f>
        <v/>
      </c>
      <c r="Q27" t="str">
        <f>_xlfn.XLOOKUP($E27,Source!A26:A34,Source!B26:B34,"",0,1)</f>
        <v/>
      </c>
    </row>
    <row r="28" spans="1:17" x14ac:dyDescent="0.3">
      <c r="A28" s="3">
        <v>2033533</v>
      </c>
      <c r="B28">
        <v>11845</v>
      </c>
      <c r="C28">
        <v>2</v>
      </c>
      <c r="D28" s="9">
        <v>104</v>
      </c>
      <c r="E28">
        <v>1003</v>
      </c>
      <c r="F28" s="1">
        <v>44002</v>
      </c>
      <c r="G28" t="s">
        <v>15</v>
      </c>
      <c r="H28" s="4">
        <v>6197</v>
      </c>
      <c r="I28" s="4" t="s">
        <v>16</v>
      </c>
      <c r="J28" s="4">
        <v>6197</v>
      </c>
      <c r="K28" t="str">
        <f>_xlfn.XLOOKUP($C28,Table1[BusinessUnitID],Table1[BusinessUnit],"",0)</f>
        <v>HOTEL</v>
      </c>
      <c r="L28" t="str" cm="1">
        <f t="array" ref="L28">_xlfn.XLOOKUP($C28,Table1[[#All],[BusinessUnitID]],Table1[[#All],[Description]],"",0,1)</f>
        <v xml:space="preserve">Transactions related to guest rooms and overall hotel operations. Includes payroll for administrative staff, clerks and interns. </v>
      </c>
      <c r="M28" t="str">
        <f>_xlfn.XLOOKUP($B28,ChartOfAccounts!A27:A112,ChartOfAccounts!B27:B112,"",0,1)</f>
        <v/>
      </c>
      <c r="N28" t="str">
        <f>_xlfn.XLOOKUP($B28,ChartOfAccounts!A27:A112,ChartOfAccounts!D27:D112,0,1)</f>
        <v>Expenses</v>
      </c>
      <c r="O28" t="str">
        <f>_xlfn.XLOOKUP($B28,ChartOfAccounts!A27:A112,ChartOfAccounts!F27:F112,"",0,1)</f>
        <v/>
      </c>
      <c r="P28" t="str" cm="1">
        <f t="array" ref="P28">_xlfn.XLOOKUP($D28&amp;$C28,PreparerInfo!A27:A39&amp;PreparerInfo!C27:C39,PreparerInfo!B27:B39,"",0,1)</f>
        <v/>
      </c>
      <c r="Q28" t="str">
        <f>_xlfn.XLOOKUP($E28,Source!A27:A35,Source!B27:B35,"",0,1)</f>
        <v/>
      </c>
    </row>
    <row r="29" spans="1:17" x14ac:dyDescent="0.3">
      <c r="A29" s="3">
        <v>2033533</v>
      </c>
      <c r="B29">
        <v>43180</v>
      </c>
      <c r="C29">
        <v>2</v>
      </c>
      <c r="D29" s="9">
        <v>104</v>
      </c>
      <c r="E29">
        <v>1003</v>
      </c>
      <c r="F29" s="1">
        <v>44002</v>
      </c>
      <c r="G29" t="s">
        <v>15</v>
      </c>
      <c r="H29" s="4" t="s">
        <v>16</v>
      </c>
      <c r="I29" s="4">
        <v>-6197</v>
      </c>
      <c r="J29" s="4">
        <v>-6197</v>
      </c>
      <c r="K29" t="str">
        <f>_xlfn.XLOOKUP($C29,Table1[BusinessUnitID],Table1[BusinessUnit],"",0)</f>
        <v>HOTEL</v>
      </c>
      <c r="L29" t="str" cm="1">
        <f t="array" ref="L29">_xlfn.XLOOKUP($C29,Table1[[#All],[BusinessUnitID]],Table1[[#All],[Description]],"",0,1)</f>
        <v xml:space="preserve">Transactions related to guest rooms and overall hotel operations. Includes payroll for administrative staff, clerks and interns. </v>
      </c>
      <c r="M29" t="str">
        <f>_xlfn.XLOOKUP($B29,ChartOfAccounts!A28:A113,ChartOfAccounts!B28:B113,"",0,1)</f>
        <v/>
      </c>
      <c r="N29" t="str">
        <f>_xlfn.XLOOKUP($B29,ChartOfAccounts!A28:A113,ChartOfAccounts!D28:D113,0,1)</f>
        <v>Expenses</v>
      </c>
      <c r="O29" t="str">
        <f>_xlfn.XLOOKUP($B29,ChartOfAccounts!A28:A113,ChartOfAccounts!F28:F113,"",0,1)</f>
        <v/>
      </c>
      <c r="P29" t="str" cm="1">
        <f t="array" ref="P29">_xlfn.XLOOKUP($D29&amp;$C29,PreparerInfo!A28:A40&amp;PreparerInfo!C28:C40,PreparerInfo!B28:B40,"",0,1)</f>
        <v/>
      </c>
      <c r="Q29" t="str">
        <f>_xlfn.XLOOKUP($E29,Source!A28:A36,Source!B28:B36,"",0,1)</f>
        <v/>
      </c>
    </row>
    <row r="30" spans="1:17" x14ac:dyDescent="0.3">
      <c r="A30" s="3">
        <v>2033534</v>
      </c>
      <c r="B30">
        <v>71400</v>
      </c>
      <c r="C30">
        <v>2</v>
      </c>
      <c r="D30" s="9">
        <v>101</v>
      </c>
      <c r="E30">
        <v>1002</v>
      </c>
      <c r="F30" s="1">
        <v>44002</v>
      </c>
      <c r="G30" t="s">
        <v>49</v>
      </c>
      <c r="H30" s="4">
        <v>26770</v>
      </c>
      <c r="I30" s="4" t="s">
        <v>16</v>
      </c>
      <c r="J30" s="4">
        <v>26770</v>
      </c>
      <c r="K30" t="str">
        <f>_xlfn.XLOOKUP($C30,Table1[BusinessUnitID],Table1[BusinessUnit],"",0)</f>
        <v>HOTEL</v>
      </c>
      <c r="L30" t="str" cm="1">
        <f t="array" ref="L30">_xlfn.XLOOKUP($C30,Table1[[#All],[BusinessUnitID]],Table1[[#All],[Description]],"",0,1)</f>
        <v xml:space="preserve">Transactions related to guest rooms and overall hotel operations. Includes payroll for administrative staff, clerks and interns. </v>
      </c>
      <c r="M30" t="str">
        <f>_xlfn.XLOOKUP($B30,ChartOfAccounts!A29:A114,ChartOfAccounts!B29:B114,"",0,1)</f>
        <v>Supplies and Materials</v>
      </c>
      <c r="N30" t="str">
        <f>_xlfn.XLOOKUP($B30,ChartOfAccounts!A29:A114,ChartOfAccounts!D29:D114,0,1)</f>
        <v>Expenses</v>
      </c>
      <c r="O30" t="str">
        <f>_xlfn.XLOOKUP($B30,ChartOfAccounts!A29:A114,ChartOfAccounts!F29:F114,"",0,1)</f>
        <v>SG&amp;A</v>
      </c>
      <c r="P30" t="str" cm="1">
        <f t="array" ref="P30">_xlfn.XLOOKUP($D30&amp;$C30,PreparerInfo!A29:A41&amp;PreparerInfo!C29:C41,PreparerInfo!B29:B41,"",0,1)</f>
        <v/>
      </c>
      <c r="Q30" t="str">
        <f>_xlfn.XLOOKUP($E30,Source!A29:A37,Source!B29:B37,"",0,1)</f>
        <v/>
      </c>
    </row>
    <row r="31" spans="1:17" x14ac:dyDescent="0.3">
      <c r="A31" s="3">
        <v>2033534</v>
      </c>
      <c r="B31">
        <v>11845</v>
      </c>
      <c r="C31">
        <v>2</v>
      </c>
      <c r="D31" s="9">
        <v>101</v>
      </c>
      <c r="E31">
        <v>1002</v>
      </c>
      <c r="F31" s="1">
        <v>44002</v>
      </c>
      <c r="G31" t="s">
        <v>49</v>
      </c>
      <c r="H31" s="4" t="s">
        <v>16</v>
      </c>
      <c r="I31" s="4">
        <v>-26770</v>
      </c>
      <c r="J31" s="4">
        <v>-26770</v>
      </c>
      <c r="K31" t="str">
        <f>_xlfn.XLOOKUP($C31,Table1[BusinessUnitID],Table1[BusinessUnit],"",0)</f>
        <v>HOTEL</v>
      </c>
      <c r="L31" t="str" cm="1">
        <f t="array" ref="L31">_xlfn.XLOOKUP($C31,Table1[[#All],[BusinessUnitID]],Table1[[#All],[Description]],"",0,1)</f>
        <v xml:space="preserve">Transactions related to guest rooms and overall hotel operations. Includes payroll for administrative staff, clerks and interns. </v>
      </c>
      <c r="M31" t="str">
        <f>_xlfn.XLOOKUP($B31,ChartOfAccounts!A30:A115,ChartOfAccounts!B30:B115,"",0,1)</f>
        <v/>
      </c>
      <c r="N31" t="str">
        <f>_xlfn.XLOOKUP($B31,ChartOfAccounts!A30:A115,ChartOfAccounts!D30:D115,0,1)</f>
        <v>Expenses</v>
      </c>
      <c r="O31" t="str">
        <f>_xlfn.XLOOKUP($B31,ChartOfAccounts!A30:A115,ChartOfAccounts!F30:F115,"",0,1)</f>
        <v/>
      </c>
      <c r="P31" t="str" cm="1">
        <f t="array" ref="P31">_xlfn.XLOOKUP($D31&amp;$C31,PreparerInfo!A30:A42&amp;PreparerInfo!C30:C42,PreparerInfo!B30:B42,"",0,1)</f>
        <v/>
      </c>
      <c r="Q31" t="str">
        <f>_xlfn.XLOOKUP($E31,Source!A30:A38,Source!B30:B38,"",0,1)</f>
        <v/>
      </c>
    </row>
    <row r="32" spans="1:17" x14ac:dyDescent="0.3">
      <c r="A32" s="3">
        <v>2033535</v>
      </c>
      <c r="B32">
        <v>11845</v>
      </c>
      <c r="C32">
        <v>3</v>
      </c>
      <c r="D32" s="9">
        <v>102</v>
      </c>
      <c r="E32">
        <v>1001</v>
      </c>
      <c r="F32" s="1">
        <v>44003</v>
      </c>
      <c r="G32" t="s">
        <v>41</v>
      </c>
      <c r="H32" s="4">
        <v>38.29</v>
      </c>
      <c r="I32" s="4" t="s">
        <v>16</v>
      </c>
      <c r="J32" s="4">
        <v>38.29</v>
      </c>
      <c r="K32" t="str">
        <f>_xlfn.XLOOKUP($C32,Table1[BusinessUnitID],Table1[BusinessUnit],"",0)</f>
        <v>HOTEL PANTRY</v>
      </c>
      <c r="L32" t="str" cm="1">
        <f t="array" ref="L32">_xlfn.XLOOKUP($C32,Table1[[#All],[BusinessUnitID]],Table1[[#All],[Description]],"",0,1)</f>
        <v>Transactions related to the hotel convenience store, including some food and beverage costs.</v>
      </c>
      <c r="M32" t="str">
        <f>_xlfn.XLOOKUP($B32,ChartOfAccounts!A31:A116,ChartOfAccounts!B31:B116,"",0,1)</f>
        <v/>
      </c>
      <c r="N32" t="str">
        <f>_xlfn.XLOOKUP($B32,ChartOfAccounts!A31:A116,ChartOfAccounts!D31:D116,0,1)</f>
        <v>Expenses</v>
      </c>
      <c r="O32" t="str">
        <f>_xlfn.XLOOKUP($B32,ChartOfAccounts!A31:A116,ChartOfAccounts!F31:F116,"",0,1)</f>
        <v/>
      </c>
      <c r="P32" t="str" cm="1">
        <f t="array" ref="P32">_xlfn.XLOOKUP($D32&amp;$C32,PreparerInfo!A31:A43&amp;PreparerInfo!C31:C43,PreparerInfo!B31:B43,"",0,1)</f>
        <v/>
      </c>
      <c r="Q32" t="str">
        <f>_xlfn.XLOOKUP($E32,Source!A31:A39,Source!B31:B39,"",0,1)</f>
        <v/>
      </c>
    </row>
    <row r="33" spans="1:17" x14ac:dyDescent="0.3">
      <c r="A33" s="3">
        <v>2033535</v>
      </c>
      <c r="B33">
        <v>43440</v>
      </c>
      <c r="C33">
        <v>3</v>
      </c>
      <c r="D33" s="9">
        <v>102</v>
      </c>
      <c r="E33">
        <v>1001</v>
      </c>
      <c r="F33" s="1">
        <v>44003</v>
      </c>
      <c r="G33" t="s">
        <v>41</v>
      </c>
      <c r="H33" s="4" t="s">
        <v>16</v>
      </c>
      <c r="I33" s="4">
        <v>-38.29</v>
      </c>
      <c r="J33" s="4">
        <v>-38.29</v>
      </c>
      <c r="K33" t="str">
        <f>_xlfn.XLOOKUP($C33,Table1[BusinessUnitID],Table1[BusinessUnit],"",0)</f>
        <v>HOTEL PANTRY</v>
      </c>
      <c r="L33" t="str" cm="1">
        <f t="array" ref="L33">_xlfn.XLOOKUP($C33,Table1[[#All],[BusinessUnitID]],Table1[[#All],[Description]],"",0,1)</f>
        <v>Transactions related to the hotel convenience store, including some food and beverage costs.</v>
      </c>
      <c r="M33" t="str">
        <f>_xlfn.XLOOKUP($B33,ChartOfAccounts!A32:A117,ChartOfAccounts!B32:B117,"",0,1)</f>
        <v/>
      </c>
      <c r="N33" t="str">
        <f>_xlfn.XLOOKUP($B33,ChartOfAccounts!A32:A117,ChartOfAccounts!D32:D117,0,1)</f>
        <v>Expenses</v>
      </c>
      <c r="O33" t="str">
        <f>_xlfn.XLOOKUP($B33,ChartOfAccounts!A32:A117,ChartOfAccounts!F32:F117,"",0,1)</f>
        <v/>
      </c>
      <c r="P33" t="str" cm="1">
        <f t="array" ref="P33">_xlfn.XLOOKUP($D33&amp;$C33,PreparerInfo!A32:A44&amp;PreparerInfo!C32:C44,PreparerInfo!B32:B44,"",0,1)</f>
        <v/>
      </c>
      <c r="Q33" t="str">
        <f>_xlfn.XLOOKUP($E33,Source!A32:A40,Source!B32:B40,"",0,1)</f>
        <v/>
      </c>
    </row>
    <row r="34" spans="1:17" x14ac:dyDescent="0.3">
      <c r="A34" s="3">
        <v>2033536</v>
      </c>
      <c r="B34">
        <v>11845</v>
      </c>
      <c r="C34">
        <v>3</v>
      </c>
      <c r="D34" s="9">
        <v>102</v>
      </c>
      <c r="E34">
        <v>1003</v>
      </c>
      <c r="F34" s="1">
        <v>44003</v>
      </c>
      <c r="G34" t="s">
        <v>15</v>
      </c>
      <c r="H34" s="4">
        <v>47.96</v>
      </c>
      <c r="I34" s="4" t="s">
        <v>16</v>
      </c>
      <c r="J34" s="4">
        <v>47.96</v>
      </c>
      <c r="K34" t="str">
        <f>_xlfn.XLOOKUP($C34,Table1[BusinessUnitID],Table1[BusinessUnit],"",0)</f>
        <v>HOTEL PANTRY</v>
      </c>
      <c r="L34" t="str" cm="1">
        <f t="array" ref="L34">_xlfn.XLOOKUP($C34,Table1[[#All],[BusinessUnitID]],Table1[[#All],[Description]],"",0,1)</f>
        <v>Transactions related to the hotel convenience store, including some food and beverage costs.</v>
      </c>
      <c r="M34" t="str">
        <f>_xlfn.XLOOKUP($B34,ChartOfAccounts!A33:A118,ChartOfAccounts!B33:B118,"",0,1)</f>
        <v/>
      </c>
      <c r="N34" t="str">
        <f>_xlfn.XLOOKUP($B34,ChartOfAccounts!A33:A118,ChartOfAccounts!D33:D118,0,1)</f>
        <v>Expenses</v>
      </c>
      <c r="O34" t="str">
        <f>_xlfn.XLOOKUP($B34,ChartOfAccounts!A33:A118,ChartOfAccounts!F33:F118,"",0,1)</f>
        <v/>
      </c>
      <c r="P34" t="str" cm="1">
        <f t="array" ref="P34">_xlfn.XLOOKUP($D34&amp;$C34,PreparerInfo!A33:A45&amp;PreparerInfo!C33:C45,PreparerInfo!B33:B45,"",0,1)</f>
        <v/>
      </c>
      <c r="Q34" t="str">
        <f>_xlfn.XLOOKUP($E34,Source!A33:A41,Source!B33:B41,"",0,1)</f>
        <v/>
      </c>
    </row>
    <row r="35" spans="1:17" x14ac:dyDescent="0.3">
      <c r="A35" s="3">
        <v>2033536</v>
      </c>
      <c r="B35">
        <v>43440</v>
      </c>
      <c r="C35">
        <v>3</v>
      </c>
      <c r="D35" s="9">
        <v>102</v>
      </c>
      <c r="E35">
        <v>1003</v>
      </c>
      <c r="F35" s="1">
        <v>44003</v>
      </c>
      <c r="G35" t="s">
        <v>15</v>
      </c>
      <c r="H35" s="4" t="s">
        <v>16</v>
      </c>
      <c r="I35" s="4">
        <v>-47.96</v>
      </c>
      <c r="J35" s="4">
        <v>-47.96</v>
      </c>
      <c r="K35" t="str">
        <f>_xlfn.XLOOKUP($C35,Table1[BusinessUnitID],Table1[BusinessUnit],"",0)</f>
        <v>HOTEL PANTRY</v>
      </c>
      <c r="L35" t="str" cm="1">
        <f t="array" ref="L35">_xlfn.XLOOKUP($C35,Table1[[#All],[BusinessUnitID]],Table1[[#All],[Description]],"",0,1)</f>
        <v>Transactions related to the hotel convenience store, including some food and beverage costs.</v>
      </c>
      <c r="M35" t="str">
        <f>_xlfn.XLOOKUP($B35,ChartOfAccounts!A34:A119,ChartOfAccounts!B34:B119,"",0,1)</f>
        <v/>
      </c>
      <c r="N35" t="str">
        <f>_xlfn.XLOOKUP($B35,ChartOfAccounts!A34:A119,ChartOfAccounts!D34:D119,0,1)</f>
        <v>Expenses</v>
      </c>
      <c r="O35" t="str">
        <f>_xlfn.XLOOKUP($B35,ChartOfAccounts!A34:A119,ChartOfAccounts!F34:F119,"",0,1)</f>
        <v/>
      </c>
      <c r="P35" t="str" cm="1">
        <f t="array" ref="P35">_xlfn.XLOOKUP($D35&amp;$C35,PreparerInfo!A34:A46&amp;PreparerInfo!C34:C46,PreparerInfo!B34:B46,"",0,1)</f>
        <v/>
      </c>
      <c r="Q35" t="str">
        <f>_xlfn.XLOOKUP($E35,Source!A34:A42,Source!B34:B42,"",0,1)</f>
        <v/>
      </c>
    </row>
    <row r="36" spans="1:17" x14ac:dyDescent="0.3">
      <c r="A36" s="3">
        <v>2033537</v>
      </c>
      <c r="B36">
        <v>14250</v>
      </c>
      <c r="C36">
        <v>3</v>
      </c>
      <c r="D36" s="9">
        <v>102</v>
      </c>
      <c r="E36">
        <v>1002</v>
      </c>
      <c r="F36" s="1">
        <v>44003</v>
      </c>
      <c r="G36" t="s">
        <v>47</v>
      </c>
      <c r="H36" s="4">
        <v>197.08</v>
      </c>
      <c r="I36" s="4" t="s">
        <v>16</v>
      </c>
      <c r="J36" s="4">
        <v>197.08</v>
      </c>
      <c r="K36" t="str">
        <f>_xlfn.XLOOKUP($C36,Table1[BusinessUnitID],Table1[BusinessUnit],"",0)</f>
        <v>HOTEL PANTRY</v>
      </c>
      <c r="L36" t="str" cm="1">
        <f t="array" ref="L36">_xlfn.XLOOKUP($C36,Table1[[#All],[BusinessUnitID]],Table1[[#All],[Description]],"",0,1)</f>
        <v>Transactions related to the hotel convenience store, including some food and beverage costs.</v>
      </c>
      <c r="M36" t="str">
        <f>_xlfn.XLOOKUP($B36,ChartOfAccounts!A35:A120,ChartOfAccounts!B35:B120,"",0,1)</f>
        <v/>
      </c>
      <c r="N36" t="str">
        <f>_xlfn.XLOOKUP($B36,ChartOfAccounts!A35:A120,ChartOfAccounts!D35:D120,0,1)</f>
        <v>Expenses</v>
      </c>
      <c r="O36" t="str">
        <f>_xlfn.XLOOKUP($B36,ChartOfAccounts!A35:A120,ChartOfAccounts!F35:F120,"",0,1)</f>
        <v/>
      </c>
      <c r="P36" t="str" cm="1">
        <f t="array" ref="P36">_xlfn.XLOOKUP($D36&amp;$C36,PreparerInfo!A35:A47&amp;PreparerInfo!C35:C47,PreparerInfo!B35:B47,"",0,1)</f>
        <v/>
      </c>
      <c r="Q36" t="str">
        <f>_xlfn.XLOOKUP($E36,Source!A35:A43,Source!B35:B43,"",0,1)</f>
        <v/>
      </c>
    </row>
    <row r="37" spans="1:17" x14ac:dyDescent="0.3">
      <c r="A37" s="3">
        <v>2033537</v>
      </c>
      <c r="B37">
        <v>11845</v>
      </c>
      <c r="C37">
        <v>3</v>
      </c>
      <c r="D37" s="9">
        <v>102</v>
      </c>
      <c r="E37">
        <v>1002</v>
      </c>
      <c r="F37" s="1">
        <v>44003</v>
      </c>
      <c r="G37" t="s">
        <v>47</v>
      </c>
      <c r="H37" s="4" t="s">
        <v>16</v>
      </c>
      <c r="I37" s="4">
        <v>-197.08</v>
      </c>
      <c r="J37" s="4">
        <v>-197.08</v>
      </c>
      <c r="K37" t="str">
        <f>_xlfn.XLOOKUP($C37,Table1[BusinessUnitID],Table1[BusinessUnit],"",0)</f>
        <v>HOTEL PANTRY</v>
      </c>
      <c r="L37" t="str" cm="1">
        <f t="array" ref="L37">_xlfn.XLOOKUP($C37,Table1[[#All],[BusinessUnitID]],Table1[[#All],[Description]],"",0,1)</f>
        <v>Transactions related to the hotel convenience store, including some food and beverage costs.</v>
      </c>
      <c r="M37" t="str">
        <f>_xlfn.XLOOKUP($B37,ChartOfAccounts!A36:A121,ChartOfAccounts!B36:B121,"",0,1)</f>
        <v/>
      </c>
      <c r="N37" t="str">
        <f>_xlfn.XLOOKUP($B37,ChartOfAccounts!A36:A121,ChartOfAccounts!D36:D121,0,1)</f>
        <v>Expenses</v>
      </c>
      <c r="O37" t="str">
        <f>_xlfn.XLOOKUP($B37,ChartOfAccounts!A36:A121,ChartOfAccounts!F36:F121,"",0,1)</f>
        <v/>
      </c>
      <c r="P37" t="str" cm="1">
        <f t="array" ref="P37">_xlfn.XLOOKUP($D37&amp;$C37,PreparerInfo!A36:A48&amp;PreparerInfo!C36:C48,PreparerInfo!B36:B48,"",0,1)</f>
        <v/>
      </c>
      <c r="Q37" t="str">
        <f>_xlfn.XLOOKUP($E37,Source!A36:A44,Source!B36:B44,"",0,1)</f>
        <v/>
      </c>
    </row>
    <row r="38" spans="1:17" x14ac:dyDescent="0.3">
      <c r="A38" s="3">
        <v>2033538</v>
      </c>
      <c r="B38">
        <v>72760</v>
      </c>
      <c r="C38">
        <v>6</v>
      </c>
      <c r="D38" s="9">
        <v>101</v>
      </c>
      <c r="E38">
        <v>1002</v>
      </c>
      <c r="F38" s="1">
        <v>44003</v>
      </c>
      <c r="G38" t="s">
        <v>135</v>
      </c>
      <c r="H38" s="4">
        <v>236.32</v>
      </c>
      <c r="I38" s="4" t="s">
        <v>16</v>
      </c>
      <c r="J38" s="4">
        <v>236.32</v>
      </c>
      <c r="K38" t="str">
        <f>_xlfn.XLOOKUP($C38,Table1[BusinessUnitID],Table1[BusinessUnit],"",0)</f>
        <v>MAINTENANCE</v>
      </c>
      <c r="L38" t="str" cm="1">
        <f t="array" ref="L38">_xlfn.XLOOKUP($C38,Table1[[#All],[BusinessUnitID]],Table1[[#All],[Description]],"",0,1)</f>
        <v>Transactions related to the hotel Maintenance Department. Primarily includes payroll for maintenance, grounds keepers and related supplies.</v>
      </c>
      <c r="M38" t="str">
        <f>_xlfn.XLOOKUP($B38,ChartOfAccounts!A37:A122,ChartOfAccounts!B37:B122,"",0,1)</f>
        <v>Other Services</v>
      </c>
      <c r="N38" t="str">
        <f>_xlfn.XLOOKUP($B38,ChartOfAccounts!A37:A122,ChartOfAccounts!D37:D122,0,1)</f>
        <v>Expenses</v>
      </c>
      <c r="O38" t="str">
        <f>_xlfn.XLOOKUP($B38,ChartOfAccounts!A37:A122,ChartOfAccounts!F37:F122,"",0,1)</f>
        <v>SG&amp;A</v>
      </c>
      <c r="P38" t="str" cm="1">
        <f t="array" ref="P38">_xlfn.XLOOKUP($D38&amp;$C38,PreparerInfo!A37:A49&amp;PreparerInfo!C37:C49,PreparerInfo!B37:B49,"",0,1)</f>
        <v/>
      </c>
      <c r="Q38" t="str">
        <f>_xlfn.XLOOKUP($E38,Source!A37:A45,Source!B37:B45,"",0,1)</f>
        <v/>
      </c>
    </row>
    <row r="39" spans="1:17" x14ac:dyDescent="0.3">
      <c r="A39" s="3">
        <v>2033538</v>
      </c>
      <c r="B39">
        <v>11845</v>
      </c>
      <c r="C39">
        <v>6</v>
      </c>
      <c r="D39" s="9">
        <v>101</v>
      </c>
      <c r="E39">
        <v>1002</v>
      </c>
      <c r="F39" s="1">
        <v>44003</v>
      </c>
      <c r="G39" t="s">
        <v>135</v>
      </c>
      <c r="H39" s="4" t="s">
        <v>16</v>
      </c>
      <c r="I39" s="4">
        <v>-236.32</v>
      </c>
      <c r="J39" s="4">
        <v>-236.32</v>
      </c>
      <c r="K39" t="str">
        <f>_xlfn.XLOOKUP($C39,Table1[BusinessUnitID],Table1[BusinessUnit],"",0)</f>
        <v>MAINTENANCE</v>
      </c>
      <c r="L39" t="str" cm="1">
        <f t="array" ref="L39">_xlfn.XLOOKUP($C39,Table1[[#All],[BusinessUnitID]],Table1[[#All],[Description]],"",0,1)</f>
        <v>Transactions related to the hotel Maintenance Department. Primarily includes payroll for maintenance, grounds keepers and related supplies.</v>
      </c>
      <c r="M39" t="str">
        <f>_xlfn.XLOOKUP($B39,ChartOfAccounts!A38:A123,ChartOfAccounts!B38:B123,"",0,1)</f>
        <v/>
      </c>
      <c r="N39" t="str">
        <f>_xlfn.XLOOKUP($B39,ChartOfAccounts!A38:A123,ChartOfAccounts!D38:D123,0,1)</f>
        <v>Expenses</v>
      </c>
      <c r="O39" t="str">
        <f>_xlfn.XLOOKUP($B39,ChartOfAccounts!A38:A123,ChartOfAccounts!F38:F123,"",0,1)</f>
        <v/>
      </c>
      <c r="P39" t="str" cm="1">
        <f t="array" ref="P39">_xlfn.XLOOKUP($D39&amp;$C39,PreparerInfo!A38:A50&amp;PreparerInfo!C38:C50,PreparerInfo!B38:B50,"",0,1)</f>
        <v/>
      </c>
      <c r="Q39" t="str">
        <f>_xlfn.XLOOKUP($E39,Source!A38:A46,Source!B38:B46,"",0,1)</f>
        <v/>
      </c>
    </row>
    <row r="40" spans="1:17" x14ac:dyDescent="0.3">
      <c r="A40" s="3">
        <v>2033539</v>
      </c>
      <c r="B40">
        <v>72760</v>
      </c>
      <c r="C40">
        <v>6</v>
      </c>
      <c r="D40" s="9">
        <v>101</v>
      </c>
      <c r="E40">
        <v>1002</v>
      </c>
      <c r="F40" s="1">
        <v>44003</v>
      </c>
      <c r="G40" t="s">
        <v>135</v>
      </c>
      <c r="H40" s="4">
        <v>236.32</v>
      </c>
      <c r="I40" s="4" t="s">
        <v>16</v>
      </c>
      <c r="J40" s="4">
        <v>236.32</v>
      </c>
      <c r="K40" t="str">
        <f>_xlfn.XLOOKUP($C40,Table1[BusinessUnitID],Table1[BusinessUnit],"",0)</f>
        <v>MAINTENANCE</v>
      </c>
      <c r="L40" t="str" cm="1">
        <f t="array" ref="L40">_xlfn.XLOOKUP($C40,Table1[[#All],[BusinessUnitID]],Table1[[#All],[Description]],"",0,1)</f>
        <v>Transactions related to the hotel Maintenance Department. Primarily includes payroll for maintenance, grounds keepers and related supplies.</v>
      </c>
      <c r="M40" t="str">
        <f>_xlfn.XLOOKUP($B40,ChartOfAccounts!A39:A124,ChartOfAccounts!B39:B124,"",0,1)</f>
        <v>Other Services</v>
      </c>
      <c r="N40" t="str">
        <f>_xlfn.XLOOKUP($B40,ChartOfAccounts!A39:A124,ChartOfAccounts!D39:D124,0,1)</f>
        <v>Expenses</v>
      </c>
      <c r="O40" t="str">
        <f>_xlfn.XLOOKUP($B40,ChartOfAccounts!A39:A124,ChartOfAccounts!F39:F124,"",0,1)</f>
        <v>SG&amp;A</v>
      </c>
      <c r="P40" t="str" cm="1">
        <f t="array" ref="P40">_xlfn.XLOOKUP($D40&amp;$C40,PreparerInfo!A39:A51&amp;PreparerInfo!C39:C51,PreparerInfo!B39:B51,"",0,1)</f>
        <v/>
      </c>
      <c r="Q40" t="str">
        <f>_xlfn.XLOOKUP($E40,Source!A39:A47,Source!B39:B47,"",0,1)</f>
        <v/>
      </c>
    </row>
    <row r="41" spans="1:17" x14ac:dyDescent="0.3">
      <c r="A41" s="3">
        <v>2033539</v>
      </c>
      <c r="B41">
        <v>11845</v>
      </c>
      <c r="C41">
        <v>6</v>
      </c>
      <c r="D41" s="9">
        <v>101</v>
      </c>
      <c r="E41">
        <v>1002</v>
      </c>
      <c r="F41" s="1">
        <v>44003</v>
      </c>
      <c r="G41" t="s">
        <v>135</v>
      </c>
      <c r="H41" s="4" t="s">
        <v>16</v>
      </c>
      <c r="I41" s="4">
        <v>-236.32</v>
      </c>
      <c r="J41" s="4">
        <v>-236.32</v>
      </c>
      <c r="K41" t="str">
        <f>_xlfn.XLOOKUP($C41,Table1[BusinessUnitID],Table1[BusinessUnit],"",0)</f>
        <v>MAINTENANCE</v>
      </c>
      <c r="L41" t="str" cm="1">
        <f t="array" ref="L41">_xlfn.XLOOKUP($C41,Table1[[#All],[BusinessUnitID]],Table1[[#All],[Description]],"",0,1)</f>
        <v>Transactions related to the hotel Maintenance Department. Primarily includes payroll for maintenance, grounds keepers and related supplies.</v>
      </c>
      <c r="M41" t="str">
        <f>_xlfn.XLOOKUP($B41,ChartOfAccounts!A40:A125,ChartOfAccounts!B40:B125,"",0,1)</f>
        <v/>
      </c>
      <c r="N41" t="str">
        <f>_xlfn.XLOOKUP($B41,ChartOfAccounts!A40:A125,ChartOfAccounts!D40:D125,0,1)</f>
        <v>Expenses</v>
      </c>
      <c r="O41" t="str">
        <f>_xlfn.XLOOKUP($B41,ChartOfAccounts!A40:A125,ChartOfAccounts!F40:F125,"",0,1)</f>
        <v/>
      </c>
      <c r="P41" t="str" cm="1">
        <f t="array" ref="P41">_xlfn.XLOOKUP($D41&amp;$C41,PreparerInfo!A40:A52&amp;PreparerInfo!C40:C52,PreparerInfo!B40:B52,"",0,1)</f>
        <v/>
      </c>
      <c r="Q41" t="str">
        <f>_xlfn.XLOOKUP($E41,Source!A40:A48,Source!B40:B48,"",0,1)</f>
        <v/>
      </c>
    </row>
    <row r="42" spans="1:17" x14ac:dyDescent="0.3">
      <c r="A42" s="3">
        <v>2033540</v>
      </c>
      <c r="B42">
        <v>14250</v>
      </c>
      <c r="C42">
        <v>3</v>
      </c>
      <c r="D42" s="9">
        <v>102</v>
      </c>
      <c r="E42">
        <v>1002</v>
      </c>
      <c r="F42" s="1">
        <v>44003</v>
      </c>
      <c r="G42" t="s">
        <v>214</v>
      </c>
      <c r="H42" s="4">
        <v>328.56</v>
      </c>
      <c r="I42" s="4" t="s">
        <v>16</v>
      </c>
      <c r="J42" s="4">
        <v>328.56</v>
      </c>
      <c r="K42" t="str">
        <f>_xlfn.XLOOKUP($C42,Table1[BusinessUnitID],Table1[BusinessUnit],"",0)</f>
        <v>HOTEL PANTRY</v>
      </c>
      <c r="L42" t="str" cm="1">
        <f t="array" ref="L42">_xlfn.XLOOKUP($C42,Table1[[#All],[BusinessUnitID]],Table1[[#All],[Description]],"",0,1)</f>
        <v>Transactions related to the hotel convenience store, including some food and beverage costs.</v>
      </c>
      <c r="M42" t="str">
        <f>_xlfn.XLOOKUP($B42,ChartOfAccounts!A41:A126,ChartOfAccounts!B41:B126,"",0,1)</f>
        <v/>
      </c>
      <c r="N42" t="str">
        <f>_xlfn.XLOOKUP($B42,ChartOfAccounts!A41:A126,ChartOfAccounts!D41:D126,0,1)</f>
        <v>Expenses</v>
      </c>
      <c r="O42" t="str">
        <f>_xlfn.XLOOKUP($B42,ChartOfAccounts!A41:A126,ChartOfAccounts!F41:F126,"",0,1)</f>
        <v/>
      </c>
      <c r="P42" t="str" cm="1">
        <f t="array" ref="P42">_xlfn.XLOOKUP($D42&amp;$C42,PreparerInfo!A41:A53&amp;PreparerInfo!C41:C53,PreparerInfo!B41:B53,"",0,1)</f>
        <v/>
      </c>
      <c r="Q42" t="str">
        <f>_xlfn.XLOOKUP($E42,Source!A41:A49,Source!B41:B49,"",0,1)</f>
        <v/>
      </c>
    </row>
    <row r="43" spans="1:17" x14ac:dyDescent="0.3">
      <c r="A43" s="3">
        <v>2033540</v>
      </c>
      <c r="B43">
        <v>11845</v>
      </c>
      <c r="C43">
        <v>3</v>
      </c>
      <c r="D43" s="9">
        <v>102</v>
      </c>
      <c r="E43">
        <v>1002</v>
      </c>
      <c r="F43" s="1">
        <v>44003</v>
      </c>
      <c r="G43" t="s">
        <v>214</v>
      </c>
      <c r="H43" s="4" t="s">
        <v>16</v>
      </c>
      <c r="I43" s="4">
        <v>-328.56</v>
      </c>
      <c r="J43" s="4">
        <v>-328.56</v>
      </c>
      <c r="K43" t="str">
        <f>_xlfn.XLOOKUP($C43,Table1[BusinessUnitID],Table1[BusinessUnit],"",0)</f>
        <v>HOTEL PANTRY</v>
      </c>
      <c r="L43" t="str" cm="1">
        <f t="array" ref="L43">_xlfn.XLOOKUP($C43,Table1[[#All],[BusinessUnitID]],Table1[[#All],[Description]],"",0,1)</f>
        <v>Transactions related to the hotel convenience store, including some food and beverage costs.</v>
      </c>
      <c r="M43" t="str">
        <f>_xlfn.XLOOKUP($B43,ChartOfAccounts!A42:A127,ChartOfAccounts!B42:B127,"",0,1)</f>
        <v/>
      </c>
      <c r="N43" t="str">
        <f>_xlfn.XLOOKUP($B43,ChartOfAccounts!A42:A127,ChartOfAccounts!D42:D127,0,1)</f>
        <v>Expenses</v>
      </c>
      <c r="O43" t="str">
        <f>_xlfn.XLOOKUP($B43,ChartOfAccounts!A42:A127,ChartOfAccounts!F42:F127,"",0,1)</f>
        <v/>
      </c>
      <c r="P43" t="str" cm="1">
        <f t="array" ref="P43">_xlfn.XLOOKUP($D43&amp;$C43,PreparerInfo!A42:A54&amp;PreparerInfo!C42:C54,PreparerInfo!B42:B54,"",0,1)</f>
        <v/>
      </c>
      <c r="Q43" t="str">
        <f>_xlfn.XLOOKUP($E43,Source!A42:A50,Source!B42:B50,"",0,1)</f>
        <v/>
      </c>
    </row>
    <row r="44" spans="1:17" x14ac:dyDescent="0.3">
      <c r="A44" s="3">
        <v>2033541</v>
      </c>
      <c r="B44">
        <v>11845</v>
      </c>
      <c r="C44">
        <v>1</v>
      </c>
      <c r="D44" s="9">
        <v>102</v>
      </c>
      <c r="E44">
        <v>1001</v>
      </c>
      <c r="F44" s="1">
        <v>44003</v>
      </c>
      <c r="G44" t="s">
        <v>41</v>
      </c>
      <c r="H44" s="4">
        <v>603.45000000000005</v>
      </c>
      <c r="I44" s="4" t="s">
        <v>16</v>
      </c>
      <c r="J44" s="4">
        <v>603.45000000000005</v>
      </c>
      <c r="K44" t="str">
        <f>_xlfn.XLOOKUP($C44,Table1[BusinessUnitID],Table1[BusinessUnit],"",0)</f>
        <v>FOOD SERVICE</v>
      </c>
      <c r="L44" t="str" cm="1">
        <f t="array" ref="L44">_xlfn.XLOOKUP($C44,Table1[[#All],[BusinessUnitID]],Table1[[#All],[Description]],"",0,1)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4" t="str">
        <f>_xlfn.XLOOKUP($B44,ChartOfAccounts!A43:A128,ChartOfAccounts!B43:B128,"",0,1)</f>
        <v/>
      </c>
      <c r="N44" t="str">
        <f>_xlfn.XLOOKUP($B44,ChartOfAccounts!A43:A128,ChartOfAccounts!D43:D128,0,1)</f>
        <v>Expenses</v>
      </c>
      <c r="O44" t="str">
        <f>_xlfn.XLOOKUP($B44,ChartOfAccounts!A43:A128,ChartOfAccounts!F43:F128,"",0,1)</f>
        <v/>
      </c>
      <c r="P44" t="str" cm="1">
        <f t="array" ref="P44">_xlfn.XLOOKUP($D44&amp;$C44,PreparerInfo!A43:A55&amp;PreparerInfo!C43:C55,PreparerInfo!B43:B55,"",0,1)</f>
        <v/>
      </c>
      <c r="Q44" t="str">
        <f>_xlfn.XLOOKUP($E44,Source!A43:A51,Source!B43:B51,"",0,1)</f>
        <v/>
      </c>
    </row>
    <row r="45" spans="1:17" x14ac:dyDescent="0.3">
      <c r="A45" s="3">
        <v>2033541</v>
      </c>
      <c r="B45">
        <v>43310</v>
      </c>
      <c r="C45">
        <v>1</v>
      </c>
      <c r="D45" s="9">
        <v>102</v>
      </c>
      <c r="E45">
        <v>1001</v>
      </c>
      <c r="F45" s="1">
        <v>44003</v>
      </c>
      <c r="G45" t="s">
        <v>41</v>
      </c>
      <c r="H45" s="4" t="s">
        <v>16</v>
      </c>
      <c r="I45" s="4">
        <v>-603.45000000000005</v>
      </c>
      <c r="J45" s="4">
        <v>-603.45000000000005</v>
      </c>
      <c r="K45" t="str">
        <f>_xlfn.XLOOKUP($C45,Table1[BusinessUnitID],Table1[BusinessUnit],"",0)</f>
        <v>FOOD SERVICE</v>
      </c>
      <c r="L45" t="str" cm="1">
        <f t="array" ref="L45">_xlfn.XLOOKUP($C45,Table1[[#All],[BusinessUnitID]],Table1[[#All],[Description]],"",0,1)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5" t="str">
        <f>_xlfn.XLOOKUP($B45,ChartOfAccounts!A44:A129,ChartOfAccounts!B44:B129,"",0,1)</f>
        <v/>
      </c>
      <c r="N45" t="str">
        <f>_xlfn.XLOOKUP($B45,ChartOfAccounts!A44:A129,ChartOfAccounts!D44:D129,0,1)</f>
        <v>Expenses</v>
      </c>
      <c r="O45" t="str">
        <f>_xlfn.XLOOKUP($B45,ChartOfAccounts!A44:A129,ChartOfAccounts!F44:F129,"",0,1)</f>
        <v/>
      </c>
      <c r="P45" t="str" cm="1">
        <f t="array" ref="P45">_xlfn.XLOOKUP($D45&amp;$C45,PreparerInfo!A44:A56&amp;PreparerInfo!C44:C56,PreparerInfo!B44:B56,"",0,1)</f>
        <v/>
      </c>
      <c r="Q45" t="str">
        <f>_xlfn.XLOOKUP($E45,Source!A44:A52,Source!B44:B52,"",0,1)</f>
        <v/>
      </c>
    </row>
    <row r="46" spans="1:17" x14ac:dyDescent="0.3">
      <c r="A46" s="3">
        <v>2033542</v>
      </c>
      <c r="B46">
        <v>11845</v>
      </c>
      <c r="C46">
        <v>1</v>
      </c>
      <c r="D46" s="9">
        <v>102</v>
      </c>
      <c r="E46">
        <v>1003</v>
      </c>
      <c r="F46" s="1">
        <v>44003</v>
      </c>
      <c r="G46" t="s">
        <v>15</v>
      </c>
      <c r="H46" s="4">
        <v>2422.96</v>
      </c>
      <c r="I46" s="4" t="s">
        <v>16</v>
      </c>
      <c r="J46" s="4">
        <v>2422.96</v>
      </c>
      <c r="K46" t="str">
        <f>_xlfn.XLOOKUP($C46,Table1[BusinessUnitID],Table1[BusinessUnit],"",0)</f>
        <v>FOOD SERVICE</v>
      </c>
      <c r="L46" t="str" cm="1">
        <f t="array" ref="L46">_xlfn.XLOOKUP($C46,Table1[[#All],[BusinessUnitID]],Table1[[#All],[Description]],"",0,1)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6" t="str">
        <f>_xlfn.XLOOKUP($B46,ChartOfAccounts!A45:A130,ChartOfAccounts!B45:B130,"",0,1)</f>
        <v/>
      </c>
      <c r="N46" t="str">
        <f>_xlfn.XLOOKUP($B46,ChartOfAccounts!A45:A130,ChartOfAccounts!D45:D130,0,1)</f>
        <v>Expenses</v>
      </c>
      <c r="O46" t="str">
        <f>_xlfn.XLOOKUP($B46,ChartOfAccounts!A45:A130,ChartOfAccounts!F45:F130,"",0,1)</f>
        <v/>
      </c>
      <c r="P46" t="str" cm="1">
        <f t="array" ref="P46">_xlfn.XLOOKUP($D46&amp;$C46,PreparerInfo!A45:A57&amp;PreparerInfo!C45:C57,PreparerInfo!B45:B57,"",0,1)</f>
        <v/>
      </c>
      <c r="Q46" t="str">
        <f>_xlfn.XLOOKUP($E46,Source!A45:A53,Source!B45:B53,"",0,1)</f>
        <v/>
      </c>
    </row>
    <row r="47" spans="1:17" x14ac:dyDescent="0.3">
      <c r="A47" s="3">
        <v>2033542</v>
      </c>
      <c r="B47">
        <v>43310</v>
      </c>
      <c r="C47">
        <v>1</v>
      </c>
      <c r="D47" s="9">
        <v>102</v>
      </c>
      <c r="E47">
        <v>1003</v>
      </c>
      <c r="F47" s="1">
        <v>44003</v>
      </c>
      <c r="G47" t="s">
        <v>15</v>
      </c>
      <c r="H47" s="4" t="s">
        <v>16</v>
      </c>
      <c r="I47" s="4">
        <v>-2422.96</v>
      </c>
      <c r="J47" s="4">
        <v>-2422.96</v>
      </c>
      <c r="K47" t="str">
        <f>_xlfn.XLOOKUP($C47,Table1[BusinessUnitID],Table1[BusinessUnit],"",0)</f>
        <v>FOOD SERVICE</v>
      </c>
      <c r="L47" t="str" cm="1">
        <f t="array" ref="L47">_xlfn.XLOOKUP($C47,Table1[[#All],[BusinessUnitID]],Table1[[#All],[Description]],"",0,1)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7" t="str">
        <f>_xlfn.XLOOKUP($B47,ChartOfAccounts!A46:A131,ChartOfAccounts!B46:B131,"",0,1)</f>
        <v/>
      </c>
      <c r="N47" t="str">
        <f>_xlfn.XLOOKUP($B47,ChartOfAccounts!A46:A131,ChartOfAccounts!D46:D131,0,1)</f>
        <v>Expenses</v>
      </c>
      <c r="O47" t="str">
        <f>_xlfn.XLOOKUP($B47,ChartOfAccounts!A46:A131,ChartOfAccounts!F46:F131,"",0,1)</f>
        <v/>
      </c>
      <c r="P47" t="str" cm="1">
        <f t="array" ref="P47">_xlfn.XLOOKUP($D47&amp;$C47,PreparerInfo!A46:A58&amp;PreparerInfo!C46:C58,PreparerInfo!B46:B58,"",0,1)</f>
        <v/>
      </c>
      <c r="Q47" t="str">
        <f>_xlfn.XLOOKUP($E47,Source!A46:A54,Source!B46:B54,"",0,1)</f>
        <v/>
      </c>
    </row>
    <row r="48" spans="1:17" x14ac:dyDescent="0.3">
      <c r="A48" s="3">
        <v>2033543</v>
      </c>
      <c r="B48">
        <v>11845</v>
      </c>
      <c r="C48">
        <v>2</v>
      </c>
      <c r="D48" s="9">
        <v>104</v>
      </c>
      <c r="E48">
        <v>1003</v>
      </c>
      <c r="F48" s="1">
        <v>44003</v>
      </c>
      <c r="G48" t="s">
        <v>15</v>
      </c>
      <c r="H48" s="4">
        <v>3400</v>
      </c>
      <c r="I48" s="4" t="s">
        <v>16</v>
      </c>
      <c r="J48" s="4">
        <v>3400</v>
      </c>
      <c r="K48" t="str">
        <f>_xlfn.XLOOKUP($C48,Table1[BusinessUnitID],Table1[BusinessUnit],"",0)</f>
        <v>HOTEL</v>
      </c>
      <c r="L48" t="str" cm="1">
        <f t="array" ref="L48">_xlfn.XLOOKUP($C48,Table1[[#All],[BusinessUnitID]],Table1[[#All],[Description]],"",0,1)</f>
        <v xml:space="preserve">Transactions related to guest rooms and overall hotel operations. Includes payroll for administrative staff, clerks and interns. </v>
      </c>
      <c r="M48" t="str">
        <f>_xlfn.XLOOKUP($B48,ChartOfAccounts!A47:A132,ChartOfAccounts!B47:B132,"",0,1)</f>
        <v/>
      </c>
      <c r="N48" t="str">
        <f>_xlfn.XLOOKUP($B48,ChartOfAccounts!A47:A132,ChartOfAccounts!D47:D132,0,1)</f>
        <v>Expenses</v>
      </c>
      <c r="O48" t="str">
        <f>_xlfn.XLOOKUP($B48,ChartOfAccounts!A47:A132,ChartOfAccounts!F47:F132,"",0,1)</f>
        <v/>
      </c>
      <c r="P48" t="str" cm="1">
        <f t="array" ref="P48">_xlfn.XLOOKUP($D48&amp;$C48,PreparerInfo!A47:A59&amp;PreparerInfo!C47:C59,PreparerInfo!B47:B59,"",0,1)</f>
        <v/>
      </c>
      <c r="Q48" t="str">
        <f>_xlfn.XLOOKUP($E48,Source!A47:A55,Source!B47:B55,"",0,1)</f>
        <v/>
      </c>
    </row>
    <row r="49" spans="1:17" x14ac:dyDescent="0.3">
      <c r="A49" s="3">
        <v>2033543</v>
      </c>
      <c r="B49">
        <v>43180</v>
      </c>
      <c r="C49">
        <v>2</v>
      </c>
      <c r="D49" s="9">
        <v>104</v>
      </c>
      <c r="E49">
        <v>1003</v>
      </c>
      <c r="F49" s="1">
        <v>44003</v>
      </c>
      <c r="G49" t="s">
        <v>15</v>
      </c>
      <c r="H49" s="4" t="s">
        <v>16</v>
      </c>
      <c r="I49" s="4">
        <v>-3400</v>
      </c>
      <c r="J49" s="4">
        <v>-3400</v>
      </c>
      <c r="K49" t="str">
        <f>_xlfn.XLOOKUP($C49,Table1[BusinessUnitID],Table1[BusinessUnit],"",0)</f>
        <v>HOTEL</v>
      </c>
      <c r="L49" t="str" cm="1">
        <f t="array" ref="L49">_xlfn.XLOOKUP($C49,Table1[[#All],[BusinessUnitID]],Table1[[#All],[Description]],"",0,1)</f>
        <v xml:space="preserve">Transactions related to guest rooms and overall hotel operations. Includes payroll for administrative staff, clerks and interns. </v>
      </c>
      <c r="M49" t="str">
        <f>_xlfn.XLOOKUP($B49,ChartOfAccounts!A48:A133,ChartOfAccounts!B48:B133,"",0,1)</f>
        <v/>
      </c>
      <c r="N49" t="str">
        <f>_xlfn.XLOOKUP($B49,ChartOfAccounts!A48:A133,ChartOfAccounts!D48:D133,0,1)</f>
        <v>Expenses</v>
      </c>
      <c r="O49" t="str">
        <f>_xlfn.XLOOKUP($B49,ChartOfAccounts!A48:A133,ChartOfAccounts!F48:F133,"",0,1)</f>
        <v/>
      </c>
      <c r="P49" t="str" cm="1">
        <f t="array" ref="P49">_xlfn.XLOOKUP($D49&amp;$C49,PreparerInfo!A48:A60&amp;PreparerInfo!C48:C60,PreparerInfo!B48:B60,"",0,1)</f>
        <v/>
      </c>
      <c r="Q49" t="str">
        <f>_xlfn.XLOOKUP($E49,Source!A48:A56,Source!B48:B56,"",0,1)</f>
        <v/>
      </c>
    </row>
    <row r="50" spans="1:17" x14ac:dyDescent="0.3">
      <c r="A50" s="3">
        <v>2033544</v>
      </c>
      <c r="B50">
        <v>16200</v>
      </c>
      <c r="C50">
        <v>2</v>
      </c>
      <c r="D50" s="9">
        <v>102</v>
      </c>
      <c r="E50">
        <v>1002</v>
      </c>
      <c r="F50" s="1">
        <v>44003</v>
      </c>
      <c r="G50" t="s">
        <v>284</v>
      </c>
      <c r="H50" s="4">
        <v>3000</v>
      </c>
      <c r="I50" s="4"/>
      <c r="J50" s="4">
        <v>3000</v>
      </c>
      <c r="K50" t="str">
        <f>_xlfn.XLOOKUP($C50,Table1[BusinessUnitID],Table1[BusinessUnit],"",0)</f>
        <v>HOTEL</v>
      </c>
      <c r="L50" t="str" cm="1">
        <f t="array" ref="L50">_xlfn.XLOOKUP($C50,Table1[[#All],[BusinessUnitID]],Table1[[#All],[Description]],"",0,1)</f>
        <v xml:space="preserve">Transactions related to guest rooms and overall hotel operations. Includes payroll for administrative staff, clerks and interns. </v>
      </c>
      <c r="M50" t="str">
        <f>_xlfn.XLOOKUP($B50,ChartOfAccounts!A49:A134,ChartOfAccounts!B49:B134,"",0,1)</f>
        <v/>
      </c>
      <c r="N50" t="str">
        <f>_xlfn.XLOOKUP($B50,ChartOfAccounts!A49:A134,ChartOfAccounts!D49:D134,0,1)</f>
        <v>Expenses</v>
      </c>
      <c r="O50" t="str">
        <f>_xlfn.XLOOKUP($B50,ChartOfAccounts!A49:A134,ChartOfAccounts!F49:F134,"",0,1)</f>
        <v/>
      </c>
      <c r="P50" t="str" cm="1">
        <f t="array" ref="P50">_xlfn.XLOOKUP($D50&amp;$C50,PreparerInfo!A49:A61&amp;PreparerInfo!C49:C61,PreparerInfo!B49:B61,"",0,1)</f>
        <v/>
      </c>
      <c r="Q50" t="str">
        <f>_xlfn.XLOOKUP($E50,Source!A49:A57,Source!B49:B57,"",0,1)</f>
        <v/>
      </c>
    </row>
    <row r="51" spans="1:17" x14ac:dyDescent="0.3">
      <c r="A51" s="3">
        <v>2033544</v>
      </c>
      <c r="B51" s="2">
        <v>11845</v>
      </c>
      <c r="C51">
        <v>2</v>
      </c>
      <c r="D51" s="9">
        <v>102</v>
      </c>
      <c r="E51">
        <v>1002</v>
      </c>
      <c r="F51" s="1">
        <v>44003</v>
      </c>
      <c r="G51" t="s">
        <v>284</v>
      </c>
      <c r="H51" s="4"/>
      <c r="I51" s="4">
        <v>-3000</v>
      </c>
      <c r="J51" s="4">
        <v>-3000</v>
      </c>
      <c r="K51" t="str">
        <f>_xlfn.XLOOKUP($C51,Table1[BusinessUnitID],Table1[BusinessUnit],"",0)</f>
        <v>HOTEL</v>
      </c>
      <c r="L51" t="str" cm="1">
        <f t="array" ref="L51">_xlfn.XLOOKUP($C51,Table1[[#All],[BusinessUnitID]],Table1[[#All],[Description]],"",0,1)</f>
        <v xml:space="preserve">Transactions related to guest rooms and overall hotel operations. Includes payroll for administrative staff, clerks and interns. </v>
      </c>
      <c r="M51" t="str">
        <f>_xlfn.XLOOKUP($B51,ChartOfAccounts!A50:A135,ChartOfAccounts!B50:B135,"",0,1)</f>
        <v/>
      </c>
      <c r="N51" t="str">
        <f>_xlfn.XLOOKUP($B51,ChartOfAccounts!A50:A135,ChartOfAccounts!D50:D135,0,1)</f>
        <v>Expenses</v>
      </c>
      <c r="O51" t="str">
        <f>_xlfn.XLOOKUP($B51,ChartOfAccounts!A50:A135,ChartOfAccounts!F50:F135,"",0,1)</f>
        <v/>
      </c>
      <c r="P51" t="str" cm="1">
        <f t="array" ref="P51">_xlfn.XLOOKUP($D51&amp;$C51,PreparerInfo!A50:A62&amp;PreparerInfo!C50:C62,PreparerInfo!B50:B62,"",0,1)</f>
        <v/>
      </c>
      <c r="Q51" t="str">
        <f>_xlfn.XLOOKUP($E51,Source!A50:A58,Source!B50:B58,"",0,1)</f>
        <v/>
      </c>
    </row>
    <row r="52" spans="1:17" x14ac:dyDescent="0.3">
      <c r="A52" s="3">
        <v>2033545</v>
      </c>
      <c r="B52">
        <v>71400</v>
      </c>
      <c r="C52">
        <v>1</v>
      </c>
      <c r="D52" s="9">
        <v>101</v>
      </c>
      <c r="E52">
        <v>1002</v>
      </c>
      <c r="F52" s="1">
        <v>44004</v>
      </c>
      <c r="G52" t="s">
        <v>222</v>
      </c>
      <c r="H52" s="4">
        <v>6.37</v>
      </c>
      <c r="I52" s="4" t="s">
        <v>16</v>
      </c>
      <c r="J52" s="4">
        <v>6.37</v>
      </c>
      <c r="K52" t="str">
        <f>_xlfn.XLOOKUP($C52,Table1[BusinessUnitID],Table1[BusinessUnit],"",0)</f>
        <v>FOOD SERVICE</v>
      </c>
      <c r="L52" t="str" cm="1">
        <f t="array" ref="L52">_xlfn.XLOOKUP($C52,Table1[[#All],[BusinessUnitID]],Table1[[#All],[Description]],"",0,1)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2" t="str">
        <f>_xlfn.XLOOKUP($B52,ChartOfAccounts!A51:A136,ChartOfAccounts!B51:B136,"",0,1)</f>
        <v/>
      </c>
      <c r="N52" t="str">
        <f>_xlfn.XLOOKUP($B52,ChartOfAccounts!A51:A136,ChartOfAccounts!D51:D136,0,1)</f>
        <v>Expenses</v>
      </c>
      <c r="O52" t="str">
        <f>_xlfn.XLOOKUP($B52,ChartOfAccounts!A51:A136,ChartOfAccounts!F51:F136,"",0,1)</f>
        <v/>
      </c>
      <c r="P52" t="str" cm="1">
        <f t="array" ref="P52">_xlfn.XLOOKUP($D52&amp;$C52,PreparerInfo!A51:A63&amp;PreparerInfo!C51:C63,PreparerInfo!B51:B63,"",0,1)</f>
        <v/>
      </c>
      <c r="Q52" t="str">
        <f>_xlfn.XLOOKUP($E52,Source!A51:A59,Source!B51:B59,"",0,1)</f>
        <v/>
      </c>
    </row>
    <row r="53" spans="1:17" x14ac:dyDescent="0.3">
      <c r="A53" s="3">
        <v>2033545</v>
      </c>
      <c r="B53">
        <v>11845</v>
      </c>
      <c r="C53">
        <v>1</v>
      </c>
      <c r="D53" s="9">
        <v>101</v>
      </c>
      <c r="E53">
        <v>1002</v>
      </c>
      <c r="F53" s="1">
        <v>44004</v>
      </c>
      <c r="G53" t="s">
        <v>222</v>
      </c>
      <c r="H53" s="4" t="s">
        <v>16</v>
      </c>
      <c r="I53" s="4">
        <v>-6.37</v>
      </c>
      <c r="J53" s="4">
        <v>-6.37</v>
      </c>
      <c r="K53" t="str">
        <f>_xlfn.XLOOKUP($C53,Table1[BusinessUnitID],Table1[BusinessUnit],"",0)</f>
        <v>FOOD SERVICE</v>
      </c>
      <c r="L53" t="str" cm="1">
        <f t="array" ref="L53">_xlfn.XLOOKUP($C53,Table1[[#All],[BusinessUnitID]],Table1[[#All],[Description]],"",0,1)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3" t="str">
        <f>_xlfn.XLOOKUP($B53,ChartOfAccounts!A52:A137,ChartOfAccounts!B52:B137,"",0,1)</f>
        <v/>
      </c>
      <c r="N53" t="str">
        <f>_xlfn.XLOOKUP($B53,ChartOfAccounts!A52:A137,ChartOfAccounts!D52:D137,0,1)</f>
        <v>Expenses</v>
      </c>
      <c r="O53" t="str">
        <f>_xlfn.XLOOKUP($B53,ChartOfAccounts!A52:A137,ChartOfAccounts!F52:F137,"",0,1)</f>
        <v/>
      </c>
      <c r="P53" t="str" cm="1">
        <f t="array" ref="P53">_xlfn.XLOOKUP($D53&amp;$C53,PreparerInfo!A52:A64&amp;PreparerInfo!C52:C64,PreparerInfo!B52:B64,"",0,1)</f>
        <v/>
      </c>
      <c r="Q53" t="str">
        <f>_xlfn.XLOOKUP($E53,Source!A52:A60,Source!B52:B60,"",0,1)</f>
        <v/>
      </c>
    </row>
    <row r="54" spans="1:17" x14ac:dyDescent="0.3">
      <c r="A54" s="3">
        <v>2033546</v>
      </c>
      <c r="B54">
        <v>11845</v>
      </c>
      <c r="C54">
        <v>1</v>
      </c>
      <c r="D54" s="9">
        <v>102</v>
      </c>
      <c r="E54">
        <v>1001</v>
      </c>
      <c r="F54" s="1">
        <v>44004</v>
      </c>
      <c r="G54" t="s">
        <v>223</v>
      </c>
      <c r="H54" s="4">
        <v>7.66</v>
      </c>
      <c r="I54" s="4" t="s">
        <v>16</v>
      </c>
      <c r="J54" s="4">
        <v>7.66</v>
      </c>
      <c r="K54" t="str">
        <f>_xlfn.XLOOKUP($C54,Table1[BusinessUnitID],Table1[BusinessUnit],"",0)</f>
        <v>FOOD SERVICE</v>
      </c>
      <c r="L54" t="str" cm="1">
        <f t="array" ref="L54">_xlfn.XLOOKUP($C54,Table1[[#All],[BusinessUnitID]],Table1[[#All],[Description]],"",0,1)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4" t="str">
        <f>_xlfn.XLOOKUP($B54,ChartOfAccounts!A53:A138,ChartOfAccounts!B53:B138,"",0,1)</f>
        <v/>
      </c>
      <c r="N54" t="str">
        <f>_xlfn.XLOOKUP($B54,ChartOfAccounts!A53:A138,ChartOfAccounts!D53:D138,0,1)</f>
        <v>Expenses</v>
      </c>
      <c r="O54" t="str">
        <f>_xlfn.XLOOKUP($B54,ChartOfAccounts!A53:A138,ChartOfAccounts!F53:F138,"",0,1)</f>
        <v/>
      </c>
      <c r="P54" t="str" cm="1">
        <f t="array" ref="P54">_xlfn.XLOOKUP($D54&amp;$C54,PreparerInfo!A53:A65&amp;PreparerInfo!C53:C65,PreparerInfo!B53:B65,"",0,1)</f>
        <v/>
      </c>
      <c r="Q54" t="str">
        <f>_xlfn.XLOOKUP($E54,Source!A53:A61,Source!B53:B61,"",0,1)</f>
        <v/>
      </c>
    </row>
    <row r="55" spans="1:17" x14ac:dyDescent="0.3">
      <c r="A55" s="3">
        <v>2033546</v>
      </c>
      <c r="B55">
        <v>43310</v>
      </c>
      <c r="C55">
        <v>1</v>
      </c>
      <c r="D55" s="9">
        <v>102</v>
      </c>
      <c r="E55">
        <v>1001</v>
      </c>
      <c r="F55" s="1">
        <v>44004</v>
      </c>
      <c r="G55" t="s">
        <v>223</v>
      </c>
      <c r="H55" s="4" t="s">
        <v>16</v>
      </c>
      <c r="I55" s="4">
        <v>-7.66</v>
      </c>
      <c r="J55" s="4">
        <v>-7.66</v>
      </c>
      <c r="K55" t="str">
        <f>_xlfn.XLOOKUP($C55,Table1[BusinessUnitID],Table1[BusinessUnit],"",0)</f>
        <v>FOOD SERVICE</v>
      </c>
      <c r="L55" t="str" cm="1">
        <f t="array" ref="L55">_xlfn.XLOOKUP($C55,Table1[[#All],[BusinessUnitID]],Table1[[#All],[Description]],"",0,1)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5" t="str">
        <f>_xlfn.XLOOKUP($B55,ChartOfAccounts!A54:A139,ChartOfAccounts!B54:B139,"",0,1)</f>
        <v/>
      </c>
      <c r="N55" t="str">
        <f>_xlfn.XLOOKUP($B55,ChartOfAccounts!A54:A139,ChartOfAccounts!D54:D139,0,1)</f>
        <v>Expenses</v>
      </c>
      <c r="O55" t="str">
        <f>_xlfn.XLOOKUP($B55,ChartOfAccounts!A54:A139,ChartOfAccounts!F54:F139,"",0,1)</f>
        <v/>
      </c>
      <c r="P55" t="str" cm="1">
        <f t="array" ref="P55">_xlfn.XLOOKUP($D55&amp;$C55,PreparerInfo!A54:A66&amp;PreparerInfo!C54:C66,PreparerInfo!B54:B66,"",0,1)</f>
        <v/>
      </c>
      <c r="Q55" t="str">
        <f>_xlfn.XLOOKUP($E55,Source!A54:A62,Source!B54:B62,"",0,1)</f>
        <v/>
      </c>
    </row>
    <row r="56" spans="1:17" x14ac:dyDescent="0.3">
      <c r="A56" s="3">
        <v>2033547</v>
      </c>
      <c r="B56">
        <v>11845</v>
      </c>
      <c r="C56">
        <v>3</v>
      </c>
      <c r="D56" s="9">
        <v>102</v>
      </c>
      <c r="E56">
        <v>1003</v>
      </c>
      <c r="F56" s="1">
        <v>44004</v>
      </c>
      <c r="G56" t="s">
        <v>15</v>
      </c>
      <c r="H56" s="4">
        <v>17.21</v>
      </c>
      <c r="I56" s="4" t="s">
        <v>16</v>
      </c>
      <c r="J56" s="4">
        <v>17.21</v>
      </c>
      <c r="K56" t="str">
        <f>_xlfn.XLOOKUP($C56,Table1[BusinessUnitID],Table1[BusinessUnit],"",0)</f>
        <v>HOTEL PANTRY</v>
      </c>
      <c r="L56" t="str" cm="1">
        <f t="array" ref="L56">_xlfn.XLOOKUP($C56,Table1[[#All],[BusinessUnitID]],Table1[[#All],[Description]],"",0,1)</f>
        <v>Transactions related to the hotel convenience store, including some food and beverage costs.</v>
      </c>
      <c r="M56" t="str">
        <f>_xlfn.XLOOKUP($B56,ChartOfAccounts!A55:A140,ChartOfAccounts!B55:B140,"",0,1)</f>
        <v/>
      </c>
      <c r="N56" t="str">
        <f>_xlfn.XLOOKUP($B56,ChartOfAccounts!A55:A140,ChartOfAccounts!D55:D140,0,1)</f>
        <v>Expenses</v>
      </c>
      <c r="O56" t="str">
        <f>_xlfn.XLOOKUP($B56,ChartOfAccounts!A55:A140,ChartOfAccounts!F55:F140,"",0,1)</f>
        <v/>
      </c>
      <c r="P56" t="str" cm="1">
        <f t="array" ref="P56">_xlfn.XLOOKUP($D56&amp;$C56,PreparerInfo!A55:A67&amp;PreparerInfo!C55:C67,PreparerInfo!B55:B67,"",0,1)</f>
        <v/>
      </c>
      <c r="Q56" t="str">
        <f>_xlfn.XLOOKUP($E56,Source!A55:A63,Source!B55:B63,"",0,1)</f>
        <v/>
      </c>
    </row>
    <row r="57" spans="1:17" x14ac:dyDescent="0.3">
      <c r="A57" s="3">
        <v>2033547</v>
      </c>
      <c r="B57">
        <v>43440</v>
      </c>
      <c r="C57">
        <v>3</v>
      </c>
      <c r="D57" s="9">
        <v>102</v>
      </c>
      <c r="E57">
        <v>1003</v>
      </c>
      <c r="F57" s="1">
        <v>44004</v>
      </c>
      <c r="G57" t="s">
        <v>15</v>
      </c>
      <c r="H57" s="4" t="s">
        <v>16</v>
      </c>
      <c r="I57" s="4">
        <v>-17.21</v>
      </c>
      <c r="J57" s="4">
        <v>-17.21</v>
      </c>
      <c r="K57" t="str">
        <f>_xlfn.XLOOKUP($C57,Table1[BusinessUnitID],Table1[BusinessUnit],"",0)</f>
        <v>HOTEL PANTRY</v>
      </c>
      <c r="L57" t="str" cm="1">
        <f t="array" ref="L57">_xlfn.XLOOKUP($C57,Table1[[#All],[BusinessUnitID]],Table1[[#All],[Description]],"",0,1)</f>
        <v>Transactions related to the hotel convenience store, including some food and beverage costs.</v>
      </c>
      <c r="M57" t="str">
        <f>_xlfn.XLOOKUP($B57,ChartOfAccounts!A56:A141,ChartOfAccounts!B56:B141,"",0,1)</f>
        <v/>
      </c>
      <c r="N57" t="str">
        <f>_xlfn.XLOOKUP($B57,ChartOfAccounts!A56:A141,ChartOfAccounts!D56:D141,0,1)</f>
        <v>Expenses</v>
      </c>
      <c r="O57" t="str">
        <f>_xlfn.XLOOKUP($B57,ChartOfAccounts!A56:A141,ChartOfAccounts!F56:F141,"",0,1)</f>
        <v/>
      </c>
      <c r="P57" t="str" cm="1">
        <f t="array" ref="P57">_xlfn.XLOOKUP($D57&amp;$C57,PreparerInfo!A56:A68&amp;PreparerInfo!C56:C68,PreparerInfo!B56:B68,"",0,1)</f>
        <v/>
      </c>
      <c r="Q57" t="str">
        <f>_xlfn.XLOOKUP($E57,Source!A56:A64,Source!B56:B64,"",0,1)</f>
        <v/>
      </c>
    </row>
    <row r="58" spans="1:17" x14ac:dyDescent="0.3">
      <c r="A58" s="3">
        <v>2033548</v>
      </c>
      <c r="B58">
        <v>11845</v>
      </c>
      <c r="C58">
        <v>1</v>
      </c>
      <c r="D58" s="9">
        <v>102</v>
      </c>
      <c r="E58">
        <v>1003</v>
      </c>
      <c r="F58" s="1">
        <v>44004</v>
      </c>
      <c r="G58" t="s">
        <v>15</v>
      </c>
      <c r="H58" s="4">
        <v>26.98</v>
      </c>
      <c r="I58" s="4" t="s">
        <v>16</v>
      </c>
      <c r="J58" s="4">
        <v>26.98</v>
      </c>
      <c r="K58" t="str">
        <f>_xlfn.XLOOKUP($C58,Table1[BusinessUnitID],Table1[BusinessUnit],"",0)</f>
        <v>FOOD SERVICE</v>
      </c>
      <c r="L58" t="str" cm="1">
        <f t="array" ref="L58">_xlfn.XLOOKUP($C58,Table1[[#All],[BusinessUnitID]],Table1[[#All],[Description]],"",0,1)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8" t="str">
        <f>_xlfn.XLOOKUP($B58,ChartOfAccounts!A57:A142,ChartOfAccounts!B57:B142,"",0,1)</f>
        <v/>
      </c>
      <c r="N58" t="str">
        <f>_xlfn.XLOOKUP($B58,ChartOfAccounts!A57:A142,ChartOfAccounts!D57:D142,0,1)</f>
        <v>Expenses</v>
      </c>
      <c r="O58" t="str">
        <f>_xlfn.XLOOKUP($B58,ChartOfAccounts!A57:A142,ChartOfAccounts!F57:F142,"",0,1)</f>
        <v/>
      </c>
      <c r="P58" t="str" cm="1">
        <f t="array" ref="P58">_xlfn.XLOOKUP($D58&amp;$C58,PreparerInfo!A57:A69&amp;PreparerInfo!C57:C69,PreparerInfo!B57:B69,"",0,1)</f>
        <v/>
      </c>
      <c r="Q58" t="str">
        <f>_xlfn.XLOOKUP($E58,Source!A57:A65,Source!B57:B65,"",0,1)</f>
        <v/>
      </c>
    </row>
    <row r="59" spans="1:17" x14ac:dyDescent="0.3">
      <c r="A59" s="3">
        <v>2033548</v>
      </c>
      <c r="B59">
        <v>43310</v>
      </c>
      <c r="C59">
        <v>1</v>
      </c>
      <c r="D59" s="9">
        <v>102</v>
      </c>
      <c r="E59">
        <v>1003</v>
      </c>
      <c r="F59" s="1">
        <v>44004</v>
      </c>
      <c r="G59" t="s">
        <v>15</v>
      </c>
      <c r="H59" s="4" t="s">
        <v>16</v>
      </c>
      <c r="I59" s="4">
        <v>-26.98</v>
      </c>
      <c r="J59" s="4">
        <v>-26.98</v>
      </c>
      <c r="K59" t="str">
        <f>_xlfn.XLOOKUP($C59,Table1[BusinessUnitID],Table1[BusinessUnit],"",0)</f>
        <v>FOOD SERVICE</v>
      </c>
      <c r="L59" t="str" cm="1">
        <f t="array" ref="L59">_xlfn.XLOOKUP($C59,Table1[[#All],[BusinessUnitID]],Table1[[#All],[Description]],"",0,1)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9" t="str">
        <f>_xlfn.XLOOKUP($B59,ChartOfAccounts!A58:A143,ChartOfAccounts!B58:B143,"",0,1)</f>
        <v/>
      </c>
      <c r="N59" t="str">
        <f>_xlfn.XLOOKUP($B59,ChartOfAccounts!A58:A143,ChartOfAccounts!D58:D143,0,1)</f>
        <v>Expenses</v>
      </c>
      <c r="O59" t="str">
        <f>_xlfn.XLOOKUP($B59,ChartOfAccounts!A58:A143,ChartOfAccounts!F58:F143,"",0,1)</f>
        <v/>
      </c>
      <c r="P59" t="str" cm="1">
        <f t="array" ref="P59">_xlfn.XLOOKUP($D59&amp;$C59,PreparerInfo!A58:A70&amp;PreparerInfo!C58:C70,PreparerInfo!B58:B70,"",0,1)</f>
        <v/>
      </c>
      <c r="Q59" t="str">
        <f>_xlfn.XLOOKUP($E59,Source!A58:A66,Source!B58:B66,"",0,1)</f>
        <v/>
      </c>
    </row>
    <row r="60" spans="1:17" x14ac:dyDescent="0.3">
      <c r="A60" s="3">
        <v>2033549</v>
      </c>
      <c r="B60">
        <v>71400</v>
      </c>
      <c r="C60">
        <v>2</v>
      </c>
      <c r="D60" s="9">
        <v>101</v>
      </c>
      <c r="E60">
        <v>1002</v>
      </c>
      <c r="F60" s="1">
        <v>44004</v>
      </c>
      <c r="G60" t="s">
        <v>224</v>
      </c>
      <c r="H60" s="4">
        <v>40</v>
      </c>
      <c r="I60" s="4" t="s">
        <v>16</v>
      </c>
      <c r="J60" s="4">
        <v>40</v>
      </c>
      <c r="K60" t="str">
        <f>_xlfn.XLOOKUP($C60,Table1[BusinessUnitID],Table1[BusinessUnit],"",0)</f>
        <v>HOTEL</v>
      </c>
      <c r="L60" t="str" cm="1">
        <f t="array" ref="L60">_xlfn.XLOOKUP($C60,Table1[[#All],[BusinessUnitID]],Table1[[#All],[Description]],"",0,1)</f>
        <v xml:space="preserve">Transactions related to guest rooms and overall hotel operations. Includes payroll for administrative staff, clerks and interns. </v>
      </c>
      <c r="M60" t="str">
        <f>_xlfn.XLOOKUP($B60,ChartOfAccounts!A59:A144,ChartOfAccounts!B59:B144,"",0,1)</f>
        <v/>
      </c>
      <c r="N60" t="str">
        <f>_xlfn.XLOOKUP($B60,ChartOfAccounts!A59:A144,ChartOfAccounts!D59:D144,0,1)</f>
        <v>Expenses</v>
      </c>
      <c r="O60" t="str">
        <f>_xlfn.XLOOKUP($B60,ChartOfAccounts!A59:A144,ChartOfAccounts!F59:F144,"",0,1)</f>
        <v/>
      </c>
      <c r="P60" t="str" cm="1">
        <f t="array" ref="P60">_xlfn.XLOOKUP($D60&amp;$C60,PreparerInfo!A59:A71&amp;PreparerInfo!C59:C71,PreparerInfo!B59:B71,"",0,1)</f>
        <v/>
      </c>
      <c r="Q60" t="str">
        <f>_xlfn.XLOOKUP($E60,Source!A59:A67,Source!B59:B67,"",0,1)</f>
        <v/>
      </c>
    </row>
    <row r="61" spans="1:17" x14ac:dyDescent="0.3">
      <c r="A61" s="3">
        <v>2033549</v>
      </c>
      <c r="B61">
        <v>11845</v>
      </c>
      <c r="C61">
        <v>2</v>
      </c>
      <c r="D61" s="9">
        <v>101</v>
      </c>
      <c r="E61">
        <v>1002</v>
      </c>
      <c r="F61" s="1">
        <v>44004</v>
      </c>
      <c r="G61" t="s">
        <v>224</v>
      </c>
      <c r="H61" s="4" t="s">
        <v>16</v>
      </c>
      <c r="I61" s="4">
        <v>-40</v>
      </c>
      <c r="J61" s="4">
        <v>-40</v>
      </c>
      <c r="K61" t="str">
        <f>_xlfn.XLOOKUP($C61,Table1[BusinessUnitID],Table1[BusinessUnit],"",0)</f>
        <v>HOTEL</v>
      </c>
      <c r="L61" t="str" cm="1">
        <f t="array" ref="L61">_xlfn.XLOOKUP($C61,Table1[[#All],[BusinessUnitID]],Table1[[#All],[Description]],"",0,1)</f>
        <v xml:space="preserve">Transactions related to guest rooms and overall hotel operations. Includes payroll for administrative staff, clerks and interns. </v>
      </c>
      <c r="M61" t="str">
        <f>_xlfn.XLOOKUP($B61,ChartOfAccounts!A60:A145,ChartOfAccounts!B60:B145,"",0,1)</f>
        <v/>
      </c>
      <c r="N61" t="str">
        <f>_xlfn.XLOOKUP($B61,ChartOfAccounts!A60:A145,ChartOfAccounts!D60:D145,0,1)</f>
        <v>Expenses</v>
      </c>
      <c r="O61" t="str">
        <f>_xlfn.XLOOKUP($B61,ChartOfAccounts!A60:A145,ChartOfAccounts!F60:F145,"",0,1)</f>
        <v/>
      </c>
      <c r="P61" t="str" cm="1">
        <f t="array" ref="P61">_xlfn.XLOOKUP($D61&amp;$C61,PreparerInfo!A60:A72&amp;PreparerInfo!C60:C72,PreparerInfo!B60:B72,"",0,1)</f>
        <v/>
      </c>
      <c r="Q61" t="str">
        <f>_xlfn.XLOOKUP($E61,Source!A60:A68,Source!B60:B68,"",0,1)</f>
        <v/>
      </c>
    </row>
    <row r="62" spans="1:17" x14ac:dyDescent="0.3">
      <c r="A62" s="3">
        <v>2033550</v>
      </c>
      <c r="B62">
        <v>71400</v>
      </c>
      <c r="C62">
        <v>1</v>
      </c>
      <c r="D62" s="9">
        <v>101</v>
      </c>
      <c r="E62">
        <v>1002</v>
      </c>
      <c r="F62" s="1">
        <v>44004</v>
      </c>
      <c r="G62" t="s">
        <v>222</v>
      </c>
      <c r="H62" s="4">
        <v>45</v>
      </c>
      <c r="I62" s="4" t="s">
        <v>16</v>
      </c>
      <c r="J62" s="4">
        <v>45</v>
      </c>
      <c r="K62" t="str">
        <f>_xlfn.XLOOKUP($C62,Table1[BusinessUnitID],Table1[BusinessUnit],"",0)</f>
        <v>FOOD SERVICE</v>
      </c>
      <c r="L62" t="str" cm="1">
        <f t="array" ref="L62">_xlfn.XLOOKUP($C62,Table1[[#All],[BusinessUnitID]],Table1[[#All],[Description]],"",0,1)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2" t="str">
        <f>_xlfn.XLOOKUP($B62,ChartOfAccounts!A61:A146,ChartOfAccounts!B61:B146,"",0,1)</f>
        <v/>
      </c>
      <c r="N62" t="str">
        <f>_xlfn.XLOOKUP($B62,ChartOfAccounts!A61:A146,ChartOfAccounts!D61:D146,0,1)</f>
        <v>Expenses</v>
      </c>
      <c r="O62" t="str">
        <f>_xlfn.XLOOKUP($B62,ChartOfAccounts!A61:A146,ChartOfAccounts!F61:F146,"",0,1)</f>
        <v/>
      </c>
      <c r="P62" t="str" cm="1">
        <f t="array" ref="P62">_xlfn.XLOOKUP($D62&amp;$C62,PreparerInfo!A61:A73&amp;PreparerInfo!C61:C73,PreparerInfo!B61:B73,"",0,1)</f>
        <v/>
      </c>
      <c r="Q62" t="str">
        <f>_xlfn.XLOOKUP($E62,Source!A61:A69,Source!B61:B69,"",0,1)</f>
        <v/>
      </c>
    </row>
    <row r="63" spans="1:17" x14ac:dyDescent="0.3">
      <c r="A63" s="3">
        <v>2033550</v>
      </c>
      <c r="B63">
        <v>11845</v>
      </c>
      <c r="C63">
        <v>1</v>
      </c>
      <c r="D63" s="9">
        <v>101</v>
      </c>
      <c r="E63">
        <v>1002</v>
      </c>
      <c r="F63" s="1">
        <v>44004</v>
      </c>
      <c r="G63" t="s">
        <v>222</v>
      </c>
      <c r="H63" s="4" t="s">
        <v>16</v>
      </c>
      <c r="I63" s="4">
        <v>-45</v>
      </c>
      <c r="J63" s="4">
        <v>-45</v>
      </c>
      <c r="K63" t="str">
        <f>_xlfn.XLOOKUP($C63,Table1[BusinessUnitID],Table1[BusinessUnit],"",0)</f>
        <v>FOOD SERVICE</v>
      </c>
      <c r="L63" t="str" cm="1">
        <f t="array" ref="L63">_xlfn.XLOOKUP($C63,Table1[[#All],[BusinessUnitID]],Table1[[#All],[Description]],"",0,1)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3" t="str">
        <f>_xlfn.XLOOKUP($B63,ChartOfAccounts!A62:A147,ChartOfAccounts!B62:B147,"",0,1)</f>
        <v/>
      </c>
      <c r="N63" t="str">
        <f>_xlfn.XLOOKUP($B63,ChartOfAccounts!A62:A147,ChartOfAccounts!D62:D147,0,1)</f>
        <v>Expenses</v>
      </c>
      <c r="O63" t="str">
        <f>_xlfn.XLOOKUP($B63,ChartOfAccounts!A62:A147,ChartOfAccounts!F62:F147,"",0,1)</f>
        <v/>
      </c>
      <c r="P63" t="str" cm="1">
        <f t="array" ref="P63">_xlfn.XLOOKUP($D63&amp;$C63,PreparerInfo!A62:A74&amp;PreparerInfo!C62:C74,PreparerInfo!B62:B74,"",0,1)</f>
        <v/>
      </c>
      <c r="Q63" t="str">
        <f>_xlfn.XLOOKUP($E63,Source!A62:A70,Source!B62:B70,"",0,1)</f>
        <v/>
      </c>
    </row>
    <row r="64" spans="1:17" x14ac:dyDescent="0.3">
      <c r="A64" s="3">
        <v>2033551</v>
      </c>
      <c r="B64">
        <v>11845</v>
      </c>
      <c r="C64">
        <v>3</v>
      </c>
      <c r="D64" s="9">
        <v>102</v>
      </c>
      <c r="E64">
        <v>1001</v>
      </c>
      <c r="F64" s="1">
        <v>44004</v>
      </c>
      <c r="G64" t="s">
        <v>41</v>
      </c>
      <c r="H64" s="4">
        <v>49.51</v>
      </c>
      <c r="I64" s="4" t="s">
        <v>16</v>
      </c>
      <c r="J64" s="4">
        <v>49.51</v>
      </c>
      <c r="K64" t="str">
        <f>_xlfn.XLOOKUP($C64,Table1[BusinessUnitID],Table1[BusinessUnit],"",0)</f>
        <v>HOTEL PANTRY</v>
      </c>
      <c r="L64" t="str" cm="1">
        <f t="array" ref="L64">_xlfn.XLOOKUP($C64,Table1[[#All],[BusinessUnitID]],Table1[[#All],[Description]],"",0,1)</f>
        <v>Transactions related to the hotel convenience store, including some food and beverage costs.</v>
      </c>
      <c r="M64" t="str">
        <f>_xlfn.XLOOKUP($B64,ChartOfAccounts!A63:A148,ChartOfAccounts!B63:B148,"",0,1)</f>
        <v/>
      </c>
      <c r="N64" t="str">
        <f>_xlfn.XLOOKUP($B64,ChartOfAccounts!A63:A148,ChartOfAccounts!D63:D148,0,1)</f>
        <v>Expenses</v>
      </c>
      <c r="O64" t="str">
        <f>_xlfn.XLOOKUP($B64,ChartOfAccounts!A63:A148,ChartOfAccounts!F63:F148,"",0,1)</f>
        <v/>
      </c>
      <c r="P64" t="str" cm="1">
        <f t="array" ref="P64">_xlfn.XLOOKUP($D64&amp;$C64,PreparerInfo!A63:A75&amp;PreparerInfo!C63:C75,PreparerInfo!B63:B75,"",0,1)</f>
        <v/>
      </c>
      <c r="Q64" t="str">
        <f>_xlfn.XLOOKUP($E64,Source!A63:A71,Source!B63:B71,"",0,1)</f>
        <v/>
      </c>
    </row>
    <row r="65" spans="1:17" x14ac:dyDescent="0.3">
      <c r="A65" s="3">
        <v>2033551</v>
      </c>
      <c r="B65">
        <v>43440</v>
      </c>
      <c r="C65">
        <v>3</v>
      </c>
      <c r="D65" s="9">
        <v>102</v>
      </c>
      <c r="E65">
        <v>1001</v>
      </c>
      <c r="F65" s="1">
        <v>44004</v>
      </c>
      <c r="G65" t="s">
        <v>41</v>
      </c>
      <c r="H65" s="4" t="s">
        <v>16</v>
      </c>
      <c r="I65" s="4">
        <v>-49.51</v>
      </c>
      <c r="J65" s="4">
        <v>-49.51</v>
      </c>
      <c r="K65" t="str">
        <f>_xlfn.XLOOKUP($C65,Table1[BusinessUnitID],Table1[BusinessUnit],"",0)</f>
        <v>HOTEL PANTRY</v>
      </c>
      <c r="L65" t="str" cm="1">
        <f t="array" ref="L65">_xlfn.XLOOKUP($C65,Table1[[#All],[BusinessUnitID]],Table1[[#All],[Description]],"",0,1)</f>
        <v>Transactions related to the hotel convenience store, including some food and beverage costs.</v>
      </c>
      <c r="M65" t="str">
        <f>_xlfn.XLOOKUP($B65,ChartOfAccounts!A64:A149,ChartOfAccounts!B64:B149,"",0,1)</f>
        <v/>
      </c>
      <c r="N65" t="str">
        <f>_xlfn.XLOOKUP($B65,ChartOfAccounts!A64:A149,ChartOfAccounts!D64:D149,0,1)</f>
        <v>Expenses</v>
      </c>
      <c r="O65" t="str">
        <f>_xlfn.XLOOKUP($B65,ChartOfAccounts!A64:A149,ChartOfAccounts!F64:F149,"",0,1)</f>
        <v/>
      </c>
      <c r="P65" t="str" cm="1">
        <f t="array" ref="P65">_xlfn.XLOOKUP($D65&amp;$C65,PreparerInfo!A64:A76&amp;PreparerInfo!C64:C76,PreparerInfo!B64:B76,"",0,1)</f>
        <v/>
      </c>
      <c r="Q65" t="str">
        <f>_xlfn.XLOOKUP($E65,Source!A64:A72,Source!B64:B72,"",0,1)</f>
        <v/>
      </c>
    </row>
    <row r="66" spans="1:17" x14ac:dyDescent="0.3">
      <c r="A66" s="3">
        <v>2033552</v>
      </c>
      <c r="B66">
        <v>72732</v>
      </c>
      <c r="C66">
        <v>1</v>
      </c>
      <c r="D66" s="9">
        <v>101</v>
      </c>
      <c r="E66">
        <v>1002</v>
      </c>
      <c r="F66" s="1">
        <v>44004</v>
      </c>
      <c r="G66" t="s">
        <v>69</v>
      </c>
      <c r="H66" s="4">
        <v>55</v>
      </c>
      <c r="I66" s="4" t="s">
        <v>16</v>
      </c>
      <c r="J66" s="4">
        <v>55</v>
      </c>
      <c r="K66" t="str">
        <f>_xlfn.XLOOKUP($C66,Table1[BusinessUnitID],Table1[BusinessUnit],"",0)</f>
        <v>FOOD SERVICE</v>
      </c>
      <c r="L66" t="str" cm="1">
        <f t="array" ref="L66">_xlfn.XLOOKUP($C66,Table1[[#All],[BusinessUnitID]],Table1[[#All],[Description]],"",0,1)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6" t="str">
        <f>_xlfn.XLOOKUP($B66,ChartOfAccounts!A65:A150,ChartOfAccounts!B65:B150,"",0,1)</f>
        <v/>
      </c>
      <c r="N66" t="str">
        <f>_xlfn.XLOOKUP($B66,ChartOfAccounts!A65:A150,ChartOfAccounts!D65:D150,0,1)</f>
        <v>Expenses</v>
      </c>
      <c r="O66" t="str">
        <f>_xlfn.XLOOKUP($B66,ChartOfAccounts!A65:A150,ChartOfAccounts!F65:F150,"",0,1)</f>
        <v/>
      </c>
      <c r="P66" t="str" cm="1">
        <f t="array" ref="P66">_xlfn.XLOOKUP($D66&amp;$C66,PreparerInfo!A65:A77&amp;PreparerInfo!C65:C77,PreparerInfo!B65:B77,"",0,1)</f>
        <v/>
      </c>
      <c r="Q66" t="str">
        <f>_xlfn.XLOOKUP($E66,Source!A65:A73,Source!B65:B73,"",0,1)</f>
        <v/>
      </c>
    </row>
    <row r="67" spans="1:17" x14ac:dyDescent="0.3">
      <c r="A67" s="3">
        <v>2033552</v>
      </c>
      <c r="B67">
        <v>11845</v>
      </c>
      <c r="C67">
        <v>1</v>
      </c>
      <c r="D67" s="9">
        <v>101</v>
      </c>
      <c r="E67">
        <v>1002</v>
      </c>
      <c r="F67" s="1">
        <v>44004</v>
      </c>
      <c r="G67" t="s">
        <v>69</v>
      </c>
      <c r="H67" s="4" t="s">
        <v>16</v>
      </c>
      <c r="I67" s="4">
        <v>-55</v>
      </c>
      <c r="J67" s="4">
        <v>-55</v>
      </c>
      <c r="K67" t="str">
        <f>_xlfn.XLOOKUP($C67,Table1[BusinessUnitID],Table1[BusinessUnit],"",0)</f>
        <v>FOOD SERVICE</v>
      </c>
      <c r="L67" t="str" cm="1">
        <f t="array" ref="L67">_xlfn.XLOOKUP($C67,Table1[[#All],[BusinessUnitID]],Table1[[#All],[Description]],"",0,1)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7" t="str">
        <f>_xlfn.XLOOKUP($B67,ChartOfAccounts!A66:A151,ChartOfAccounts!B66:B151,"",0,1)</f>
        <v/>
      </c>
      <c r="N67" t="str">
        <f>_xlfn.XLOOKUP($B67,ChartOfAccounts!A66:A151,ChartOfAccounts!D66:D151,0,1)</f>
        <v>Expenses</v>
      </c>
      <c r="O67" t="str">
        <f>_xlfn.XLOOKUP($B67,ChartOfAccounts!A66:A151,ChartOfAccounts!F66:F151,"",0,1)</f>
        <v/>
      </c>
      <c r="P67" t="str" cm="1">
        <f t="array" ref="P67">_xlfn.XLOOKUP($D67&amp;$C67,PreparerInfo!A66:A78&amp;PreparerInfo!C66:C78,PreparerInfo!B66:B78,"",0,1)</f>
        <v/>
      </c>
      <c r="Q67" t="str">
        <f>_xlfn.XLOOKUP($E67,Source!A66:A74,Source!B66:B74,"",0,1)</f>
        <v/>
      </c>
    </row>
    <row r="68" spans="1:17" x14ac:dyDescent="0.3">
      <c r="A68" s="3">
        <v>2033553</v>
      </c>
      <c r="B68">
        <v>11845</v>
      </c>
      <c r="C68">
        <v>3</v>
      </c>
      <c r="D68" s="9">
        <v>102</v>
      </c>
      <c r="E68">
        <v>1003</v>
      </c>
      <c r="F68" s="1">
        <v>44004</v>
      </c>
      <c r="G68" t="s">
        <v>15</v>
      </c>
      <c r="H68" s="4">
        <v>58.02</v>
      </c>
      <c r="I68" s="4" t="s">
        <v>16</v>
      </c>
      <c r="J68" s="4">
        <v>58.02</v>
      </c>
      <c r="K68" t="str">
        <f>_xlfn.XLOOKUP($C68,Table1[BusinessUnitID],Table1[BusinessUnit],"",0)</f>
        <v>HOTEL PANTRY</v>
      </c>
      <c r="L68" t="str" cm="1">
        <f t="array" ref="L68">_xlfn.XLOOKUP($C68,Table1[[#All],[BusinessUnitID]],Table1[[#All],[Description]],"",0,1)</f>
        <v>Transactions related to the hotel convenience store, including some food and beverage costs.</v>
      </c>
      <c r="M68" t="str">
        <f>_xlfn.XLOOKUP($B68,ChartOfAccounts!A67:A152,ChartOfAccounts!B67:B152,"",0,1)</f>
        <v/>
      </c>
      <c r="N68" t="str">
        <f>_xlfn.XLOOKUP($B68,ChartOfAccounts!A67:A152,ChartOfAccounts!D67:D152,0,1)</f>
        <v>Expenses</v>
      </c>
      <c r="O68" t="str">
        <f>_xlfn.XLOOKUP($B68,ChartOfAccounts!A67:A152,ChartOfAccounts!F67:F152,"",0,1)</f>
        <v/>
      </c>
      <c r="P68" t="str" cm="1">
        <f t="array" ref="P68">_xlfn.XLOOKUP($D68&amp;$C68,PreparerInfo!A67:A79&amp;PreparerInfo!C67:C79,PreparerInfo!B67:B79,"",0,1)</f>
        <v/>
      </c>
      <c r="Q68" t="str">
        <f>_xlfn.XLOOKUP($E68,Source!A67:A75,Source!B67:B75,"",0,1)</f>
        <v/>
      </c>
    </row>
    <row r="69" spans="1:17" x14ac:dyDescent="0.3">
      <c r="A69" s="3">
        <v>2033553</v>
      </c>
      <c r="B69">
        <v>43440</v>
      </c>
      <c r="C69">
        <v>3</v>
      </c>
      <c r="D69" s="9">
        <v>102</v>
      </c>
      <c r="E69">
        <v>1003</v>
      </c>
      <c r="F69" s="1">
        <v>44004</v>
      </c>
      <c r="G69" t="s">
        <v>15</v>
      </c>
      <c r="H69" s="4" t="s">
        <v>16</v>
      </c>
      <c r="I69" s="4">
        <v>-58.02</v>
      </c>
      <c r="J69" s="4">
        <v>-58.02</v>
      </c>
      <c r="K69" t="str">
        <f>_xlfn.XLOOKUP($C69,Table1[BusinessUnitID],Table1[BusinessUnit],"",0)</f>
        <v>HOTEL PANTRY</v>
      </c>
      <c r="L69" t="str" cm="1">
        <f t="array" ref="L69">_xlfn.XLOOKUP($C69,Table1[[#All],[BusinessUnitID]],Table1[[#All],[Description]],"",0,1)</f>
        <v>Transactions related to the hotel convenience store, including some food and beverage costs.</v>
      </c>
      <c r="M69" t="str">
        <f>_xlfn.XLOOKUP($B69,ChartOfAccounts!A68:A153,ChartOfAccounts!B68:B153,"",0,1)</f>
        <v/>
      </c>
      <c r="N69" t="str">
        <f>_xlfn.XLOOKUP($B69,ChartOfAccounts!A68:A153,ChartOfAccounts!D68:D153,0,1)</f>
        <v>Expenses</v>
      </c>
      <c r="O69" t="str">
        <f>_xlfn.XLOOKUP($B69,ChartOfAccounts!A68:A153,ChartOfAccounts!F68:F153,"",0,1)</f>
        <v/>
      </c>
      <c r="P69" t="str" cm="1">
        <f t="array" ref="P69">_xlfn.XLOOKUP($D69&amp;$C69,PreparerInfo!A68:A80&amp;PreparerInfo!C68:C80,PreparerInfo!B68:B80,"",0,1)</f>
        <v/>
      </c>
      <c r="Q69" t="str">
        <f>_xlfn.XLOOKUP($E69,Source!A68:A76,Source!B68:B76,"",0,1)</f>
        <v/>
      </c>
    </row>
    <row r="70" spans="1:17" x14ac:dyDescent="0.3">
      <c r="A70" s="3">
        <v>2033554</v>
      </c>
      <c r="B70">
        <v>11845</v>
      </c>
      <c r="C70">
        <v>1</v>
      </c>
      <c r="D70" s="9">
        <v>102</v>
      </c>
      <c r="E70">
        <v>1003</v>
      </c>
      <c r="F70" s="1">
        <v>44004</v>
      </c>
      <c r="G70" t="s">
        <v>87</v>
      </c>
      <c r="H70" s="4">
        <v>80.239999999999995</v>
      </c>
      <c r="I70" s="4" t="s">
        <v>16</v>
      </c>
      <c r="J70" s="4">
        <v>80.239999999999995</v>
      </c>
      <c r="K70" t="str">
        <f>_xlfn.XLOOKUP($C70,Table1[BusinessUnitID],Table1[BusinessUnit],"",0)</f>
        <v>FOOD SERVICE</v>
      </c>
      <c r="L70" t="str" cm="1">
        <f t="array" ref="L70">_xlfn.XLOOKUP($C70,Table1[[#All],[BusinessUnitID]],Table1[[#All],[Description]],"",0,1)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0" t="str">
        <f>_xlfn.XLOOKUP($B70,ChartOfAccounts!A69:A154,ChartOfAccounts!B69:B154,"",0,1)</f>
        <v/>
      </c>
      <c r="N70" t="str">
        <f>_xlfn.XLOOKUP($B70,ChartOfAccounts!A69:A154,ChartOfAccounts!D69:D154,0,1)</f>
        <v>Expenses</v>
      </c>
      <c r="O70" t="str">
        <f>_xlfn.XLOOKUP($B70,ChartOfAccounts!A69:A154,ChartOfAccounts!F69:F154,"",0,1)</f>
        <v/>
      </c>
      <c r="P70" t="str" cm="1">
        <f t="array" ref="P70">_xlfn.XLOOKUP($D70&amp;$C70,PreparerInfo!A69:A81&amp;PreparerInfo!C69:C81,PreparerInfo!B69:B81,"",0,1)</f>
        <v/>
      </c>
      <c r="Q70" t="str">
        <f>_xlfn.XLOOKUP($E70,Source!A69:A77,Source!B69:B77,"",0,1)</f>
        <v/>
      </c>
    </row>
    <row r="71" spans="1:17" x14ac:dyDescent="0.3">
      <c r="A71" s="3">
        <v>2033554</v>
      </c>
      <c r="B71">
        <v>43310</v>
      </c>
      <c r="C71">
        <v>1</v>
      </c>
      <c r="D71" s="9">
        <v>102</v>
      </c>
      <c r="E71">
        <v>1003</v>
      </c>
      <c r="F71" s="1">
        <v>44004</v>
      </c>
      <c r="G71" t="s">
        <v>87</v>
      </c>
      <c r="H71" s="4" t="s">
        <v>16</v>
      </c>
      <c r="I71" s="4">
        <v>-80.239999999999995</v>
      </c>
      <c r="J71" s="4">
        <v>-80.239999999999995</v>
      </c>
      <c r="K71" t="str">
        <f>_xlfn.XLOOKUP($C71,Table1[BusinessUnitID],Table1[BusinessUnit],"",0)</f>
        <v>FOOD SERVICE</v>
      </c>
      <c r="L71" t="str" cm="1">
        <f t="array" ref="L71">_xlfn.XLOOKUP($C71,Table1[[#All],[BusinessUnitID]],Table1[[#All],[Description]],"",0,1)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1" t="str">
        <f>_xlfn.XLOOKUP($B71,ChartOfAccounts!A70:A155,ChartOfAccounts!B70:B155,"",0,1)</f>
        <v/>
      </c>
      <c r="N71" t="str">
        <f>_xlfn.XLOOKUP($B71,ChartOfAccounts!A70:A155,ChartOfAccounts!D70:D155,0,1)</f>
        <v>Expenses</v>
      </c>
      <c r="O71" t="str">
        <f>_xlfn.XLOOKUP($B71,ChartOfAccounts!A70:A155,ChartOfAccounts!F70:F155,"",0,1)</f>
        <v/>
      </c>
      <c r="P71" t="str" cm="1">
        <f t="array" ref="P71">_xlfn.XLOOKUP($D71&amp;$C71,PreparerInfo!A70:A82&amp;PreparerInfo!C70:C82,PreparerInfo!B70:B82,"",0,1)</f>
        <v/>
      </c>
      <c r="Q71" t="str">
        <f>_xlfn.XLOOKUP($E71,Source!A70:A78,Source!B70:B78,"",0,1)</f>
        <v/>
      </c>
    </row>
    <row r="72" spans="1:17" x14ac:dyDescent="0.3">
      <c r="A72" s="3">
        <v>2033555</v>
      </c>
      <c r="B72">
        <v>11845</v>
      </c>
      <c r="C72">
        <v>1</v>
      </c>
      <c r="D72" s="9">
        <v>102</v>
      </c>
      <c r="E72">
        <v>1003</v>
      </c>
      <c r="F72" s="1">
        <v>44004</v>
      </c>
      <c r="G72" t="s">
        <v>15</v>
      </c>
      <c r="H72" s="4">
        <v>91</v>
      </c>
      <c r="I72" s="4" t="s">
        <v>16</v>
      </c>
      <c r="J72" s="4">
        <v>91</v>
      </c>
      <c r="K72" t="str">
        <f>_xlfn.XLOOKUP($C72,Table1[BusinessUnitID],Table1[BusinessUnit],"",0)</f>
        <v>FOOD SERVICE</v>
      </c>
      <c r="L72" t="str" cm="1">
        <f t="array" ref="L72">_xlfn.XLOOKUP($C72,Table1[[#All],[BusinessUnitID]],Table1[[#All],[Description]],"",0,1)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2" t="str">
        <f>_xlfn.XLOOKUP($B72,ChartOfAccounts!A71:A156,ChartOfAccounts!B71:B156,"",0,1)</f>
        <v/>
      </c>
      <c r="N72" t="str">
        <f>_xlfn.XLOOKUP($B72,ChartOfAccounts!A71:A156,ChartOfAccounts!D71:D156,0,1)</f>
        <v>Expenses</v>
      </c>
      <c r="O72" t="str">
        <f>_xlfn.XLOOKUP($B72,ChartOfAccounts!A71:A156,ChartOfAccounts!F71:F156,"",0,1)</f>
        <v/>
      </c>
      <c r="P72" t="str" cm="1">
        <f t="array" ref="P72">_xlfn.XLOOKUP($D72&amp;$C72,PreparerInfo!A71:A83&amp;PreparerInfo!C71:C83,PreparerInfo!B71:B83,"",0,1)</f>
        <v/>
      </c>
      <c r="Q72" t="str">
        <f>_xlfn.XLOOKUP($E72,Source!A71:A79,Source!B71:B79,"",0,1)</f>
        <v/>
      </c>
    </row>
    <row r="73" spans="1:17" x14ac:dyDescent="0.3">
      <c r="A73" s="3">
        <v>2033555</v>
      </c>
      <c r="B73">
        <v>43310</v>
      </c>
      <c r="C73">
        <v>1</v>
      </c>
      <c r="D73" s="9">
        <v>102</v>
      </c>
      <c r="E73">
        <v>1003</v>
      </c>
      <c r="F73" s="1">
        <v>44004</v>
      </c>
      <c r="G73" t="s">
        <v>15</v>
      </c>
      <c r="H73" s="4" t="s">
        <v>16</v>
      </c>
      <c r="I73" s="4">
        <v>-91</v>
      </c>
      <c r="J73" s="4">
        <v>-91</v>
      </c>
      <c r="K73" t="str">
        <f>_xlfn.XLOOKUP($C73,Table1[BusinessUnitID],Table1[BusinessUnit],"",0)</f>
        <v>FOOD SERVICE</v>
      </c>
      <c r="L73" t="str" cm="1">
        <f t="array" ref="L73">_xlfn.XLOOKUP($C73,Table1[[#All],[BusinessUnitID]],Table1[[#All],[Description]],"",0,1)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3" t="str">
        <f>_xlfn.XLOOKUP($B73,ChartOfAccounts!A72:A157,ChartOfAccounts!B72:B157,"",0,1)</f>
        <v/>
      </c>
      <c r="N73" t="str">
        <f>_xlfn.XLOOKUP($B73,ChartOfAccounts!A72:A157,ChartOfAccounts!D72:D157,0,1)</f>
        <v>Expenses</v>
      </c>
      <c r="O73" t="str">
        <f>_xlfn.XLOOKUP($B73,ChartOfAccounts!A72:A157,ChartOfAccounts!F72:F157,"",0,1)</f>
        <v/>
      </c>
      <c r="P73" t="str" cm="1">
        <f t="array" ref="P73">_xlfn.XLOOKUP($D73&amp;$C73,PreparerInfo!A72:A84&amp;PreparerInfo!C72:C84,PreparerInfo!B72:B84,"",0,1)</f>
        <v/>
      </c>
      <c r="Q73" t="str">
        <f>_xlfn.XLOOKUP($E73,Source!A72:A80,Source!B72:B80,"",0,1)</f>
        <v/>
      </c>
    </row>
    <row r="74" spans="1:17" x14ac:dyDescent="0.3">
      <c r="A74" s="3">
        <v>2033556</v>
      </c>
      <c r="B74">
        <v>71400</v>
      </c>
      <c r="C74">
        <v>1</v>
      </c>
      <c r="D74" s="9">
        <v>101</v>
      </c>
      <c r="E74">
        <v>1002</v>
      </c>
      <c r="F74" s="1">
        <v>44004</v>
      </c>
      <c r="G74" t="s">
        <v>224</v>
      </c>
      <c r="H74" s="4">
        <v>100</v>
      </c>
      <c r="I74" s="4" t="s">
        <v>16</v>
      </c>
      <c r="J74" s="4">
        <v>100</v>
      </c>
      <c r="K74" t="str">
        <f>_xlfn.XLOOKUP($C74,Table1[BusinessUnitID],Table1[BusinessUnit],"",0)</f>
        <v>FOOD SERVICE</v>
      </c>
      <c r="L74" t="str" cm="1">
        <f t="array" ref="L74">_xlfn.XLOOKUP($C74,Table1[[#All],[BusinessUnitID]],Table1[[#All],[Description]],"",0,1)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4" t="str">
        <f>_xlfn.XLOOKUP($B74,ChartOfAccounts!A73:A158,ChartOfAccounts!B73:B158,"",0,1)</f>
        <v/>
      </c>
      <c r="N74" t="str">
        <f>_xlfn.XLOOKUP($B74,ChartOfAccounts!A73:A158,ChartOfAccounts!D73:D158,0,1)</f>
        <v>Expenses</v>
      </c>
      <c r="O74" t="str">
        <f>_xlfn.XLOOKUP($B74,ChartOfAccounts!A73:A158,ChartOfAccounts!F73:F158,"",0,1)</f>
        <v/>
      </c>
      <c r="P74" t="str" cm="1">
        <f t="array" ref="P74">_xlfn.XLOOKUP($D74&amp;$C74,PreparerInfo!A73:A85&amp;PreparerInfo!C73:C85,PreparerInfo!B73:B85,"",0,1)</f>
        <v/>
      </c>
      <c r="Q74" t="str">
        <f>_xlfn.XLOOKUP($E74,Source!A73:A81,Source!B73:B81,"",0,1)</f>
        <v/>
      </c>
    </row>
    <row r="75" spans="1:17" x14ac:dyDescent="0.3">
      <c r="A75" s="3">
        <v>2033556</v>
      </c>
      <c r="B75">
        <v>11845</v>
      </c>
      <c r="C75">
        <v>1</v>
      </c>
      <c r="D75" s="9">
        <v>101</v>
      </c>
      <c r="E75">
        <v>1002</v>
      </c>
      <c r="F75" s="1">
        <v>44004</v>
      </c>
      <c r="G75" t="s">
        <v>224</v>
      </c>
      <c r="H75" s="4" t="s">
        <v>16</v>
      </c>
      <c r="I75" s="4">
        <v>-100</v>
      </c>
      <c r="J75" s="4">
        <v>-100</v>
      </c>
      <c r="K75" t="str">
        <f>_xlfn.XLOOKUP($C75,Table1[BusinessUnitID],Table1[BusinessUnit],"",0)</f>
        <v>FOOD SERVICE</v>
      </c>
      <c r="L75" t="str" cm="1">
        <f t="array" ref="L75">_xlfn.XLOOKUP($C75,Table1[[#All],[BusinessUnitID]],Table1[[#All],[Description]],"",0,1)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5" t="str">
        <f>_xlfn.XLOOKUP($B75,ChartOfAccounts!A74:A159,ChartOfAccounts!B74:B159,"",0,1)</f>
        <v/>
      </c>
      <c r="N75" t="str">
        <f>_xlfn.XLOOKUP($B75,ChartOfAccounts!A74:A159,ChartOfAccounts!D74:D159,0,1)</f>
        <v>Expenses</v>
      </c>
      <c r="O75" t="str">
        <f>_xlfn.XLOOKUP($B75,ChartOfAccounts!A74:A159,ChartOfAccounts!F74:F159,"",0,1)</f>
        <v/>
      </c>
      <c r="P75" t="str" cm="1">
        <f t="array" ref="P75">_xlfn.XLOOKUP($D75&amp;$C75,PreparerInfo!A74:A86&amp;PreparerInfo!C74:C86,PreparerInfo!B74:B86,"",0,1)</f>
        <v/>
      </c>
      <c r="Q75" t="str">
        <f>_xlfn.XLOOKUP($E75,Source!A74:A82,Source!B74:B82,"",0,1)</f>
        <v/>
      </c>
    </row>
    <row r="76" spans="1:17" x14ac:dyDescent="0.3">
      <c r="A76" s="3">
        <v>2033557</v>
      </c>
      <c r="B76">
        <v>72702</v>
      </c>
      <c r="C76">
        <v>2</v>
      </c>
      <c r="D76" s="9">
        <v>101</v>
      </c>
      <c r="E76">
        <v>1002</v>
      </c>
      <c r="F76" s="1">
        <v>44004</v>
      </c>
      <c r="G76" t="s">
        <v>119</v>
      </c>
      <c r="H76" s="4">
        <v>111.15</v>
      </c>
      <c r="I76" s="4" t="s">
        <v>16</v>
      </c>
      <c r="J76" s="4">
        <v>111.15</v>
      </c>
      <c r="K76" t="str">
        <f>_xlfn.XLOOKUP($C76,Table1[BusinessUnitID],Table1[BusinessUnit],"",0)</f>
        <v>HOTEL</v>
      </c>
      <c r="L76" t="str" cm="1">
        <f t="array" ref="L76">_xlfn.XLOOKUP($C76,Table1[[#All],[BusinessUnitID]],Table1[[#All],[Description]],"",0,1)</f>
        <v xml:space="preserve">Transactions related to guest rooms and overall hotel operations. Includes payroll for administrative staff, clerks and interns. </v>
      </c>
      <c r="M76" t="str">
        <f>_xlfn.XLOOKUP($B76,ChartOfAccounts!A75:A160,ChartOfAccounts!B75:B160,"",0,1)</f>
        <v/>
      </c>
      <c r="N76" t="str">
        <f>_xlfn.XLOOKUP($B76,ChartOfAccounts!A75:A160,ChartOfAccounts!D75:D160,0,1)</f>
        <v>Expenses</v>
      </c>
      <c r="O76" t="str">
        <f>_xlfn.XLOOKUP($B76,ChartOfAccounts!A75:A160,ChartOfAccounts!F75:F160,"",0,1)</f>
        <v/>
      </c>
      <c r="P76" t="str" cm="1">
        <f t="array" ref="P76">_xlfn.XLOOKUP($D76&amp;$C76,PreparerInfo!A75:A87&amp;PreparerInfo!C75:C87,PreparerInfo!B75:B87,"",0,1)</f>
        <v/>
      </c>
      <c r="Q76" t="str">
        <f>_xlfn.XLOOKUP($E76,Source!A75:A83,Source!B75:B83,"",0,1)</f>
        <v/>
      </c>
    </row>
    <row r="77" spans="1:17" x14ac:dyDescent="0.3">
      <c r="A77" s="3">
        <v>2033557</v>
      </c>
      <c r="B77">
        <v>11845</v>
      </c>
      <c r="C77">
        <v>2</v>
      </c>
      <c r="D77" s="9">
        <v>101</v>
      </c>
      <c r="E77">
        <v>1002</v>
      </c>
      <c r="F77" s="1">
        <v>44004</v>
      </c>
      <c r="G77" t="s">
        <v>119</v>
      </c>
      <c r="H77" s="4" t="s">
        <v>16</v>
      </c>
      <c r="I77" s="4">
        <v>-111.15</v>
      </c>
      <c r="J77" s="4">
        <v>-111.15</v>
      </c>
      <c r="K77" t="str">
        <f>_xlfn.XLOOKUP($C77,Table1[BusinessUnitID],Table1[BusinessUnit],"",0)</f>
        <v>HOTEL</v>
      </c>
      <c r="L77" t="str" cm="1">
        <f t="array" ref="L77">_xlfn.XLOOKUP($C77,Table1[[#All],[BusinessUnitID]],Table1[[#All],[Description]],"",0,1)</f>
        <v xml:space="preserve">Transactions related to guest rooms and overall hotel operations. Includes payroll for administrative staff, clerks and interns. </v>
      </c>
      <c r="M77" t="str">
        <f>_xlfn.XLOOKUP($B77,ChartOfAccounts!A76:A161,ChartOfAccounts!B76:B161,"",0,1)</f>
        <v/>
      </c>
      <c r="N77" t="str">
        <f>_xlfn.XLOOKUP($B77,ChartOfAccounts!A76:A161,ChartOfAccounts!D76:D161,0,1)</f>
        <v>Expenses</v>
      </c>
      <c r="O77" t="str">
        <f>_xlfn.XLOOKUP($B77,ChartOfAccounts!A76:A161,ChartOfAccounts!F76:F161,"",0,1)</f>
        <v/>
      </c>
      <c r="P77" t="str" cm="1">
        <f t="array" ref="P77">_xlfn.XLOOKUP($D77&amp;$C77,PreparerInfo!A76:A88&amp;PreparerInfo!C76:C88,PreparerInfo!B76:B88,"",0,1)</f>
        <v/>
      </c>
      <c r="Q77" t="str">
        <f>_xlfn.XLOOKUP($E77,Source!A76:A84,Source!B76:B84,"",0,1)</f>
        <v/>
      </c>
    </row>
    <row r="78" spans="1:17" x14ac:dyDescent="0.3">
      <c r="A78" s="3">
        <v>2033558</v>
      </c>
      <c r="B78">
        <v>11845</v>
      </c>
      <c r="C78">
        <v>1</v>
      </c>
      <c r="D78" s="9">
        <v>106</v>
      </c>
      <c r="E78">
        <v>1003</v>
      </c>
      <c r="F78" s="1">
        <v>44004</v>
      </c>
      <c r="G78" t="s">
        <v>80</v>
      </c>
      <c r="H78" s="4">
        <v>138.16</v>
      </c>
      <c r="I78" s="4" t="s">
        <v>16</v>
      </c>
      <c r="J78" s="4">
        <v>138.16</v>
      </c>
      <c r="K78" t="str">
        <f>_xlfn.XLOOKUP($C78,Table1[BusinessUnitID],Table1[BusinessUnit],"",0)</f>
        <v>FOOD SERVICE</v>
      </c>
      <c r="L78" t="str" cm="1">
        <f t="array" ref="L78">_xlfn.XLOOKUP($C78,Table1[[#All],[BusinessUnitID]],Table1[[#All],[Description]],"",0,1)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8" t="str">
        <f>_xlfn.XLOOKUP($B78,ChartOfAccounts!A77:A162,ChartOfAccounts!B77:B162,"",0,1)</f>
        <v/>
      </c>
      <c r="N78" t="str">
        <f>_xlfn.XLOOKUP($B78,ChartOfAccounts!A77:A162,ChartOfAccounts!D77:D162,0,1)</f>
        <v>Expenses</v>
      </c>
      <c r="O78" t="str">
        <f>_xlfn.XLOOKUP($B78,ChartOfAccounts!A77:A162,ChartOfAccounts!F77:F162,"",0,1)</f>
        <v/>
      </c>
      <c r="P78" t="str" cm="1">
        <f t="array" ref="P78">_xlfn.XLOOKUP($D78&amp;$C78,PreparerInfo!A77:A89&amp;PreparerInfo!C77:C89,PreparerInfo!B77:B89,"",0,1)</f>
        <v/>
      </c>
      <c r="Q78" t="str">
        <f>_xlfn.XLOOKUP($E78,Source!A77:A85,Source!B77:B85,"",0,1)</f>
        <v/>
      </c>
    </row>
    <row r="79" spans="1:17" x14ac:dyDescent="0.3">
      <c r="A79" s="3">
        <v>2033558</v>
      </c>
      <c r="B79">
        <v>43310</v>
      </c>
      <c r="C79">
        <v>1</v>
      </c>
      <c r="D79" s="9">
        <v>106</v>
      </c>
      <c r="E79">
        <v>1003</v>
      </c>
      <c r="F79" s="1">
        <v>44004</v>
      </c>
      <c r="G79" t="s">
        <v>80</v>
      </c>
      <c r="H79" s="4" t="s">
        <v>16</v>
      </c>
      <c r="I79" s="4">
        <v>-138.16</v>
      </c>
      <c r="J79" s="4">
        <v>-138.16</v>
      </c>
      <c r="K79" t="str">
        <f>_xlfn.XLOOKUP($C79,Table1[BusinessUnitID],Table1[BusinessUnit],"",0)</f>
        <v>FOOD SERVICE</v>
      </c>
      <c r="L79" t="str" cm="1">
        <f t="array" ref="L79">_xlfn.XLOOKUP($C79,Table1[[#All],[BusinessUnitID]],Table1[[#All],[Description]],"",0,1)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9" t="str">
        <f>_xlfn.XLOOKUP($B79,ChartOfAccounts!A78:A163,ChartOfAccounts!B78:B163,"",0,1)</f>
        <v/>
      </c>
      <c r="N79" t="str">
        <f>_xlfn.XLOOKUP($B79,ChartOfAccounts!A78:A163,ChartOfAccounts!D78:D163,0,1)</f>
        <v>Expenses</v>
      </c>
      <c r="O79" t="str">
        <f>_xlfn.XLOOKUP($B79,ChartOfAccounts!A78:A163,ChartOfAccounts!F78:F163,"",0,1)</f>
        <v/>
      </c>
      <c r="P79" t="str" cm="1">
        <f t="array" ref="P79">_xlfn.XLOOKUP($D79&amp;$C79,PreparerInfo!A78:A90&amp;PreparerInfo!C78:C90,PreparerInfo!B78:B90,"",0,1)</f>
        <v/>
      </c>
      <c r="Q79" t="str">
        <f>_xlfn.XLOOKUP($E79,Source!A78:A86,Source!B78:B86,"",0,1)</f>
        <v/>
      </c>
    </row>
    <row r="80" spans="1:17" x14ac:dyDescent="0.3">
      <c r="A80" s="3">
        <v>2033559</v>
      </c>
      <c r="B80">
        <v>71400</v>
      </c>
      <c r="C80">
        <v>1</v>
      </c>
      <c r="D80" s="9">
        <v>101</v>
      </c>
      <c r="E80">
        <v>1002</v>
      </c>
      <c r="F80" s="1">
        <v>44004</v>
      </c>
      <c r="G80" t="s">
        <v>207</v>
      </c>
      <c r="H80" s="4">
        <v>159.9</v>
      </c>
      <c r="I80" s="4" t="s">
        <v>16</v>
      </c>
      <c r="J80" s="4">
        <v>159.9</v>
      </c>
      <c r="K80" t="str">
        <f>_xlfn.XLOOKUP($C80,Table1[BusinessUnitID],Table1[BusinessUnit],"",0)</f>
        <v>FOOD SERVICE</v>
      </c>
      <c r="L80" t="str" cm="1">
        <f t="array" ref="L80">_xlfn.XLOOKUP($C80,Table1[[#All],[BusinessUnitID]],Table1[[#All],[Description]],"",0,1)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80" t="str">
        <f>_xlfn.XLOOKUP($B80,ChartOfAccounts!A79:A164,ChartOfAccounts!B79:B164,"",0,1)</f>
        <v/>
      </c>
      <c r="N80" t="str">
        <f>_xlfn.XLOOKUP($B80,ChartOfAccounts!A79:A164,ChartOfAccounts!D79:D164,0,1)</f>
        <v>Expenses</v>
      </c>
      <c r="O80" t="str">
        <f>_xlfn.XLOOKUP($B80,ChartOfAccounts!A79:A164,ChartOfAccounts!F79:F164,"",0,1)</f>
        <v/>
      </c>
      <c r="P80" t="str" cm="1">
        <f t="array" ref="P80">_xlfn.XLOOKUP($D80&amp;$C80,PreparerInfo!A79:A91&amp;PreparerInfo!C79:C91,PreparerInfo!B79:B91,"",0,1)</f>
        <v/>
      </c>
      <c r="Q80" t="str">
        <f>_xlfn.XLOOKUP($E80,Source!A79:A87,Source!B79:B87,"",0,1)</f>
        <v/>
      </c>
    </row>
    <row r="81" spans="1:17" x14ac:dyDescent="0.3">
      <c r="A81" s="3">
        <v>2033559</v>
      </c>
      <c r="B81">
        <v>11845</v>
      </c>
      <c r="C81">
        <v>1</v>
      </c>
      <c r="D81" s="9">
        <v>101</v>
      </c>
      <c r="E81">
        <v>1002</v>
      </c>
      <c r="F81" s="1">
        <v>44004</v>
      </c>
      <c r="G81" t="s">
        <v>207</v>
      </c>
      <c r="H81" s="4" t="s">
        <v>16</v>
      </c>
      <c r="I81" s="4">
        <v>-159.9</v>
      </c>
      <c r="J81" s="4">
        <v>-159.9</v>
      </c>
      <c r="K81" t="str">
        <f>_xlfn.XLOOKUP($C81,Table1[BusinessUnitID],Table1[BusinessUnit],"",0)</f>
        <v>FOOD SERVICE</v>
      </c>
      <c r="L81" t="str" cm="1">
        <f t="array" ref="L81">_xlfn.XLOOKUP($C81,Table1[[#All],[BusinessUnitID]],Table1[[#All],[Description]],"",0,1)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81" t="str">
        <f>_xlfn.XLOOKUP($B81,ChartOfAccounts!A80:A165,ChartOfAccounts!B80:B165,"",0,1)</f>
        <v/>
      </c>
      <c r="N81" t="str">
        <f>_xlfn.XLOOKUP($B81,ChartOfAccounts!A80:A165,ChartOfAccounts!D80:D165,0,1)</f>
        <v>Expenses</v>
      </c>
      <c r="O81" t="str">
        <f>_xlfn.XLOOKUP($B81,ChartOfAccounts!A80:A165,ChartOfAccounts!F80:F165,"",0,1)</f>
        <v/>
      </c>
      <c r="P81" t="str" cm="1">
        <f t="array" ref="P81">_xlfn.XLOOKUP($D81&amp;$C81,PreparerInfo!A80:A92&amp;PreparerInfo!C80:C92,PreparerInfo!B80:B92,"",0,1)</f>
        <v/>
      </c>
      <c r="Q81" t="str">
        <f>_xlfn.XLOOKUP($E81,Source!A80:A88,Source!B80:B88,"",0,1)</f>
        <v/>
      </c>
    </row>
    <row r="82" spans="1:17" x14ac:dyDescent="0.3">
      <c r="A82" s="3">
        <v>2033560</v>
      </c>
      <c r="B82">
        <v>71400</v>
      </c>
      <c r="C82">
        <v>1</v>
      </c>
      <c r="D82" s="9">
        <v>101</v>
      </c>
      <c r="E82">
        <v>1002</v>
      </c>
      <c r="F82" s="1">
        <v>44004</v>
      </c>
      <c r="G82" t="s">
        <v>207</v>
      </c>
      <c r="H82" s="4">
        <v>159.9</v>
      </c>
      <c r="I82" s="4" t="s">
        <v>16</v>
      </c>
      <c r="J82" s="4">
        <v>159.9</v>
      </c>
      <c r="K82" t="str">
        <f>_xlfn.XLOOKUP($C82,Table1[BusinessUnitID],Table1[BusinessUnit],"",0)</f>
        <v>FOOD SERVICE</v>
      </c>
      <c r="L82" t="str" cm="1">
        <f t="array" ref="L82">_xlfn.XLOOKUP($C82,Table1[[#All],[BusinessUnitID]],Table1[[#All],[Description]],"",0,1)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82" t="str">
        <f>_xlfn.XLOOKUP($B82,ChartOfAccounts!A81:A166,ChartOfAccounts!B81:B166,"",0,1)</f>
        <v/>
      </c>
      <c r="N82" t="str">
        <f>_xlfn.XLOOKUP($B82,ChartOfAccounts!A81:A166,ChartOfAccounts!D81:D166,0,1)</f>
        <v>Expenses</v>
      </c>
      <c r="O82" t="str">
        <f>_xlfn.XLOOKUP($B82,ChartOfAccounts!A81:A166,ChartOfAccounts!F81:F166,"",0,1)</f>
        <v/>
      </c>
      <c r="P82" t="str" cm="1">
        <f t="array" ref="P82">_xlfn.XLOOKUP($D82&amp;$C82,PreparerInfo!A81:A93&amp;PreparerInfo!C81:C93,PreparerInfo!B81:B93,"",0,1)</f>
        <v/>
      </c>
      <c r="Q82" t="str">
        <f>_xlfn.XLOOKUP($E82,Source!A81:A89,Source!B81:B89,"",0,1)</f>
        <v/>
      </c>
    </row>
    <row r="83" spans="1:17" x14ac:dyDescent="0.3">
      <c r="A83" s="3">
        <v>2033560</v>
      </c>
      <c r="B83">
        <v>11845</v>
      </c>
      <c r="C83">
        <v>1</v>
      </c>
      <c r="D83" s="9">
        <v>101</v>
      </c>
      <c r="E83">
        <v>1002</v>
      </c>
      <c r="F83" s="1">
        <v>44004</v>
      </c>
      <c r="G83" t="s">
        <v>207</v>
      </c>
      <c r="H83" s="4" t="s">
        <v>16</v>
      </c>
      <c r="I83" s="4">
        <v>-159.9</v>
      </c>
      <c r="J83" s="4">
        <v>-159.9</v>
      </c>
      <c r="K83" t="str">
        <f>_xlfn.XLOOKUP($C83,Table1[BusinessUnitID],Table1[BusinessUnit],"",0)</f>
        <v>FOOD SERVICE</v>
      </c>
      <c r="L83" t="str" cm="1">
        <f t="array" ref="L83">_xlfn.XLOOKUP($C83,Table1[[#All],[BusinessUnitID]],Table1[[#All],[Description]],"",0,1)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83" t="str">
        <f>_xlfn.XLOOKUP($B83,ChartOfAccounts!A82:A167,ChartOfAccounts!B82:B167,"",0,1)</f>
        <v/>
      </c>
      <c r="N83" t="str">
        <f>_xlfn.XLOOKUP($B83,ChartOfAccounts!A82:A167,ChartOfAccounts!D82:D167,0,1)</f>
        <v>Expenses</v>
      </c>
      <c r="O83" t="str">
        <f>_xlfn.XLOOKUP($B83,ChartOfAccounts!A82:A167,ChartOfAccounts!F82:F167,"",0,1)</f>
        <v/>
      </c>
      <c r="P83" t="str" cm="1">
        <f t="array" ref="P83">_xlfn.XLOOKUP($D83&amp;$C83,PreparerInfo!A82:A94&amp;PreparerInfo!C82:C94,PreparerInfo!B82:B94,"",0,1)</f>
        <v/>
      </c>
      <c r="Q83" t="str">
        <f>_xlfn.XLOOKUP($E83,Source!A82:A90,Source!B82:B90,"",0,1)</f>
        <v/>
      </c>
    </row>
    <row r="84" spans="1:17" x14ac:dyDescent="0.3">
      <c r="A84" s="3">
        <v>2033561</v>
      </c>
      <c r="B84">
        <v>71400</v>
      </c>
      <c r="C84">
        <v>1</v>
      </c>
      <c r="D84" s="9">
        <v>101</v>
      </c>
      <c r="E84">
        <v>1002</v>
      </c>
      <c r="F84" s="1">
        <v>44004</v>
      </c>
      <c r="G84" t="s">
        <v>207</v>
      </c>
      <c r="H84" s="4">
        <v>159.9</v>
      </c>
      <c r="I84" s="4" t="s">
        <v>16</v>
      </c>
      <c r="J84" s="4">
        <v>159.9</v>
      </c>
      <c r="K84" t="str">
        <f>_xlfn.XLOOKUP($C84,Table1[BusinessUnitID],Table1[BusinessUnit],"",0)</f>
        <v>FOOD SERVICE</v>
      </c>
      <c r="L84" t="str" cm="1">
        <f t="array" ref="L84">_xlfn.XLOOKUP($C84,Table1[[#All],[BusinessUnitID]],Table1[[#All],[Description]],"",0,1)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84" t="str">
        <f>_xlfn.XLOOKUP($B84,ChartOfAccounts!A83:A168,ChartOfAccounts!B83:B168,"",0,1)</f>
        <v/>
      </c>
      <c r="N84" t="str">
        <f>_xlfn.XLOOKUP($B84,ChartOfAccounts!A83:A168,ChartOfAccounts!D83:D168,0,1)</f>
        <v>Expenses</v>
      </c>
      <c r="O84" t="str">
        <f>_xlfn.XLOOKUP($B84,ChartOfAccounts!A83:A168,ChartOfAccounts!F83:F168,"",0,1)</f>
        <v/>
      </c>
      <c r="P84" t="str" cm="1">
        <f t="array" ref="P84">_xlfn.XLOOKUP($D84&amp;$C84,PreparerInfo!A83:A95&amp;PreparerInfo!C83:C95,PreparerInfo!B83:B95,"",0,1)</f>
        <v/>
      </c>
      <c r="Q84" t="str">
        <f>_xlfn.XLOOKUP($E84,Source!A83:A91,Source!B83:B91,"",0,1)</f>
        <v/>
      </c>
    </row>
    <row r="85" spans="1:17" x14ac:dyDescent="0.3">
      <c r="A85" s="3">
        <v>2033561</v>
      </c>
      <c r="B85">
        <v>11845</v>
      </c>
      <c r="C85">
        <v>1</v>
      </c>
      <c r="D85" s="9">
        <v>101</v>
      </c>
      <c r="E85">
        <v>1002</v>
      </c>
      <c r="F85" s="1">
        <v>44004</v>
      </c>
      <c r="G85" t="s">
        <v>207</v>
      </c>
      <c r="H85" s="4" t="s">
        <v>16</v>
      </c>
      <c r="I85" s="4">
        <v>-159.9</v>
      </c>
      <c r="J85" s="4">
        <v>-159.9</v>
      </c>
      <c r="K85" t="str">
        <f>_xlfn.XLOOKUP($C85,Table1[BusinessUnitID],Table1[BusinessUnit],"",0)</f>
        <v>FOOD SERVICE</v>
      </c>
      <c r="L85" t="str" cm="1">
        <f t="array" ref="L85">_xlfn.XLOOKUP($C85,Table1[[#All],[BusinessUnitID]],Table1[[#All],[Description]],"",0,1)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85" t="str">
        <f>_xlfn.XLOOKUP($B85,ChartOfAccounts!A84:A169,ChartOfAccounts!B84:B169,"",0,1)</f>
        <v/>
      </c>
      <c r="N85" t="str">
        <f>_xlfn.XLOOKUP($B85,ChartOfAccounts!A84:A169,ChartOfAccounts!D84:D169,0,1)</f>
        <v>Expenses</v>
      </c>
      <c r="O85" t="str">
        <f>_xlfn.XLOOKUP($B85,ChartOfAccounts!A84:A169,ChartOfAccounts!F84:F169,"",0,1)</f>
        <v/>
      </c>
      <c r="P85" t="str" cm="1">
        <f t="array" ref="P85">_xlfn.XLOOKUP($D85&amp;$C85,PreparerInfo!A84:A96&amp;PreparerInfo!C84:C96,PreparerInfo!B84:B96,"",0,1)</f>
        <v/>
      </c>
      <c r="Q85" t="str">
        <f>_xlfn.XLOOKUP($E85,Source!A84:A92,Source!B84:B92,"",0,1)</f>
        <v/>
      </c>
    </row>
    <row r="86" spans="1:17" x14ac:dyDescent="0.3">
      <c r="A86" s="3">
        <v>2033562</v>
      </c>
      <c r="B86">
        <v>71400</v>
      </c>
      <c r="C86">
        <v>1</v>
      </c>
      <c r="D86" s="9">
        <v>101</v>
      </c>
      <c r="E86">
        <v>1002</v>
      </c>
      <c r="F86" s="1">
        <v>44004</v>
      </c>
      <c r="G86" t="s">
        <v>207</v>
      </c>
      <c r="H86" s="4">
        <v>159.9</v>
      </c>
      <c r="I86" s="4" t="s">
        <v>16</v>
      </c>
      <c r="J86" s="4">
        <v>159.9</v>
      </c>
      <c r="K86" t="str">
        <f>_xlfn.XLOOKUP($C86,Table1[BusinessUnitID],Table1[BusinessUnit],"",0)</f>
        <v>FOOD SERVICE</v>
      </c>
      <c r="L86" t="str" cm="1">
        <f t="array" ref="L86">_xlfn.XLOOKUP($C86,Table1[[#All],[BusinessUnitID]],Table1[[#All],[Description]],"",0,1)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86" t="str">
        <f>_xlfn.XLOOKUP($B86,ChartOfAccounts!A85:A170,ChartOfAccounts!B85:B170,"",0,1)</f>
        <v/>
      </c>
      <c r="N86" t="str">
        <f>_xlfn.XLOOKUP($B86,ChartOfAccounts!A85:A170,ChartOfAccounts!D85:D170,0,1)</f>
        <v>Expenses</v>
      </c>
      <c r="O86" t="str">
        <f>_xlfn.XLOOKUP($B86,ChartOfAccounts!A85:A170,ChartOfAccounts!F85:F170,"",0,1)</f>
        <v/>
      </c>
      <c r="P86" t="str" cm="1">
        <f t="array" ref="P86">_xlfn.XLOOKUP($D86&amp;$C86,PreparerInfo!A85:A97&amp;PreparerInfo!C85:C97,PreparerInfo!B85:B97,"",0,1)</f>
        <v/>
      </c>
      <c r="Q86" t="str">
        <f>_xlfn.XLOOKUP($E86,Source!A85:A93,Source!B85:B93,"",0,1)</f>
        <v/>
      </c>
    </row>
    <row r="87" spans="1:17" x14ac:dyDescent="0.3">
      <c r="A87" s="3">
        <v>2033562</v>
      </c>
      <c r="B87">
        <v>11845</v>
      </c>
      <c r="C87">
        <v>1</v>
      </c>
      <c r="D87" s="9">
        <v>101</v>
      </c>
      <c r="E87">
        <v>1002</v>
      </c>
      <c r="F87" s="1">
        <v>44004</v>
      </c>
      <c r="G87" t="s">
        <v>207</v>
      </c>
      <c r="H87" s="4" t="s">
        <v>16</v>
      </c>
      <c r="I87" s="4">
        <v>-159.9</v>
      </c>
      <c r="J87" s="4">
        <v>-159.9</v>
      </c>
      <c r="K87" t="str">
        <f>_xlfn.XLOOKUP($C87,Table1[BusinessUnitID],Table1[BusinessUnit],"",0)</f>
        <v>FOOD SERVICE</v>
      </c>
      <c r="L87" t="str" cm="1">
        <f t="array" ref="L87">_xlfn.XLOOKUP($C87,Table1[[#All],[BusinessUnitID]],Table1[[#All],[Description]],"",0,1)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87" t="str">
        <f>_xlfn.XLOOKUP($B87,ChartOfAccounts!A86:A171,ChartOfAccounts!B86:B171,"",0,1)</f>
        <v/>
      </c>
      <c r="N87" t="str">
        <f>_xlfn.XLOOKUP($B87,ChartOfAccounts!A86:A171,ChartOfAccounts!D86:D171,0,1)</f>
        <v>Expenses</v>
      </c>
      <c r="O87" t="str">
        <f>_xlfn.XLOOKUP($B87,ChartOfAccounts!A86:A171,ChartOfAccounts!F86:F171,"",0,1)</f>
        <v/>
      </c>
      <c r="P87" t="str" cm="1">
        <f t="array" ref="P87">_xlfn.XLOOKUP($D87&amp;$C87,PreparerInfo!A86:A98&amp;PreparerInfo!C86:C98,PreparerInfo!B86:B98,"",0,1)</f>
        <v/>
      </c>
      <c r="Q87" t="str">
        <f>_xlfn.XLOOKUP($E87,Source!A86:A94,Source!B86:B94,"",0,1)</f>
        <v/>
      </c>
    </row>
    <row r="88" spans="1:17" x14ac:dyDescent="0.3">
      <c r="A88" s="3">
        <v>2033563</v>
      </c>
      <c r="B88">
        <v>71400</v>
      </c>
      <c r="C88">
        <v>1</v>
      </c>
      <c r="D88" s="9">
        <v>101</v>
      </c>
      <c r="E88">
        <v>1002</v>
      </c>
      <c r="F88" s="1">
        <v>44004</v>
      </c>
      <c r="G88" t="s">
        <v>207</v>
      </c>
      <c r="H88" s="4">
        <v>159.9</v>
      </c>
      <c r="I88" s="4" t="s">
        <v>16</v>
      </c>
      <c r="J88" s="4">
        <v>159.9</v>
      </c>
      <c r="K88" t="str">
        <f>_xlfn.XLOOKUP($C88,Table1[BusinessUnitID],Table1[BusinessUnit],"",0)</f>
        <v>FOOD SERVICE</v>
      </c>
      <c r="L88" t="str" cm="1">
        <f t="array" ref="L88">_xlfn.XLOOKUP($C88,Table1[[#All],[BusinessUnitID]],Table1[[#All],[Description]],"",0,1)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88" t="str">
        <f>_xlfn.XLOOKUP($B88,ChartOfAccounts!A87:A172,ChartOfAccounts!B87:B172,"",0,1)</f>
        <v/>
      </c>
      <c r="N88">
        <f>_xlfn.XLOOKUP($B88,ChartOfAccounts!A87:A172,ChartOfAccounts!D87:D172,0,1)</f>
        <v>0</v>
      </c>
      <c r="O88" t="str">
        <f>_xlfn.XLOOKUP($B88,ChartOfAccounts!A87:A172,ChartOfAccounts!F87:F172,"",0,1)</f>
        <v/>
      </c>
      <c r="P88" t="str" cm="1">
        <f t="array" ref="P88">_xlfn.XLOOKUP($D88&amp;$C88,PreparerInfo!A87:A99&amp;PreparerInfo!C87:C99,PreparerInfo!B87:B99,"",0,1)</f>
        <v/>
      </c>
      <c r="Q88" t="str">
        <f>_xlfn.XLOOKUP($E88,Source!A87:A95,Source!B87:B95,"",0,1)</f>
        <v/>
      </c>
    </row>
    <row r="89" spans="1:17" x14ac:dyDescent="0.3">
      <c r="A89" s="3">
        <v>2033563</v>
      </c>
      <c r="B89">
        <v>11845</v>
      </c>
      <c r="C89">
        <v>1</v>
      </c>
      <c r="D89" s="9">
        <v>101</v>
      </c>
      <c r="E89">
        <v>1002</v>
      </c>
      <c r="F89" s="1">
        <v>44004</v>
      </c>
      <c r="G89" t="s">
        <v>207</v>
      </c>
      <c r="H89" s="4" t="s">
        <v>16</v>
      </c>
      <c r="I89" s="4">
        <v>-159.9</v>
      </c>
      <c r="J89" s="4">
        <v>-159.9</v>
      </c>
      <c r="K89" t="str">
        <f>_xlfn.XLOOKUP($C89,Table1[BusinessUnitID],Table1[BusinessUnit],"",0)</f>
        <v>FOOD SERVICE</v>
      </c>
      <c r="L89" t="str" cm="1">
        <f t="array" ref="L89">_xlfn.XLOOKUP($C89,Table1[[#All],[BusinessUnitID]],Table1[[#All],[Description]],"",0,1)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89" t="str">
        <f>_xlfn.XLOOKUP($B89,ChartOfAccounts!A88:A173,ChartOfAccounts!B88:B173,"",0,1)</f>
        <v/>
      </c>
      <c r="N89">
        <f>_xlfn.XLOOKUP($B89,ChartOfAccounts!A88:A173,ChartOfAccounts!D88:D173,0,1)</f>
        <v>0</v>
      </c>
      <c r="O89" t="str">
        <f>_xlfn.XLOOKUP($B89,ChartOfAccounts!A88:A173,ChartOfAccounts!F88:F173,"",0,1)</f>
        <v/>
      </c>
      <c r="P89" t="str" cm="1">
        <f t="array" ref="P89">_xlfn.XLOOKUP($D89&amp;$C89,PreparerInfo!A88:A100&amp;PreparerInfo!C88:C100,PreparerInfo!B88:B100,"",0,1)</f>
        <v/>
      </c>
      <c r="Q89" t="str">
        <f>_xlfn.XLOOKUP($E89,Source!A88:A96,Source!B88:B96,"",0,1)</f>
        <v/>
      </c>
    </row>
    <row r="90" spans="1:17" x14ac:dyDescent="0.3">
      <c r="A90" s="3">
        <v>2033564</v>
      </c>
      <c r="B90">
        <v>11845</v>
      </c>
      <c r="C90">
        <v>2</v>
      </c>
      <c r="D90" s="9">
        <v>104</v>
      </c>
      <c r="E90">
        <v>1003</v>
      </c>
      <c r="F90" s="1">
        <v>44004</v>
      </c>
      <c r="G90" t="s">
        <v>223</v>
      </c>
      <c r="H90" s="4">
        <v>198</v>
      </c>
      <c r="I90" s="4" t="s">
        <v>16</v>
      </c>
      <c r="J90" s="4">
        <v>198</v>
      </c>
      <c r="K90" t="str">
        <f>_xlfn.XLOOKUP($C90,Table1[BusinessUnitID],Table1[BusinessUnit],"",0)</f>
        <v>HOTEL</v>
      </c>
      <c r="L90" t="str" cm="1">
        <f t="array" ref="L90">_xlfn.XLOOKUP($C90,Table1[[#All],[BusinessUnitID]],Table1[[#All],[Description]],"",0,1)</f>
        <v xml:space="preserve">Transactions related to guest rooms and overall hotel operations. Includes payroll for administrative staff, clerks and interns. </v>
      </c>
      <c r="M90" t="str">
        <f>_xlfn.XLOOKUP($B90,ChartOfAccounts!A89:A174,ChartOfAccounts!B89:B174,"",0,1)</f>
        <v/>
      </c>
      <c r="N90">
        <f>_xlfn.XLOOKUP($B90,ChartOfAccounts!A89:A174,ChartOfAccounts!D89:D174,0,1)</f>
        <v>0</v>
      </c>
      <c r="O90" t="str">
        <f>_xlfn.XLOOKUP($B90,ChartOfAccounts!A89:A174,ChartOfAccounts!F89:F174,"",0,1)</f>
        <v/>
      </c>
      <c r="P90" t="str" cm="1">
        <f t="array" ref="P90">_xlfn.XLOOKUP($D90&amp;$C90,PreparerInfo!A89:A101&amp;PreparerInfo!C89:C101,PreparerInfo!B89:B101,"",0,1)</f>
        <v/>
      </c>
      <c r="Q90" t="str">
        <f>_xlfn.XLOOKUP($E90,Source!A89:A97,Source!B89:B97,"",0,1)</f>
        <v/>
      </c>
    </row>
    <row r="91" spans="1:17" x14ac:dyDescent="0.3">
      <c r="A91" s="3">
        <v>2033564</v>
      </c>
      <c r="B91">
        <v>43180</v>
      </c>
      <c r="C91">
        <v>2</v>
      </c>
      <c r="D91" s="9">
        <v>104</v>
      </c>
      <c r="E91">
        <v>1003</v>
      </c>
      <c r="F91" s="1">
        <v>44004</v>
      </c>
      <c r="G91" t="s">
        <v>223</v>
      </c>
      <c r="H91" s="4" t="s">
        <v>16</v>
      </c>
      <c r="I91" s="4">
        <v>-198</v>
      </c>
      <c r="J91" s="4">
        <v>-198</v>
      </c>
      <c r="K91" t="str">
        <f>_xlfn.XLOOKUP($C91,Table1[BusinessUnitID],Table1[BusinessUnit],"",0)</f>
        <v>HOTEL</v>
      </c>
      <c r="L91" t="str" cm="1">
        <f t="array" ref="L91">_xlfn.XLOOKUP($C91,Table1[[#All],[BusinessUnitID]],Table1[[#All],[Description]],"",0,1)</f>
        <v xml:space="preserve">Transactions related to guest rooms and overall hotel operations. Includes payroll for administrative staff, clerks and interns. </v>
      </c>
      <c r="M91" t="str">
        <f>_xlfn.XLOOKUP($B91,ChartOfAccounts!A90:A175,ChartOfAccounts!B90:B175,"",0,1)</f>
        <v/>
      </c>
      <c r="N91">
        <f>_xlfn.XLOOKUP($B91,ChartOfAccounts!A90:A175,ChartOfAccounts!D90:D175,0,1)</f>
        <v>0</v>
      </c>
      <c r="O91" t="str">
        <f>_xlfn.XLOOKUP($B91,ChartOfAccounts!A90:A175,ChartOfAccounts!F90:F175,"",0,1)</f>
        <v/>
      </c>
      <c r="P91" t="str" cm="1">
        <f t="array" ref="P91">_xlfn.XLOOKUP($D91&amp;$C91,PreparerInfo!A90:A102&amp;PreparerInfo!C90:C102,PreparerInfo!B90:B102,"",0,1)</f>
        <v/>
      </c>
      <c r="Q91" t="str">
        <f>_xlfn.XLOOKUP($E91,Source!A90:A98,Source!B90:B98,"",0,1)</f>
        <v/>
      </c>
    </row>
    <row r="92" spans="1:17" x14ac:dyDescent="0.3">
      <c r="A92" s="3">
        <v>2033565</v>
      </c>
      <c r="B92">
        <v>14260</v>
      </c>
      <c r="C92">
        <v>1</v>
      </c>
      <c r="D92" s="9">
        <v>101</v>
      </c>
      <c r="E92">
        <v>1002</v>
      </c>
      <c r="F92" s="1">
        <v>44004</v>
      </c>
      <c r="G92" t="s">
        <v>85</v>
      </c>
      <c r="H92" s="4">
        <v>223</v>
      </c>
      <c r="I92" s="4" t="s">
        <v>16</v>
      </c>
      <c r="J92" s="4">
        <v>223</v>
      </c>
      <c r="K92" t="str">
        <f>_xlfn.XLOOKUP($C92,Table1[BusinessUnitID],Table1[BusinessUnit],"",0)</f>
        <v>FOOD SERVICE</v>
      </c>
      <c r="L92" t="str" cm="1">
        <f t="array" ref="L92">_xlfn.XLOOKUP($C92,Table1[[#All],[BusinessUnitID]],Table1[[#All],[Description]],"",0,1)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92" t="str">
        <f>_xlfn.XLOOKUP($B92,ChartOfAccounts!A91:A176,ChartOfAccounts!B91:B176,"",0,1)</f>
        <v/>
      </c>
      <c r="N92">
        <f>_xlfn.XLOOKUP($B92,ChartOfAccounts!A91:A176,ChartOfAccounts!D91:D176,0,1)</f>
        <v>0</v>
      </c>
      <c r="O92" t="str">
        <f>_xlfn.XLOOKUP($B92,ChartOfAccounts!A91:A176,ChartOfAccounts!F91:F176,"",0,1)</f>
        <v/>
      </c>
      <c r="P92" t="str" cm="1">
        <f t="array" ref="P92">_xlfn.XLOOKUP($D92&amp;$C92,PreparerInfo!A91:A103&amp;PreparerInfo!C91:C103,PreparerInfo!B91:B103,"",0,1)</f>
        <v/>
      </c>
      <c r="Q92" t="str">
        <f>_xlfn.XLOOKUP($E92,Source!A91:A99,Source!B91:B99,"",0,1)</f>
        <v/>
      </c>
    </row>
    <row r="93" spans="1:17" x14ac:dyDescent="0.3">
      <c r="A93" s="3">
        <v>2033565</v>
      </c>
      <c r="B93">
        <v>11845</v>
      </c>
      <c r="C93">
        <v>1</v>
      </c>
      <c r="D93" s="9">
        <v>101</v>
      </c>
      <c r="E93">
        <v>1002</v>
      </c>
      <c r="F93" s="1">
        <v>44004</v>
      </c>
      <c r="G93" t="s">
        <v>85</v>
      </c>
      <c r="H93" s="4" t="s">
        <v>16</v>
      </c>
      <c r="I93" s="4">
        <v>-223</v>
      </c>
      <c r="J93" s="4">
        <v>-223</v>
      </c>
      <c r="K93" t="str">
        <f>_xlfn.XLOOKUP($C93,Table1[BusinessUnitID],Table1[BusinessUnit],"",0)</f>
        <v>FOOD SERVICE</v>
      </c>
      <c r="L93" t="str" cm="1">
        <f t="array" ref="L93">_xlfn.XLOOKUP($C93,Table1[[#All],[BusinessUnitID]],Table1[[#All],[Description]],"",0,1)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93" t="str">
        <f>_xlfn.XLOOKUP($B93,ChartOfAccounts!A92:A177,ChartOfAccounts!B92:B177,"",0,1)</f>
        <v/>
      </c>
      <c r="N93">
        <f>_xlfn.XLOOKUP($B93,ChartOfAccounts!A92:A177,ChartOfAccounts!D92:D177,0,1)</f>
        <v>0</v>
      </c>
      <c r="O93" t="str">
        <f>_xlfn.XLOOKUP($B93,ChartOfAccounts!A92:A177,ChartOfAccounts!F92:F177,"",0,1)</f>
        <v/>
      </c>
      <c r="P93" t="str" cm="1">
        <f t="array" ref="P93">_xlfn.XLOOKUP($D93&amp;$C93,PreparerInfo!A92:A104&amp;PreparerInfo!C92:C104,PreparerInfo!B92:B104,"",0,1)</f>
        <v/>
      </c>
      <c r="Q93" t="str">
        <f>_xlfn.XLOOKUP($E93,Source!A92:A100,Source!B92:B100,"",0,1)</f>
        <v/>
      </c>
    </row>
    <row r="94" spans="1:17" x14ac:dyDescent="0.3">
      <c r="A94" s="3">
        <v>2033566</v>
      </c>
      <c r="B94">
        <v>11845</v>
      </c>
      <c r="C94">
        <v>1</v>
      </c>
      <c r="D94" s="9">
        <v>102</v>
      </c>
      <c r="E94">
        <v>1003</v>
      </c>
      <c r="F94" s="1">
        <v>44004</v>
      </c>
      <c r="G94" t="s">
        <v>15</v>
      </c>
      <c r="H94" s="4">
        <v>228.59</v>
      </c>
      <c r="I94" s="4" t="s">
        <v>16</v>
      </c>
      <c r="J94" s="4">
        <v>228.59</v>
      </c>
      <c r="K94" t="str">
        <f>_xlfn.XLOOKUP($C94,Table1[BusinessUnitID],Table1[BusinessUnit],"",0)</f>
        <v>FOOD SERVICE</v>
      </c>
      <c r="L94" t="str" cm="1">
        <f t="array" ref="L94">_xlfn.XLOOKUP($C94,Table1[[#All],[BusinessUnitID]],Table1[[#All],[Description]],"",0,1)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94" t="str">
        <f>_xlfn.XLOOKUP($B94,ChartOfAccounts!A93:A178,ChartOfAccounts!B93:B178,"",0,1)</f>
        <v/>
      </c>
      <c r="N94">
        <f>_xlfn.XLOOKUP($B94,ChartOfAccounts!A93:A178,ChartOfAccounts!D93:D178,0,1)</f>
        <v>0</v>
      </c>
      <c r="O94" t="str">
        <f>_xlfn.XLOOKUP($B94,ChartOfAccounts!A93:A178,ChartOfAccounts!F93:F178,"",0,1)</f>
        <v/>
      </c>
      <c r="P94" t="str" cm="1">
        <f t="array" ref="P94">_xlfn.XLOOKUP($D94&amp;$C94,PreparerInfo!A93:A105&amp;PreparerInfo!C93:C105,PreparerInfo!B93:B105,"",0,1)</f>
        <v/>
      </c>
      <c r="Q94" t="str">
        <f>_xlfn.XLOOKUP($E94,Source!A93:A101,Source!B93:B101,"",0,1)</f>
        <v/>
      </c>
    </row>
    <row r="95" spans="1:17" x14ac:dyDescent="0.3">
      <c r="A95" s="3">
        <v>2033566</v>
      </c>
      <c r="B95">
        <v>43310</v>
      </c>
      <c r="C95">
        <v>1</v>
      </c>
      <c r="D95" s="9">
        <v>102</v>
      </c>
      <c r="E95">
        <v>1003</v>
      </c>
      <c r="F95" s="1">
        <v>44004</v>
      </c>
      <c r="G95" t="s">
        <v>15</v>
      </c>
      <c r="H95" s="4" t="s">
        <v>16</v>
      </c>
      <c r="I95" s="4">
        <v>-228.59</v>
      </c>
      <c r="J95" s="4">
        <v>-228.59</v>
      </c>
      <c r="K95" t="str">
        <f>_xlfn.XLOOKUP($C95,Table1[BusinessUnitID],Table1[BusinessUnit],"",0)</f>
        <v>FOOD SERVICE</v>
      </c>
      <c r="L95" t="str" cm="1">
        <f t="array" ref="L95">_xlfn.XLOOKUP($C95,Table1[[#All],[BusinessUnitID]],Table1[[#All],[Description]],"",0,1)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95" t="str">
        <f>_xlfn.XLOOKUP($B95,ChartOfAccounts!A94:A179,ChartOfAccounts!B94:B179,"",0,1)</f>
        <v/>
      </c>
      <c r="N95">
        <f>_xlfn.XLOOKUP($B95,ChartOfAccounts!A94:A179,ChartOfAccounts!D94:D179,0,1)</f>
        <v>0</v>
      </c>
      <c r="O95" t="str">
        <f>_xlfn.XLOOKUP($B95,ChartOfAccounts!A94:A179,ChartOfAccounts!F94:F179,"",0,1)</f>
        <v/>
      </c>
      <c r="P95" t="str" cm="1">
        <f t="array" ref="P95">_xlfn.XLOOKUP($D95&amp;$C95,PreparerInfo!A94:A106&amp;PreparerInfo!C94:C106,PreparerInfo!B94:B106,"",0,1)</f>
        <v/>
      </c>
      <c r="Q95" t="str">
        <f>_xlfn.XLOOKUP($E95,Source!A94:A102,Source!B94:B102,"",0,1)</f>
        <v/>
      </c>
    </row>
    <row r="96" spans="1:17" x14ac:dyDescent="0.3">
      <c r="A96" s="3">
        <v>2033567</v>
      </c>
      <c r="B96">
        <v>71400</v>
      </c>
      <c r="C96">
        <v>2</v>
      </c>
      <c r="D96" s="9">
        <v>101</v>
      </c>
      <c r="E96">
        <v>1002</v>
      </c>
      <c r="F96" s="1">
        <v>44004</v>
      </c>
      <c r="G96" t="s">
        <v>208</v>
      </c>
      <c r="H96" s="4">
        <v>240.73</v>
      </c>
      <c r="I96" s="4" t="s">
        <v>16</v>
      </c>
      <c r="J96" s="4">
        <v>240.73</v>
      </c>
      <c r="K96" t="str">
        <f>_xlfn.XLOOKUP($C96,Table1[BusinessUnitID],Table1[BusinessUnit],"",0)</f>
        <v>HOTEL</v>
      </c>
      <c r="L96" t="str" cm="1">
        <f t="array" ref="L96">_xlfn.XLOOKUP($C96,Table1[[#All],[BusinessUnitID]],Table1[[#All],[Description]],"",0,1)</f>
        <v xml:space="preserve">Transactions related to guest rooms and overall hotel operations. Includes payroll for administrative staff, clerks and interns. </v>
      </c>
      <c r="M96" t="str">
        <f>_xlfn.XLOOKUP($B96,ChartOfAccounts!A95:A180,ChartOfAccounts!B95:B180,"",0,1)</f>
        <v/>
      </c>
      <c r="N96">
        <f>_xlfn.XLOOKUP($B96,ChartOfAccounts!A95:A180,ChartOfAccounts!D95:D180,0,1)</f>
        <v>0</v>
      </c>
      <c r="O96" t="str">
        <f>_xlfn.XLOOKUP($B96,ChartOfAccounts!A95:A180,ChartOfAccounts!F95:F180,"",0,1)</f>
        <v/>
      </c>
      <c r="P96" t="str" cm="1">
        <f t="array" ref="P96">_xlfn.XLOOKUP($D96&amp;$C96,PreparerInfo!A95:A107&amp;PreparerInfo!C95:C107,PreparerInfo!B95:B107,"",0,1)</f>
        <v/>
      </c>
      <c r="Q96" t="str">
        <f>_xlfn.XLOOKUP($E96,Source!A95:A103,Source!B95:B103,"",0,1)</f>
        <v/>
      </c>
    </row>
    <row r="97" spans="1:17" x14ac:dyDescent="0.3">
      <c r="A97" s="3">
        <v>2033567</v>
      </c>
      <c r="B97">
        <v>11845</v>
      </c>
      <c r="C97">
        <v>2</v>
      </c>
      <c r="D97" s="9">
        <v>101</v>
      </c>
      <c r="E97">
        <v>1002</v>
      </c>
      <c r="F97" s="1">
        <v>44004</v>
      </c>
      <c r="G97" t="s">
        <v>208</v>
      </c>
      <c r="H97" s="4" t="s">
        <v>16</v>
      </c>
      <c r="I97" s="4">
        <v>-240.73</v>
      </c>
      <c r="J97" s="4">
        <v>-240.73</v>
      </c>
      <c r="K97" t="str">
        <f>_xlfn.XLOOKUP($C97,Table1[BusinessUnitID],Table1[BusinessUnit],"",0)</f>
        <v>HOTEL</v>
      </c>
      <c r="L97" t="str" cm="1">
        <f t="array" ref="L97">_xlfn.XLOOKUP($C97,Table1[[#All],[BusinessUnitID]],Table1[[#All],[Description]],"",0,1)</f>
        <v xml:space="preserve">Transactions related to guest rooms and overall hotel operations. Includes payroll for administrative staff, clerks and interns. </v>
      </c>
      <c r="M97" t="str">
        <f>_xlfn.XLOOKUP($B97,ChartOfAccounts!A96:A181,ChartOfAccounts!B96:B181,"",0,1)</f>
        <v/>
      </c>
      <c r="N97">
        <f>_xlfn.XLOOKUP($B97,ChartOfAccounts!A96:A181,ChartOfAccounts!D96:D181,0,1)</f>
        <v>0</v>
      </c>
      <c r="O97" t="str">
        <f>_xlfn.XLOOKUP($B97,ChartOfAccounts!A96:A181,ChartOfAccounts!F96:F181,"",0,1)</f>
        <v/>
      </c>
      <c r="P97" t="str" cm="1">
        <f t="array" ref="P97">_xlfn.XLOOKUP($D97&amp;$C97,PreparerInfo!A96:A108&amp;PreparerInfo!C96:C108,PreparerInfo!B96:B108,"",0,1)</f>
        <v/>
      </c>
      <c r="Q97" t="str">
        <f>_xlfn.XLOOKUP($E97,Source!A96:A104,Source!B96:B104,"",0,1)</f>
        <v/>
      </c>
    </row>
    <row r="98" spans="1:17" x14ac:dyDescent="0.3">
      <c r="A98" s="3">
        <v>2033568</v>
      </c>
      <c r="B98">
        <v>11845</v>
      </c>
      <c r="C98">
        <v>2</v>
      </c>
      <c r="D98" s="9">
        <v>104</v>
      </c>
      <c r="E98">
        <v>1003</v>
      </c>
      <c r="F98" s="1">
        <v>44004</v>
      </c>
      <c r="G98" t="s">
        <v>225</v>
      </c>
      <c r="H98" s="4">
        <v>258</v>
      </c>
      <c r="I98" s="4" t="s">
        <v>16</v>
      </c>
      <c r="J98" s="4">
        <v>258</v>
      </c>
      <c r="K98" t="str">
        <f>_xlfn.XLOOKUP($C98,Table1[BusinessUnitID],Table1[BusinessUnit],"",0)</f>
        <v>HOTEL</v>
      </c>
      <c r="L98" t="str" cm="1">
        <f t="array" ref="L98">_xlfn.XLOOKUP($C98,Table1[[#All],[BusinessUnitID]],Table1[[#All],[Description]],"",0,1)</f>
        <v xml:space="preserve">Transactions related to guest rooms and overall hotel operations. Includes payroll for administrative staff, clerks and interns. </v>
      </c>
      <c r="M98" t="str">
        <f>_xlfn.XLOOKUP($B98,ChartOfAccounts!A97:A182,ChartOfAccounts!B97:B182,"",0,1)</f>
        <v/>
      </c>
      <c r="N98">
        <f>_xlfn.XLOOKUP($B98,ChartOfAccounts!A97:A182,ChartOfAccounts!D97:D182,0,1)</f>
        <v>0</v>
      </c>
      <c r="O98" t="str">
        <f>_xlfn.XLOOKUP($B98,ChartOfAccounts!A97:A182,ChartOfAccounts!F97:F182,"",0,1)</f>
        <v/>
      </c>
      <c r="P98" t="str" cm="1">
        <f t="array" ref="P98">_xlfn.XLOOKUP($D98&amp;$C98,PreparerInfo!A97:A109&amp;PreparerInfo!C97:C109,PreparerInfo!B97:B109,"",0,1)</f>
        <v/>
      </c>
      <c r="Q98" t="str">
        <f>_xlfn.XLOOKUP($E98,Source!A97:A105,Source!B97:B105,"",0,1)</f>
        <v/>
      </c>
    </row>
    <row r="99" spans="1:17" x14ac:dyDescent="0.3">
      <c r="A99" s="3">
        <v>2033568</v>
      </c>
      <c r="B99">
        <v>43180</v>
      </c>
      <c r="C99">
        <v>2</v>
      </c>
      <c r="D99" s="9">
        <v>104</v>
      </c>
      <c r="E99">
        <v>1003</v>
      </c>
      <c r="F99" s="1">
        <v>44004</v>
      </c>
      <c r="G99" t="s">
        <v>225</v>
      </c>
      <c r="H99" s="4" t="s">
        <v>16</v>
      </c>
      <c r="I99" s="4">
        <v>-258</v>
      </c>
      <c r="J99" s="4">
        <v>-258</v>
      </c>
      <c r="K99" t="str">
        <f>_xlfn.XLOOKUP($C99,Table1[BusinessUnitID],Table1[BusinessUnit],"",0)</f>
        <v>HOTEL</v>
      </c>
      <c r="L99" t="str" cm="1">
        <f t="array" ref="L99">_xlfn.XLOOKUP($C99,Table1[[#All],[BusinessUnitID]],Table1[[#All],[Description]],"",0,1)</f>
        <v xml:space="preserve">Transactions related to guest rooms and overall hotel operations. Includes payroll for administrative staff, clerks and interns. </v>
      </c>
      <c r="M99" t="str">
        <f>_xlfn.XLOOKUP($B99,ChartOfAccounts!A98:A183,ChartOfAccounts!B98:B183,"",0,1)</f>
        <v/>
      </c>
      <c r="N99">
        <f>_xlfn.XLOOKUP($B99,ChartOfAccounts!A98:A183,ChartOfAccounts!D98:D183,0,1)</f>
        <v>0</v>
      </c>
      <c r="O99" t="str">
        <f>_xlfn.XLOOKUP($B99,ChartOfAccounts!A98:A183,ChartOfAccounts!F98:F183,"",0,1)</f>
        <v/>
      </c>
      <c r="P99" t="str" cm="1">
        <f t="array" ref="P99">_xlfn.XLOOKUP($D99&amp;$C99,PreparerInfo!A98:A110&amp;PreparerInfo!C98:C110,PreparerInfo!B98:B110,"",0,1)</f>
        <v/>
      </c>
      <c r="Q99" t="str">
        <f>_xlfn.XLOOKUP($E99,Source!A98:A106,Source!B98:B106,"",0,1)</f>
        <v/>
      </c>
    </row>
    <row r="100" spans="1:17" x14ac:dyDescent="0.3">
      <c r="A100" s="3">
        <v>2033569</v>
      </c>
      <c r="B100">
        <v>11845</v>
      </c>
      <c r="C100">
        <v>2</v>
      </c>
      <c r="D100" s="9">
        <v>104</v>
      </c>
      <c r="E100">
        <v>1003</v>
      </c>
      <c r="F100" s="1">
        <v>44004</v>
      </c>
      <c r="G100" t="s">
        <v>226</v>
      </c>
      <c r="H100" s="4">
        <v>258</v>
      </c>
      <c r="I100" s="4" t="s">
        <v>16</v>
      </c>
      <c r="J100" s="4">
        <v>258</v>
      </c>
      <c r="K100" t="str">
        <f>_xlfn.XLOOKUP($C100,Table1[BusinessUnitID],Table1[BusinessUnit],"",0)</f>
        <v>HOTEL</v>
      </c>
      <c r="L100" t="str" cm="1">
        <f t="array" ref="L100">_xlfn.XLOOKUP($C100,Table1[[#All],[BusinessUnitID]],Table1[[#All],[Description]],"",0,1)</f>
        <v xml:space="preserve">Transactions related to guest rooms and overall hotel operations. Includes payroll for administrative staff, clerks and interns. </v>
      </c>
      <c r="M100" t="str">
        <f>_xlfn.XLOOKUP($B100,ChartOfAccounts!A99:A184,ChartOfAccounts!B99:B184,"",0,1)</f>
        <v/>
      </c>
      <c r="N100">
        <f>_xlfn.XLOOKUP($B100,ChartOfAccounts!A99:A184,ChartOfAccounts!D99:D184,0,1)</f>
        <v>0</v>
      </c>
      <c r="O100" t="str">
        <f>_xlfn.XLOOKUP($B100,ChartOfAccounts!A99:A184,ChartOfAccounts!F99:F184,"",0,1)</f>
        <v/>
      </c>
      <c r="P100" t="str" cm="1">
        <f t="array" ref="P100">_xlfn.XLOOKUP($D100&amp;$C100,PreparerInfo!A99:A111&amp;PreparerInfo!C99:C111,PreparerInfo!B99:B111,"",0,1)</f>
        <v/>
      </c>
      <c r="Q100" t="str">
        <f>_xlfn.XLOOKUP($E100,Source!A99:A107,Source!B99:B107,"",0,1)</f>
        <v/>
      </c>
    </row>
    <row r="101" spans="1:17" x14ac:dyDescent="0.3">
      <c r="A101" s="3">
        <v>2033569</v>
      </c>
      <c r="B101">
        <v>43180</v>
      </c>
      <c r="C101">
        <v>2</v>
      </c>
      <c r="D101" s="9">
        <v>104</v>
      </c>
      <c r="E101">
        <v>1003</v>
      </c>
      <c r="F101" s="1">
        <v>44004</v>
      </c>
      <c r="G101" t="s">
        <v>226</v>
      </c>
      <c r="H101" s="4" t="s">
        <v>16</v>
      </c>
      <c r="I101" s="4">
        <v>-258</v>
      </c>
      <c r="J101" s="4">
        <v>-258</v>
      </c>
      <c r="K101" t="str">
        <f>_xlfn.XLOOKUP($C101,Table1[BusinessUnitID],Table1[BusinessUnit],"",0)</f>
        <v>HOTEL</v>
      </c>
      <c r="L101" t="str" cm="1">
        <f t="array" ref="L101">_xlfn.XLOOKUP($C101,Table1[[#All],[BusinessUnitID]],Table1[[#All],[Description]],"",0,1)</f>
        <v xml:space="preserve">Transactions related to guest rooms and overall hotel operations. Includes payroll for administrative staff, clerks and interns. </v>
      </c>
      <c r="M101" t="str">
        <f>_xlfn.XLOOKUP($B101,ChartOfAccounts!A100:A185,ChartOfAccounts!B100:B185,"",0,1)</f>
        <v/>
      </c>
      <c r="N101">
        <f>_xlfn.XLOOKUP($B101,ChartOfAccounts!A100:A185,ChartOfAccounts!D100:D185,0,1)</f>
        <v>0</v>
      </c>
      <c r="O101" t="str">
        <f>_xlfn.XLOOKUP($B101,ChartOfAccounts!A100:A185,ChartOfAccounts!F100:F185,"",0,1)</f>
        <v/>
      </c>
      <c r="P101" t="str" cm="1">
        <f t="array" ref="P101">_xlfn.XLOOKUP($D101&amp;$C101,PreparerInfo!A100:A112&amp;PreparerInfo!C100:C112,PreparerInfo!B100:B112,"",0,1)</f>
        <v/>
      </c>
      <c r="Q101" t="str">
        <f>_xlfn.XLOOKUP($E101,Source!A100:A108,Source!B100:B108,"",0,1)</f>
        <v/>
      </c>
    </row>
    <row r="102" spans="1:17" x14ac:dyDescent="0.3">
      <c r="A102" s="3">
        <v>2033570</v>
      </c>
      <c r="B102">
        <v>14260</v>
      </c>
      <c r="C102">
        <v>1</v>
      </c>
      <c r="D102" s="9">
        <v>101</v>
      </c>
      <c r="E102">
        <v>1002</v>
      </c>
      <c r="F102" s="1">
        <v>44004</v>
      </c>
      <c r="G102" t="s">
        <v>85</v>
      </c>
      <c r="H102" s="4">
        <v>268.39</v>
      </c>
      <c r="I102" s="4" t="s">
        <v>16</v>
      </c>
      <c r="J102" s="4">
        <v>268.39</v>
      </c>
      <c r="K102" t="str">
        <f>_xlfn.XLOOKUP($C102,Table1[BusinessUnitID],Table1[BusinessUnit],"",0)</f>
        <v>FOOD SERVICE</v>
      </c>
      <c r="L102" t="str" cm="1">
        <f t="array" ref="L102">_xlfn.XLOOKUP($C102,Table1[[#All],[BusinessUnitID]],Table1[[#All],[Description]],"",0,1)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102" t="str">
        <f>_xlfn.XLOOKUP($B102,ChartOfAccounts!A101:A186,ChartOfAccounts!B101:B186,"",0,1)</f>
        <v/>
      </c>
      <c r="N102">
        <f>_xlfn.XLOOKUP($B102,ChartOfAccounts!A101:A186,ChartOfAccounts!D101:D186,0,1)</f>
        <v>0</v>
      </c>
      <c r="O102" t="str">
        <f>_xlfn.XLOOKUP($B102,ChartOfAccounts!A101:A186,ChartOfAccounts!F101:F186,"",0,1)</f>
        <v/>
      </c>
      <c r="P102" t="str" cm="1">
        <f t="array" ref="P102">_xlfn.XLOOKUP($D102&amp;$C102,PreparerInfo!A101:A113&amp;PreparerInfo!C101:C113,PreparerInfo!B101:B113,"",0,1)</f>
        <v/>
      </c>
      <c r="Q102" t="str">
        <f>_xlfn.XLOOKUP($E102,Source!A101:A109,Source!B101:B109,"",0,1)</f>
        <v/>
      </c>
    </row>
    <row r="103" spans="1:17" x14ac:dyDescent="0.3">
      <c r="A103" s="3">
        <v>2033570</v>
      </c>
      <c r="B103">
        <v>11845</v>
      </c>
      <c r="C103">
        <v>1</v>
      </c>
      <c r="D103" s="9">
        <v>101</v>
      </c>
      <c r="E103">
        <v>1002</v>
      </c>
      <c r="F103" s="1">
        <v>44004</v>
      </c>
      <c r="G103" t="s">
        <v>85</v>
      </c>
      <c r="H103" s="4" t="s">
        <v>16</v>
      </c>
      <c r="I103" s="4">
        <v>-268.39</v>
      </c>
      <c r="J103" s="4">
        <v>-268.39</v>
      </c>
      <c r="K103" t="str">
        <f>_xlfn.XLOOKUP($C103,Table1[BusinessUnitID],Table1[BusinessUnit],"",0)</f>
        <v>FOOD SERVICE</v>
      </c>
      <c r="L103" t="str" cm="1">
        <f t="array" ref="L103">_xlfn.XLOOKUP($C103,Table1[[#All],[BusinessUnitID]],Table1[[#All],[Description]],"",0,1)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103" t="str">
        <f>_xlfn.XLOOKUP($B103,ChartOfAccounts!A102:A187,ChartOfAccounts!B102:B187,"",0,1)</f>
        <v/>
      </c>
      <c r="N103">
        <f>_xlfn.XLOOKUP($B103,ChartOfAccounts!A102:A187,ChartOfAccounts!D102:D187,0,1)</f>
        <v>0</v>
      </c>
      <c r="O103" t="str">
        <f>_xlfn.XLOOKUP($B103,ChartOfAccounts!A102:A187,ChartOfAccounts!F102:F187,"",0,1)</f>
        <v/>
      </c>
      <c r="P103" t="str" cm="1">
        <f t="array" ref="P103">_xlfn.XLOOKUP($D103&amp;$C103,PreparerInfo!A102:A114&amp;PreparerInfo!C102:C114,PreparerInfo!B102:B114,"",0,1)</f>
        <v/>
      </c>
      <c r="Q103" t="str">
        <f>_xlfn.XLOOKUP($E103,Source!A102:A110,Source!B102:B110,"",0,1)</f>
        <v/>
      </c>
    </row>
    <row r="104" spans="1:17" x14ac:dyDescent="0.3">
      <c r="A104" s="3">
        <v>2033571</v>
      </c>
      <c r="B104">
        <v>71900</v>
      </c>
      <c r="C104">
        <v>1</v>
      </c>
      <c r="D104" s="9">
        <v>102</v>
      </c>
      <c r="E104">
        <v>1002</v>
      </c>
      <c r="F104" s="1">
        <v>44004</v>
      </c>
      <c r="G104" t="s">
        <v>36</v>
      </c>
      <c r="H104" s="4">
        <v>308.2</v>
      </c>
      <c r="I104" s="4" t="s">
        <v>16</v>
      </c>
      <c r="J104" s="4">
        <v>308.2</v>
      </c>
      <c r="K104" t="str">
        <f>_xlfn.XLOOKUP($C104,Table1[BusinessUnitID],Table1[BusinessUnit],"",0)</f>
        <v>FOOD SERVICE</v>
      </c>
      <c r="L104" t="str" cm="1">
        <f t="array" ref="L104">_xlfn.XLOOKUP($C104,Table1[[#All],[BusinessUnitID]],Table1[[#All],[Description]],"",0,1)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104" t="str">
        <f>_xlfn.XLOOKUP($B104,ChartOfAccounts!A103:A188,ChartOfAccounts!B103:B188,"",0,1)</f>
        <v/>
      </c>
      <c r="N104">
        <f>_xlfn.XLOOKUP($B104,ChartOfAccounts!A103:A188,ChartOfAccounts!D103:D188,0,1)</f>
        <v>0</v>
      </c>
      <c r="O104" t="str">
        <f>_xlfn.XLOOKUP($B104,ChartOfAccounts!A103:A188,ChartOfAccounts!F103:F188,"",0,1)</f>
        <v/>
      </c>
      <c r="P104" t="str" cm="1">
        <f t="array" ref="P104">_xlfn.XLOOKUP($D104&amp;$C104,PreparerInfo!A103:A115&amp;PreparerInfo!C103:C115,PreparerInfo!B103:B115,"",0,1)</f>
        <v/>
      </c>
      <c r="Q104" t="str">
        <f>_xlfn.XLOOKUP($E104,Source!A103:A111,Source!B103:B111,"",0,1)</f>
        <v/>
      </c>
    </row>
    <row r="105" spans="1:17" x14ac:dyDescent="0.3">
      <c r="A105" s="3">
        <v>2033571</v>
      </c>
      <c r="B105">
        <v>11845</v>
      </c>
      <c r="C105">
        <v>1</v>
      </c>
      <c r="D105" s="9">
        <v>102</v>
      </c>
      <c r="E105">
        <v>1002</v>
      </c>
      <c r="F105" s="1">
        <v>44004</v>
      </c>
      <c r="G105" t="s">
        <v>36</v>
      </c>
      <c r="H105" s="4" t="s">
        <v>16</v>
      </c>
      <c r="I105" s="4">
        <v>-308.2</v>
      </c>
      <c r="J105" s="4">
        <v>-308.2</v>
      </c>
      <c r="K105" t="str">
        <f>_xlfn.XLOOKUP($C105,Table1[BusinessUnitID],Table1[BusinessUnit],"",0)</f>
        <v>FOOD SERVICE</v>
      </c>
      <c r="L105" t="str" cm="1">
        <f t="array" ref="L105">_xlfn.XLOOKUP($C105,Table1[[#All],[BusinessUnitID]],Table1[[#All],[Description]],"",0,1)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105" t="str">
        <f>_xlfn.XLOOKUP($B105,ChartOfAccounts!A104:A189,ChartOfAccounts!B104:B189,"",0,1)</f>
        <v/>
      </c>
      <c r="N105">
        <f>_xlfn.XLOOKUP($B105,ChartOfAccounts!A104:A189,ChartOfAccounts!D104:D189,0,1)</f>
        <v>0</v>
      </c>
      <c r="O105" t="str">
        <f>_xlfn.XLOOKUP($B105,ChartOfAccounts!A104:A189,ChartOfAccounts!F104:F189,"",0,1)</f>
        <v/>
      </c>
      <c r="P105" t="str" cm="1">
        <f t="array" ref="P105">_xlfn.XLOOKUP($D105&amp;$C105,PreparerInfo!A104:A116&amp;PreparerInfo!C104:C116,PreparerInfo!B104:B116,"",0,1)</f>
        <v/>
      </c>
      <c r="Q105" t="str">
        <f>_xlfn.XLOOKUP($E105,Source!A104:A112,Source!B104:B112,"",0,1)</f>
        <v/>
      </c>
    </row>
    <row r="106" spans="1:17" x14ac:dyDescent="0.3">
      <c r="A106" s="3">
        <v>2033572</v>
      </c>
      <c r="B106">
        <v>11845</v>
      </c>
      <c r="C106">
        <v>1</v>
      </c>
      <c r="D106" s="9">
        <v>106</v>
      </c>
      <c r="E106">
        <v>1003</v>
      </c>
      <c r="F106" s="1">
        <v>44004</v>
      </c>
      <c r="G106" t="s">
        <v>80</v>
      </c>
      <c r="H106" s="4">
        <v>386</v>
      </c>
      <c r="I106" s="4" t="s">
        <v>16</v>
      </c>
      <c r="J106" s="4">
        <v>386</v>
      </c>
      <c r="K106" t="str">
        <f>_xlfn.XLOOKUP($C106,Table1[BusinessUnitID],Table1[BusinessUnit],"",0)</f>
        <v>FOOD SERVICE</v>
      </c>
      <c r="L106" t="str" cm="1">
        <f t="array" ref="L106">_xlfn.XLOOKUP($C106,Table1[[#All],[BusinessUnitID]],Table1[[#All],[Description]],"",0,1)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106" t="str">
        <f>_xlfn.XLOOKUP($B106,ChartOfAccounts!A105:A190,ChartOfAccounts!B105:B190,"",0,1)</f>
        <v/>
      </c>
      <c r="N106">
        <f>_xlfn.XLOOKUP($B106,ChartOfAccounts!A105:A190,ChartOfAccounts!D105:D190,0,1)</f>
        <v>0</v>
      </c>
      <c r="O106" t="str">
        <f>_xlfn.XLOOKUP($B106,ChartOfAccounts!A105:A190,ChartOfAccounts!F105:F190,"",0,1)</f>
        <v/>
      </c>
      <c r="P106" t="str" cm="1">
        <f t="array" ref="P106">_xlfn.XLOOKUP($D106&amp;$C106,PreparerInfo!A105:A117&amp;PreparerInfo!C105:C117,PreparerInfo!B105:B117,"",0,1)</f>
        <v/>
      </c>
      <c r="Q106" t="str">
        <f>_xlfn.XLOOKUP($E106,Source!A105:A113,Source!B105:B113,"",0,1)</f>
        <v/>
      </c>
    </row>
    <row r="107" spans="1:17" x14ac:dyDescent="0.3">
      <c r="A107" s="3">
        <v>2033572</v>
      </c>
      <c r="B107">
        <v>43440</v>
      </c>
      <c r="C107">
        <v>1</v>
      </c>
      <c r="D107" s="9">
        <v>106</v>
      </c>
      <c r="E107">
        <v>1003</v>
      </c>
      <c r="F107" s="1">
        <v>44004</v>
      </c>
      <c r="G107" t="s">
        <v>80</v>
      </c>
      <c r="H107" s="4" t="s">
        <v>16</v>
      </c>
      <c r="I107" s="4">
        <v>-386</v>
      </c>
      <c r="J107" s="4">
        <v>-386</v>
      </c>
      <c r="K107" t="str">
        <f>_xlfn.XLOOKUP($C107,Table1[BusinessUnitID],Table1[BusinessUnit],"",0)</f>
        <v>FOOD SERVICE</v>
      </c>
      <c r="L107" t="str" cm="1">
        <f t="array" ref="L107">_xlfn.XLOOKUP($C107,Table1[[#All],[BusinessUnitID]],Table1[[#All],[Description]],"",0,1)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107" t="str">
        <f>_xlfn.XLOOKUP($B107,ChartOfAccounts!A106:A191,ChartOfAccounts!B106:B191,"",0,1)</f>
        <v/>
      </c>
      <c r="N107">
        <f>_xlfn.XLOOKUP($B107,ChartOfAccounts!A106:A191,ChartOfAccounts!D106:D191,0,1)</f>
        <v>0</v>
      </c>
      <c r="O107" t="str">
        <f>_xlfn.XLOOKUP($B107,ChartOfAccounts!A106:A191,ChartOfAccounts!F106:F191,"",0,1)</f>
        <v/>
      </c>
      <c r="P107" t="str" cm="1">
        <f t="array" ref="P107">_xlfn.XLOOKUP($D107&amp;$C107,PreparerInfo!A106:A118&amp;PreparerInfo!C106:C118,PreparerInfo!B106:B118,"",0,1)</f>
        <v/>
      </c>
      <c r="Q107" t="str">
        <f>_xlfn.XLOOKUP($E107,Source!A106:A114,Source!B106:B114,"",0,1)</f>
        <v/>
      </c>
    </row>
    <row r="108" spans="1:17" x14ac:dyDescent="0.3">
      <c r="A108" s="3">
        <v>2033573</v>
      </c>
      <c r="B108">
        <v>11845</v>
      </c>
      <c r="C108">
        <v>1</v>
      </c>
      <c r="D108" s="9">
        <v>106</v>
      </c>
      <c r="E108">
        <v>1003</v>
      </c>
      <c r="F108" s="1">
        <v>44004</v>
      </c>
      <c r="G108" t="s">
        <v>80</v>
      </c>
      <c r="H108" s="4">
        <v>393.24</v>
      </c>
      <c r="I108" s="4" t="s">
        <v>16</v>
      </c>
      <c r="J108" s="4">
        <v>393.24</v>
      </c>
      <c r="K108" t="str">
        <f>_xlfn.XLOOKUP($C108,Table1[BusinessUnitID],Table1[BusinessUnit],"",0)</f>
        <v>FOOD SERVICE</v>
      </c>
      <c r="L108" t="str" cm="1">
        <f t="array" ref="L108">_xlfn.XLOOKUP($C108,Table1[[#All],[BusinessUnitID]],Table1[[#All],[Description]],"",0,1)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108" t="str">
        <f>_xlfn.XLOOKUP($B108,ChartOfAccounts!A107:A192,ChartOfAccounts!B107:B192,"",0,1)</f>
        <v/>
      </c>
      <c r="N108">
        <f>_xlfn.XLOOKUP($B108,ChartOfAccounts!A107:A192,ChartOfAccounts!D107:D192,0,1)</f>
        <v>0</v>
      </c>
      <c r="O108" t="str">
        <f>_xlfn.XLOOKUP($B108,ChartOfAccounts!A107:A192,ChartOfAccounts!F107:F192,"",0,1)</f>
        <v/>
      </c>
      <c r="P108" t="str" cm="1">
        <f t="array" ref="P108">_xlfn.XLOOKUP($D108&amp;$C108,PreparerInfo!A107:A119&amp;PreparerInfo!C107:C119,PreparerInfo!B107:B119,"",0,1)</f>
        <v/>
      </c>
      <c r="Q108" t="str">
        <f>_xlfn.XLOOKUP($E108,Source!A107:A115,Source!B107:B115,"",0,1)</f>
        <v/>
      </c>
    </row>
    <row r="109" spans="1:17" x14ac:dyDescent="0.3">
      <c r="A109" s="3">
        <v>2033573</v>
      </c>
      <c r="B109">
        <v>43310</v>
      </c>
      <c r="C109">
        <v>1</v>
      </c>
      <c r="D109" s="9">
        <v>106</v>
      </c>
      <c r="E109">
        <v>1003</v>
      </c>
      <c r="F109" s="1">
        <v>44004</v>
      </c>
      <c r="G109" t="s">
        <v>80</v>
      </c>
      <c r="H109" s="4" t="s">
        <v>16</v>
      </c>
      <c r="I109" s="4">
        <v>-393.24</v>
      </c>
      <c r="J109" s="4">
        <v>-393.24</v>
      </c>
      <c r="K109" t="str">
        <f>_xlfn.XLOOKUP($C109,Table1[BusinessUnitID],Table1[BusinessUnit],"",0)</f>
        <v>FOOD SERVICE</v>
      </c>
      <c r="L109" t="str" cm="1">
        <f t="array" ref="L109">_xlfn.XLOOKUP($C109,Table1[[#All],[BusinessUnitID]],Table1[[#All],[Description]],"",0,1)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109" t="str">
        <f>_xlfn.XLOOKUP($B109,ChartOfAccounts!A108:A193,ChartOfAccounts!B108:B193,"",0,1)</f>
        <v/>
      </c>
      <c r="N109">
        <f>_xlfn.XLOOKUP($B109,ChartOfAccounts!A108:A193,ChartOfAccounts!D108:D193,0,1)</f>
        <v>0</v>
      </c>
      <c r="O109" t="str">
        <f>_xlfn.XLOOKUP($B109,ChartOfAccounts!A108:A193,ChartOfAccounts!F108:F193,"",0,1)</f>
        <v/>
      </c>
      <c r="P109" t="str" cm="1">
        <f t="array" ref="P109">_xlfn.XLOOKUP($D109&amp;$C109,PreparerInfo!A108:A120&amp;PreparerInfo!C108:C120,PreparerInfo!B108:B120,"",0,1)</f>
        <v/>
      </c>
      <c r="Q109" t="str">
        <f>_xlfn.XLOOKUP($E109,Source!A108:A116,Source!B108:B116,"",0,1)</f>
        <v/>
      </c>
    </row>
    <row r="110" spans="1:17" x14ac:dyDescent="0.3">
      <c r="A110" s="3">
        <v>2033574</v>
      </c>
      <c r="B110">
        <v>11845</v>
      </c>
      <c r="C110">
        <v>1</v>
      </c>
      <c r="D110" s="9">
        <v>106</v>
      </c>
      <c r="E110">
        <v>1003</v>
      </c>
      <c r="F110" s="1">
        <v>44004</v>
      </c>
      <c r="G110" t="s">
        <v>80</v>
      </c>
      <c r="H110" s="4">
        <v>566.70000000000005</v>
      </c>
      <c r="I110" s="4" t="s">
        <v>16</v>
      </c>
      <c r="J110" s="4">
        <v>566.70000000000005</v>
      </c>
      <c r="K110" t="str">
        <f>_xlfn.XLOOKUP($C110,Table1[BusinessUnitID],Table1[BusinessUnit],"",0)</f>
        <v>FOOD SERVICE</v>
      </c>
      <c r="L110" t="str" cm="1">
        <f t="array" ref="L110">_xlfn.XLOOKUP($C110,Table1[[#All],[BusinessUnitID]],Table1[[#All],[Description]],"",0,1)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110" t="str">
        <f>_xlfn.XLOOKUP($B110,ChartOfAccounts!A109:A194,ChartOfAccounts!B109:B194,"",0,1)</f>
        <v/>
      </c>
      <c r="N110">
        <f>_xlfn.XLOOKUP($B110,ChartOfAccounts!A109:A194,ChartOfAccounts!D109:D194,0,1)</f>
        <v>0</v>
      </c>
      <c r="O110" t="str">
        <f>_xlfn.XLOOKUP($B110,ChartOfAccounts!A109:A194,ChartOfAccounts!F109:F194,"",0,1)</f>
        <v/>
      </c>
      <c r="P110" t="str" cm="1">
        <f t="array" ref="P110">_xlfn.XLOOKUP($D110&amp;$C110,PreparerInfo!A109:A121&amp;PreparerInfo!C109:C121,PreparerInfo!B109:B121,"",0,1)</f>
        <v/>
      </c>
      <c r="Q110" t="str">
        <f>_xlfn.XLOOKUP($E110,Source!A109:A117,Source!B109:B117,"",0,1)</f>
        <v/>
      </c>
    </row>
    <row r="111" spans="1:17" x14ac:dyDescent="0.3">
      <c r="A111" s="3">
        <v>2033574</v>
      </c>
      <c r="B111">
        <v>43310</v>
      </c>
      <c r="C111">
        <v>1</v>
      </c>
      <c r="D111" s="9">
        <v>106</v>
      </c>
      <c r="E111">
        <v>1003</v>
      </c>
      <c r="F111" s="1">
        <v>44004</v>
      </c>
      <c r="G111" t="s">
        <v>80</v>
      </c>
      <c r="H111" s="4" t="s">
        <v>16</v>
      </c>
      <c r="I111" s="4">
        <v>-566.70000000000005</v>
      </c>
      <c r="J111" s="4">
        <v>-566.70000000000005</v>
      </c>
      <c r="K111" t="str">
        <f>_xlfn.XLOOKUP($C111,Table1[BusinessUnitID],Table1[BusinessUnit],"",0)</f>
        <v>FOOD SERVICE</v>
      </c>
      <c r="L111" t="str" cm="1">
        <f t="array" ref="L111">_xlfn.XLOOKUP($C111,Table1[[#All],[BusinessUnitID]],Table1[[#All],[Description]],"",0,1)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111" t="str">
        <f>_xlfn.XLOOKUP($B111,ChartOfAccounts!A110:A195,ChartOfAccounts!B110:B195,"",0,1)</f>
        <v/>
      </c>
      <c r="N111">
        <f>_xlfn.XLOOKUP($B111,ChartOfAccounts!A110:A195,ChartOfAccounts!D110:D195,0,1)</f>
        <v>0</v>
      </c>
      <c r="O111" t="str">
        <f>_xlfn.XLOOKUP($B111,ChartOfAccounts!A110:A195,ChartOfAccounts!F110:F195,"",0,1)</f>
        <v/>
      </c>
      <c r="P111" t="str" cm="1">
        <f t="array" ref="P111">_xlfn.XLOOKUP($D111&amp;$C111,PreparerInfo!A110:A122&amp;PreparerInfo!C110:C122,PreparerInfo!B110:B122,"",0,1)</f>
        <v/>
      </c>
      <c r="Q111" t="str">
        <f>_xlfn.XLOOKUP($E111,Source!A110:A118,Source!B110:B118,"",0,1)</f>
        <v/>
      </c>
    </row>
    <row r="112" spans="1:17" x14ac:dyDescent="0.3">
      <c r="A112" s="3">
        <v>2033575</v>
      </c>
      <c r="B112">
        <v>71740</v>
      </c>
      <c r="C112">
        <v>1</v>
      </c>
      <c r="D112" s="9">
        <v>101</v>
      </c>
      <c r="E112">
        <v>1002</v>
      </c>
      <c r="F112" s="1">
        <v>44004</v>
      </c>
      <c r="G112" t="s">
        <v>82</v>
      </c>
      <c r="H112" s="4">
        <v>579.15</v>
      </c>
      <c r="I112" s="4" t="s">
        <v>16</v>
      </c>
      <c r="J112" s="4">
        <v>579.15</v>
      </c>
      <c r="K112" t="str">
        <f>_xlfn.XLOOKUP($C112,Table1[BusinessUnitID],Table1[BusinessUnit],"",0)</f>
        <v>FOOD SERVICE</v>
      </c>
      <c r="L112" t="str" cm="1">
        <f t="array" ref="L112">_xlfn.XLOOKUP($C112,Table1[[#All],[BusinessUnitID]],Table1[[#All],[Description]],"",0,1)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112" t="str">
        <f>_xlfn.XLOOKUP($B112,ChartOfAccounts!A111:A196,ChartOfAccounts!B111:B196,"",0,1)</f>
        <v/>
      </c>
      <c r="N112">
        <f>_xlfn.XLOOKUP($B112,ChartOfAccounts!A111:A196,ChartOfAccounts!D111:D196,0,1)</f>
        <v>0</v>
      </c>
      <c r="O112" t="str">
        <f>_xlfn.XLOOKUP($B112,ChartOfAccounts!A111:A196,ChartOfAccounts!F111:F196,"",0,1)</f>
        <v/>
      </c>
      <c r="P112" t="str" cm="1">
        <f t="array" ref="P112">_xlfn.XLOOKUP($D112&amp;$C112,PreparerInfo!A111:A123&amp;PreparerInfo!C111:C123,PreparerInfo!B111:B123,"",0,1)</f>
        <v/>
      </c>
      <c r="Q112" t="str">
        <f>_xlfn.XLOOKUP($E112,Source!A111:A119,Source!B111:B119,"",0,1)</f>
        <v/>
      </c>
    </row>
    <row r="113" spans="1:17" x14ac:dyDescent="0.3">
      <c r="A113" s="3">
        <v>2033575</v>
      </c>
      <c r="B113">
        <v>11845</v>
      </c>
      <c r="C113">
        <v>1</v>
      </c>
      <c r="D113" s="9">
        <v>101</v>
      </c>
      <c r="E113">
        <v>1002</v>
      </c>
      <c r="F113" s="1">
        <v>44004</v>
      </c>
      <c r="G113" t="s">
        <v>82</v>
      </c>
      <c r="H113" s="4" t="s">
        <v>16</v>
      </c>
      <c r="I113" s="4">
        <v>-579.15</v>
      </c>
      <c r="J113" s="4">
        <v>-579.15</v>
      </c>
      <c r="K113" t="str">
        <f>_xlfn.XLOOKUP($C113,Table1[BusinessUnitID],Table1[BusinessUnit],"",0)</f>
        <v>FOOD SERVICE</v>
      </c>
      <c r="L113" t="str" cm="1">
        <f t="array" ref="L113">_xlfn.XLOOKUP($C113,Table1[[#All],[BusinessUnitID]],Table1[[#All],[Description]],"",0,1)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113" t="str">
        <f>_xlfn.XLOOKUP($B113,ChartOfAccounts!A112:A197,ChartOfAccounts!B112:B197,"",0,1)</f>
        <v/>
      </c>
      <c r="N113">
        <f>_xlfn.XLOOKUP($B113,ChartOfAccounts!A112:A197,ChartOfAccounts!D112:D197,0,1)</f>
        <v>0</v>
      </c>
      <c r="O113" t="str">
        <f>_xlfn.XLOOKUP($B113,ChartOfAccounts!A112:A197,ChartOfAccounts!F112:F197,"",0,1)</f>
        <v/>
      </c>
      <c r="P113" t="str" cm="1">
        <f t="array" ref="P113">_xlfn.XLOOKUP($D113&amp;$C113,PreparerInfo!A112:A124&amp;PreparerInfo!C112:C124,PreparerInfo!B112:B124,"",0,1)</f>
        <v/>
      </c>
      <c r="Q113" t="str">
        <f>_xlfn.XLOOKUP($E113,Source!A112:A120,Source!B112:B120,"",0,1)</f>
        <v/>
      </c>
    </row>
    <row r="114" spans="1:17" x14ac:dyDescent="0.3">
      <c r="A114" s="3">
        <v>2033576</v>
      </c>
      <c r="B114">
        <v>72725</v>
      </c>
      <c r="C114">
        <v>1</v>
      </c>
      <c r="D114" s="9">
        <v>101</v>
      </c>
      <c r="E114">
        <v>1002</v>
      </c>
      <c r="F114" s="1">
        <v>44004</v>
      </c>
      <c r="G114" t="s">
        <v>177</v>
      </c>
      <c r="H114" s="4">
        <v>695</v>
      </c>
      <c r="I114" s="4" t="s">
        <v>16</v>
      </c>
      <c r="J114" s="4">
        <v>695</v>
      </c>
      <c r="K114" t="str">
        <f>_xlfn.XLOOKUP($C114,Table1[BusinessUnitID],Table1[BusinessUnit],"",0)</f>
        <v>FOOD SERVICE</v>
      </c>
      <c r="L114" t="str" cm="1">
        <f t="array" ref="L114">_xlfn.XLOOKUP($C114,Table1[[#All],[BusinessUnitID]],Table1[[#All],[Description]],"",0,1)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114" t="str">
        <f>_xlfn.XLOOKUP($B114,ChartOfAccounts!A113:A198,ChartOfAccounts!B113:B198,"",0,1)</f>
        <v/>
      </c>
      <c r="N114">
        <f>_xlfn.XLOOKUP($B114,ChartOfAccounts!A113:A198,ChartOfAccounts!D113:D198,0,1)</f>
        <v>0</v>
      </c>
      <c r="O114" t="str">
        <f>_xlfn.XLOOKUP($B114,ChartOfAccounts!A113:A198,ChartOfAccounts!F113:F198,"",0,1)</f>
        <v/>
      </c>
      <c r="P114" t="str" cm="1">
        <f t="array" ref="P114">_xlfn.XLOOKUP($D114&amp;$C114,PreparerInfo!A113:A125&amp;PreparerInfo!C113:C125,PreparerInfo!B113:B125,"",0,1)</f>
        <v/>
      </c>
      <c r="Q114" t="str">
        <f>_xlfn.XLOOKUP($E114,Source!A113:A121,Source!B113:B121,"",0,1)</f>
        <v/>
      </c>
    </row>
    <row r="115" spans="1:17" x14ac:dyDescent="0.3">
      <c r="A115" s="3">
        <v>2033576</v>
      </c>
      <c r="B115">
        <v>11845</v>
      </c>
      <c r="C115">
        <v>1</v>
      </c>
      <c r="D115" s="9">
        <v>101</v>
      </c>
      <c r="E115">
        <v>1002</v>
      </c>
      <c r="F115" s="1">
        <v>44004</v>
      </c>
      <c r="G115" t="s">
        <v>177</v>
      </c>
      <c r="H115" s="4" t="s">
        <v>16</v>
      </c>
      <c r="I115" s="4">
        <v>-695</v>
      </c>
      <c r="J115" s="4">
        <v>-695</v>
      </c>
      <c r="K115" t="str">
        <f>_xlfn.XLOOKUP($C115,Table1[BusinessUnitID],Table1[BusinessUnit],"",0)</f>
        <v>FOOD SERVICE</v>
      </c>
      <c r="L115" t="str" cm="1">
        <f t="array" ref="L115">_xlfn.XLOOKUP($C115,Table1[[#All],[BusinessUnitID]],Table1[[#All],[Description]],"",0,1)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115" t="str">
        <f>_xlfn.XLOOKUP($B115,ChartOfAccounts!A114:A199,ChartOfAccounts!B114:B199,"",0,1)</f>
        <v/>
      </c>
      <c r="N115">
        <f>_xlfn.XLOOKUP($B115,ChartOfAccounts!A114:A199,ChartOfAccounts!D114:D199,0,1)</f>
        <v>0</v>
      </c>
      <c r="O115" t="str">
        <f>_xlfn.XLOOKUP($B115,ChartOfAccounts!A114:A199,ChartOfAccounts!F114:F199,"",0,1)</f>
        <v/>
      </c>
      <c r="P115" t="str" cm="1">
        <f t="array" ref="P115">_xlfn.XLOOKUP($D115&amp;$C115,PreparerInfo!A114:A126&amp;PreparerInfo!C114:C126,PreparerInfo!B114:B126,"",0,1)</f>
        <v/>
      </c>
      <c r="Q115" t="str">
        <f>_xlfn.XLOOKUP($E115,Source!A114:A122,Source!B114:B122,"",0,1)</f>
        <v/>
      </c>
    </row>
    <row r="116" spans="1:17" x14ac:dyDescent="0.3">
      <c r="A116" s="3">
        <v>2033577</v>
      </c>
      <c r="B116">
        <v>11845</v>
      </c>
      <c r="C116">
        <v>1</v>
      </c>
      <c r="D116" s="9">
        <v>102</v>
      </c>
      <c r="E116">
        <v>1001</v>
      </c>
      <c r="F116" s="1">
        <v>44004</v>
      </c>
      <c r="G116" t="s">
        <v>41</v>
      </c>
      <c r="H116" s="4">
        <v>714.13</v>
      </c>
      <c r="I116" s="4" t="s">
        <v>16</v>
      </c>
      <c r="J116" s="4">
        <v>714.13</v>
      </c>
      <c r="K116" t="str">
        <f>_xlfn.XLOOKUP($C116,Table1[BusinessUnitID],Table1[BusinessUnit],"",0)</f>
        <v>FOOD SERVICE</v>
      </c>
      <c r="L116" t="str" cm="1">
        <f t="array" ref="L116">_xlfn.XLOOKUP($C116,Table1[[#All],[BusinessUnitID]],Table1[[#All],[Description]],"",0,1)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116" t="str">
        <f>_xlfn.XLOOKUP($B116,ChartOfAccounts!A115:A200,ChartOfAccounts!B115:B200,"",0,1)</f>
        <v/>
      </c>
      <c r="N116">
        <f>_xlfn.XLOOKUP($B116,ChartOfAccounts!A115:A200,ChartOfAccounts!D115:D200,0,1)</f>
        <v>0</v>
      </c>
      <c r="O116" t="str">
        <f>_xlfn.XLOOKUP($B116,ChartOfAccounts!A115:A200,ChartOfAccounts!F115:F200,"",0,1)</f>
        <v/>
      </c>
      <c r="P116" t="str" cm="1">
        <f t="array" ref="P116">_xlfn.XLOOKUP($D116&amp;$C116,PreparerInfo!A115:A127&amp;PreparerInfo!C115:C127,PreparerInfo!B115:B127,"",0,1)</f>
        <v/>
      </c>
      <c r="Q116" t="str">
        <f>_xlfn.XLOOKUP($E116,Source!A115:A123,Source!B115:B123,"",0,1)</f>
        <v/>
      </c>
    </row>
    <row r="117" spans="1:17" x14ac:dyDescent="0.3">
      <c r="A117" s="3">
        <v>2033577</v>
      </c>
      <c r="B117">
        <v>43310</v>
      </c>
      <c r="C117">
        <v>1</v>
      </c>
      <c r="D117" s="9">
        <v>102</v>
      </c>
      <c r="E117">
        <v>1001</v>
      </c>
      <c r="F117" s="1">
        <v>44004</v>
      </c>
      <c r="G117" t="s">
        <v>41</v>
      </c>
      <c r="H117" s="4" t="s">
        <v>16</v>
      </c>
      <c r="I117" s="4">
        <v>-714.13</v>
      </c>
      <c r="J117" s="4">
        <v>-714.13</v>
      </c>
      <c r="K117" t="str">
        <f>_xlfn.XLOOKUP($C117,Table1[BusinessUnitID],Table1[BusinessUnit],"",0)</f>
        <v>FOOD SERVICE</v>
      </c>
      <c r="L117" t="str" cm="1">
        <f t="array" ref="L117">_xlfn.XLOOKUP($C117,Table1[[#All],[BusinessUnitID]],Table1[[#All],[Description]],"",0,1)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117" t="str">
        <f>_xlfn.XLOOKUP($B117,ChartOfAccounts!A116:A201,ChartOfAccounts!B116:B201,"",0,1)</f>
        <v/>
      </c>
      <c r="N117">
        <f>_xlfn.XLOOKUP($B117,ChartOfAccounts!A116:A201,ChartOfAccounts!D116:D201,0,1)</f>
        <v>0</v>
      </c>
      <c r="O117" t="str">
        <f>_xlfn.XLOOKUP($B117,ChartOfAccounts!A116:A201,ChartOfAccounts!F116:F201,"",0,1)</f>
        <v/>
      </c>
      <c r="P117" t="str" cm="1">
        <f t="array" ref="P117">_xlfn.XLOOKUP($D117&amp;$C117,PreparerInfo!A116:A128&amp;PreparerInfo!C116:C128,PreparerInfo!B116:B128,"",0,1)</f>
        <v/>
      </c>
      <c r="Q117" t="str">
        <f>_xlfn.XLOOKUP($E117,Source!A116:A124,Source!B116:B124,"",0,1)</f>
        <v/>
      </c>
    </row>
    <row r="118" spans="1:17" x14ac:dyDescent="0.3">
      <c r="A118" s="3">
        <v>2033578</v>
      </c>
      <c r="B118">
        <v>71500</v>
      </c>
      <c r="C118">
        <v>6</v>
      </c>
      <c r="D118" s="9">
        <v>101</v>
      </c>
      <c r="E118">
        <v>1002</v>
      </c>
      <c r="F118" s="1">
        <v>44004</v>
      </c>
      <c r="G118" t="s">
        <v>187</v>
      </c>
      <c r="H118" s="4">
        <v>740</v>
      </c>
      <c r="I118" s="4" t="s">
        <v>16</v>
      </c>
      <c r="J118" s="4">
        <v>740</v>
      </c>
      <c r="K118" t="str">
        <f>_xlfn.XLOOKUP($C118,Table1[BusinessUnitID],Table1[BusinessUnit],"",0)</f>
        <v>MAINTENANCE</v>
      </c>
      <c r="L118" t="str" cm="1">
        <f t="array" ref="L118">_xlfn.XLOOKUP($C118,Table1[[#All],[BusinessUnitID]],Table1[[#All],[Description]],"",0,1)</f>
        <v>Transactions related to the hotel Maintenance Department. Primarily includes payroll for maintenance, grounds keepers and related supplies.</v>
      </c>
      <c r="M118" t="str">
        <f>_xlfn.XLOOKUP($B118,ChartOfAccounts!A117:A202,ChartOfAccounts!B117:B202,"",0,1)</f>
        <v/>
      </c>
      <c r="N118">
        <f>_xlfn.XLOOKUP($B118,ChartOfAccounts!A117:A202,ChartOfAccounts!D117:D202,0,1)</f>
        <v>0</v>
      </c>
      <c r="O118" t="str">
        <f>_xlfn.XLOOKUP($B118,ChartOfAccounts!A117:A202,ChartOfAccounts!F117:F202,"",0,1)</f>
        <v/>
      </c>
      <c r="P118" t="str" cm="1">
        <f t="array" ref="P118">_xlfn.XLOOKUP($D118&amp;$C118,PreparerInfo!A117:A129&amp;PreparerInfo!C117:C129,PreparerInfo!B117:B129,"",0,1)</f>
        <v/>
      </c>
      <c r="Q118" t="str">
        <f>_xlfn.XLOOKUP($E118,Source!A117:A125,Source!B117:B125,"",0,1)</f>
        <v/>
      </c>
    </row>
    <row r="119" spans="1:17" x14ac:dyDescent="0.3">
      <c r="A119" s="3">
        <v>2033578</v>
      </c>
      <c r="B119">
        <v>11845</v>
      </c>
      <c r="C119">
        <v>6</v>
      </c>
      <c r="D119" s="9">
        <v>101</v>
      </c>
      <c r="E119">
        <v>1002</v>
      </c>
      <c r="F119" s="1">
        <v>44004</v>
      </c>
      <c r="G119" t="s">
        <v>187</v>
      </c>
      <c r="H119" s="4" t="s">
        <v>16</v>
      </c>
      <c r="I119" s="4">
        <v>-740</v>
      </c>
      <c r="J119" s="4">
        <v>-740</v>
      </c>
      <c r="K119" t="str">
        <f>_xlfn.XLOOKUP($C119,Table1[BusinessUnitID],Table1[BusinessUnit],"",0)</f>
        <v>MAINTENANCE</v>
      </c>
      <c r="L119" t="str" cm="1">
        <f t="array" ref="L119">_xlfn.XLOOKUP($C119,Table1[[#All],[BusinessUnitID]],Table1[[#All],[Description]],"",0,1)</f>
        <v>Transactions related to the hotel Maintenance Department. Primarily includes payroll for maintenance, grounds keepers and related supplies.</v>
      </c>
      <c r="M119" t="str">
        <f>_xlfn.XLOOKUP($B119,ChartOfAccounts!A118:A203,ChartOfAccounts!B118:B203,"",0,1)</f>
        <v/>
      </c>
      <c r="N119">
        <f>_xlfn.XLOOKUP($B119,ChartOfAccounts!A118:A203,ChartOfAccounts!D118:D203,0,1)</f>
        <v>0</v>
      </c>
      <c r="O119" t="str">
        <f>_xlfn.XLOOKUP($B119,ChartOfAccounts!A118:A203,ChartOfAccounts!F118:F203,"",0,1)</f>
        <v/>
      </c>
      <c r="P119" t="str" cm="1">
        <f t="array" ref="P119">_xlfn.XLOOKUP($D119&amp;$C119,PreparerInfo!A118:A130&amp;PreparerInfo!C118:C130,PreparerInfo!B118:B130,"",0,1)</f>
        <v/>
      </c>
      <c r="Q119" t="str">
        <f>_xlfn.XLOOKUP($E119,Source!A118:A126,Source!B118:B126,"",0,1)</f>
        <v/>
      </c>
    </row>
    <row r="120" spans="1:17" x14ac:dyDescent="0.3">
      <c r="A120" s="3">
        <v>2033579</v>
      </c>
      <c r="B120">
        <v>11845</v>
      </c>
      <c r="C120">
        <v>2</v>
      </c>
      <c r="D120" s="9">
        <v>104</v>
      </c>
      <c r="E120">
        <v>1003</v>
      </c>
      <c r="F120" s="1">
        <v>44004</v>
      </c>
      <c r="G120" t="s">
        <v>227</v>
      </c>
      <c r="H120" s="4">
        <v>774</v>
      </c>
      <c r="I120" s="4" t="s">
        <v>16</v>
      </c>
      <c r="J120" s="4">
        <v>774</v>
      </c>
      <c r="K120" t="str">
        <f>_xlfn.XLOOKUP($C120,Table1[BusinessUnitID],Table1[BusinessUnit],"",0)</f>
        <v>HOTEL</v>
      </c>
      <c r="L120" t="str" cm="1">
        <f t="array" ref="L120">_xlfn.XLOOKUP($C120,Table1[[#All],[BusinessUnitID]],Table1[[#All],[Description]],"",0,1)</f>
        <v xml:space="preserve">Transactions related to guest rooms and overall hotel operations. Includes payroll for administrative staff, clerks and interns. </v>
      </c>
      <c r="M120" t="str">
        <f>_xlfn.XLOOKUP($B120,ChartOfAccounts!A119:A204,ChartOfAccounts!B119:B204,"",0,1)</f>
        <v/>
      </c>
      <c r="N120">
        <f>_xlfn.XLOOKUP($B120,ChartOfAccounts!A119:A204,ChartOfAccounts!D119:D204,0,1)</f>
        <v>0</v>
      </c>
      <c r="O120" t="str">
        <f>_xlfn.XLOOKUP($B120,ChartOfAccounts!A119:A204,ChartOfAccounts!F119:F204,"",0,1)</f>
        <v/>
      </c>
      <c r="P120" t="str" cm="1">
        <f t="array" ref="P120">_xlfn.XLOOKUP($D120&amp;$C120,PreparerInfo!A119:A131&amp;PreparerInfo!C119:C131,PreparerInfo!B119:B131,"",0,1)</f>
        <v/>
      </c>
      <c r="Q120" t="str">
        <f>_xlfn.XLOOKUP($E120,Source!A119:A127,Source!B119:B127,"",0,1)</f>
        <v/>
      </c>
    </row>
    <row r="121" spans="1:17" x14ac:dyDescent="0.3">
      <c r="A121" s="3">
        <v>2033579</v>
      </c>
      <c r="B121">
        <v>43180</v>
      </c>
      <c r="C121">
        <v>2</v>
      </c>
      <c r="D121" s="9">
        <v>104</v>
      </c>
      <c r="E121">
        <v>1003</v>
      </c>
      <c r="F121" s="1">
        <v>44004</v>
      </c>
      <c r="G121" t="s">
        <v>227</v>
      </c>
      <c r="H121" s="4" t="s">
        <v>16</v>
      </c>
      <c r="I121" s="4">
        <v>-774</v>
      </c>
      <c r="J121" s="4">
        <v>-774</v>
      </c>
      <c r="K121" t="str">
        <f>_xlfn.XLOOKUP($C121,Table1[BusinessUnitID],Table1[BusinessUnit],"",0)</f>
        <v>HOTEL</v>
      </c>
      <c r="L121" t="str" cm="1">
        <f t="array" ref="L121">_xlfn.XLOOKUP($C121,Table1[[#All],[BusinessUnitID]],Table1[[#All],[Description]],"",0,1)</f>
        <v xml:space="preserve">Transactions related to guest rooms and overall hotel operations. Includes payroll for administrative staff, clerks and interns. </v>
      </c>
      <c r="M121" t="str">
        <f>_xlfn.XLOOKUP($B121,ChartOfAccounts!A120:A205,ChartOfAccounts!B120:B205,"",0,1)</f>
        <v/>
      </c>
      <c r="N121">
        <f>_xlfn.XLOOKUP($B121,ChartOfAccounts!A120:A205,ChartOfAccounts!D120:D205,0,1)</f>
        <v>0</v>
      </c>
      <c r="O121" t="str">
        <f>_xlfn.XLOOKUP($B121,ChartOfAccounts!A120:A205,ChartOfAccounts!F120:F205,"",0,1)</f>
        <v/>
      </c>
      <c r="P121" t="str" cm="1">
        <f t="array" ref="P121">_xlfn.XLOOKUP($D121&amp;$C121,PreparerInfo!A120:A132&amp;PreparerInfo!C120:C132,PreparerInfo!B120:B132,"",0,1)</f>
        <v/>
      </c>
      <c r="Q121" t="str">
        <f>_xlfn.XLOOKUP($E121,Source!A120:A128,Source!B120:B128,"",0,1)</f>
        <v/>
      </c>
    </row>
    <row r="122" spans="1:17" x14ac:dyDescent="0.3">
      <c r="A122" s="3">
        <v>2033580</v>
      </c>
      <c r="B122">
        <v>72760</v>
      </c>
      <c r="C122">
        <v>1</v>
      </c>
      <c r="D122" s="9">
        <v>101</v>
      </c>
      <c r="E122">
        <v>1002</v>
      </c>
      <c r="F122" s="1">
        <v>44004</v>
      </c>
      <c r="G122" t="s">
        <v>164</v>
      </c>
      <c r="H122" s="4">
        <v>900</v>
      </c>
      <c r="I122" s="4" t="s">
        <v>16</v>
      </c>
      <c r="J122" s="4">
        <v>900</v>
      </c>
      <c r="K122" t="str">
        <f>_xlfn.XLOOKUP($C122,Table1[BusinessUnitID],Table1[BusinessUnit],"",0)</f>
        <v>FOOD SERVICE</v>
      </c>
      <c r="L122" t="str" cm="1">
        <f t="array" ref="L122">_xlfn.XLOOKUP($C122,Table1[[#All],[BusinessUnitID]],Table1[[#All],[Description]],"",0,1)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122" t="str">
        <f>_xlfn.XLOOKUP($B122,ChartOfAccounts!A121:A206,ChartOfAccounts!B121:B206,"",0,1)</f>
        <v/>
      </c>
      <c r="N122">
        <f>_xlfn.XLOOKUP($B122,ChartOfAccounts!A121:A206,ChartOfAccounts!D121:D206,0,1)</f>
        <v>0</v>
      </c>
      <c r="O122" t="str">
        <f>_xlfn.XLOOKUP($B122,ChartOfAccounts!A121:A206,ChartOfAccounts!F121:F206,"",0,1)</f>
        <v/>
      </c>
      <c r="P122" t="str" cm="1">
        <f t="array" ref="P122">_xlfn.XLOOKUP($D122&amp;$C122,PreparerInfo!A121:A133&amp;PreparerInfo!C121:C133,PreparerInfo!B121:B133,"",0,1)</f>
        <v/>
      </c>
      <c r="Q122" t="str">
        <f>_xlfn.XLOOKUP($E122,Source!A121:A129,Source!B121:B129,"",0,1)</f>
        <v/>
      </c>
    </row>
    <row r="123" spans="1:17" x14ac:dyDescent="0.3">
      <c r="A123" s="3">
        <v>2033580</v>
      </c>
      <c r="B123">
        <v>11845</v>
      </c>
      <c r="C123">
        <v>1</v>
      </c>
      <c r="D123" s="9">
        <v>101</v>
      </c>
      <c r="E123">
        <v>1002</v>
      </c>
      <c r="F123" s="1">
        <v>44004</v>
      </c>
      <c r="G123" t="s">
        <v>164</v>
      </c>
      <c r="H123" s="4" t="s">
        <v>16</v>
      </c>
      <c r="I123" s="4">
        <v>-900</v>
      </c>
      <c r="J123" s="4">
        <v>-900</v>
      </c>
      <c r="K123" t="str">
        <f>_xlfn.XLOOKUP($C123,Table1[BusinessUnitID],Table1[BusinessUnit],"",0)</f>
        <v>FOOD SERVICE</v>
      </c>
      <c r="L123" t="str" cm="1">
        <f t="array" ref="L123">_xlfn.XLOOKUP($C123,Table1[[#All],[BusinessUnitID]],Table1[[#All],[Description]],"",0,1)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123" t="str">
        <f>_xlfn.XLOOKUP($B123,ChartOfAccounts!A122:A207,ChartOfAccounts!B122:B207,"",0,1)</f>
        <v/>
      </c>
      <c r="N123">
        <f>_xlfn.XLOOKUP($B123,ChartOfAccounts!A122:A207,ChartOfAccounts!D122:D207,0,1)</f>
        <v>0</v>
      </c>
      <c r="O123" t="str">
        <f>_xlfn.XLOOKUP($B123,ChartOfAccounts!A122:A207,ChartOfAccounts!F122:F207,"",0,1)</f>
        <v/>
      </c>
      <c r="P123" t="str" cm="1">
        <f t="array" ref="P123">_xlfn.XLOOKUP($D123&amp;$C123,PreparerInfo!A122:A134&amp;PreparerInfo!C122:C134,PreparerInfo!B122:B134,"",0,1)</f>
        <v/>
      </c>
      <c r="Q123" t="str">
        <f>_xlfn.XLOOKUP($E123,Source!A122:A130,Source!B122:B130,"",0,1)</f>
        <v/>
      </c>
    </row>
    <row r="124" spans="1:17" x14ac:dyDescent="0.3">
      <c r="A124" s="3">
        <v>2033581</v>
      </c>
      <c r="B124">
        <v>11845</v>
      </c>
      <c r="C124">
        <v>1</v>
      </c>
      <c r="D124" s="9">
        <v>106</v>
      </c>
      <c r="E124">
        <v>1003</v>
      </c>
      <c r="F124" s="1">
        <v>44004</v>
      </c>
      <c r="G124" t="s">
        <v>80</v>
      </c>
      <c r="H124" s="4">
        <v>1408.75</v>
      </c>
      <c r="I124" s="4" t="s">
        <v>16</v>
      </c>
      <c r="J124" s="4">
        <v>1408.75</v>
      </c>
      <c r="K124" t="str">
        <f>_xlfn.XLOOKUP($C124,Table1[BusinessUnitID],Table1[BusinessUnit],"",0)</f>
        <v>FOOD SERVICE</v>
      </c>
      <c r="L124" t="str" cm="1">
        <f t="array" ref="L124">_xlfn.XLOOKUP($C124,Table1[[#All],[BusinessUnitID]],Table1[[#All],[Description]],"",0,1)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124" t="str">
        <f>_xlfn.XLOOKUP($B124,ChartOfAccounts!A123:A208,ChartOfAccounts!B123:B208,"",0,1)</f>
        <v/>
      </c>
      <c r="N124">
        <f>_xlfn.XLOOKUP($B124,ChartOfAccounts!A123:A208,ChartOfAccounts!D123:D208,0,1)</f>
        <v>0</v>
      </c>
      <c r="O124" t="str">
        <f>_xlfn.XLOOKUP($B124,ChartOfAccounts!A123:A208,ChartOfAccounts!F123:F208,"",0,1)</f>
        <v/>
      </c>
      <c r="P124" t="str" cm="1">
        <f t="array" ref="P124">_xlfn.XLOOKUP($D124&amp;$C124,PreparerInfo!A123:A135&amp;PreparerInfo!C123:C135,PreparerInfo!B123:B135,"",0,1)</f>
        <v/>
      </c>
      <c r="Q124" t="str">
        <f>_xlfn.XLOOKUP($E124,Source!A123:A131,Source!B123:B131,"",0,1)</f>
        <v/>
      </c>
    </row>
    <row r="125" spans="1:17" x14ac:dyDescent="0.3">
      <c r="A125" s="3">
        <v>2033581</v>
      </c>
      <c r="B125">
        <v>43440</v>
      </c>
      <c r="C125">
        <v>1</v>
      </c>
      <c r="D125" s="9">
        <v>106</v>
      </c>
      <c r="E125">
        <v>1003</v>
      </c>
      <c r="F125" s="1">
        <v>44004</v>
      </c>
      <c r="G125" t="s">
        <v>80</v>
      </c>
      <c r="H125" s="4" t="s">
        <v>16</v>
      </c>
      <c r="I125" s="4">
        <v>-1408.75</v>
      </c>
      <c r="J125" s="4">
        <v>-1408.75</v>
      </c>
      <c r="K125" t="str">
        <f>_xlfn.XLOOKUP($C125,Table1[BusinessUnitID],Table1[BusinessUnit],"",0)</f>
        <v>FOOD SERVICE</v>
      </c>
      <c r="L125" t="str" cm="1">
        <f t="array" ref="L125">_xlfn.XLOOKUP($C125,Table1[[#All],[BusinessUnitID]],Table1[[#All],[Description]],"",0,1)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125" t="str">
        <f>_xlfn.XLOOKUP($B125,ChartOfAccounts!A124:A209,ChartOfAccounts!B124:B209,"",0,1)</f>
        <v/>
      </c>
      <c r="N125">
        <f>_xlfn.XLOOKUP($B125,ChartOfAccounts!A124:A209,ChartOfAccounts!D124:D209,0,1)</f>
        <v>0</v>
      </c>
      <c r="O125" t="str">
        <f>_xlfn.XLOOKUP($B125,ChartOfAccounts!A124:A209,ChartOfAccounts!F124:F209,"",0,1)</f>
        <v/>
      </c>
      <c r="P125" t="str" cm="1">
        <f t="array" ref="P125">_xlfn.XLOOKUP($D125&amp;$C125,PreparerInfo!A124:A136&amp;PreparerInfo!C124:C136,PreparerInfo!B124:B136,"",0,1)</f>
        <v/>
      </c>
      <c r="Q125" t="str">
        <f>_xlfn.XLOOKUP($E125,Source!A124:A132,Source!B124:B132,"",0,1)</f>
        <v/>
      </c>
    </row>
    <row r="126" spans="1:17" x14ac:dyDescent="0.3">
      <c r="A126" s="3">
        <v>2033582</v>
      </c>
      <c r="B126">
        <v>11845</v>
      </c>
      <c r="C126">
        <v>2</v>
      </c>
      <c r="D126" s="9">
        <v>106</v>
      </c>
      <c r="E126">
        <v>1003</v>
      </c>
      <c r="F126" s="1">
        <v>44004</v>
      </c>
      <c r="G126" t="s">
        <v>81</v>
      </c>
      <c r="H126" s="4">
        <v>1785</v>
      </c>
      <c r="I126" s="4" t="s">
        <v>16</v>
      </c>
      <c r="J126" s="4">
        <v>1785</v>
      </c>
      <c r="K126" t="str">
        <f>_xlfn.XLOOKUP($C126,Table1[BusinessUnitID],Table1[BusinessUnit],"",0)</f>
        <v>HOTEL</v>
      </c>
      <c r="L126" t="str" cm="1">
        <f t="array" ref="L126">_xlfn.XLOOKUP($C126,Table1[[#All],[BusinessUnitID]],Table1[[#All],[Description]],"",0,1)</f>
        <v xml:space="preserve">Transactions related to guest rooms and overall hotel operations. Includes payroll for administrative staff, clerks and interns. </v>
      </c>
      <c r="M126" t="str">
        <f>_xlfn.XLOOKUP($B126,ChartOfAccounts!A125:A210,ChartOfAccounts!B125:B210,"",0,1)</f>
        <v/>
      </c>
      <c r="N126">
        <f>_xlfn.XLOOKUP($B126,ChartOfAccounts!A125:A210,ChartOfAccounts!D125:D210,0,1)</f>
        <v>0</v>
      </c>
      <c r="O126" t="str">
        <f>_xlfn.XLOOKUP($B126,ChartOfAccounts!A125:A210,ChartOfAccounts!F125:F210,"",0,1)</f>
        <v/>
      </c>
      <c r="P126" t="str" cm="1">
        <f t="array" ref="P126">_xlfn.XLOOKUP($D126&amp;$C126,PreparerInfo!A125:A137&amp;PreparerInfo!C125:C137,PreparerInfo!B125:B137,"",0,1)</f>
        <v/>
      </c>
      <c r="Q126" t="str">
        <f>_xlfn.XLOOKUP($E126,Source!A125:A133,Source!B125:B133,"",0,1)</f>
        <v/>
      </c>
    </row>
    <row r="127" spans="1:17" x14ac:dyDescent="0.3">
      <c r="A127" s="3">
        <v>2033582</v>
      </c>
      <c r="B127">
        <v>43180</v>
      </c>
      <c r="C127">
        <v>2</v>
      </c>
      <c r="D127" s="9">
        <v>106</v>
      </c>
      <c r="E127">
        <v>1003</v>
      </c>
      <c r="F127" s="1">
        <v>44004</v>
      </c>
      <c r="G127" t="s">
        <v>81</v>
      </c>
      <c r="H127" s="4" t="s">
        <v>16</v>
      </c>
      <c r="I127" s="4">
        <v>-1785</v>
      </c>
      <c r="J127" s="4">
        <v>-1785</v>
      </c>
      <c r="K127" t="str">
        <f>_xlfn.XLOOKUP($C127,Table1[BusinessUnitID],Table1[BusinessUnit],"",0)</f>
        <v>HOTEL</v>
      </c>
      <c r="L127" t="str" cm="1">
        <f t="array" ref="L127">_xlfn.XLOOKUP($C127,Table1[[#All],[BusinessUnitID]],Table1[[#All],[Description]],"",0,1)</f>
        <v xml:space="preserve">Transactions related to guest rooms and overall hotel operations. Includes payroll for administrative staff, clerks and interns. </v>
      </c>
      <c r="M127" t="str">
        <f>_xlfn.XLOOKUP($B127,ChartOfAccounts!A126:A211,ChartOfAccounts!B126:B211,"",0,1)</f>
        <v/>
      </c>
      <c r="N127">
        <f>_xlfn.XLOOKUP($B127,ChartOfAccounts!A126:A211,ChartOfAccounts!D126:D211,0,1)</f>
        <v>0</v>
      </c>
      <c r="O127" t="str">
        <f>_xlfn.XLOOKUP($B127,ChartOfAccounts!A126:A211,ChartOfAccounts!F126:F211,"",0,1)</f>
        <v/>
      </c>
      <c r="P127" t="str" cm="1">
        <f t="array" ref="P127">_xlfn.XLOOKUP($D127&amp;$C127,PreparerInfo!A126:A138&amp;PreparerInfo!C126:C138,PreparerInfo!B126:B138,"",0,1)</f>
        <v/>
      </c>
      <c r="Q127" t="str">
        <f>_xlfn.XLOOKUP($E127,Source!A126:A134,Source!B126:B134,"",0,1)</f>
        <v/>
      </c>
    </row>
    <row r="128" spans="1:17" x14ac:dyDescent="0.3">
      <c r="A128" s="3">
        <v>2033583</v>
      </c>
      <c r="B128">
        <v>11845</v>
      </c>
      <c r="C128">
        <v>1</v>
      </c>
      <c r="D128" s="9">
        <v>102</v>
      </c>
      <c r="E128">
        <v>1003</v>
      </c>
      <c r="F128" s="1">
        <v>44004</v>
      </c>
      <c r="G128" t="s">
        <v>15</v>
      </c>
      <c r="H128" s="4">
        <v>1875</v>
      </c>
      <c r="I128" s="4" t="s">
        <v>16</v>
      </c>
      <c r="J128" s="4">
        <v>1875</v>
      </c>
      <c r="K128" t="str">
        <f>_xlfn.XLOOKUP($C128,Table1[BusinessUnitID],Table1[BusinessUnit],"",0)</f>
        <v>FOOD SERVICE</v>
      </c>
      <c r="L128" t="str" cm="1">
        <f t="array" ref="L128">_xlfn.XLOOKUP($C128,Table1[[#All],[BusinessUnitID]],Table1[[#All],[Description]],"",0,1)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128" t="str">
        <f>_xlfn.XLOOKUP($B128,ChartOfAccounts!A127:A212,ChartOfAccounts!B127:B212,"",0,1)</f>
        <v/>
      </c>
      <c r="N128">
        <f>_xlfn.XLOOKUP($B128,ChartOfAccounts!A127:A212,ChartOfAccounts!D127:D212,0,1)</f>
        <v>0</v>
      </c>
      <c r="O128" t="str">
        <f>_xlfn.XLOOKUP($B128,ChartOfAccounts!A127:A212,ChartOfAccounts!F127:F212,"",0,1)</f>
        <v/>
      </c>
      <c r="P128" t="str" cm="1">
        <f t="array" ref="P128">_xlfn.XLOOKUP($D128&amp;$C128,PreparerInfo!A127:A139&amp;PreparerInfo!C127:C139,PreparerInfo!B127:B139,"",0,1)</f>
        <v/>
      </c>
      <c r="Q128" t="str">
        <f>_xlfn.XLOOKUP($E128,Source!A127:A135,Source!B127:B135,"",0,1)</f>
        <v/>
      </c>
    </row>
    <row r="129" spans="1:17" x14ac:dyDescent="0.3">
      <c r="A129" s="3">
        <v>2033583</v>
      </c>
      <c r="B129">
        <v>43310</v>
      </c>
      <c r="C129">
        <v>1</v>
      </c>
      <c r="D129" s="9">
        <v>102</v>
      </c>
      <c r="E129">
        <v>1003</v>
      </c>
      <c r="F129" s="1">
        <v>44004</v>
      </c>
      <c r="G129" t="s">
        <v>15</v>
      </c>
      <c r="H129" s="4" t="s">
        <v>16</v>
      </c>
      <c r="I129" s="4">
        <v>-1875</v>
      </c>
      <c r="J129" s="4">
        <v>-1875</v>
      </c>
      <c r="K129" t="str">
        <f>_xlfn.XLOOKUP($C129,Table1[BusinessUnitID],Table1[BusinessUnit],"",0)</f>
        <v>FOOD SERVICE</v>
      </c>
      <c r="L129" t="str" cm="1">
        <f t="array" ref="L129">_xlfn.XLOOKUP($C129,Table1[[#All],[BusinessUnitID]],Table1[[#All],[Description]],"",0,1)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129" t="str">
        <f>_xlfn.XLOOKUP($B129,ChartOfAccounts!A128:A213,ChartOfAccounts!B128:B213,"",0,1)</f>
        <v/>
      </c>
      <c r="N129">
        <f>_xlfn.XLOOKUP($B129,ChartOfAccounts!A128:A213,ChartOfAccounts!D128:D213,0,1)</f>
        <v>0</v>
      </c>
      <c r="O129" t="str">
        <f>_xlfn.XLOOKUP($B129,ChartOfAccounts!A128:A213,ChartOfAccounts!F128:F213,"",0,1)</f>
        <v/>
      </c>
      <c r="P129" t="str" cm="1">
        <f t="array" ref="P129">_xlfn.XLOOKUP($D129&amp;$C129,PreparerInfo!A128:A140&amp;PreparerInfo!C128:C140,PreparerInfo!B128:B140,"",0,1)</f>
        <v/>
      </c>
      <c r="Q129" t="str">
        <f>_xlfn.XLOOKUP($E129,Source!A128:A136,Source!B128:B136,"",0,1)</f>
        <v/>
      </c>
    </row>
    <row r="130" spans="1:17" x14ac:dyDescent="0.3">
      <c r="A130" s="3">
        <v>2033584</v>
      </c>
      <c r="B130">
        <v>11845</v>
      </c>
      <c r="C130">
        <v>1</v>
      </c>
      <c r="D130" s="9">
        <v>102</v>
      </c>
      <c r="E130">
        <v>1003</v>
      </c>
      <c r="F130" s="1">
        <v>44004</v>
      </c>
      <c r="G130" t="s">
        <v>15</v>
      </c>
      <c r="H130" s="4">
        <v>2134.79</v>
      </c>
      <c r="I130" s="4" t="s">
        <v>16</v>
      </c>
      <c r="J130" s="4">
        <v>2134.79</v>
      </c>
      <c r="K130" t="str">
        <f>_xlfn.XLOOKUP($C130,Table1[BusinessUnitID],Table1[BusinessUnit],"",0)</f>
        <v>FOOD SERVICE</v>
      </c>
      <c r="L130" t="str" cm="1">
        <f t="array" ref="L130">_xlfn.XLOOKUP($C130,Table1[[#All],[BusinessUnitID]],Table1[[#All],[Description]],"",0,1)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130" t="str">
        <f>_xlfn.XLOOKUP($B130,ChartOfAccounts!A129:A214,ChartOfAccounts!B129:B214,"",0,1)</f>
        <v/>
      </c>
      <c r="N130">
        <f>_xlfn.XLOOKUP($B130,ChartOfAccounts!A129:A214,ChartOfAccounts!D129:D214,0,1)</f>
        <v>0</v>
      </c>
      <c r="O130" t="str">
        <f>_xlfn.XLOOKUP($B130,ChartOfAccounts!A129:A214,ChartOfAccounts!F129:F214,"",0,1)</f>
        <v/>
      </c>
      <c r="P130" t="str" cm="1">
        <f t="array" ref="P130">_xlfn.XLOOKUP($D130&amp;$C130,PreparerInfo!A129:A141&amp;PreparerInfo!C129:C141,PreparerInfo!B129:B141,"",0,1)</f>
        <v/>
      </c>
      <c r="Q130" t="str">
        <f>_xlfn.XLOOKUP($E130,Source!A129:A137,Source!B129:B137,"",0,1)</f>
        <v/>
      </c>
    </row>
    <row r="131" spans="1:17" x14ac:dyDescent="0.3">
      <c r="A131" s="3">
        <v>2033584</v>
      </c>
      <c r="B131">
        <v>43310</v>
      </c>
      <c r="C131">
        <v>1</v>
      </c>
      <c r="D131" s="9">
        <v>102</v>
      </c>
      <c r="E131">
        <v>1003</v>
      </c>
      <c r="F131" s="1">
        <v>44004</v>
      </c>
      <c r="G131" t="s">
        <v>15</v>
      </c>
      <c r="H131" s="4" t="s">
        <v>16</v>
      </c>
      <c r="I131" s="4">
        <v>-2134.79</v>
      </c>
      <c r="J131" s="4">
        <v>-2134.79</v>
      </c>
      <c r="K131" t="str">
        <f>_xlfn.XLOOKUP($C131,Table1[BusinessUnitID],Table1[BusinessUnit],"",0)</f>
        <v>FOOD SERVICE</v>
      </c>
      <c r="L131" t="str" cm="1">
        <f t="array" ref="L131">_xlfn.XLOOKUP($C131,Table1[[#All],[BusinessUnitID]],Table1[[#All],[Description]],"",0,1)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131" t="str">
        <f>_xlfn.XLOOKUP($B131,ChartOfAccounts!A130:A215,ChartOfAccounts!B130:B215,"",0,1)</f>
        <v/>
      </c>
      <c r="N131">
        <f>_xlfn.XLOOKUP($B131,ChartOfAccounts!A130:A215,ChartOfAccounts!D130:D215,0,1)</f>
        <v>0</v>
      </c>
      <c r="O131" t="str">
        <f>_xlfn.XLOOKUP($B131,ChartOfAccounts!A130:A215,ChartOfAccounts!F130:F215,"",0,1)</f>
        <v/>
      </c>
      <c r="P131" t="str" cm="1">
        <f t="array" ref="P131">_xlfn.XLOOKUP($D131&amp;$C131,PreparerInfo!A130:A142&amp;PreparerInfo!C130:C142,PreparerInfo!B130:B142,"",0,1)</f>
        <v/>
      </c>
      <c r="Q131" t="str">
        <f>_xlfn.XLOOKUP($E131,Source!A130:A138,Source!B130:B138,"",0,1)</f>
        <v/>
      </c>
    </row>
    <row r="132" spans="1:17" x14ac:dyDescent="0.3">
      <c r="A132" s="3">
        <v>2033585</v>
      </c>
      <c r="B132">
        <v>11845</v>
      </c>
      <c r="C132">
        <v>2</v>
      </c>
      <c r="D132" s="9">
        <v>104</v>
      </c>
      <c r="E132">
        <v>1003</v>
      </c>
      <c r="F132" s="1">
        <v>44004</v>
      </c>
      <c r="G132" t="s">
        <v>41</v>
      </c>
      <c r="H132" s="4">
        <v>2663.75</v>
      </c>
      <c r="I132" s="4" t="s">
        <v>16</v>
      </c>
      <c r="J132" s="4">
        <v>2663.75</v>
      </c>
      <c r="K132" t="str">
        <f>_xlfn.XLOOKUP($C132,Table1[BusinessUnitID],Table1[BusinessUnit],"",0)</f>
        <v>HOTEL</v>
      </c>
      <c r="L132" t="str" cm="1">
        <f t="array" ref="L132">_xlfn.XLOOKUP($C132,Table1[[#All],[BusinessUnitID]],Table1[[#All],[Description]],"",0,1)</f>
        <v xml:space="preserve">Transactions related to guest rooms and overall hotel operations. Includes payroll for administrative staff, clerks and interns. </v>
      </c>
      <c r="M132" t="str">
        <f>_xlfn.XLOOKUP($B132,ChartOfAccounts!A131:A216,ChartOfAccounts!B131:B216,"",0,1)</f>
        <v/>
      </c>
      <c r="N132">
        <f>_xlfn.XLOOKUP($B132,ChartOfAccounts!A131:A216,ChartOfAccounts!D131:D216,0,1)</f>
        <v>0</v>
      </c>
      <c r="O132" t="str">
        <f>_xlfn.XLOOKUP($B132,ChartOfAccounts!A131:A216,ChartOfAccounts!F131:F216,"",0,1)</f>
        <v/>
      </c>
      <c r="P132" t="str" cm="1">
        <f t="array" ref="P132">_xlfn.XLOOKUP($D132&amp;$C132,PreparerInfo!A131:A143&amp;PreparerInfo!C131:C143,PreparerInfo!B131:B143,"",0,1)</f>
        <v/>
      </c>
      <c r="Q132" t="str">
        <f>_xlfn.XLOOKUP($E132,Source!A131:A139,Source!B131:B139,"",0,1)</f>
        <v/>
      </c>
    </row>
    <row r="133" spans="1:17" x14ac:dyDescent="0.3">
      <c r="A133" s="3">
        <v>2033585</v>
      </c>
      <c r="B133">
        <v>43180</v>
      </c>
      <c r="C133">
        <v>2</v>
      </c>
      <c r="D133" s="9">
        <v>104</v>
      </c>
      <c r="E133">
        <v>1003</v>
      </c>
      <c r="F133" s="1">
        <v>44004</v>
      </c>
      <c r="G133" t="s">
        <v>41</v>
      </c>
      <c r="H133" s="4" t="s">
        <v>16</v>
      </c>
      <c r="I133" s="4">
        <v>-2663.75</v>
      </c>
      <c r="J133" s="4">
        <v>-2663.75</v>
      </c>
      <c r="K133" t="str">
        <f>_xlfn.XLOOKUP($C133,Table1[BusinessUnitID],Table1[BusinessUnit],"",0)</f>
        <v>HOTEL</v>
      </c>
      <c r="L133" t="str" cm="1">
        <f t="array" ref="L133">_xlfn.XLOOKUP($C133,Table1[[#All],[BusinessUnitID]],Table1[[#All],[Description]],"",0,1)</f>
        <v xml:space="preserve">Transactions related to guest rooms and overall hotel operations. Includes payroll for administrative staff, clerks and interns. </v>
      </c>
      <c r="M133" t="str">
        <f>_xlfn.XLOOKUP($B133,ChartOfAccounts!A132:A217,ChartOfAccounts!B132:B217,"",0,1)</f>
        <v/>
      </c>
      <c r="N133">
        <f>_xlfn.XLOOKUP($B133,ChartOfAccounts!A132:A217,ChartOfAccounts!D132:D217,0,1)</f>
        <v>0</v>
      </c>
      <c r="O133" t="str">
        <f>_xlfn.XLOOKUP($B133,ChartOfAccounts!A132:A217,ChartOfAccounts!F132:F217,"",0,1)</f>
        <v/>
      </c>
      <c r="P133" t="str" cm="1">
        <f t="array" ref="P133">_xlfn.XLOOKUP($D133&amp;$C133,PreparerInfo!A132:A144&amp;PreparerInfo!C132:C144,PreparerInfo!B132:B144,"",0,1)</f>
        <v/>
      </c>
      <c r="Q133" t="str">
        <f>_xlfn.XLOOKUP($E133,Source!A132:A140,Source!B132:B140,"",0,1)</f>
        <v/>
      </c>
    </row>
    <row r="134" spans="1:17" x14ac:dyDescent="0.3">
      <c r="A134" s="3">
        <v>2033586</v>
      </c>
      <c r="B134">
        <v>72725</v>
      </c>
      <c r="C134">
        <v>1</v>
      </c>
      <c r="D134" s="9">
        <v>101</v>
      </c>
      <c r="E134">
        <v>1002</v>
      </c>
      <c r="F134" s="1">
        <v>44004</v>
      </c>
      <c r="G134" t="s">
        <v>177</v>
      </c>
      <c r="H134" s="4">
        <v>2780</v>
      </c>
      <c r="I134" s="4" t="s">
        <v>16</v>
      </c>
      <c r="J134" s="4">
        <v>2780</v>
      </c>
      <c r="K134" t="str">
        <f>_xlfn.XLOOKUP($C134,Table1[BusinessUnitID],Table1[BusinessUnit],"",0)</f>
        <v>FOOD SERVICE</v>
      </c>
      <c r="L134" t="str" cm="1">
        <f t="array" ref="L134">_xlfn.XLOOKUP($C134,Table1[[#All],[BusinessUnitID]],Table1[[#All],[Description]],"",0,1)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134" t="str">
        <f>_xlfn.XLOOKUP($B134,ChartOfAccounts!A133:A218,ChartOfAccounts!B133:B218,"",0,1)</f>
        <v/>
      </c>
      <c r="N134">
        <f>_xlfn.XLOOKUP($B134,ChartOfAccounts!A133:A218,ChartOfAccounts!D133:D218,0,1)</f>
        <v>0</v>
      </c>
      <c r="O134" t="str">
        <f>_xlfn.XLOOKUP($B134,ChartOfAccounts!A133:A218,ChartOfAccounts!F133:F218,"",0,1)</f>
        <v/>
      </c>
      <c r="P134" t="str" cm="1">
        <f t="array" ref="P134">_xlfn.XLOOKUP($D134&amp;$C134,PreparerInfo!A133:A145&amp;PreparerInfo!C133:C145,PreparerInfo!B133:B145,"",0,1)</f>
        <v/>
      </c>
      <c r="Q134" t="str">
        <f>_xlfn.XLOOKUP($E134,Source!A133:A141,Source!B133:B141,"",0,1)</f>
        <v/>
      </c>
    </row>
    <row r="135" spans="1:17" x14ac:dyDescent="0.3">
      <c r="A135" s="3">
        <v>2033586</v>
      </c>
      <c r="B135">
        <v>11845</v>
      </c>
      <c r="C135">
        <v>1</v>
      </c>
      <c r="D135" s="9">
        <v>101</v>
      </c>
      <c r="E135">
        <v>1002</v>
      </c>
      <c r="F135" s="1">
        <v>44004</v>
      </c>
      <c r="G135" t="s">
        <v>177</v>
      </c>
      <c r="H135" s="4" t="s">
        <v>16</v>
      </c>
      <c r="I135" s="4">
        <v>-2780</v>
      </c>
      <c r="J135" s="4">
        <v>-2780</v>
      </c>
      <c r="K135" t="str">
        <f>_xlfn.XLOOKUP($C135,Table1[BusinessUnitID],Table1[BusinessUnit],"",0)</f>
        <v>FOOD SERVICE</v>
      </c>
      <c r="L135" t="str" cm="1">
        <f t="array" ref="L135">_xlfn.XLOOKUP($C135,Table1[[#All],[BusinessUnitID]],Table1[[#All],[Description]],"",0,1)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135" t="str">
        <f>_xlfn.XLOOKUP($B135,ChartOfAccounts!A134:A219,ChartOfAccounts!B134:B219,"",0,1)</f>
        <v/>
      </c>
      <c r="N135">
        <f>_xlfn.XLOOKUP($B135,ChartOfAccounts!A134:A219,ChartOfAccounts!D134:D219,0,1)</f>
        <v>0</v>
      </c>
      <c r="O135" t="str">
        <f>_xlfn.XLOOKUP($B135,ChartOfAccounts!A134:A219,ChartOfAccounts!F134:F219,"",0,1)</f>
        <v/>
      </c>
      <c r="P135" t="str" cm="1">
        <f t="array" ref="P135">_xlfn.XLOOKUP($D135&amp;$C135,PreparerInfo!A134:A146&amp;PreparerInfo!C134:C146,PreparerInfo!B134:B146,"",0,1)</f>
        <v/>
      </c>
      <c r="Q135" t="str">
        <f>_xlfn.XLOOKUP($E135,Source!A134:A142,Source!B134:B142,"",0,1)</f>
        <v/>
      </c>
    </row>
    <row r="136" spans="1:17" x14ac:dyDescent="0.3">
      <c r="A136" s="3">
        <v>2033587</v>
      </c>
      <c r="B136">
        <v>11845</v>
      </c>
      <c r="C136">
        <v>2</v>
      </c>
      <c r="D136" s="9">
        <v>106</v>
      </c>
      <c r="E136">
        <v>1003</v>
      </c>
      <c r="F136" s="1">
        <v>44004</v>
      </c>
      <c r="G136" t="s">
        <v>81</v>
      </c>
      <c r="H136" s="4">
        <v>6438</v>
      </c>
      <c r="I136" s="4" t="s">
        <v>16</v>
      </c>
      <c r="J136" s="4">
        <v>6438</v>
      </c>
      <c r="K136" t="str">
        <f>_xlfn.XLOOKUP($C136,Table1[BusinessUnitID],Table1[BusinessUnit],"",0)</f>
        <v>HOTEL</v>
      </c>
      <c r="L136" t="str" cm="1">
        <f t="array" ref="L136">_xlfn.XLOOKUP($C136,Table1[[#All],[BusinessUnitID]],Table1[[#All],[Description]],"",0,1)</f>
        <v xml:space="preserve">Transactions related to guest rooms and overall hotel operations. Includes payroll for administrative staff, clerks and interns. </v>
      </c>
      <c r="M136" t="str">
        <f>_xlfn.XLOOKUP($B136,ChartOfAccounts!A135:A220,ChartOfAccounts!B135:B220,"",0,1)</f>
        <v/>
      </c>
      <c r="N136">
        <f>_xlfn.XLOOKUP($B136,ChartOfAccounts!A135:A220,ChartOfAccounts!D135:D220,0,1)</f>
        <v>0</v>
      </c>
      <c r="O136" t="str">
        <f>_xlfn.XLOOKUP($B136,ChartOfAccounts!A135:A220,ChartOfAccounts!F135:F220,"",0,1)</f>
        <v/>
      </c>
      <c r="P136" t="str" cm="1">
        <f t="array" ref="P136">_xlfn.XLOOKUP($D136&amp;$C136,PreparerInfo!A135:A147&amp;PreparerInfo!C135:C147,PreparerInfo!B135:B147,"",0,1)</f>
        <v/>
      </c>
      <c r="Q136" t="str">
        <f>_xlfn.XLOOKUP($E136,Source!A135:A143,Source!B135:B143,"",0,1)</f>
        <v/>
      </c>
    </row>
    <row r="137" spans="1:17" x14ac:dyDescent="0.3">
      <c r="A137" s="3">
        <v>2033587</v>
      </c>
      <c r="B137">
        <v>43180</v>
      </c>
      <c r="C137">
        <v>2</v>
      </c>
      <c r="D137" s="9">
        <v>106</v>
      </c>
      <c r="E137">
        <v>1003</v>
      </c>
      <c r="F137" s="1">
        <v>44004</v>
      </c>
      <c r="G137" t="s">
        <v>81</v>
      </c>
      <c r="H137" s="4" t="s">
        <v>16</v>
      </c>
      <c r="I137" s="4">
        <v>-6438</v>
      </c>
      <c r="J137" s="4">
        <v>-6438</v>
      </c>
      <c r="K137" t="str">
        <f>_xlfn.XLOOKUP($C137,Table1[BusinessUnitID],Table1[BusinessUnit],"",0)</f>
        <v>HOTEL</v>
      </c>
      <c r="L137" t="str" cm="1">
        <f t="array" ref="L137">_xlfn.XLOOKUP($C137,Table1[[#All],[BusinessUnitID]],Table1[[#All],[Description]],"",0,1)</f>
        <v xml:space="preserve">Transactions related to guest rooms and overall hotel operations. Includes payroll for administrative staff, clerks and interns. </v>
      </c>
      <c r="M137" t="str">
        <f>_xlfn.XLOOKUP($B137,ChartOfAccounts!A136:A221,ChartOfAccounts!B136:B221,"",0,1)</f>
        <v/>
      </c>
      <c r="N137">
        <f>_xlfn.XLOOKUP($B137,ChartOfAccounts!A136:A221,ChartOfAccounts!D136:D221,0,1)</f>
        <v>0</v>
      </c>
      <c r="O137" t="str">
        <f>_xlfn.XLOOKUP($B137,ChartOfAccounts!A136:A221,ChartOfAccounts!F136:F221,"",0,1)</f>
        <v/>
      </c>
      <c r="P137" t="str" cm="1">
        <f t="array" ref="P137">_xlfn.XLOOKUP($D137&amp;$C137,PreparerInfo!A136:A148&amp;PreparerInfo!C136:C148,PreparerInfo!B136:B148,"",0,1)</f>
        <v/>
      </c>
      <c r="Q137" t="str">
        <f>_xlfn.XLOOKUP($E137,Source!A136:A144,Source!B136:B144,"",0,1)</f>
        <v/>
      </c>
    </row>
    <row r="138" spans="1:17" x14ac:dyDescent="0.3">
      <c r="A138" s="3">
        <v>2033588</v>
      </c>
      <c r="B138">
        <v>11845</v>
      </c>
      <c r="C138">
        <v>2</v>
      </c>
      <c r="D138" s="9">
        <v>104</v>
      </c>
      <c r="E138">
        <v>1003</v>
      </c>
      <c r="F138" s="1">
        <v>44004</v>
      </c>
      <c r="G138" t="s">
        <v>15</v>
      </c>
      <c r="H138" s="4">
        <v>7550</v>
      </c>
      <c r="I138" s="4" t="s">
        <v>16</v>
      </c>
      <c r="J138" s="4">
        <v>7550</v>
      </c>
      <c r="K138" t="str">
        <f>_xlfn.XLOOKUP($C138,Table1[BusinessUnitID],Table1[BusinessUnit],"",0)</f>
        <v>HOTEL</v>
      </c>
      <c r="L138" t="str" cm="1">
        <f t="array" ref="L138">_xlfn.XLOOKUP($C138,Table1[[#All],[BusinessUnitID]],Table1[[#All],[Description]],"",0,1)</f>
        <v xml:space="preserve">Transactions related to guest rooms and overall hotel operations. Includes payroll for administrative staff, clerks and interns. </v>
      </c>
      <c r="M138" t="str">
        <f>_xlfn.XLOOKUP($B138,ChartOfAccounts!A137:A222,ChartOfAccounts!B137:B222,"",0,1)</f>
        <v/>
      </c>
      <c r="N138">
        <f>_xlfn.XLOOKUP($B138,ChartOfAccounts!A137:A222,ChartOfAccounts!D137:D222,0,1)</f>
        <v>0</v>
      </c>
      <c r="O138" t="str">
        <f>_xlfn.XLOOKUP($B138,ChartOfAccounts!A137:A222,ChartOfAccounts!F137:F222,"",0,1)</f>
        <v/>
      </c>
      <c r="P138" t="str" cm="1">
        <f t="array" ref="P138">_xlfn.XLOOKUP($D138&amp;$C138,PreparerInfo!A137:A149&amp;PreparerInfo!C137:C149,PreparerInfo!B137:B149,"",0,1)</f>
        <v/>
      </c>
      <c r="Q138" t="str">
        <f>_xlfn.XLOOKUP($E138,Source!A137:A145,Source!B137:B145,"",0,1)</f>
        <v/>
      </c>
    </row>
    <row r="139" spans="1:17" x14ac:dyDescent="0.3">
      <c r="A139" s="3">
        <v>2033588</v>
      </c>
      <c r="B139">
        <v>43180</v>
      </c>
      <c r="C139">
        <v>2</v>
      </c>
      <c r="D139" s="9">
        <v>104</v>
      </c>
      <c r="E139">
        <v>1003</v>
      </c>
      <c r="F139" s="1">
        <v>44004</v>
      </c>
      <c r="G139" t="s">
        <v>15</v>
      </c>
      <c r="H139" s="4" t="s">
        <v>16</v>
      </c>
      <c r="I139" s="4">
        <v>-7550</v>
      </c>
      <c r="J139" s="4">
        <v>-7550</v>
      </c>
      <c r="K139" t="str">
        <f>_xlfn.XLOOKUP($C139,Table1[BusinessUnitID],Table1[BusinessUnit],"",0)</f>
        <v>HOTEL</v>
      </c>
      <c r="L139" t="str" cm="1">
        <f t="array" ref="L139">_xlfn.XLOOKUP($C139,Table1[[#All],[BusinessUnitID]],Table1[[#All],[Description]],"",0,1)</f>
        <v xml:space="preserve">Transactions related to guest rooms and overall hotel operations. Includes payroll for administrative staff, clerks and interns. </v>
      </c>
      <c r="M139" t="str">
        <f>_xlfn.XLOOKUP($B139,ChartOfAccounts!A138:A223,ChartOfAccounts!B138:B223,"",0,1)</f>
        <v/>
      </c>
      <c r="N139">
        <f>_xlfn.XLOOKUP($B139,ChartOfAccounts!A138:A223,ChartOfAccounts!D138:D223,0,1)</f>
        <v>0</v>
      </c>
      <c r="O139" t="str">
        <f>_xlfn.XLOOKUP($B139,ChartOfAccounts!A138:A223,ChartOfAccounts!F138:F223,"",0,1)</f>
        <v/>
      </c>
      <c r="P139" t="str" cm="1">
        <f t="array" ref="P139">_xlfn.XLOOKUP($D139&amp;$C139,PreparerInfo!A138:A150&amp;PreparerInfo!C138:C150,PreparerInfo!B138:B150,"",0,1)</f>
        <v/>
      </c>
      <c r="Q139" t="str">
        <f>_xlfn.XLOOKUP($E139,Source!A138:A146,Source!B138:B146,"",0,1)</f>
        <v/>
      </c>
    </row>
    <row r="140" spans="1:17" x14ac:dyDescent="0.3">
      <c r="A140" s="3">
        <v>2033589</v>
      </c>
      <c r="B140">
        <v>11845</v>
      </c>
      <c r="C140">
        <v>1</v>
      </c>
      <c r="D140" s="9">
        <v>106</v>
      </c>
      <c r="E140">
        <v>1003</v>
      </c>
      <c r="F140" s="1">
        <v>44004</v>
      </c>
      <c r="G140" t="s">
        <v>80</v>
      </c>
      <c r="H140" s="4">
        <v>11410.75</v>
      </c>
      <c r="I140" s="4" t="s">
        <v>16</v>
      </c>
      <c r="J140" s="4">
        <v>11410.75</v>
      </c>
      <c r="K140" t="str">
        <f>_xlfn.XLOOKUP($C140,Table1[BusinessUnitID],Table1[BusinessUnit],"",0)</f>
        <v>FOOD SERVICE</v>
      </c>
      <c r="L140" t="str" cm="1">
        <f t="array" ref="L140">_xlfn.XLOOKUP($C140,Table1[[#All],[BusinessUnitID]],Table1[[#All],[Description]],"",0,1)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140" t="str">
        <f>_xlfn.XLOOKUP($B140,ChartOfAccounts!A139:A224,ChartOfAccounts!B139:B224,"",0,1)</f>
        <v/>
      </c>
      <c r="N140">
        <f>_xlfn.XLOOKUP($B140,ChartOfAccounts!A139:A224,ChartOfAccounts!D139:D224,0,1)</f>
        <v>0</v>
      </c>
      <c r="O140" t="str">
        <f>_xlfn.XLOOKUP($B140,ChartOfAccounts!A139:A224,ChartOfAccounts!F139:F224,"",0,1)</f>
        <v/>
      </c>
      <c r="P140" t="str" cm="1">
        <f t="array" ref="P140">_xlfn.XLOOKUP($D140&amp;$C140,PreparerInfo!A139:A151&amp;PreparerInfo!C139:C151,PreparerInfo!B139:B151,"",0,1)</f>
        <v/>
      </c>
      <c r="Q140" t="str">
        <f>_xlfn.XLOOKUP($E140,Source!A139:A147,Source!B139:B147,"",0,1)</f>
        <v/>
      </c>
    </row>
    <row r="141" spans="1:17" x14ac:dyDescent="0.3">
      <c r="A141" s="3">
        <v>2033589</v>
      </c>
      <c r="B141">
        <v>43310</v>
      </c>
      <c r="C141">
        <v>1</v>
      </c>
      <c r="D141" s="9">
        <v>106</v>
      </c>
      <c r="E141">
        <v>1003</v>
      </c>
      <c r="F141" s="1">
        <v>44004</v>
      </c>
      <c r="G141" t="s">
        <v>80</v>
      </c>
      <c r="H141" s="4" t="s">
        <v>16</v>
      </c>
      <c r="I141" s="4">
        <v>-11410.75</v>
      </c>
      <c r="J141" s="4">
        <v>-11410.75</v>
      </c>
      <c r="K141" t="str">
        <f>_xlfn.XLOOKUP($C141,Table1[BusinessUnitID],Table1[BusinessUnit],"",0)</f>
        <v>FOOD SERVICE</v>
      </c>
      <c r="L141" t="str" cm="1">
        <f t="array" ref="L141">_xlfn.XLOOKUP($C141,Table1[[#All],[BusinessUnitID]],Table1[[#All],[Description]],"",0,1)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141" t="str">
        <f>_xlfn.XLOOKUP($B141,ChartOfAccounts!A140:A225,ChartOfAccounts!B140:B225,"",0,1)</f>
        <v/>
      </c>
      <c r="N141">
        <f>_xlfn.XLOOKUP($B141,ChartOfAccounts!A140:A225,ChartOfAccounts!D140:D225,0,1)</f>
        <v>0</v>
      </c>
      <c r="O141" t="str">
        <f>_xlfn.XLOOKUP($B141,ChartOfAccounts!A140:A225,ChartOfAccounts!F140:F225,"",0,1)</f>
        <v/>
      </c>
      <c r="P141" t="str" cm="1">
        <f t="array" ref="P141">_xlfn.XLOOKUP($D141&amp;$C141,PreparerInfo!A140:A152&amp;PreparerInfo!C140:C152,PreparerInfo!B140:B152,"",0,1)</f>
        <v/>
      </c>
      <c r="Q141" t="str">
        <f>_xlfn.XLOOKUP($E141,Source!A140:A148,Source!B140:B148,"",0,1)</f>
        <v/>
      </c>
    </row>
    <row r="142" spans="1:17" x14ac:dyDescent="0.3">
      <c r="A142" s="3">
        <v>2033590</v>
      </c>
      <c r="B142">
        <v>11845</v>
      </c>
      <c r="C142">
        <v>1</v>
      </c>
      <c r="D142" s="9">
        <v>106</v>
      </c>
      <c r="E142">
        <v>1003</v>
      </c>
      <c r="F142" s="1">
        <v>44004</v>
      </c>
      <c r="G142" t="s">
        <v>80</v>
      </c>
      <c r="H142" s="4">
        <v>23600.86</v>
      </c>
      <c r="I142" s="4" t="s">
        <v>16</v>
      </c>
      <c r="J142" s="4">
        <v>23600.86</v>
      </c>
      <c r="K142" t="str">
        <f>_xlfn.XLOOKUP($C142,Table1[BusinessUnitID],Table1[BusinessUnit],"",0)</f>
        <v>FOOD SERVICE</v>
      </c>
      <c r="L142" t="str" cm="1">
        <f t="array" ref="L142">_xlfn.XLOOKUP($C142,Table1[[#All],[BusinessUnitID]],Table1[[#All],[Description]],"",0,1)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142" t="str">
        <f>_xlfn.XLOOKUP($B142,ChartOfAccounts!A141:A226,ChartOfAccounts!B141:B226,"",0,1)</f>
        <v/>
      </c>
      <c r="N142">
        <f>_xlfn.XLOOKUP($B142,ChartOfAccounts!A141:A226,ChartOfAccounts!D141:D226,0,1)</f>
        <v>0</v>
      </c>
      <c r="O142" t="str">
        <f>_xlfn.XLOOKUP($B142,ChartOfAccounts!A141:A226,ChartOfAccounts!F141:F226,"",0,1)</f>
        <v/>
      </c>
      <c r="P142" t="str" cm="1">
        <f t="array" ref="P142">_xlfn.XLOOKUP($D142&amp;$C142,PreparerInfo!A141:A153&amp;PreparerInfo!C141:C153,PreparerInfo!B141:B153,"",0,1)</f>
        <v/>
      </c>
      <c r="Q142" t="str">
        <f>_xlfn.XLOOKUP($E142,Source!A141:A149,Source!B141:B149,"",0,1)</f>
        <v/>
      </c>
    </row>
    <row r="143" spans="1:17" x14ac:dyDescent="0.3">
      <c r="A143" s="3">
        <v>2033590</v>
      </c>
      <c r="B143">
        <v>43310</v>
      </c>
      <c r="C143">
        <v>1</v>
      </c>
      <c r="D143" s="9">
        <v>106</v>
      </c>
      <c r="E143">
        <v>1003</v>
      </c>
      <c r="F143" s="1">
        <v>44004</v>
      </c>
      <c r="G143" t="s">
        <v>80</v>
      </c>
      <c r="H143" s="4" t="s">
        <v>16</v>
      </c>
      <c r="I143" s="4">
        <v>-23600.86</v>
      </c>
      <c r="J143" s="4">
        <v>-23600.86</v>
      </c>
      <c r="K143" t="str">
        <f>_xlfn.XLOOKUP($C143,Table1[BusinessUnitID],Table1[BusinessUnit],"",0)</f>
        <v>FOOD SERVICE</v>
      </c>
      <c r="L143" t="str" cm="1">
        <f t="array" ref="L143">_xlfn.XLOOKUP($C143,Table1[[#All],[BusinessUnitID]],Table1[[#All],[Description]],"",0,1)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143" t="str">
        <f>_xlfn.XLOOKUP($B143,ChartOfAccounts!A142:A227,ChartOfAccounts!B142:B227,"",0,1)</f>
        <v/>
      </c>
      <c r="N143">
        <f>_xlfn.XLOOKUP($B143,ChartOfAccounts!A142:A227,ChartOfAccounts!D142:D227,0,1)</f>
        <v>0</v>
      </c>
      <c r="O143" t="str">
        <f>_xlfn.XLOOKUP($B143,ChartOfAccounts!A142:A227,ChartOfAccounts!F142:F227,"",0,1)</f>
        <v/>
      </c>
      <c r="P143" t="str" cm="1">
        <f t="array" ref="P143">_xlfn.XLOOKUP($D143&amp;$C143,PreparerInfo!A142:A154&amp;PreparerInfo!C142:C154,PreparerInfo!B142:B154,"",0,1)</f>
        <v/>
      </c>
      <c r="Q143" t="str">
        <f>_xlfn.XLOOKUP($E143,Source!A142:A150,Source!B142:B150,"",0,1)</f>
        <v/>
      </c>
    </row>
    <row r="144" spans="1:17" x14ac:dyDescent="0.3">
      <c r="A144" s="3">
        <v>2033591</v>
      </c>
      <c r="B144">
        <v>11845</v>
      </c>
      <c r="C144">
        <v>2</v>
      </c>
      <c r="D144" s="9">
        <v>104</v>
      </c>
      <c r="E144">
        <v>1003</v>
      </c>
      <c r="F144" s="1">
        <v>44004</v>
      </c>
      <c r="G144" t="s">
        <v>15</v>
      </c>
      <c r="H144" s="4">
        <v>122671</v>
      </c>
      <c r="I144" s="4" t="s">
        <v>16</v>
      </c>
      <c r="J144" s="4">
        <v>122671</v>
      </c>
      <c r="K144" t="str">
        <f>_xlfn.XLOOKUP($C144,Table1[BusinessUnitID],Table1[BusinessUnit],"",0)</f>
        <v>HOTEL</v>
      </c>
      <c r="L144" t="str" cm="1">
        <f t="array" ref="L144">_xlfn.XLOOKUP($C144,Table1[[#All],[BusinessUnitID]],Table1[[#All],[Description]],"",0,1)</f>
        <v xml:space="preserve">Transactions related to guest rooms and overall hotel operations. Includes payroll for administrative staff, clerks and interns. </v>
      </c>
      <c r="M144" t="str">
        <f>_xlfn.XLOOKUP($B144,ChartOfAccounts!A143:A228,ChartOfAccounts!B143:B228,"",0,1)</f>
        <v/>
      </c>
      <c r="N144">
        <f>_xlfn.XLOOKUP($B144,ChartOfAccounts!A143:A228,ChartOfAccounts!D143:D228,0,1)</f>
        <v>0</v>
      </c>
      <c r="O144" t="str">
        <f>_xlfn.XLOOKUP($B144,ChartOfAccounts!A143:A228,ChartOfAccounts!F143:F228,"",0,1)</f>
        <v/>
      </c>
      <c r="P144" t="str" cm="1">
        <f t="array" ref="P144">_xlfn.XLOOKUP($D144&amp;$C144,PreparerInfo!A143:A155&amp;PreparerInfo!C143:C155,PreparerInfo!B143:B155,"",0,1)</f>
        <v/>
      </c>
      <c r="Q144" t="str">
        <f>_xlfn.XLOOKUP($E144,Source!A143:A151,Source!B143:B151,"",0,1)</f>
        <v/>
      </c>
    </row>
    <row r="145" spans="1:17" x14ac:dyDescent="0.3">
      <c r="A145" s="3">
        <v>2033591</v>
      </c>
      <c r="B145">
        <v>43180</v>
      </c>
      <c r="C145">
        <v>2</v>
      </c>
      <c r="D145" s="9">
        <v>104</v>
      </c>
      <c r="E145">
        <v>1003</v>
      </c>
      <c r="F145" s="1">
        <v>44004</v>
      </c>
      <c r="G145" t="s">
        <v>15</v>
      </c>
      <c r="H145" s="4" t="s">
        <v>16</v>
      </c>
      <c r="I145" s="4">
        <v>-122671</v>
      </c>
      <c r="J145" s="4">
        <v>-122671</v>
      </c>
      <c r="K145" t="str">
        <f>_xlfn.XLOOKUP($C145,Table1[BusinessUnitID],Table1[BusinessUnit],"",0)</f>
        <v>HOTEL</v>
      </c>
      <c r="L145" t="str" cm="1">
        <f t="array" ref="L145">_xlfn.XLOOKUP($C145,Table1[[#All],[BusinessUnitID]],Table1[[#All],[Description]],"",0,1)</f>
        <v xml:space="preserve">Transactions related to guest rooms and overall hotel operations. Includes payroll for administrative staff, clerks and interns. </v>
      </c>
      <c r="M145" t="str">
        <f>_xlfn.XLOOKUP($B145,ChartOfAccounts!A144:A229,ChartOfAccounts!B144:B229,"",0,1)</f>
        <v/>
      </c>
      <c r="N145">
        <f>_xlfn.XLOOKUP($B145,ChartOfAccounts!A144:A229,ChartOfAccounts!D144:D229,0,1)</f>
        <v>0</v>
      </c>
      <c r="O145" t="str">
        <f>_xlfn.XLOOKUP($B145,ChartOfAccounts!A144:A229,ChartOfAccounts!F144:F229,"",0,1)</f>
        <v/>
      </c>
      <c r="P145" t="str" cm="1">
        <f t="array" ref="P145">_xlfn.XLOOKUP($D145&amp;$C145,PreparerInfo!A144:A156&amp;PreparerInfo!C144:C156,PreparerInfo!B144:B156,"",0,1)</f>
        <v/>
      </c>
      <c r="Q145" t="str">
        <f>_xlfn.XLOOKUP($E145,Source!A144:A152,Source!B144:B152,"",0,1)</f>
        <v/>
      </c>
    </row>
    <row r="146" spans="1:17" x14ac:dyDescent="0.3">
      <c r="A146" s="3">
        <v>2033592</v>
      </c>
      <c r="B146">
        <v>16200</v>
      </c>
      <c r="C146">
        <v>2</v>
      </c>
      <c r="D146" s="9">
        <v>102</v>
      </c>
      <c r="E146">
        <v>1002</v>
      </c>
      <c r="F146" s="1">
        <v>44004</v>
      </c>
      <c r="G146" t="s">
        <v>283</v>
      </c>
      <c r="H146" s="4">
        <v>9515.5400000000009</v>
      </c>
      <c r="I146" s="4"/>
      <c r="J146" s="4">
        <v>9515.5400000000009</v>
      </c>
      <c r="K146" t="str">
        <f>_xlfn.XLOOKUP($C146,Table1[BusinessUnitID],Table1[BusinessUnit],"",0)</f>
        <v>HOTEL</v>
      </c>
      <c r="L146" t="str" cm="1">
        <f t="array" ref="L146">_xlfn.XLOOKUP($C146,Table1[[#All],[BusinessUnitID]],Table1[[#All],[Description]],"",0,1)</f>
        <v xml:space="preserve">Transactions related to guest rooms and overall hotel operations. Includes payroll for administrative staff, clerks and interns. </v>
      </c>
      <c r="M146" t="str">
        <f>_xlfn.XLOOKUP($B146,ChartOfAccounts!A145:A230,ChartOfAccounts!B145:B230,"",0,1)</f>
        <v/>
      </c>
      <c r="N146">
        <f>_xlfn.XLOOKUP($B146,ChartOfAccounts!A145:A230,ChartOfAccounts!D145:D230,0,1)</f>
        <v>0</v>
      </c>
      <c r="O146" t="str">
        <f>_xlfn.XLOOKUP($B146,ChartOfAccounts!A145:A230,ChartOfAccounts!F145:F230,"",0,1)</f>
        <v/>
      </c>
      <c r="P146" t="str" cm="1">
        <f t="array" ref="P146">_xlfn.XLOOKUP($D146&amp;$C146,PreparerInfo!A145:A157&amp;PreparerInfo!C145:C157,PreparerInfo!B145:B157,"",0,1)</f>
        <v/>
      </c>
      <c r="Q146" t="str">
        <f>_xlfn.XLOOKUP($E146,Source!A145:A153,Source!B145:B153,"",0,1)</f>
        <v/>
      </c>
    </row>
    <row r="147" spans="1:17" x14ac:dyDescent="0.3">
      <c r="A147" s="3">
        <v>2033592</v>
      </c>
      <c r="B147" s="2">
        <v>11845</v>
      </c>
      <c r="C147">
        <v>2</v>
      </c>
      <c r="D147" s="9">
        <v>102</v>
      </c>
      <c r="E147">
        <v>1002</v>
      </c>
      <c r="F147" s="1">
        <v>44004</v>
      </c>
      <c r="G147" t="s">
        <v>283</v>
      </c>
      <c r="H147" s="4"/>
      <c r="I147" s="4">
        <v>-9515.5400000000009</v>
      </c>
      <c r="J147" s="4">
        <v>-9515.5400000000009</v>
      </c>
      <c r="K147" t="str">
        <f>_xlfn.XLOOKUP($C147,Table1[BusinessUnitID],Table1[BusinessUnit],"",0)</f>
        <v>HOTEL</v>
      </c>
      <c r="L147" t="str" cm="1">
        <f t="array" ref="L147">_xlfn.XLOOKUP($C147,Table1[[#All],[BusinessUnitID]],Table1[[#All],[Description]],"",0,1)</f>
        <v xml:space="preserve">Transactions related to guest rooms and overall hotel operations. Includes payroll for administrative staff, clerks and interns. </v>
      </c>
      <c r="M147" t="str">
        <f>_xlfn.XLOOKUP($B147,ChartOfAccounts!A146:A231,ChartOfAccounts!B146:B231,"",0,1)</f>
        <v/>
      </c>
      <c r="N147">
        <f>_xlfn.XLOOKUP($B147,ChartOfAccounts!A146:A231,ChartOfAccounts!D146:D231,0,1)</f>
        <v>0</v>
      </c>
      <c r="O147" t="str">
        <f>_xlfn.XLOOKUP($B147,ChartOfAccounts!A146:A231,ChartOfAccounts!F146:F231,"",0,1)</f>
        <v/>
      </c>
      <c r="P147" t="str" cm="1">
        <f t="array" ref="P147">_xlfn.XLOOKUP($D147&amp;$C147,PreparerInfo!A146:A158&amp;PreparerInfo!C146:C158,PreparerInfo!B146:B158,"",0,1)</f>
        <v/>
      </c>
      <c r="Q147" t="str">
        <f>_xlfn.XLOOKUP($E147,Source!A146:A154,Source!B146:B154,"",0,1)</f>
        <v/>
      </c>
    </row>
    <row r="148" spans="1:17" x14ac:dyDescent="0.3">
      <c r="A148" s="3">
        <v>2033593</v>
      </c>
      <c r="B148">
        <v>11845</v>
      </c>
      <c r="C148">
        <v>2</v>
      </c>
      <c r="D148" s="9">
        <v>104</v>
      </c>
      <c r="E148">
        <v>1003</v>
      </c>
      <c r="F148" s="1">
        <v>44005</v>
      </c>
      <c r="G148" t="s">
        <v>41</v>
      </c>
      <c r="H148" s="4">
        <v>5</v>
      </c>
      <c r="I148" s="4" t="s">
        <v>16</v>
      </c>
      <c r="J148" s="4">
        <v>5</v>
      </c>
      <c r="K148" t="str">
        <f>_xlfn.XLOOKUP($C148,Table1[BusinessUnitID],Table1[BusinessUnit],"",0)</f>
        <v>HOTEL</v>
      </c>
      <c r="L148" t="str" cm="1">
        <f t="array" ref="L148">_xlfn.XLOOKUP($C148,Table1[[#All],[BusinessUnitID]],Table1[[#All],[Description]],"",0,1)</f>
        <v xml:space="preserve">Transactions related to guest rooms and overall hotel operations. Includes payroll for administrative staff, clerks and interns. </v>
      </c>
      <c r="M148" t="str">
        <f>_xlfn.XLOOKUP($B148,ChartOfAccounts!A147:A232,ChartOfAccounts!B147:B232,"",0,1)</f>
        <v/>
      </c>
      <c r="N148">
        <f>_xlfn.XLOOKUP($B148,ChartOfAccounts!A147:A232,ChartOfAccounts!D147:D232,0,1)</f>
        <v>0</v>
      </c>
      <c r="O148" t="str">
        <f>_xlfn.XLOOKUP($B148,ChartOfAccounts!A147:A232,ChartOfAccounts!F147:F232,"",0,1)</f>
        <v/>
      </c>
      <c r="P148" t="str" cm="1">
        <f t="array" ref="P148">_xlfn.XLOOKUP($D148&amp;$C148,PreparerInfo!A147:A159&amp;PreparerInfo!C147:C159,PreparerInfo!B147:B159,"",0,1)</f>
        <v/>
      </c>
      <c r="Q148" t="str">
        <f>_xlfn.XLOOKUP($E148,Source!A147:A155,Source!B147:B155,"",0,1)</f>
        <v/>
      </c>
    </row>
    <row r="149" spans="1:17" x14ac:dyDescent="0.3">
      <c r="A149" s="3">
        <v>2033593</v>
      </c>
      <c r="B149">
        <v>43180</v>
      </c>
      <c r="C149">
        <v>2</v>
      </c>
      <c r="D149" s="9">
        <v>104</v>
      </c>
      <c r="E149">
        <v>1003</v>
      </c>
      <c r="F149" s="1">
        <v>44005</v>
      </c>
      <c r="G149" t="s">
        <v>41</v>
      </c>
      <c r="H149" s="4" t="s">
        <v>16</v>
      </c>
      <c r="I149" s="4">
        <v>-5</v>
      </c>
      <c r="J149" s="4">
        <v>-5</v>
      </c>
      <c r="K149" t="str">
        <f>_xlfn.XLOOKUP($C149,Table1[BusinessUnitID],Table1[BusinessUnit],"",0)</f>
        <v>HOTEL</v>
      </c>
      <c r="L149" t="str" cm="1">
        <f t="array" ref="L149">_xlfn.XLOOKUP($C149,Table1[[#All],[BusinessUnitID]],Table1[[#All],[Description]],"",0,1)</f>
        <v xml:space="preserve">Transactions related to guest rooms and overall hotel operations. Includes payroll for administrative staff, clerks and interns. </v>
      </c>
      <c r="M149" t="str">
        <f>_xlfn.XLOOKUP($B149,ChartOfAccounts!A148:A233,ChartOfAccounts!B148:B233,"",0,1)</f>
        <v/>
      </c>
      <c r="N149">
        <f>_xlfn.XLOOKUP($B149,ChartOfAccounts!A148:A233,ChartOfAccounts!D148:D233,0,1)</f>
        <v>0</v>
      </c>
      <c r="O149" t="str">
        <f>_xlfn.XLOOKUP($B149,ChartOfAccounts!A148:A233,ChartOfAccounts!F148:F233,"",0,1)</f>
        <v/>
      </c>
      <c r="P149" t="str" cm="1">
        <f t="array" ref="P149">_xlfn.XLOOKUP($D149&amp;$C149,PreparerInfo!A148:A160&amp;PreparerInfo!C148:C160,PreparerInfo!B148:B160,"",0,1)</f>
        <v/>
      </c>
      <c r="Q149" t="str">
        <f>_xlfn.XLOOKUP($E149,Source!A148:A156,Source!B148:B156,"",0,1)</f>
        <v/>
      </c>
    </row>
    <row r="150" spans="1:17" x14ac:dyDescent="0.3">
      <c r="A150" s="3">
        <v>2033594</v>
      </c>
      <c r="B150">
        <v>11845</v>
      </c>
      <c r="C150">
        <v>3</v>
      </c>
      <c r="D150" s="9">
        <v>102</v>
      </c>
      <c r="E150">
        <v>1001</v>
      </c>
      <c r="F150" s="1">
        <v>44005</v>
      </c>
      <c r="G150" t="s">
        <v>41</v>
      </c>
      <c r="H150" s="4">
        <v>15.25</v>
      </c>
      <c r="I150" s="4" t="s">
        <v>16</v>
      </c>
      <c r="J150" s="4">
        <v>15.25</v>
      </c>
      <c r="K150" t="str">
        <f>_xlfn.XLOOKUP($C150,Table1[BusinessUnitID],Table1[BusinessUnit],"",0)</f>
        <v>HOTEL PANTRY</v>
      </c>
      <c r="L150" t="str" cm="1">
        <f t="array" ref="L150">_xlfn.XLOOKUP($C150,Table1[[#All],[BusinessUnitID]],Table1[[#All],[Description]],"",0,1)</f>
        <v>Transactions related to the hotel convenience store, including some food and beverage costs.</v>
      </c>
      <c r="M150" t="str">
        <f>_xlfn.XLOOKUP($B150,ChartOfAccounts!A149:A234,ChartOfAccounts!B149:B234,"",0,1)</f>
        <v/>
      </c>
      <c r="N150">
        <f>_xlfn.XLOOKUP($B150,ChartOfAccounts!A149:A234,ChartOfAccounts!D149:D234,0,1)</f>
        <v>0</v>
      </c>
      <c r="O150" t="str">
        <f>_xlfn.XLOOKUP($B150,ChartOfAccounts!A149:A234,ChartOfAccounts!F149:F234,"",0,1)</f>
        <v/>
      </c>
      <c r="P150" t="str" cm="1">
        <f t="array" ref="P150">_xlfn.XLOOKUP($D150&amp;$C150,PreparerInfo!A149:A161&amp;PreparerInfo!C149:C161,PreparerInfo!B149:B161,"",0,1)</f>
        <v/>
      </c>
      <c r="Q150" t="str">
        <f>_xlfn.XLOOKUP($E150,Source!A149:A157,Source!B149:B157,"",0,1)</f>
        <v/>
      </c>
    </row>
    <row r="151" spans="1:17" x14ac:dyDescent="0.3">
      <c r="A151" s="3">
        <v>2033594</v>
      </c>
      <c r="B151">
        <v>43440</v>
      </c>
      <c r="C151">
        <v>3</v>
      </c>
      <c r="D151" s="9">
        <v>102</v>
      </c>
      <c r="E151">
        <v>1001</v>
      </c>
      <c r="F151" s="1">
        <v>44005</v>
      </c>
      <c r="G151" t="s">
        <v>41</v>
      </c>
      <c r="H151" s="4" t="s">
        <v>16</v>
      </c>
      <c r="I151" s="4">
        <v>-15.25</v>
      </c>
      <c r="J151" s="4">
        <v>-15.25</v>
      </c>
      <c r="K151" t="str">
        <f>_xlfn.XLOOKUP($C151,Table1[BusinessUnitID],Table1[BusinessUnit],"",0)</f>
        <v>HOTEL PANTRY</v>
      </c>
      <c r="L151" t="str" cm="1">
        <f t="array" ref="L151">_xlfn.XLOOKUP($C151,Table1[[#All],[BusinessUnitID]],Table1[[#All],[Description]],"",0,1)</f>
        <v>Transactions related to the hotel convenience store, including some food and beverage costs.</v>
      </c>
      <c r="M151" t="str">
        <f>_xlfn.XLOOKUP($B151,ChartOfAccounts!A150:A235,ChartOfAccounts!B150:B235,"",0,1)</f>
        <v/>
      </c>
      <c r="N151">
        <f>_xlfn.XLOOKUP($B151,ChartOfAccounts!A150:A235,ChartOfAccounts!D150:D235,0,1)</f>
        <v>0</v>
      </c>
      <c r="O151" t="str">
        <f>_xlfn.XLOOKUP($B151,ChartOfAccounts!A150:A235,ChartOfAccounts!F150:F235,"",0,1)</f>
        <v/>
      </c>
      <c r="P151" t="str" cm="1">
        <f t="array" ref="P151">_xlfn.XLOOKUP($D151&amp;$C151,PreparerInfo!A150:A162&amp;PreparerInfo!C150:C162,PreparerInfo!B150:B162,"",0,1)</f>
        <v/>
      </c>
      <c r="Q151" t="str">
        <f>_xlfn.XLOOKUP($E151,Source!A150:A158,Source!B150:B158,"",0,1)</f>
        <v/>
      </c>
    </row>
    <row r="152" spans="1:17" x14ac:dyDescent="0.3">
      <c r="A152" s="3">
        <v>2033595</v>
      </c>
      <c r="B152">
        <v>51610</v>
      </c>
      <c r="C152">
        <v>2</v>
      </c>
      <c r="D152" s="9">
        <v>105</v>
      </c>
      <c r="E152">
        <v>1006</v>
      </c>
      <c r="F152" s="1">
        <v>44005</v>
      </c>
      <c r="G152" t="s">
        <v>53</v>
      </c>
      <c r="H152" s="4">
        <v>20</v>
      </c>
      <c r="I152" s="4" t="s">
        <v>16</v>
      </c>
      <c r="J152" s="4">
        <v>20</v>
      </c>
      <c r="K152" t="str">
        <f>_xlfn.XLOOKUP($C152,Table1[BusinessUnitID],Table1[BusinessUnit],"",0)</f>
        <v>HOTEL</v>
      </c>
      <c r="L152" t="str" cm="1">
        <f t="array" ref="L152">_xlfn.XLOOKUP($C152,Table1[[#All],[BusinessUnitID]],Table1[[#All],[Description]],"",0,1)</f>
        <v xml:space="preserve">Transactions related to guest rooms and overall hotel operations. Includes payroll for administrative staff, clerks and interns. </v>
      </c>
      <c r="M152" t="str">
        <f>_xlfn.XLOOKUP($B152,ChartOfAccounts!A151:A236,ChartOfAccounts!B151:B236,"",0,1)</f>
        <v/>
      </c>
      <c r="N152">
        <f>_xlfn.XLOOKUP($B152,ChartOfAccounts!A151:A236,ChartOfAccounts!D151:D236,0,1)</f>
        <v>0</v>
      </c>
      <c r="O152" t="str">
        <f>_xlfn.XLOOKUP($B152,ChartOfAccounts!A151:A236,ChartOfAccounts!F151:F236,"",0,1)</f>
        <v/>
      </c>
      <c r="P152" t="str" cm="1">
        <f t="array" ref="P152">_xlfn.XLOOKUP($D152&amp;$C152,PreparerInfo!A151:A163&amp;PreparerInfo!C151:C163,PreparerInfo!B151:B163,"",0,1)</f>
        <v/>
      </c>
      <c r="Q152" t="str">
        <f>_xlfn.XLOOKUP($E152,Source!A151:A159,Source!B151:B159,"",0,1)</f>
        <v/>
      </c>
    </row>
    <row r="153" spans="1:17" x14ac:dyDescent="0.3">
      <c r="A153" s="3">
        <v>2033595</v>
      </c>
      <c r="B153">
        <v>22110</v>
      </c>
      <c r="C153">
        <v>2</v>
      </c>
      <c r="D153" s="9">
        <v>105</v>
      </c>
      <c r="E153">
        <v>1006</v>
      </c>
      <c r="F153" s="1">
        <v>44005</v>
      </c>
      <c r="G153" t="s">
        <v>53</v>
      </c>
      <c r="H153" s="4" t="s">
        <v>16</v>
      </c>
      <c r="I153" s="4">
        <v>-20</v>
      </c>
      <c r="J153" s="4">
        <v>-20</v>
      </c>
      <c r="K153" t="str">
        <f>_xlfn.XLOOKUP($C153,Table1[BusinessUnitID],Table1[BusinessUnit],"",0)</f>
        <v>HOTEL</v>
      </c>
      <c r="L153" t="str" cm="1">
        <f t="array" ref="L153">_xlfn.XLOOKUP($C153,Table1[[#All],[BusinessUnitID]],Table1[[#All],[Description]],"",0,1)</f>
        <v xml:space="preserve">Transactions related to guest rooms and overall hotel operations. Includes payroll for administrative staff, clerks and interns. </v>
      </c>
      <c r="M153" t="str">
        <f>_xlfn.XLOOKUP($B153,ChartOfAccounts!A152:A237,ChartOfAccounts!B152:B237,"",0,1)</f>
        <v/>
      </c>
      <c r="N153">
        <f>_xlfn.XLOOKUP($B153,ChartOfAccounts!A152:A237,ChartOfAccounts!D152:D237,0,1)</f>
        <v>0</v>
      </c>
      <c r="O153" t="str">
        <f>_xlfn.XLOOKUP($B153,ChartOfAccounts!A152:A237,ChartOfAccounts!F152:F237,"",0,1)</f>
        <v/>
      </c>
      <c r="P153" t="str" cm="1">
        <f t="array" ref="P153">_xlfn.XLOOKUP($D153&amp;$C153,PreparerInfo!A152:A164&amp;PreparerInfo!C152:C164,PreparerInfo!B152:B164,"",0,1)</f>
        <v/>
      </c>
      <c r="Q153" t="str">
        <f>_xlfn.XLOOKUP($E153,Source!A152:A160,Source!B152:B160,"",0,1)</f>
        <v/>
      </c>
    </row>
    <row r="154" spans="1:17" x14ac:dyDescent="0.3">
      <c r="A154" s="3">
        <v>2033596</v>
      </c>
      <c r="B154">
        <v>11845</v>
      </c>
      <c r="C154">
        <v>1</v>
      </c>
      <c r="D154" s="9">
        <v>106</v>
      </c>
      <c r="E154">
        <v>1003</v>
      </c>
      <c r="F154" s="1">
        <v>44005</v>
      </c>
      <c r="G154" t="s">
        <v>80</v>
      </c>
      <c r="H154" s="4">
        <v>25</v>
      </c>
      <c r="I154" s="4" t="s">
        <v>16</v>
      </c>
      <c r="J154" s="4">
        <v>25</v>
      </c>
      <c r="K154" t="str">
        <f>_xlfn.XLOOKUP($C154,Table1[BusinessUnitID],Table1[BusinessUnit],"",0)</f>
        <v>FOOD SERVICE</v>
      </c>
      <c r="L154" t="str" cm="1">
        <f t="array" ref="L154">_xlfn.XLOOKUP($C154,Table1[[#All],[BusinessUnitID]],Table1[[#All],[Description]],"",0,1)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154" t="str">
        <f>_xlfn.XLOOKUP($B154,ChartOfAccounts!A153:A238,ChartOfAccounts!B153:B238,"",0,1)</f>
        <v/>
      </c>
      <c r="N154">
        <f>_xlfn.XLOOKUP($B154,ChartOfAccounts!A153:A238,ChartOfAccounts!D153:D238,0,1)</f>
        <v>0</v>
      </c>
      <c r="O154" t="str">
        <f>_xlfn.XLOOKUP($B154,ChartOfAccounts!A153:A238,ChartOfAccounts!F153:F238,"",0,1)</f>
        <v/>
      </c>
      <c r="P154" t="str" cm="1">
        <f t="array" ref="P154">_xlfn.XLOOKUP($D154&amp;$C154,PreparerInfo!A153:A165&amp;PreparerInfo!C153:C165,PreparerInfo!B153:B165,"",0,1)</f>
        <v/>
      </c>
      <c r="Q154" t="str">
        <f>_xlfn.XLOOKUP($E154,Source!A153:A161,Source!B153:B161,"",0,1)</f>
        <v/>
      </c>
    </row>
    <row r="155" spans="1:17" x14ac:dyDescent="0.3">
      <c r="A155" s="3">
        <v>2033596</v>
      </c>
      <c r="B155">
        <v>43440</v>
      </c>
      <c r="C155">
        <v>1</v>
      </c>
      <c r="D155" s="9">
        <v>106</v>
      </c>
      <c r="E155">
        <v>1003</v>
      </c>
      <c r="F155" s="1">
        <v>44005</v>
      </c>
      <c r="G155" t="s">
        <v>80</v>
      </c>
      <c r="H155" s="4" t="s">
        <v>16</v>
      </c>
      <c r="I155" s="4">
        <v>-25</v>
      </c>
      <c r="J155" s="4">
        <v>-25</v>
      </c>
      <c r="K155" t="str">
        <f>_xlfn.XLOOKUP($C155,Table1[BusinessUnitID],Table1[BusinessUnit],"",0)</f>
        <v>FOOD SERVICE</v>
      </c>
      <c r="L155" t="str" cm="1">
        <f t="array" ref="L155">_xlfn.XLOOKUP($C155,Table1[[#All],[BusinessUnitID]],Table1[[#All],[Description]],"",0,1)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155" t="str">
        <f>_xlfn.XLOOKUP($B155,ChartOfAccounts!A154:A239,ChartOfAccounts!B154:B239,"",0,1)</f>
        <v/>
      </c>
      <c r="N155">
        <f>_xlfn.XLOOKUP($B155,ChartOfAccounts!A154:A239,ChartOfAccounts!D154:D239,0,1)</f>
        <v>0</v>
      </c>
      <c r="O155" t="str">
        <f>_xlfn.XLOOKUP($B155,ChartOfAccounts!A154:A239,ChartOfAccounts!F154:F239,"",0,1)</f>
        <v/>
      </c>
      <c r="P155" t="str" cm="1">
        <f t="array" ref="P155">_xlfn.XLOOKUP($D155&amp;$C155,PreparerInfo!A154:A166&amp;PreparerInfo!C154:C166,PreparerInfo!B154:B166,"",0,1)</f>
        <v/>
      </c>
      <c r="Q155" t="str">
        <f>_xlfn.XLOOKUP($E155,Source!A154:A162,Source!B154:B162,"",0,1)</f>
        <v/>
      </c>
    </row>
    <row r="156" spans="1:17" x14ac:dyDescent="0.3">
      <c r="A156" s="3">
        <v>2033597</v>
      </c>
      <c r="B156">
        <v>51402</v>
      </c>
      <c r="C156">
        <v>6</v>
      </c>
      <c r="D156" s="9">
        <v>105</v>
      </c>
      <c r="E156">
        <v>1006</v>
      </c>
      <c r="F156" s="1">
        <v>44005</v>
      </c>
      <c r="G156" t="s">
        <v>55</v>
      </c>
      <c r="H156" s="4">
        <v>25.8</v>
      </c>
      <c r="I156" s="4" t="s">
        <v>16</v>
      </c>
      <c r="J156" s="4">
        <v>25.8</v>
      </c>
      <c r="K156" t="str">
        <f>_xlfn.XLOOKUP($C156,Table1[BusinessUnitID],Table1[BusinessUnit],"",0)</f>
        <v>MAINTENANCE</v>
      </c>
      <c r="L156" t="str" cm="1">
        <f t="array" ref="L156">_xlfn.XLOOKUP($C156,Table1[[#All],[BusinessUnitID]],Table1[[#All],[Description]],"",0,1)</f>
        <v>Transactions related to the hotel Maintenance Department. Primarily includes payroll for maintenance, grounds keepers and related supplies.</v>
      </c>
      <c r="M156" t="str">
        <f>_xlfn.XLOOKUP($B156,ChartOfAccounts!A155:A240,ChartOfAccounts!B155:B240,"",0,1)</f>
        <v/>
      </c>
      <c r="N156">
        <f>_xlfn.XLOOKUP($B156,ChartOfAccounts!A155:A240,ChartOfAccounts!D155:D240,0,1)</f>
        <v>0</v>
      </c>
      <c r="O156" t="str">
        <f>_xlfn.XLOOKUP($B156,ChartOfAccounts!A155:A240,ChartOfAccounts!F155:F240,"",0,1)</f>
        <v/>
      </c>
      <c r="P156" t="str" cm="1">
        <f t="array" ref="P156">_xlfn.XLOOKUP($D156&amp;$C156,PreparerInfo!A155:A167&amp;PreparerInfo!C155:C167,PreparerInfo!B155:B167,"",0,1)</f>
        <v/>
      </c>
      <c r="Q156" t="str">
        <f>_xlfn.XLOOKUP($E156,Source!A155:A163,Source!B155:B163,"",0,1)</f>
        <v/>
      </c>
    </row>
    <row r="157" spans="1:17" x14ac:dyDescent="0.3">
      <c r="A157" s="3">
        <v>2033597</v>
      </c>
      <c r="B157">
        <v>22110</v>
      </c>
      <c r="C157">
        <v>6</v>
      </c>
      <c r="D157" s="9">
        <v>105</v>
      </c>
      <c r="E157">
        <v>1006</v>
      </c>
      <c r="F157" s="1">
        <v>44005</v>
      </c>
      <c r="G157" t="s">
        <v>55</v>
      </c>
      <c r="H157" s="4" t="s">
        <v>16</v>
      </c>
      <c r="I157" s="4">
        <v>-25.8</v>
      </c>
      <c r="J157" s="4">
        <v>-25.8</v>
      </c>
      <c r="K157" t="str">
        <f>_xlfn.XLOOKUP($C157,Table1[BusinessUnitID],Table1[BusinessUnit],"",0)</f>
        <v>MAINTENANCE</v>
      </c>
      <c r="L157" t="str" cm="1">
        <f t="array" ref="L157">_xlfn.XLOOKUP($C157,Table1[[#All],[BusinessUnitID]],Table1[[#All],[Description]],"",0,1)</f>
        <v>Transactions related to the hotel Maintenance Department. Primarily includes payroll for maintenance, grounds keepers and related supplies.</v>
      </c>
      <c r="M157" t="str">
        <f>_xlfn.XLOOKUP($B157,ChartOfAccounts!A156:A241,ChartOfAccounts!B156:B241,"",0,1)</f>
        <v/>
      </c>
      <c r="N157">
        <f>_xlfn.XLOOKUP($B157,ChartOfAccounts!A156:A241,ChartOfAccounts!D156:D241,0,1)</f>
        <v>0</v>
      </c>
      <c r="O157" t="str">
        <f>_xlfn.XLOOKUP($B157,ChartOfAccounts!A156:A241,ChartOfAccounts!F156:F241,"",0,1)</f>
        <v/>
      </c>
      <c r="P157" t="str" cm="1">
        <f t="array" ref="P157">_xlfn.XLOOKUP($D157&amp;$C157,PreparerInfo!A156:A168&amp;PreparerInfo!C156:C168,PreparerInfo!B156:B168,"",0,1)</f>
        <v/>
      </c>
      <c r="Q157" t="str">
        <f>_xlfn.XLOOKUP($E157,Source!A156:A164,Source!B156:B164,"",0,1)</f>
        <v/>
      </c>
    </row>
    <row r="158" spans="1:17" x14ac:dyDescent="0.3">
      <c r="A158" s="3">
        <v>2033598</v>
      </c>
      <c r="B158">
        <v>11845</v>
      </c>
      <c r="C158">
        <v>3</v>
      </c>
      <c r="D158" s="9">
        <v>102</v>
      </c>
      <c r="E158">
        <v>1003</v>
      </c>
      <c r="F158" s="1">
        <v>44005</v>
      </c>
      <c r="G158" t="s">
        <v>15</v>
      </c>
      <c r="H158" s="4">
        <v>30.03</v>
      </c>
      <c r="I158" s="4" t="s">
        <v>16</v>
      </c>
      <c r="J158" s="4">
        <v>30.03</v>
      </c>
      <c r="K158" t="str">
        <f>_xlfn.XLOOKUP($C158,Table1[BusinessUnitID],Table1[BusinessUnit],"",0)</f>
        <v>HOTEL PANTRY</v>
      </c>
      <c r="L158" t="str" cm="1">
        <f t="array" ref="L158">_xlfn.XLOOKUP($C158,Table1[[#All],[BusinessUnitID]],Table1[[#All],[Description]],"",0,1)</f>
        <v>Transactions related to the hotel convenience store, including some food and beverage costs.</v>
      </c>
      <c r="M158" t="str">
        <f>_xlfn.XLOOKUP($B158,ChartOfAccounts!A157:A242,ChartOfAccounts!B157:B242,"",0,1)</f>
        <v/>
      </c>
      <c r="N158">
        <f>_xlfn.XLOOKUP($B158,ChartOfAccounts!A157:A242,ChartOfAccounts!D157:D242,0,1)</f>
        <v>0</v>
      </c>
      <c r="O158" t="str">
        <f>_xlfn.XLOOKUP($B158,ChartOfAccounts!A157:A242,ChartOfAccounts!F157:F242,"",0,1)</f>
        <v/>
      </c>
      <c r="P158" t="str" cm="1">
        <f t="array" ref="P158">_xlfn.XLOOKUP($D158&amp;$C158,PreparerInfo!A157:A169&amp;PreparerInfo!C157:C169,PreparerInfo!B157:B169,"",0,1)</f>
        <v/>
      </c>
      <c r="Q158" t="str">
        <f>_xlfn.XLOOKUP($E158,Source!A157:A165,Source!B157:B165,"",0,1)</f>
        <v/>
      </c>
    </row>
    <row r="159" spans="1:17" x14ac:dyDescent="0.3">
      <c r="A159" s="3">
        <v>2033598</v>
      </c>
      <c r="B159">
        <v>43440</v>
      </c>
      <c r="C159">
        <v>3</v>
      </c>
      <c r="D159" s="9">
        <v>102</v>
      </c>
      <c r="E159">
        <v>1003</v>
      </c>
      <c r="F159" s="1">
        <v>44005</v>
      </c>
      <c r="G159" t="s">
        <v>15</v>
      </c>
      <c r="H159" s="4" t="s">
        <v>16</v>
      </c>
      <c r="I159" s="4">
        <v>-30.03</v>
      </c>
      <c r="J159" s="4">
        <v>-30.03</v>
      </c>
      <c r="K159" t="str">
        <f>_xlfn.XLOOKUP($C159,Table1[BusinessUnitID],Table1[BusinessUnit],"",0)</f>
        <v>HOTEL PANTRY</v>
      </c>
      <c r="L159" t="str" cm="1">
        <f t="array" ref="L159">_xlfn.XLOOKUP($C159,Table1[[#All],[BusinessUnitID]],Table1[[#All],[Description]],"",0,1)</f>
        <v>Transactions related to the hotel convenience store, including some food and beverage costs.</v>
      </c>
      <c r="M159" t="str">
        <f>_xlfn.XLOOKUP($B159,ChartOfAccounts!A158:A243,ChartOfAccounts!B158:B243,"",0,1)</f>
        <v/>
      </c>
      <c r="N159">
        <f>_xlfn.XLOOKUP($B159,ChartOfAccounts!A158:A243,ChartOfAccounts!D158:D243,0,1)</f>
        <v>0</v>
      </c>
      <c r="O159" t="str">
        <f>_xlfn.XLOOKUP($B159,ChartOfAccounts!A158:A243,ChartOfAccounts!F158:F243,"",0,1)</f>
        <v/>
      </c>
      <c r="P159" t="str" cm="1">
        <f t="array" ref="P159">_xlfn.XLOOKUP($D159&amp;$C159,PreparerInfo!A158:A170&amp;PreparerInfo!C158:C170,PreparerInfo!B158:B170,"",0,1)</f>
        <v/>
      </c>
      <c r="Q159" t="str">
        <f>_xlfn.XLOOKUP($E159,Source!A158:A166,Source!B158:B166,"",0,1)</f>
        <v/>
      </c>
    </row>
    <row r="160" spans="1:17" x14ac:dyDescent="0.3">
      <c r="A160" s="3">
        <v>2033599</v>
      </c>
      <c r="B160">
        <v>51610</v>
      </c>
      <c r="C160">
        <v>4</v>
      </c>
      <c r="D160" s="9">
        <v>105</v>
      </c>
      <c r="E160">
        <v>1006</v>
      </c>
      <c r="F160" s="1">
        <v>44005</v>
      </c>
      <c r="G160" t="s">
        <v>53</v>
      </c>
      <c r="H160" s="4">
        <v>45</v>
      </c>
      <c r="I160" s="4" t="s">
        <v>16</v>
      </c>
      <c r="J160" s="4">
        <v>45</v>
      </c>
      <c r="K160" t="str">
        <f>_xlfn.XLOOKUP($C160,Table1[BusinessUnitID],Table1[BusinessUnit],"",0)</f>
        <v>HOUSEKEEPING</v>
      </c>
      <c r="L160" t="str" cm="1">
        <f t="array" ref="L160">_xlfn.XLOOKUP($C160,Table1[[#All],[BusinessUnitID]],Table1[[#All],[Description]],"",0,1)</f>
        <v xml:space="preserve">Transactions related to the Housekeeping Department. Primarily includes payroll for housekeepers and housekeeping supplies. </v>
      </c>
      <c r="M160" t="str">
        <f>_xlfn.XLOOKUP($B160,ChartOfAccounts!A159:A244,ChartOfAccounts!B159:B244,"",0,1)</f>
        <v/>
      </c>
      <c r="N160">
        <f>_xlfn.XLOOKUP($B160,ChartOfAccounts!A159:A244,ChartOfAccounts!D159:D244,0,1)</f>
        <v>0</v>
      </c>
      <c r="O160" t="str">
        <f>_xlfn.XLOOKUP($B160,ChartOfAccounts!A159:A244,ChartOfAccounts!F159:F244,"",0,1)</f>
        <v/>
      </c>
      <c r="P160" t="str" cm="1">
        <f t="array" ref="P160">_xlfn.XLOOKUP($D160&amp;$C160,PreparerInfo!A159:A171&amp;PreparerInfo!C159:C171,PreparerInfo!B159:B171,"",0,1)</f>
        <v/>
      </c>
      <c r="Q160" t="str">
        <f>_xlfn.XLOOKUP($E160,Source!A159:A167,Source!B159:B167,"",0,1)</f>
        <v/>
      </c>
    </row>
    <row r="161" spans="1:17" x14ac:dyDescent="0.3">
      <c r="A161" s="3">
        <v>2033599</v>
      </c>
      <c r="B161">
        <v>22110</v>
      </c>
      <c r="C161">
        <v>4</v>
      </c>
      <c r="D161" s="9">
        <v>105</v>
      </c>
      <c r="E161">
        <v>1006</v>
      </c>
      <c r="F161" s="1">
        <v>44005</v>
      </c>
      <c r="G161" t="s">
        <v>53</v>
      </c>
      <c r="H161" s="4" t="s">
        <v>16</v>
      </c>
      <c r="I161" s="4">
        <v>-45</v>
      </c>
      <c r="J161" s="4">
        <v>-45</v>
      </c>
      <c r="K161" t="str">
        <f>_xlfn.XLOOKUP($C161,Table1[BusinessUnitID],Table1[BusinessUnit],"",0)</f>
        <v>HOUSEKEEPING</v>
      </c>
      <c r="L161" t="str" cm="1">
        <f t="array" ref="L161">_xlfn.XLOOKUP($C161,Table1[[#All],[BusinessUnitID]],Table1[[#All],[Description]],"",0,1)</f>
        <v xml:space="preserve">Transactions related to the Housekeeping Department. Primarily includes payroll for housekeepers and housekeeping supplies. </v>
      </c>
      <c r="M161" t="str">
        <f>_xlfn.XLOOKUP($B161,ChartOfAccounts!A160:A245,ChartOfAccounts!B160:B245,"",0,1)</f>
        <v/>
      </c>
      <c r="N161">
        <f>_xlfn.XLOOKUP($B161,ChartOfAccounts!A160:A245,ChartOfAccounts!D160:D245,0,1)</f>
        <v>0</v>
      </c>
      <c r="O161" t="str">
        <f>_xlfn.XLOOKUP($B161,ChartOfAccounts!A160:A245,ChartOfAccounts!F160:F245,"",0,1)</f>
        <v/>
      </c>
      <c r="P161" t="str" cm="1">
        <f t="array" ref="P161">_xlfn.XLOOKUP($D161&amp;$C161,PreparerInfo!A160:A172&amp;PreparerInfo!C160:C172,PreparerInfo!B160:B172,"",0,1)</f>
        <v/>
      </c>
      <c r="Q161" t="str">
        <f>_xlfn.XLOOKUP($E161,Source!A160:A168,Source!B160:B168,"",0,1)</f>
        <v/>
      </c>
    </row>
    <row r="162" spans="1:17" x14ac:dyDescent="0.3">
      <c r="A162" s="3">
        <v>2033600</v>
      </c>
      <c r="B162">
        <v>11845</v>
      </c>
      <c r="C162">
        <v>3</v>
      </c>
      <c r="D162" s="9">
        <v>102</v>
      </c>
      <c r="E162">
        <v>1003</v>
      </c>
      <c r="F162" s="1">
        <v>44005</v>
      </c>
      <c r="G162" t="s">
        <v>15</v>
      </c>
      <c r="H162" s="4">
        <v>47.42</v>
      </c>
      <c r="I162" s="4" t="s">
        <v>16</v>
      </c>
      <c r="J162" s="4">
        <v>47.42</v>
      </c>
      <c r="K162" t="str">
        <f>_xlfn.XLOOKUP($C162,Table1[BusinessUnitID],Table1[BusinessUnit],"",0)</f>
        <v>HOTEL PANTRY</v>
      </c>
      <c r="L162" t="str" cm="1">
        <f t="array" ref="L162">_xlfn.XLOOKUP($C162,Table1[[#All],[BusinessUnitID]],Table1[[#All],[Description]],"",0,1)</f>
        <v>Transactions related to the hotel convenience store, including some food and beverage costs.</v>
      </c>
      <c r="M162" t="str">
        <f>_xlfn.XLOOKUP($B162,ChartOfAccounts!A161:A246,ChartOfAccounts!B161:B246,"",0,1)</f>
        <v/>
      </c>
      <c r="N162">
        <f>_xlfn.XLOOKUP($B162,ChartOfAccounts!A161:A246,ChartOfAccounts!D161:D246,0,1)</f>
        <v>0</v>
      </c>
      <c r="O162" t="str">
        <f>_xlfn.XLOOKUP($B162,ChartOfAccounts!A161:A246,ChartOfAccounts!F161:F246,"",0,1)</f>
        <v/>
      </c>
      <c r="P162" t="str" cm="1">
        <f t="array" ref="P162">_xlfn.XLOOKUP($D162&amp;$C162,PreparerInfo!A161:A173&amp;PreparerInfo!C161:C173,PreparerInfo!B161:B173,"",0,1)</f>
        <v/>
      </c>
      <c r="Q162" t="str">
        <f>_xlfn.XLOOKUP($E162,Source!A161:A169,Source!B161:B169,"",0,1)</f>
        <v/>
      </c>
    </row>
    <row r="163" spans="1:17" x14ac:dyDescent="0.3">
      <c r="A163" s="3">
        <v>2033600</v>
      </c>
      <c r="B163">
        <v>43440</v>
      </c>
      <c r="C163">
        <v>3</v>
      </c>
      <c r="D163" s="9">
        <v>102</v>
      </c>
      <c r="E163">
        <v>1003</v>
      </c>
      <c r="F163" s="1">
        <v>44005</v>
      </c>
      <c r="G163" t="s">
        <v>15</v>
      </c>
      <c r="H163" s="4" t="s">
        <v>16</v>
      </c>
      <c r="I163" s="4">
        <v>-47.42</v>
      </c>
      <c r="J163" s="4">
        <v>-47.42</v>
      </c>
      <c r="K163" t="str">
        <f>_xlfn.XLOOKUP($C163,Table1[BusinessUnitID],Table1[BusinessUnit],"",0)</f>
        <v>HOTEL PANTRY</v>
      </c>
      <c r="L163" t="str" cm="1">
        <f t="array" ref="L163">_xlfn.XLOOKUP($C163,Table1[[#All],[BusinessUnitID]],Table1[[#All],[Description]],"",0,1)</f>
        <v>Transactions related to the hotel convenience store, including some food and beverage costs.</v>
      </c>
      <c r="M163" t="str">
        <f>_xlfn.XLOOKUP($B163,ChartOfAccounts!A162:A247,ChartOfAccounts!B162:B247,"",0,1)</f>
        <v/>
      </c>
      <c r="N163">
        <f>_xlfn.XLOOKUP($B163,ChartOfAccounts!A162:A247,ChartOfAccounts!D162:D247,0,1)</f>
        <v>0</v>
      </c>
      <c r="O163" t="str">
        <f>_xlfn.XLOOKUP($B163,ChartOfAccounts!A162:A247,ChartOfAccounts!F162:F247,"",0,1)</f>
        <v/>
      </c>
      <c r="P163" t="str" cm="1">
        <f t="array" ref="P163">_xlfn.XLOOKUP($D163&amp;$C163,PreparerInfo!A162:A174&amp;PreparerInfo!C162:C174,PreparerInfo!B162:B174,"",0,1)</f>
        <v/>
      </c>
      <c r="Q163" t="str">
        <f>_xlfn.XLOOKUP($E163,Source!A162:A170,Source!B162:B170,"",0,1)</f>
        <v/>
      </c>
    </row>
    <row r="164" spans="1:17" x14ac:dyDescent="0.3">
      <c r="A164" s="3">
        <v>2033601</v>
      </c>
      <c r="B164">
        <v>51402</v>
      </c>
      <c r="C164">
        <v>2</v>
      </c>
      <c r="D164" s="9">
        <v>105</v>
      </c>
      <c r="E164">
        <v>1006</v>
      </c>
      <c r="F164" s="1">
        <v>44005</v>
      </c>
      <c r="G164" t="s">
        <v>55</v>
      </c>
      <c r="H164" s="4">
        <v>48.27</v>
      </c>
      <c r="I164" s="4" t="s">
        <v>16</v>
      </c>
      <c r="J164" s="4">
        <v>48.27</v>
      </c>
      <c r="K164" t="str">
        <f>_xlfn.XLOOKUP($C164,Table1[BusinessUnitID],Table1[BusinessUnit],"",0)</f>
        <v>HOTEL</v>
      </c>
      <c r="L164" t="str" cm="1">
        <f t="array" ref="L164">_xlfn.XLOOKUP($C164,Table1[[#All],[BusinessUnitID]],Table1[[#All],[Description]],"",0,1)</f>
        <v xml:space="preserve">Transactions related to guest rooms and overall hotel operations. Includes payroll for administrative staff, clerks and interns. </v>
      </c>
      <c r="M164" t="str">
        <f>_xlfn.XLOOKUP($B164,ChartOfAccounts!A163:A248,ChartOfAccounts!B163:B248,"",0,1)</f>
        <v/>
      </c>
      <c r="N164">
        <f>_xlfn.XLOOKUP($B164,ChartOfAccounts!A163:A248,ChartOfAccounts!D163:D248,0,1)</f>
        <v>0</v>
      </c>
      <c r="O164" t="str">
        <f>_xlfn.XLOOKUP($B164,ChartOfAccounts!A163:A248,ChartOfAccounts!F163:F248,"",0,1)</f>
        <v/>
      </c>
      <c r="P164" t="str" cm="1">
        <f t="array" ref="P164">_xlfn.XLOOKUP($D164&amp;$C164,PreparerInfo!A163:A175&amp;PreparerInfo!C163:C175,PreparerInfo!B163:B175,"",0,1)</f>
        <v/>
      </c>
      <c r="Q164" t="str">
        <f>_xlfn.XLOOKUP($E164,Source!A163:A171,Source!B163:B171,"",0,1)</f>
        <v/>
      </c>
    </row>
    <row r="165" spans="1:17" x14ac:dyDescent="0.3">
      <c r="A165" s="3">
        <v>2033601</v>
      </c>
      <c r="B165">
        <v>22110</v>
      </c>
      <c r="C165">
        <v>2</v>
      </c>
      <c r="D165" s="9">
        <v>105</v>
      </c>
      <c r="E165">
        <v>1006</v>
      </c>
      <c r="F165" s="1">
        <v>44005</v>
      </c>
      <c r="G165" t="s">
        <v>55</v>
      </c>
      <c r="H165" s="4" t="s">
        <v>16</v>
      </c>
      <c r="I165" s="4">
        <v>-48.27</v>
      </c>
      <c r="J165" s="4">
        <v>-48.27</v>
      </c>
      <c r="K165" t="str">
        <f>_xlfn.XLOOKUP($C165,Table1[BusinessUnitID],Table1[BusinessUnit],"",0)</f>
        <v>HOTEL</v>
      </c>
      <c r="L165" t="str" cm="1">
        <f t="array" ref="L165">_xlfn.XLOOKUP($C165,Table1[[#All],[BusinessUnitID]],Table1[[#All],[Description]],"",0,1)</f>
        <v xml:space="preserve">Transactions related to guest rooms and overall hotel operations. Includes payroll for administrative staff, clerks and interns. </v>
      </c>
      <c r="M165" t="str">
        <f>_xlfn.XLOOKUP($B165,ChartOfAccounts!A164:A249,ChartOfAccounts!B164:B249,"",0,1)</f>
        <v/>
      </c>
      <c r="N165">
        <f>_xlfn.XLOOKUP($B165,ChartOfAccounts!A164:A249,ChartOfAccounts!D164:D249,0,1)</f>
        <v>0</v>
      </c>
      <c r="O165" t="str">
        <f>_xlfn.XLOOKUP($B165,ChartOfAccounts!A164:A249,ChartOfAccounts!F164:F249,"",0,1)</f>
        <v/>
      </c>
      <c r="P165" t="str" cm="1">
        <f t="array" ref="P165">_xlfn.XLOOKUP($D165&amp;$C165,PreparerInfo!A164:A176&amp;PreparerInfo!C164:C176,PreparerInfo!B164:B176,"",0,1)</f>
        <v/>
      </c>
      <c r="Q165" t="str">
        <f>_xlfn.XLOOKUP($E165,Source!A164:A172,Source!B164:B172,"",0,1)</f>
        <v/>
      </c>
    </row>
    <row r="166" spans="1:17" x14ac:dyDescent="0.3">
      <c r="A166" s="3">
        <v>2033602</v>
      </c>
      <c r="B166">
        <v>11845</v>
      </c>
      <c r="C166">
        <v>3</v>
      </c>
      <c r="D166" s="9">
        <v>102</v>
      </c>
      <c r="E166">
        <v>1001</v>
      </c>
      <c r="F166" s="1">
        <v>44005</v>
      </c>
      <c r="G166" t="s">
        <v>41</v>
      </c>
      <c r="H166" s="4">
        <v>52.31</v>
      </c>
      <c r="I166" s="4" t="s">
        <v>16</v>
      </c>
      <c r="J166" s="4">
        <v>52.31</v>
      </c>
      <c r="K166" t="str">
        <f>_xlfn.XLOOKUP($C166,Table1[BusinessUnitID],Table1[BusinessUnit],"",0)</f>
        <v>HOTEL PANTRY</v>
      </c>
      <c r="L166" t="str" cm="1">
        <f t="array" ref="L166">_xlfn.XLOOKUP($C166,Table1[[#All],[BusinessUnitID]],Table1[[#All],[Description]],"",0,1)</f>
        <v>Transactions related to the hotel convenience store, including some food and beverage costs.</v>
      </c>
      <c r="M166" t="str">
        <f>_xlfn.XLOOKUP($B166,ChartOfAccounts!A165:A250,ChartOfAccounts!B165:B250,"",0,1)</f>
        <v/>
      </c>
      <c r="N166">
        <f>_xlfn.XLOOKUP($B166,ChartOfAccounts!A165:A250,ChartOfAccounts!D165:D250,0,1)</f>
        <v>0</v>
      </c>
      <c r="O166" t="str">
        <f>_xlfn.XLOOKUP($B166,ChartOfAccounts!A165:A250,ChartOfAccounts!F165:F250,"",0,1)</f>
        <v/>
      </c>
      <c r="P166" t="str" cm="1">
        <f t="array" ref="P166">_xlfn.XLOOKUP($D166&amp;$C166,PreparerInfo!A165:A177&amp;PreparerInfo!C165:C177,PreparerInfo!B165:B177,"",0,1)</f>
        <v/>
      </c>
      <c r="Q166" t="str">
        <f>_xlfn.XLOOKUP($E166,Source!A165:A173,Source!B165:B173,"",0,1)</f>
        <v/>
      </c>
    </row>
    <row r="167" spans="1:17" x14ac:dyDescent="0.3">
      <c r="A167" s="3">
        <v>2033602</v>
      </c>
      <c r="B167">
        <v>43440</v>
      </c>
      <c r="C167">
        <v>3</v>
      </c>
      <c r="D167" s="9">
        <v>102</v>
      </c>
      <c r="E167">
        <v>1001</v>
      </c>
      <c r="F167" s="1">
        <v>44005</v>
      </c>
      <c r="G167" t="s">
        <v>41</v>
      </c>
      <c r="H167" s="4" t="s">
        <v>16</v>
      </c>
      <c r="I167" s="4">
        <v>-52.31</v>
      </c>
      <c r="J167" s="4">
        <v>-52.31</v>
      </c>
      <c r="K167" t="str">
        <f>_xlfn.XLOOKUP($C167,Table1[BusinessUnitID],Table1[BusinessUnit],"",0)</f>
        <v>HOTEL PANTRY</v>
      </c>
      <c r="L167" t="str" cm="1">
        <f t="array" ref="L167">_xlfn.XLOOKUP($C167,Table1[[#All],[BusinessUnitID]],Table1[[#All],[Description]],"",0,1)</f>
        <v>Transactions related to the hotel convenience store, including some food and beverage costs.</v>
      </c>
      <c r="M167" t="str">
        <f>_xlfn.XLOOKUP($B167,ChartOfAccounts!A166:A251,ChartOfAccounts!B166:B251,"",0,1)</f>
        <v/>
      </c>
      <c r="N167">
        <f>_xlfn.XLOOKUP($B167,ChartOfAccounts!A166:A251,ChartOfAccounts!D166:D251,0,1)</f>
        <v>0</v>
      </c>
      <c r="O167" t="str">
        <f>_xlfn.XLOOKUP($B167,ChartOfAccounts!A166:A251,ChartOfAccounts!F166:F251,"",0,1)</f>
        <v/>
      </c>
      <c r="P167" t="str" cm="1">
        <f t="array" ref="P167">_xlfn.XLOOKUP($D167&amp;$C167,PreparerInfo!A166:A178&amp;PreparerInfo!C166:C178,PreparerInfo!B166:B178,"",0,1)</f>
        <v/>
      </c>
      <c r="Q167" t="str">
        <f>_xlfn.XLOOKUP($E167,Source!A166:A174,Source!B166:B174,"",0,1)</f>
        <v/>
      </c>
    </row>
    <row r="168" spans="1:17" x14ac:dyDescent="0.3">
      <c r="A168" s="3">
        <v>2033603</v>
      </c>
      <c r="B168">
        <v>51610</v>
      </c>
      <c r="C168">
        <v>1</v>
      </c>
      <c r="D168" s="9">
        <v>105</v>
      </c>
      <c r="E168">
        <v>1006</v>
      </c>
      <c r="F168" s="1">
        <v>44005</v>
      </c>
      <c r="G168" t="s">
        <v>53</v>
      </c>
      <c r="H168" s="4">
        <v>75</v>
      </c>
      <c r="I168" s="4" t="s">
        <v>16</v>
      </c>
      <c r="J168" s="4">
        <v>75</v>
      </c>
      <c r="K168" t="str">
        <f>_xlfn.XLOOKUP($C168,Table1[BusinessUnitID],Table1[BusinessUnit],"",0)</f>
        <v>FOOD SERVICE</v>
      </c>
      <c r="L168" t="str" cm="1">
        <f t="array" ref="L168">_xlfn.XLOOKUP($C168,Table1[[#All],[BusinessUnitID]],Table1[[#All],[Description]],"",0,1)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168" t="str">
        <f>_xlfn.XLOOKUP($B168,ChartOfAccounts!A167:A252,ChartOfAccounts!B167:B252,"",0,1)</f>
        <v/>
      </c>
      <c r="N168">
        <f>_xlfn.XLOOKUP($B168,ChartOfAccounts!A167:A252,ChartOfAccounts!D167:D252,0,1)</f>
        <v>0</v>
      </c>
      <c r="O168" t="str">
        <f>_xlfn.XLOOKUP($B168,ChartOfAccounts!A167:A252,ChartOfAccounts!F167:F252,"",0,1)</f>
        <v/>
      </c>
      <c r="P168" t="str" cm="1">
        <f t="array" ref="P168">_xlfn.XLOOKUP($D168&amp;$C168,PreparerInfo!A167:A179&amp;PreparerInfo!C167:C179,PreparerInfo!B167:B179,"",0,1)</f>
        <v/>
      </c>
      <c r="Q168" t="str">
        <f>_xlfn.XLOOKUP($E168,Source!A167:A175,Source!B167:B175,"",0,1)</f>
        <v/>
      </c>
    </row>
    <row r="169" spans="1:17" x14ac:dyDescent="0.3">
      <c r="A169" s="3">
        <v>2033603</v>
      </c>
      <c r="B169">
        <v>22110</v>
      </c>
      <c r="C169">
        <v>1</v>
      </c>
      <c r="D169" s="9">
        <v>105</v>
      </c>
      <c r="E169">
        <v>1006</v>
      </c>
      <c r="F169" s="1">
        <v>44005</v>
      </c>
      <c r="G169" t="s">
        <v>53</v>
      </c>
      <c r="H169" s="4" t="s">
        <v>16</v>
      </c>
      <c r="I169" s="4">
        <v>-75</v>
      </c>
      <c r="J169" s="4">
        <v>-75</v>
      </c>
      <c r="K169" t="str">
        <f>_xlfn.XLOOKUP($C169,Table1[BusinessUnitID],Table1[BusinessUnit],"",0)</f>
        <v>FOOD SERVICE</v>
      </c>
      <c r="L169" t="str" cm="1">
        <f t="array" ref="L169">_xlfn.XLOOKUP($C169,Table1[[#All],[BusinessUnitID]],Table1[[#All],[Description]],"",0,1)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169" t="str">
        <f>_xlfn.XLOOKUP($B169,ChartOfAccounts!A168:A253,ChartOfAccounts!B168:B253,"",0,1)</f>
        <v/>
      </c>
      <c r="N169">
        <f>_xlfn.XLOOKUP($B169,ChartOfAccounts!A168:A253,ChartOfAccounts!D168:D253,0,1)</f>
        <v>0</v>
      </c>
      <c r="O169" t="str">
        <f>_xlfn.XLOOKUP($B169,ChartOfAccounts!A168:A253,ChartOfAccounts!F168:F253,"",0,1)</f>
        <v/>
      </c>
      <c r="P169" t="str" cm="1">
        <f t="array" ref="P169">_xlfn.XLOOKUP($D169&amp;$C169,PreparerInfo!A168:A180&amp;PreparerInfo!C168:C180,PreparerInfo!B168:B180,"",0,1)</f>
        <v/>
      </c>
      <c r="Q169" t="str">
        <f>_xlfn.XLOOKUP($E169,Source!A168:A176,Source!B168:B176,"",0,1)</f>
        <v/>
      </c>
    </row>
    <row r="170" spans="1:17" x14ac:dyDescent="0.3">
      <c r="A170" s="3">
        <v>2033604</v>
      </c>
      <c r="B170">
        <v>11845</v>
      </c>
      <c r="C170">
        <v>2</v>
      </c>
      <c r="D170" s="9">
        <v>104</v>
      </c>
      <c r="E170">
        <v>1003</v>
      </c>
      <c r="F170" s="1">
        <v>44005</v>
      </c>
      <c r="G170" t="s">
        <v>41</v>
      </c>
      <c r="H170" s="4">
        <v>99</v>
      </c>
      <c r="I170" s="4" t="s">
        <v>16</v>
      </c>
      <c r="J170" s="4">
        <v>99</v>
      </c>
      <c r="K170" t="str">
        <f>_xlfn.XLOOKUP($C170,Table1[BusinessUnitID],Table1[BusinessUnit],"",0)</f>
        <v>HOTEL</v>
      </c>
      <c r="L170" t="str" cm="1">
        <f t="array" ref="L170">_xlfn.XLOOKUP($C170,Table1[[#All],[BusinessUnitID]],Table1[[#All],[Description]],"",0,1)</f>
        <v xml:space="preserve">Transactions related to guest rooms and overall hotel operations. Includes payroll for administrative staff, clerks and interns. </v>
      </c>
      <c r="M170" t="str">
        <f>_xlfn.XLOOKUP($B170,ChartOfAccounts!A169:A254,ChartOfAccounts!B169:B254,"",0,1)</f>
        <v/>
      </c>
      <c r="N170">
        <f>_xlfn.XLOOKUP($B170,ChartOfAccounts!A169:A254,ChartOfAccounts!D169:D254,0,1)</f>
        <v>0</v>
      </c>
      <c r="O170" t="str">
        <f>_xlfn.XLOOKUP($B170,ChartOfAccounts!A169:A254,ChartOfAccounts!F169:F254,"",0,1)</f>
        <v/>
      </c>
      <c r="P170" t="str" cm="1">
        <f t="array" ref="P170">_xlfn.XLOOKUP($D170&amp;$C170,PreparerInfo!A169:A181&amp;PreparerInfo!C169:C181,PreparerInfo!B169:B181,"",0,1)</f>
        <v/>
      </c>
      <c r="Q170" t="str">
        <f>_xlfn.XLOOKUP($E170,Source!A169:A177,Source!B169:B177,"",0,1)</f>
        <v/>
      </c>
    </row>
    <row r="171" spans="1:17" x14ac:dyDescent="0.3">
      <c r="A171" s="3">
        <v>2033604</v>
      </c>
      <c r="B171">
        <v>43180</v>
      </c>
      <c r="C171">
        <v>2</v>
      </c>
      <c r="D171" s="9">
        <v>104</v>
      </c>
      <c r="E171">
        <v>1003</v>
      </c>
      <c r="F171" s="1">
        <v>44005</v>
      </c>
      <c r="G171" t="s">
        <v>41</v>
      </c>
      <c r="H171" s="4" t="s">
        <v>16</v>
      </c>
      <c r="I171" s="4">
        <v>-99</v>
      </c>
      <c r="J171" s="4">
        <v>-99</v>
      </c>
      <c r="K171" t="str">
        <f>_xlfn.XLOOKUP($C171,Table1[BusinessUnitID],Table1[BusinessUnit],"",0)</f>
        <v>HOTEL</v>
      </c>
      <c r="L171" t="str" cm="1">
        <f t="array" ref="L171">_xlfn.XLOOKUP($C171,Table1[[#All],[BusinessUnitID]],Table1[[#All],[Description]],"",0,1)</f>
        <v xml:space="preserve">Transactions related to guest rooms and overall hotel operations. Includes payroll for administrative staff, clerks and interns. </v>
      </c>
      <c r="M171" t="str">
        <f>_xlfn.XLOOKUP($B171,ChartOfAccounts!A170:A255,ChartOfAccounts!B170:B255,"",0,1)</f>
        <v/>
      </c>
      <c r="N171">
        <f>_xlfn.XLOOKUP($B171,ChartOfAccounts!A170:A255,ChartOfAccounts!D170:D255,0,1)</f>
        <v>0</v>
      </c>
      <c r="O171" t="str">
        <f>_xlfn.XLOOKUP($B171,ChartOfAccounts!A170:A255,ChartOfAccounts!F170:F255,"",0,1)</f>
        <v/>
      </c>
      <c r="P171" t="str" cm="1">
        <f t="array" ref="P171">_xlfn.XLOOKUP($D171&amp;$C171,PreparerInfo!A170:A182&amp;PreparerInfo!C170:C182,PreparerInfo!B170:B182,"",0,1)</f>
        <v/>
      </c>
      <c r="Q171" t="str">
        <f>_xlfn.XLOOKUP($E171,Source!A170:A178,Source!B170:B178,"",0,1)</f>
        <v/>
      </c>
    </row>
    <row r="172" spans="1:17" x14ac:dyDescent="0.3">
      <c r="A172" s="3">
        <v>2033605</v>
      </c>
      <c r="B172">
        <v>71400</v>
      </c>
      <c r="C172">
        <v>1</v>
      </c>
      <c r="D172" s="9">
        <v>101</v>
      </c>
      <c r="E172">
        <v>1002</v>
      </c>
      <c r="F172" s="1">
        <v>44005</v>
      </c>
      <c r="G172" t="s">
        <v>228</v>
      </c>
      <c r="H172" s="4">
        <v>100</v>
      </c>
      <c r="I172" s="4" t="s">
        <v>16</v>
      </c>
      <c r="J172" s="4">
        <v>100</v>
      </c>
      <c r="K172" t="str">
        <f>_xlfn.XLOOKUP($C172,Table1[BusinessUnitID],Table1[BusinessUnit],"",0)</f>
        <v>FOOD SERVICE</v>
      </c>
      <c r="L172" t="str" cm="1">
        <f t="array" ref="L172">_xlfn.XLOOKUP($C172,Table1[[#All],[BusinessUnitID]],Table1[[#All],[Description]],"",0,1)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172" t="str">
        <f>_xlfn.XLOOKUP($B172,ChartOfAccounts!A171:A256,ChartOfAccounts!B171:B256,"",0,1)</f>
        <v/>
      </c>
      <c r="N172">
        <f>_xlfn.XLOOKUP($B172,ChartOfAccounts!A171:A256,ChartOfAccounts!D171:D256,0,1)</f>
        <v>0</v>
      </c>
      <c r="O172" t="str">
        <f>_xlfn.XLOOKUP($B172,ChartOfAccounts!A171:A256,ChartOfAccounts!F171:F256,"",0,1)</f>
        <v/>
      </c>
      <c r="P172" t="str" cm="1">
        <f t="array" ref="P172">_xlfn.XLOOKUP($D172&amp;$C172,PreparerInfo!A171:A183&amp;PreparerInfo!C171:C183,PreparerInfo!B171:B183,"",0,1)</f>
        <v/>
      </c>
      <c r="Q172" t="str">
        <f>_xlfn.XLOOKUP($E172,Source!A171:A179,Source!B171:B179,"",0,1)</f>
        <v/>
      </c>
    </row>
    <row r="173" spans="1:17" x14ac:dyDescent="0.3">
      <c r="A173" s="3">
        <v>2033605</v>
      </c>
      <c r="B173">
        <v>11845</v>
      </c>
      <c r="C173">
        <v>1</v>
      </c>
      <c r="D173" s="9">
        <v>101</v>
      </c>
      <c r="E173">
        <v>1002</v>
      </c>
      <c r="F173" s="1">
        <v>44005</v>
      </c>
      <c r="G173" t="s">
        <v>228</v>
      </c>
      <c r="H173" s="4" t="s">
        <v>16</v>
      </c>
      <c r="I173" s="4">
        <v>-100</v>
      </c>
      <c r="J173" s="4">
        <v>-100</v>
      </c>
      <c r="K173" t="str">
        <f>_xlfn.XLOOKUP($C173,Table1[BusinessUnitID],Table1[BusinessUnit],"",0)</f>
        <v>FOOD SERVICE</v>
      </c>
      <c r="L173" t="str" cm="1">
        <f t="array" ref="L173">_xlfn.XLOOKUP($C173,Table1[[#All],[BusinessUnitID]],Table1[[#All],[Description]],"",0,1)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173" t="str">
        <f>_xlfn.XLOOKUP($B173,ChartOfAccounts!A172:A257,ChartOfAccounts!B172:B257,"",0,1)</f>
        <v/>
      </c>
      <c r="N173">
        <f>_xlfn.XLOOKUP($B173,ChartOfAccounts!A172:A257,ChartOfAccounts!D172:D257,0,1)</f>
        <v>0</v>
      </c>
      <c r="O173" t="str">
        <f>_xlfn.XLOOKUP($B173,ChartOfAccounts!A172:A257,ChartOfAccounts!F172:F257,"",0,1)</f>
        <v/>
      </c>
      <c r="P173" t="str" cm="1">
        <f t="array" ref="P173">_xlfn.XLOOKUP($D173&amp;$C173,PreparerInfo!A172:A184&amp;PreparerInfo!C172:C184,PreparerInfo!B172:B184,"",0,1)</f>
        <v/>
      </c>
      <c r="Q173" t="str">
        <f>_xlfn.XLOOKUP($E173,Source!A172:A180,Source!B172:B180,"",0,1)</f>
        <v/>
      </c>
    </row>
    <row r="174" spans="1:17" x14ac:dyDescent="0.3">
      <c r="A174" s="3">
        <v>2033606</v>
      </c>
      <c r="B174">
        <v>51400</v>
      </c>
      <c r="C174">
        <v>6</v>
      </c>
      <c r="D174" s="9">
        <v>105</v>
      </c>
      <c r="E174">
        <v>1006</v>
      </c>
      <c r="F174" s="1">
        <v>44005</v>
      </c>
      <c r="G174" t="s">
        <v>55</v>
      </c>
      <c r="H174" s="4">
        <v>110.32</v>
      </c>
      <c r="I174" s="4" t="s">
        <v>16</v>
      </c>
      <c r="J174" s="4">
        <v>110.32</v>
      </c>
      <c r="K174" t="str">
        <f>_xlfn.XLOOKUP($C174,Table1[BusinessUnitID],Table1[BusinessUnit],"",0)</f>
        <v>MAINTENANCE</v>
      </c>
      <c r="L174" t="str" cm="1">
        <f t="array" ref="L174">_xlfn.XLOOKUP($C174,Table1[[#All],[BusinessUnitID]],Table1[[#All],[Description]],"",0,1)</f>
        <v>Transactions related to the hotel Maintenance Department. Primarily includes payroll for maintenance, grounds keepers and related supplies.</v>
      </c>
      <c r="M174" t="str">
        <f>_xlfn.XLOOKUP($B174,ChartOfAccounts!A173:A258,ChartOfAccounts!B173:B258,"",0,1)</f>
        <v/>
      </c>
      <c r="N174">
        <f>_xlfn.XLOOKUP($B174,ChartOfAccounts!A173:A258,ChartOfAccounts!D173:D258,0,1)</f>
        <v>0</v>
      </c>
      <c r="O174" t="str">
        <f>_xlfn.XLOOKUP($B174,ChartOfAccounts!A173:A258,ChartOfAccounts!F173:F258,"",0,1)</f>
        <v/>
      </c>
      <c r="P174" t="str" cm="1">
        <f t="array" ref="P174">_xlfn.XLOOKUP($D174&amp;$C174,PreparerInfo!A173:A185&amp;PreparerInfo!C173:C185,PreparerInfo!B173:B185,"",0,1)</f>
        <v/>
      </c>
      <c r="Q174" t="str">
        <f>_xlfn.XLOOKUP($E174,Source!A173:A181,Source!B173:B181,"",0,1)</f>
        <v/>
      </c>
    </row>
    <row r="175" spans="1:17" x14ac:dyDescent="0.3">
      <c r="A175" s="3">
        <v>2033606</v>
      </c>
      <c r="B175">
        <v>22110</v>
      </c>
      <c r="C175">
        <v>6</v>
      </c>
      <c r="D175" s="9">
        <v>105</v>
      </c>
      <c r="E175">
        <v>1006</v>
      </c>
      <c r="F175" s="1">
        <v>44005</v>
      </c>
      <c r="G175" t="s">
        <v>55</v>
      </c>
      <c r="H175" s="4" t="s">
        <v>16</v>
      </c>
      <c r="I175" s="4">
        <v>-110.32</v>
      </c>
      <c r="J175" s="4">
        <v>-110.32</v>
      </c>
      <c r="K175" t="str">
        <f>_xlfn.XLOOKUP($C175,Table1[BusinessUnitID],Table1[BusinessUnit],"",0)</f>
        <v>MAINTENANCE</v>
      </c>
      <c r="L175" t="str" cm="1">
        <f t="array" ref="L175">_xlfn.XLOOKUP($C175,Table1[[#All],[BusinessUnitID]],Table1[[#All],[Description]],"",0,1)</f>
        <v>Transactions related to the hotel Maintenance Department. Primarily includes payroll for maintenance, grounds keepers and related supplies.</v>
      </c>
      <c r="M175" t="str">
        <f>_xlfn.XLOOKUP($B175,ChartOfAccounts!A174:A259,ChartOfAccounts!B174:B259,"",0,1)</f>
        <v/>
      </c>
      <c r="N175">
        <f>_xlfn.XLOOKUP($B175,ChartOfAccounts!A174:A259,ChartOfAccounts!D174:D259,0,1)</f>
        <v>0</v>
      </c>
      <c r="O175" t="str">
        <f>_xlfn.XLOOKUP($B175,ChartOfAccounts!A174:A259,ChartOfAccounts!F174:F259,"",0,1)</f>
        <v/>
      </c>
      <c r="P175" t="str" cm="1">
        <f t="array" ref="P175">_xlfn.XLOOKUP($D175&amp;$C175,PreparerInfo!A174:A186&amp;PreparerInfo!C174:C186,PreparerInfo!B174:B186,"",0,1)</f>
        <v/>
      </c>
      <c r="Q175" t="str">
        <f>_xlfn.XLOOKUP($E175,Source!A174:A182,Source!B174:B182,"",0,1)</f>
        <v/>
      </c>
    </row>
    <row r="176" spans="1:17" x14ac:dyDescent="0.3">
      <c r="A176" s="3">
        <v>2033607</v>
      </c>
      <c r="B176">
        <v>51140</v>
      </c>
      <c r="C176">
        <v>6</v>
      </c>
      <c r="D176" s="9">
        <v>105</v>
      </c>
      <c r="E176">
        <v>1004</v>
      </c>
      <c r="F176" s="1">
        <v>44005</v>
      </c>
      <c r="G176" t="s">
        <v>54</v>
      </c>
      <c r="H176" s="4">
        <v>120.69</v>
      </c>
      <c r="I176" s="4" t="s">
        <v>16</v>
      </c>
      <c r="J176" s="4">
        <v>120.69</v>
      </c>
      <c r="K176" t="str">
        <f>_xlfn.XLOOKUP($C176,Table1[BusinessUnitID],Table1[BusinessUnit],"",0)</f>
        <v>MAINTENANCE</v>
      </c>
      <c r="L176" t="str" cm="1">
        <f t="array" ref="L176">_xlfn.XLOOKUP($C176,Table1[[#All],[BusinessUnitID]],Table1[[#All],[Description]],"",0,1)</f>
        <v>Transactions related to the hotel Maintenance Department. Primarily includes payroll for maintenance, grounds keepers and related supplies.</v>
      </c>
      <c r="M176" t="str">
        <f>_xlfn.XLOOKUP($B176,ChartOfAccounts!A175:A260,ChartOfAccounts!B175:B260,"",0,1)</f>
        <v/>
      </c>
      <c r="N176">
        <f>_xlfn.XLOOKUP($B176,ChartOfAccounts!A175:A260,ChartOfAccounts!D175:D260,0,1)</f>
        <v>0</v>
      </c>
      <c r="O176" t="str">
        <f>_xlfn.XLOOKUP($B176,ChartOfAccounts!A175:A260,ChartOfAccounts!F175:F260,"",0,1)</f>
        <v/>
      </c>
      <c r="P176" t="str" cm="1">
        <f t="array" ref="P176">_xlfn.XLOOKUP($D176&amp;$C176,PreparerInfo!A175:A187&amp;PreparerInfo!C175:C187,PreparerInfo!B175:B187,"",0,1)</f>
        <v/>
      </c>
      <c r="Q176" t="str">
        <f>_xlfn.XLOOKUP($E176,Source!A175:A183,Source!B175:B183,"",0,1)</f>
        <v/>
      </c>
    </row>
    <row r="177" spans="1:17" x14ac:dyDescent="0.3">
      <c r="A177" s="3">
        <v>2033607</v>
      </c>
      <c r="B177">
        <v>11845</v>
      </c>
      <c r="C177">
        <v>6</v>
      </c>
      <c r="D177" s="9">
        <v>105</v>
      </c>
      <c r="E177">
        <v>1004</v>
      </c>
      <c r="F177" s="1">
        <v>44005</v>
      </c>
      <c r="G177" t="s">
        <v>54</v>
      </c>
      <c r="H177" s="4" t="s">
        <v>16</v>
      </c>
      <c r="I177" s="4">
        <v>-120.69</v>
      </c>
      <c r="J177" s="4">
        <v>-120.69</v>
      </c>
      <c r="K177" t="str">
        <f>_xlfn.XLOOKUP($C177,Table1[BusinessUnitID],Table1[BusinessUnit],"",0)</f>
        <v>MAINTENANCE</v>
      </c>
      <c r="L177" t="str" cm="1">
        <f t="array" ref="L177">_xlfn.XLOOKUP($C177,Table1[[#All],[BusinessUnitID]],Table1[[#All],[Description]],"",0,1)</f>
        <v>Transactions related to the hotel Maintenance Department. Primarily includes payroll for maintenance, grounds keepers and related supplies.</v>
      </c>
      <c r="M177" t="str">
        <f>_xlfn.XLOOKUP($B177,ChartOfAccounts!A176:A261,ChartOfAccounts!B176:B261,"",0,1)</f>
        <v/>
      </c>
      <c r="N177">
        <f>_xlfn.XLOOKUP($B177,ChartOfAccounts!A176:A261,ChartOfAccounts!D176:D261,0,1)</f>
        <v>0</v>
      </c>
      <c r="O177" t="str">
        <f>_xlfn.XLOOKUP($B177,ChartOfAccounts!A176:A261,ChartOfAccounts!F176:F261,"",0,1)</f>
        <v/>
      </c>
      <c r="P177" t="str" cm="1">
        <f t="array" ref="P177">_xlfn.XLOOKUP($D177&amp;$C177,PreparerInfo!A176:A188&amp;PreparerInfo!C176:C188,PreparerInfo!B176:B188,"",0,1)</f>
        <v/>
      </c>
      <c r="Q177" t="str">
        <f>_xlfn.XLOOKUP($E177,Source!A176:A184,Source!B176:B184,"",0,1)</f>
        <v/>
      </c>
    </row>
    <row r="178" spans="1:17" x14ac:dyDescent="0.3">
      <c r="A178" s="3">
        <v>2033608</v>
      </c>
      <c r="B178">
        <v>51402</v>
      </c>
      <c r="C178">
        <v>4</v>
      </c>
      <c r="D178" s="9">
        <v>105</v>
      </c>
      <c r="E178">
        <v>1006</v>
      </c>
      <c r="F178" s="1">
        <v>44005</v>
      </c>
      <c r="G178" t="s">
        <v>55</v>
      </c>
      <c r="H178" s="4">
        <v>121.22</v>
      </c>
      <c r="I178" s="4" t="s">
        <v>16</v>
      </c>
      <c r="J178" s="4">
        <v>121.22</v>
      </c>
      <c r="K178" t="str">
        <f>_xlfn.XLOOKUP($C178,Table1[BusinessUnitID],Table1[BusinessUnit],"",0)</f>
        <v>HOUSEKEEPING</v>
      </c>
      <c r="L178" t="str" cm="1">
        <f t="array" ref="L178">_xlfn.XLOOKUP($C178,Table1[[#All],[BusinessUnitID]],Table1[[#All],[Description]],"",0,1)</f>
        <v xml:space="preserve">Transactions related to the Housekeeping Department. Primarily includes payroll for housekeepers and housekeeping supplies. </v>
      </c>
      <c r="M178" t="str">
        <f>_xlfn.XLOOKUP($B178,ChartOfAccounts!A177:A262,ChartOfAccounts!B177:B262,"",0,1)</f>
        <v/>
      </c>
      <c r="N178">
        <f>_xlfn.XLOOKUP($B178,ChartOfAccounts!A177:A262,ChartOfAccounts!D177:D262,0,1)</f>
        <v>0</v>
      </c>
      <c r="O178" t="str">
        <f>_xlfn.XLOOKUP($B178,ChartOfAccounts!A177:A262,ChartOfAccounts!F177:F262,"",0,1)</f>
        <v/>
      </c>
      <c r="P178" t="str" cm="1">
        <f t="array" ref="P178">_xlfn.XLOOKUP($D178&amp;$C178,PreparerInfo!A177:A189&amp;PreparerInfo!C177:C189,PreparerInfo!B177:B189,"",0,1)</f>
        <v/>
      </c>
      <c r="Q178" t="str">
        <f>_xlfn.XLOOKUP($E178,Source!A177:A185,Source!B177:B185,"",0,1)</f>
        <v/>
      </c>
    </row>
    <row r="179" spans="1:17" x14ac:dyDescent="0.3">
      <c r="A179" s="3">
        <v>2033608</v>
      </c>
      <c r="B179">
        <v>22110</v>
      </c>
      <c r="C179">
        <v>4</v>
      </c>
      <c r="D179" s="9">
        <v>105</v>
      </c>
      <c r="E179">
        <v>1006</v>
      </c>
      <c r="F179" s="1">
        <v>44005</v>
      </c>
      <c r="G179" t="s">
        <v>55</v>
      </c>
      <c r="H179" s="4" t="s">
        <v>16</v>
      </c>
      <c r="I179" s="4">
        <v>-121.22</v>
      </c>
      <c r="J179" s="4">
        <v>-121.22</v>
      </c>
      <c r="K179" t="str">
        <f>_xlfn.XLOOKUP($C179,Table1[BusinessUnitID],Table1[BusinessUnit],"",0)</f>
        <v>HOUSEKEEPING</v>
      </c>
      <c r="L179" t="str" cm="1">
        <f t="array" ref="L179">_xlfn.XLOOKUP($C179,Table1[[#All],[BusinessUnitID]],Table1[[#All],[Description]],"",0,1)</f>
        <v xml:space="preserve">Transactions related to the Housekeeping Department. Primarily includes payroll for housekeepers and housekeeping supplies. </v>
      </c>
      <c r="M179" t="str">
        <f>_xlfn.XLOOKUP($B179,ChartOfAccounts!A178:A263,ChartOfAccounts!B178:B263,"",0,1)</f>
        <v/>
      </c>
      <c r="N179">
        <f>_xlfn.XLOOKUP($B179,ChartOfAccounts!A178:A263,ChartOfAccounts!D178:D263,0,1)</f>
        <v>0</v>
      </c>
      <c r="O179" t="str">
        <f>_xlfn.XLOOKUP($B179,ChartOfAccounts!A178:A263,ChartOfAccounts!F178:F263,"",0,1)</f>
        <v/>
      </c>
      <c r="P179" t="str" cm="1">
        <f t="array" ref="P179">_xlfn.XLOOKUP($D179&amp;$C179,PreparerInfo!A178:A190&amp;PreparerInfo!C178:C190,PreparerInfo!B178:B190,"",0,1)</f>
        <v/>
      </c>
      <c r="Q179" t="str">
        <f>_xlfn.XLOOKUP($E179,Source!A178:A186,Source!B178:B186,"",0,1)</f>
        <v/>
      </c>
    </row>
    <row r="180" spans="1:17" x14ac:dyDescent="0.3">
      <c r="A180" s="3">
        <v>2033609</v>
      </c>
      <c r="B180">
        <v>51610</v>
      </c>
      <c r="C180">
        <v>2</v>
      </c>
      <c r="D180" s="9">
        <v>105</v>
      </c>
      <c r="E180">
        <v>1006</v>
      </c>
      <c r="F180" s="1">
        <v>44005</v>
      </c>
      <c r="G180" t="s">
        <v>75</v>
      </c>
      <c r="H180" s="4">
        <v>195.5</v>
      </c>
      <c r="I180" s="4" t="s">
        <v>16</v>
      </c>
      <c r="J180" s="4">
        <v>195.5</v>
      </c>
      <c r="K180" t="str">
        <f>_xlfn.XLOOKUP($C180,Table1[BusinessUnitID],Table1[BusinessUnit],"",0)</f>
        <v>HOTEL</v>
      </c>
      <c r="L180" t="str" cm="1">
        <f t="array" ref="L180">_xlfn.XLOOKUP($C180,Table1[[#All],[BusinessUnitID]],Table1[[#All],[Description]],"",0,1)</f>
        <v xml:space="preserve">Transactions related to guest rooms and overall hotel operations. Includes payroll for administrative staff, clerks and interns. </v>
      </c>
      <c r="M180" t="str">
        <f>_xlfn.XLOOKUP($B180,ChartOfAccounts!A179:A264,ChartOfAccounts!B179:B264,"",0,1)</f>
        <v/>
      </c>
      <c r="N180">
        <f>_xlfn.XLOOKUP($B180,ChartOfAccounts!A179:A264,ChartOfAccounts!D179:D264,0,1)</f>
        <v>0</v>
      </c>
      <c r="O180" t="str">
        <f>_xlfn.XLOOKUP($B180,ChartOfAccounts!A179:A264,ChartOfAccounts!F179:F264,"",0,1)</f>
        <v/>
      </c>
      <c r="P180" t="str" cm="1">
        <f t="array" ref="P180">_xlfn.XLOOKUP($D180&amp;$C180,PreparerInfo!A179:A191&amp;PreparerInfo!C179:C191,PreparerInfo!B179:B191,"",0,1)</f>
        <v/>
      </c>
      <c r="Q180" t="str">
        <f>_xlfn.XLOOKUP($E180,Source!A179:A187,Source!B179:B187,"",0,1)</f>
        <v/>
      </c>
    </row>
    <row r="181" spans="1:17" x14ac:dyDescent="0.3">
      <c r="A181" s="3">
        <v>2033609</v>
      </c>
      <c r="B181">
        <v>22110</v>
      </c>
      <c r="C181">
        <v>2</v>
      </c>
      <c r="D181" s="9">
        <v>105</v>
      </c>
      <c r="E181">
        <v>1006</v>
      </c>
      <c r="F181" s="1">
        <v>44005</v>
      </c>
      <c r="G181" t="s">
        <v>75</v>
      </c>
      <c r="H181" s="4" t="s">
        <v>16</v>
      </c>
      <c r="I181" s="4">
        <v>-195.5</v>
      </c>
      <c r="J181" s="4">
        <v>-195.5</v>
      </c>
      <c r="K181" t="str">
        <f>_xlfn.XLOOKUP($C181,Table1[BusinessUnitID],Table1[BusinessUnit],"",0)</f>
        <v>HOTEL</v>
      </c>
      <c r="L181" t="str" cm="1">
        <f t="array" ref="L181">_xlfn.XLOOKUP($C181,Table1[[#All],[BusinessUnitID]],Table1[[#All],[Description]],"",0,1)</f>
        <v xml:space="preserve">Transactions related to guest rooms and overall hotel operations. Includes payroll for administrative staff, clerks and interns. </v>
      </c>
      <c r="M181" t="str">
        <f>_xlfn.XLOOKUP($B181,ChartOfAccounts!A180:A265,ChartOfAccounts!B180:B265,"",0,1)</f>
        <v/>
      </c>
      <c r="N181">
        <f>_xlfn.XLOOKUP($B181,ChartOfAccounts!A180:A265,ChartOfAccounts!D180:D265,0,1)</f>
        <v>0</v>
      </c>
      <c r="O181" t="str">
        <f>_xlfn.XLOOKUP($B181,ChartOfAccounts!A180:A265,ChartOfAccounts!F180:F265,"",0,1)</f>
        <v/>
      </c>
      <c r="P181" t="str" cm="1">
        <f t="array" ref="P181">_xlfn.XLOOKUP($D181&amp;$C181,PreparerInfo!A180:A192&amp;PreparerInfo!C180:C192,PreparerInfo!B180:B192,"",0,1)</f>
        <v/>
      </c>
      <c r="Q181" t="str">
        <f>_xlfn.XLOOKUP($E181,Source!A180:A188,Source!B180:B188,"",0,1)</f>
        <v/>
      </c>
    </row>
    <row r="182" spans="1:17" x14ac:dyDescent="0.3">
      <c r="A182" s="3">
        <v>2033610</v>
      </c>
      <c r="B182">
        <v>11845</v>
      </c>
      <c r="C182">
        <v>2</v>
      </c>
      <c r="D182" s="9">
        <v>104</v>
      </c>
      <c r="E182">
        <v>1003</v>
      </c>
      <c r="F182" s="1">
        <v>44005</v>
      </c>
      <c r="G182" t="s">
        <v>229</v>
      </c>
      <c r="H182" s="4">
        <v>198</v>
      </c>
      <c r="I182" s="4" t="s">
        <v>16</v>
      </c>
      <c r="J182" s="4">
        <v>198</v>
      </c>
      <c r="K182" t="str">
        <f>_xlfn.XLOOKUP($C182,Table1[BusinessUnitID],Table1[BusinessUnit],"",0)</f>
        <v>HOTEL</v>
      </c>
      <c r="L182" t="str" cm="1">
        <f t="array" ref="L182">_xlfn.XLOOKUP($C182,Table1[[#All],[BusinessUnitID]],Table1[[#All],[Description]],"",0,1)</f>
        <v xml:space="preserve">Transactions related to guest rooms and overall hotel operations. Includes payroll for administrative staff, clerks and interns. </v>
      </c>
      <c r="M182" t="str">
        <f>_xlfn.XLOOKUP($B182,ChartOfAccounts!A181:A266,ChartOfAccounts!B181:B266,"",0,1)</f>
        <v/>
      </c>
      <c r="N182">
        <f>_xlfn.XLOOKUP($B182,ChartOfAccounts!A181:A266,ChartOfAccounts!D181:D266,0,1)</f>
        <v>0</v>
      </c>
      <c r="O182" t="str">
        <f>_xlfn.XLOOKUP($B182,ChartOfAccounts!A181:A266,ChartOfAccounts!F181:F266,"",0,1)</f>
        <v/>
      </c>
      <c r="P182" t="str" cm="1">
        <f t="array" ref="P182">_xlfn.XLOOKUP($D182&amp;$C182,PreparerInfo!A181:A193&amp;PreparerInfo!C181:C193,PreparerInfo!B181:B193,"",0,1)</f>
        <v/>
      </c>
      <c r="Q182" t="str">
        <f>_xlfn.XLOOKUP($E182,Source!A181:A189,Source!B181:B189,"",0,1)</f>
        <v/>
      </c>
    </row>
    <row r="183" spans="1:17" x14ac:dyDescent="0.3">
      <c r="A183" s="3">
        <v>2033610</v>
      </c>
      <c r="B183">
        <v>43180</v>
      </c>
      <c r="C183">
        <v>2</v>
      </c>
      <c r="D183" s="9">
        <v>104</v>
      </c>
      <c r="E183">
        <v>1003</v>
      </c>
      <c r="F183" s="1">
        <v>44005</v>
      </c>
      <c r="G183" t="s">
        <v>229</v>
      </c>
      <c r="H183" s="4" t="s">
        <v>16</v>
      </c>
      <c r="I183" s="4">
        <v>-198</v>
      </c>
      <c r="J183" s="4">
        <v>-198</v>
      </c>
      <c r="K183" t="str">
        <f>_xlfn.XLOOKUP($C183,Table1[BusinessUnitID],Table1[BusinessUnit],"",0)</f>
        <v>HOTEL</v>
      </c>
      <c r="L183" t="str" cm="1">
        <f t="array" ref="L183">_xlfn.XLOOKUP($C183,Table1[[#All],[BusinessUnitID]],Table1[[#All],[Description]],"",0,1)</f>
        <v xml:space="preserve">Transactions related to guest rooms and overall hotel operations. Includes payroll for administrative staff, clerks and interns. </v>
      </c>
      <c r="M183" t="str">
        <f>_xlfn.XLOOKUP($B183,ChartOfAccounts!A182:A267,ChartOfAccounts!B182:B267,"",0,1)</f>
        <v/>
      </c>
      <c r="N183">
        <f>_xlfn.XLOOKUP($B183,ChartOfAccounts!A182:A267,ChartOfAccounts!D182:D267,0,1)</f>
        <v>0</v>
      </c>
      <c r="O183" t="str">
        <f>_xlfn.XLOOKUP($B183,ChartOfAccounts!A182:A267,ChartOfAccounts!F182:F267,"",0,1)</f>
        <v/>
      </c>
      <c r="P183" t="str" cm="1">
        <f t="array" ref="P183">_xlfn.XLOOKUP($D183&amp;$C183,PreparerInfo!A182:A194&amp;PreparerInfo!C182:C194,PreparerInfo!B182:B194,"",0,1)</f>
        <v/>
      </c>
      <c r="Q183" t="str">
        <f>_xlfn.XLOOKUP($E183,Source!A182:A190,Source!B182:B190,"",0,1)</f>
        <v/>
      </c>
    </row>
    <row r="184" spans="1:17" x14ac:dyDescent="0.3">
      <c r="A184" s="3">
        <v>2033611</v>
      </c>
      <c r="B184">
        <v>51400</v>
      </c>
      <c r="C184">
        <v>2</v>
      </c>
      <c r="D184" s="9">
        <v>105</v>
      </c>
      <c r="E184">
        <v>1006</v>
      </c>
      <c r="F184" s="1">
        <v>44005</v>
      </c>
      <c r="G184" t="s">
        <v>55</v>
      </c>
      <c r="H184" s="4">
        <v>206.41</v>
      </c>
      <c r="I184" s="4" t="s">
        <v>16</v>
      </c>
      <c r="J184" s="4">
        <v>206.41</v>
      </c>
      <c r="K184" t="str">
        <f>_xlfn.XLOOKUP($C184,Table1[BusinessUnitID],Table1[BusinessUnit],"",0)</f>
        <v>HOTEL</v>
      </c>
      <c r="L184" t="str" cm="1">
        <f t="array" ref="L184">_xlfn.XLOOKUP($C184,Table1[[#All],[BusinessUnitID]],Table1[[#All],[Description]],"",0,1)</f>
        <v xml:space="preserve">Transactions related to guest rooms and overall hotel operations. Includes payroll for administrative staff, clerks and interns. </v>
      </c>
      <c r="M184" t="str">
        <f>_xlfn.XLOOKUP($B184,ChartOfAccounts!A183:A268,ChartOfAccounts!B183:B268,"",0,1)</f>
        <v/>
      </c>
      <c r="N184">
        <f>_xlfn.XLOOKUP($B184,ChartOfAccounts!A183:A268,ChartOfAccounts!D183:D268,0,1)</f>
        <v>0</v>
      </c>
      <c r="O184" t="str">
        <f>_xlfn.XLOOKUP($B184,ChartOfAccounts!A183:A268,ChartOfAccounts!F183:F268,"",0,1)</f>
        <v/>
      </c>
      <c r="P184" t="str" cm="1">
        <f t="array" ref="P184">_xlfn.XLOOKUP($D184&amp;$C184,PreparerInfo!A183:A195&amp;PreparerInfo!C183:C195,PreparerInfo!B183:B195,"",0,1)</f>
        <v/>
      </c>
      <c r="Q184" t="str">
        <f>_xlfn.XLOOKUP($E184,Source!A183:A191,Source!B183:B191,"",0,1)</f>
        <v/>
      </c>
    </row>
    <row r="185" spans="1:17" x14ac:dyDescent="0.3">
      <c r="A185" s="3">
        <v>2033611</v>
      </c>
      <c r="B185">
        <v>22110</v>
      </c>
      <c r="C185">
        <v>2</v>
      </c>
      <c r="D185" s="9">
        <v>105</v>
      </c>
      <c r="E185">
        <v>1006</v>
      </c>
      <c r="F185" s="1">
        <v>44005</v>
      </c>
      <c r="G185" t="s">
        <v>55</v>
      </c>
      <c r="H185" s="4" t="s">
        <v>16</v>
      </c>
      <c r="I185" s="4">
        <v>-206.41</v>
      </c>
      <c r="J185" s="4">
        <v>-206.41</v>
      </c>
      <c r="K185" t="str">
        <f>_xlfn.XLOOKUP($C185,Table1[BusinessUnitID],Table1[BusinessUnit],"",0)</f>
        <v>HOTEL</v>
      </c>
      <c r="L185" t="str" cm="1">
        <f t="array" ref="L185">_xlfn.XLOOKUP($C185,Table1[[#All],[BusinessUnitID]],Table1[[#All],[Description]],"",0,1)</f>
        <v xml:space="preserve">Transactions related to guest rooms and overall hotel operations. Includes payroll for administrative staff, clerks and interns. </v>
      </c>
      <c r="M185" t="str">
        <f>_xlfn.XLOOKUP($B185,ChartOfAccounts!A184:A269,ChartOfAccounts!B184:B269,"",0,1)</f>
        <v/>
      </c>
      <c r="N185">
        <f>_xlfn.XLOOKUP($B185,ChartOfAccounts!A184:A269,ChartOfAccounts!D184:D269,0,1)</f>
        <v>0</v>
      </c>
      <c r="O185" t="str">
        <f>_xlfn.XLOOKUP($B185,ChartOfAccounts!A184:A269,ChartOfAccounts!F184:F269,"",0,1)</f>
        <v/>
      </c>
      <c r="P185" t="str" cm="1">
        <f t="array" ref="P185">_xlfn.XLOOKUP($D185&amp;$C185,PreparerInfo!A184:A196&amp;PreparerInfo!C184:C196,PreparerInfo!B184:B196,"",0,1)</f>
        <v/>
      </c>
      <c r="Q185" t="str">
        <f>_xlfn.XLOOKUP($E185,Source!A184:A192,Source!B184:B192,"",0,1)</f>
        <v/>
      </c>
    </row>
    <row r="186" spans="1:17" x14ac:dyDescent="0.3">
      <c r="A186" s="3">
        <v>2033612</v>
      </c>
      <c r="B186">
        <v>11845</v>
      </c>
      <c r="C186">
        <v>1</v>
      </c>
      <c r="D186" s="9">
        <v>102</v>
      </c>
      <c r="E186">
        <v>1001</v>
      </c>
      <c r="F186" s="1">
        <v>44005</v>
      </c>
      <c r="G186" t="s">
        <v>41</v>
      </c>
      <c r="H186" s="4">
        <v>207.83</v>
      </c>
      <c r="I186" s="4" t="s">
        <v>16</v>
      </c>
      <c r="J186" s="4">
        <v>207.83</v>
      </c>
      <c r="K186" t="str">
        <f>_xlfn.XLOOKUP($C186,Table1[BusinessUnitID],Table1[BusinessUnit],"",0)</f>
        <v>FOOD SERVICE</v>
      </c>
      <c r="L186" t="str" cm="1">
        <f t="array" ref="L186">_xlfn.XLOOKUP($C186,Table1[[#All],[BusinessUnitID]],Table1[[#All],[Description]],"",0,1)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186" t="str">
        <f>_xlfn.XLOOKUP($B186,ChartOfAccounts!A185:A270,ChartOfAccounts!B185:B270,"",0,1)</f>
        <v/>
      </c>
      <c r="N186">
        <f>_xlfn.XLOOKUP($B186,ChartOfAccounts!A185:A270,ChartOfAccounts!D185:D270,0,1)</f>
        <v>0</v>
      </c>
      <c r="O186" t="str">
        <f>_xlfn.XLOOKUP($B186,ChartOfAccounts!A185:A270,ChartOfAccounts!F185:F270,"",0,1)</f>
        <v/>
      </c>
      <c r="P186" t="str" cm="1">
        <f t="array" ref="P186">_xlfn.XLOOKUP($D186&amp;$C186,PreparerInfo!A185:A197&amp;PreparerInfo!C185:C197,PreparerInfo!B185:B197,"",0,1)</f>
        <v/>
      </c>
      <c r="Q186" t="str">
        <f>_xlfn.XLOOKUP($E186,Source!A185:A193,Source!B185:B193,"",0,1)</f>
        <v/>
      </c>
    </row>
    <row r="187" spans="1:17" x14ac:dyDescent="0.3">
      <c r="A187" s="3">
        <v>2033612</v>
      </c>
      <c r="B187">
        <v>43310</v>
      </c>
      <c r="C187">
        <v>1</v>
      </c>
      <c r="D187" s="9">
        <v>102</v>
      </c>
      <c r="E187">
        <v>1001</v>
      </c>
      <c r="F187" s="1">
        <v>44005</v>
      </c>
      <c r="G187" t="s">
        <v>41</v>
      </c>
      <c r="H187" s="4" t="s">
        <v>16</v>
      </c>
      <c r="I187" s="4">
        <v>-207.83</v>
      </c>
      <c r="J187" s="4">
        <v>-207.83</v>
      </c>
      <c r="K187" t="str">
        <f>_xlfn.XLOOKUP($C187,Table1[BusinessUnitID],Table1[BusinessUnit],"",0)</f>
        <v>FOOD SERVICE</v>
      </c>
      <c r="L187" t="str" cm="1">
        <f t="array" ref="L187">_xlfn.XLOOKUP($C187,Table1[[#All],[BusinessUnitID]],Table1[[#All],[Description]],"",0,1)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187" t="str">
        <f>_xlfn.XLOOKUP($B187,ChartOfAccounts!A186:A271,ChartOfAccounts!B186:B271,"",0,1)</f>
        <v/>
      </c>
      <c r="N187">
        <f>_xlfn.XLOOKUP($B187,ChartOfAccounts!A186:A271,ChartOfAccounts!D186:D271,0,1)</f>
        <v>0</v>
      </c>
      <c r="O187" t="str">
        <f>_xlfn.XLOOKUP($B187,ChartOfAccounts!A186:A271,ChartOfAccounts!F186:F271,"",0,1)</f>
        <v/>
      </c>
      <c r="P187" t="str" cm="1">
        <f t="array" ref="P187">_xlfn.XLOOKUP($D187&amp;$C187,PreparerInfo!A186:A198&amp;PreparerInfo!C186:C198,PreparerInfo!B186:B198,"",0,1)</f>
        <v/>
      </c>
      <c r="Q187" t="str">
        <f>_xlfn.XLOOKUP($E187,Source!A186:A194,Source!B186:B194,"",0,1)</f>
        <v/>
      </c>
    </row>
    <row r="188" spans="1:17" x14ac:dyDescent="0.3">
      <c r="A188" s="3">
        <v>2033613</v>
      </c>
      <c r="B188">
        <v>51402</v>
      </c>
      <c r="C188">
        <v>1</v>
      </c>
      <c r="D188" s="9">
        <v>105</v>
      </c>
      <c r="E188">
        <v>1006</v>
      </c>
      <c r="F188" s="1">
        <v>44005</v>
      </c>
      <c r="G188" t="s">
        <v>55</v>
      </c>
      <c r="H188" s="4">
        <v>238.54</v>
      </c>
      <c r="I188" s="4" t="s">
        <v>16</v>
      </c>
      <c r="J188" s="4">
        <v>238.54</v>
      </c>
      <c r="K188" t="str">
        <f>_xlfn.XLOOKUP($C188,Table1[BusinessUnitID],Table1[BusinessUnit],"",0)</f>
        <v>FOOD SERVICE</v>
      </c>
      <c r="L188" t="str" cm="1">
        <f t="array" ref="L188">_xlfn.XLOOKUP($C188,Table1[[#All],[BusinessUnitID]],Table1[[#All],[Description]],"",0,1)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188" t="str">
        <f>_xlfn.XLOOKUP($B188,ChartOfAccounts!A187:A272,ChartOfAccounts!B187:B272,"",0,1)</f>
        <v/>
      </c>
      <c r="N188">
        <f>_xlfn.XLOOKUP($B188,ChartOfAccounts!A187:A272,ChartOfAccounts!D187:D272,0,1)</f>
        <v>0</v>
      </c>
      <c r="O188" t="str">
        <f>_xlfn.XLOOKUP($B188,ChartOfAccounts!A187:A272,ChartOfAccounts!F187:F272,"",0,1)</f>
        <v/>
      </c>
      <c r="P188" t="str" cm="1">
        <f t="array" ref="P188">_xlfn.XLOOKUP($D188&amp;$C188,PreparerInfo!A187:A199&amp;PreparerInfo!C187:C199,PreparerInfo!B187:B199,"",0,1)</f>
        <v/>
      </c>
      <c r="Q188" t="str">
        <f>_xlfn.XLOOKUP($E188,Source!A187:A195,Source!B187:B195,"",0,1)</f>
        <v/>
      </c>
    </row>
    <row r="189" spans="1:17" x14ac:dyDescent="0.3">
      <c r="A189" s="3">
        <v>2033613</v>
      </c>
      <c r="B189">
        <v>22110</v>
      </c>
      <c r="C189">
        <v>1</v>
      </c>
      <c r="D189" s="9">
        <v>105</v>
      </c>
      <c r="E189">
        <v>1006</v>
      </c>
      <c r="F189" s="1">
        <v>44005</v>
      </c>
      <c r="G189" t="s">
        <v>55</v>
      </c>
      <c r="H189" s="4" t="s">
        <v>16</v>
      </c>
      <c r="I189" s="4">
        <v>-238.54</v>
      </c>
      <c r="J189" s="4">
        <v>-238.54</v>
      </c>
      <c r="K189" t="str">
        <f>_xlfn.XLOOKUP($C189,Table1[BusinessUnitID],Table1[BusinessUnit],"",0)</f>
        <v>FOOD SERVICE</v>
      </c>
      <c r="L189" t="str" cm="1">
        <f t="array" ref="L189">_xlfn.XLOOKUP($C189,Table1[[#All],[BusinessUnitID]],Table1[[#All],[Description]],"",0,1)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189" t="str">
        <f>_xlfn.XLOOKUP($B189,ChartOfAccounts!A188:A273,ChartOfAccounts!B188:B273,"",0,1)</f>
        <v/>
      </c>
      <c r="N189">
        <f>_xlfn.XLOOKUP($B189,ChartOfAccounts!A188:A273,ChartOfAccounts!D188:D273,0,1)</f>
        <v>0</v>
      </c>
      <c r="O189" t="str">
        <f>_xlfn.XLOOKUP($B189,ChartOfAccounts!A188:A273,ChartOfAccounts!F188:F273,"",0,1)</f>
        <v/>
      </c>
      <c r="P189" t="str" cm="1">
        <f t="array" ref="P189">_xlfn.XLOOKUP($D189&amp;$C189,PreparerInfo!A188:A200&amp;PreparerInfo!C188:C200,PreparerInfo!B188:B200,"",0,1)</f>
        <v/>
      </c>
      <c r="Q189" t="str">
        <f>_xlfn.XLOOKUP($E189,Source!A188:A196,Source!B188:B196,"",0,1)</f>
        <v/>
      </c>
    </row>
    <row r="190" spans="1:17" x14ac:dyDescent="0.3">
      <c r="A190" s="3">
        <v>2033614</v>
      </c>
      <c r="B190">
        <v>11845</v>
      </c>
      <c r="C190">
        <v>2</v>
      </c>
      <c r="D190" s="9">
        <v>104</v>
      </c>
      <c r="E190">
        <v>1003</v>
      </c>
      <c r="F190" s="1">
        <v>44005</v>
      </c>
      <c r="G190" t="s">
        <v>230</v>
      </c>
      <c r="H190" s="4">
        <v>258</v>
      </c>
      <c r="I190" s="4" t="s">
        <v>16</v>
      </c>
      <c r="J190" s="4">
        <v>258</v>
      </c>
      <c r="K190" t="str">
        <f>_xlfn.XLOOKUP($C190,Table1[BusinessUnitID],Table1[BusinessUnit],"",0)</f>
        <v>HOTEL</v>
      </c>
      <c r="L190" t="str" cm="1">
        <f t="array" ref="L190">_xlfn.XLOOKUP($C190,Table1[[#All],[BusinessUnitID]],Table1[[#All],[Description]],"",0,1)</f>
        <v xml:space="preserve">Transactions related to guest rooms and overall hotel operations. Includes payroll for administrative staff, clerks and interns. </v>
      </c>
      <c r="M190" t="str">
        <f>_xlfn.XLOOKUP($B190,ChartOfAccounts!A189:A274,ChartOfAccounts!B189:B274,"",0,1)</f>
        <v/>
      </c>
      <c r="N190">
        <f>_xlfn.XLOOKUP($B190,ChartOfAccounts!A189:A274,ChartOfAccounts!D189:D274,0,1)</f>
        <v>0</v>
      </c>
      <c r="O190" t="str">
        <f>_xlfn.XLOOKUP($B190,ChartOfAccounts!A189:A274,ChartOfAccounts!F189:F274,"",0,1)</f>
        <v/>
      </c>
      <c r="P190" t="str" cm="1">
        <f t="array" ref="P190">_xlfn.XLOOKUP($D190&amp;$C190,PreparerInfo!A189:A201&amp;PreparerInfo!C189:C201,PreparerInfo!B189:B201,"",0,1)</f>
        <v/>
      </c>
      <c r="Q190" t="str">
        <f>_xlfn.XLOOKUP($E190,Source!A189:A197,Source!B189:B197,"",0,1)</f>
        <v/>
      </c>
    </row>
    <row r="191" spans="1:17" x14ac:dyDescent="0.3">
      <c r="A191" s="3">
        <v>2033614</v>
      </c>
      <c r="B191">
        <v>43180</v>
      </c>
      <c r="C191">
        <v>2</v>
      </c>
      <c r="D191" s="9">
        <v>104</v>
      </c>
      <c r="E191">
        <v>1003</v>
      </c>
      <c r="F191" s="1">
        <v>44005</v>
      </c>
      <c r="G191" t="s">
        <v>230</v>
      </c>
      <c r="H191" s="4" t="s">
        <v>16</v>
      </c>
      <c r="I191" s="4">
        <v>-258</v>
      </c>
      <c r="J191" s="4">
        <v>-258</v>
      </c>
      <c r="K191" t="str">
        <f>_xlfn.XLOOKUP($C191,Table1[BusinessUnitID],Table1[BusinessUnit],"",0)</f>
        <v>HOTEL</v>
      </c>
      <c r="L191" t="str" cm="1">
        <f t="array" ref="L191">_xlfn.XLOOKUP($C191,Table1[[#All],[BusinessUnitID]],Table1[[#All],[Description]],"",0,1)</f>
        <v xml:space="preserve">Transactions related to guest rooms and overall hotel operations. Includes payroll for administrative staff, clerks and interns. </v>
      </c>
      <c r="M191" t="str">
        <f>_xlfn.XLOOKUP($B191,ChartOfAccounts!A190:A275,ChartOfAccounts!B190:B275,"",0,1)</f>
        <v/>
      </c>
      <c r="N191">
        <f>_xlfn.XLOOKUP($B191,ChartOfAccounts!A190:A275,ChartOfAccounts!D190:D275,0,1)</f>
        <v>0</v>
      </c>
      <c r="O191" t="str">
        <f>_xlfn.XLOOKUP($B191,ChartOfAccounts!A190:A275,ChartOfAccounts!F190:F275,"",0,1)</f>
        <v/>
      </c>
      <c r="P191" t="str" cm="1">
        <f t="array" ref="P191">_xlfn.XLOOKUP($D191&amp;$C191,PreparerInfo!A190:A202&amp;PreparerInfo!C190:C202,PreparerInfo!B190:B202,"",0,1)</f>
        <v/>
      </c>
      <c r="Q191" t="str">
        <f>_xlfn.XLOOKUP($E191,Source!A190:A198,Source!B190:B198,"",0,1)</f>
        <v/>
      </c>
    </row>
    <row r="192" spans="1:17" x14ac:dyDescent="0.3">
      <c r="A192" s="3">
        <v>2033615</v>
      </c>
      <c r="B192">
        <v>51610</v>
      </c>
      <c r="C192">
        <v>1</v>
      </c>
      <c r="D192" s="9">
        <v>105</v>
      </c>
      <c r="E192">
        <v>1006</v>
      </c>
      <c r="F192" s="1">
        <v>44005</v>
      </c>
      <c r="G192" t="s">
        <v>65</v>
      </c>
      <c r="H192" s="4">
        <v>293.83</v>
      </c>
      <c r="I192" s="4" t="s">
        <v>16</v>
      </c>
      <c r="J192" s="4">
        <v>293.83</v>
      </c>
      <c r="K192" t="str">
        <f>_xlfn.XLOOKUP($C192,Table1[BusinessUnitID],Table1[BusinessUnit],"",0)</f>
        <v>FOOD SERVICE</v>
      </c>
      <c r="L192" t="str" cm="1">
        <f t="array" ref="L192">_xlfn.XLOOKUP($C192,Table1[[#All],[BusinessUnitID]],Table1[[#All],[Description]],"",0,1)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192" t="str">
        <f>_xlfn.XLOOKUP($B192,ChartOfAccounts!A191:A276,ChartOfAccounts!B191:B276,"",0,1)</f>
        <v/>
      </c>
      <c r="N192">
        <f>_xlfn.XLOOKUP($B192,ChartOfAccounts!A191:A276,ChartOfAccounts!D191:D276,0,1)</f>
        <v>0</v>
      </c>
      <c r="O192" t="str">
        <f>_xlfn.XLOOKUP($B192,ChartOfAccounts!A191:A276,ChartOfAccounts!F191:F276,"",0,1)</f>
        <v/>
      </c>
      <c r="P192" t="str" cm="1">
        <f t="array" ref="P192">_xlfn.XLOOKUP($D192&amp;$C192,PreparerInfo!A191:A203&amp;PreparerInfo!C191:C203,PreparerInfo!B191:B203,"",0,1)</f>
        <v/>
      </c>
      <c r="Q192" t="str">
        <f>_xlfn.XLOOKUP($E192,Source!A191:A199,Source!B191:B199,"",0,1)</f>
        <v/>
      </c>
    </row>
    <row r="193" spans="1:17" x14ac:dyDescent="0.3">
      <c r="A193" s="3">
        <v>2033615</v>
      </c>
      <c r="B193">
        <v>22110</v>
      </c>
      <c r="C193">
        <v>1</v>
      </c>
      <c r="D193" s="9">
        <v>105</v>
      </c>
      <c r="E193">
        <v>1006</v>
      </c>
      <c r="F193" s="1">
        <v>44005</v>
      </c>
      <c r="G193" t="s">
        <v>65</v>
      </c>
      <c r="H193" s="4" t="s">
        <v>16</v>
      </c>
      <c r="I193" s="4">
        <v>-293.83</v>
      </c>
      <c r="J193" s="4">
        <v>-293.83</v>
      </c>
      <c r="K193" t="str">
        <f>_xlfn.XLOOKUP($C193,Table1[BusinessUnitID],Table1[BusinessUnit],"",0)</f>
        <v>FOOD SERVICE</v>
      </c>
      <c r="L193" t="str" cm="1">
        <f t="array" ref="L193">_xlfn.XLOOKUP($C193,Table1[[#All],[BusinessUnitID]],Table1[[#All],[Description]],"",0,1)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193" t="str">
        <f>_xlfn.XLOOKUP($B193,ChartOfAccounts!A192:A277,ChartOfAccounts!B192:B277,"",0,1)</f>
        <v/>
      </c>
      <c r="N193">
        <f>_xlfn.XLOOKUP($B193,ChartOfAccounts!A192:A277,ChartOfAccounts!D192:D277,0,1)</f>
        <v>0</v>
      </c>
      <c r="O193" t="str">
        <f>_xlfn.XLOOKUP($B193,ChartOfAccounts!A192:A277,ChartOfAccounts!F192:F277,"",0,1)</f>
        <v/>
      </c>
      <c r="P193" t="str" cm="1">
        <f t="array" ref="P193">_xlfn.XLOOKUP($D193&amp;$C193,PreparerInfo!A192:A204&amp;PreparerInfo!C192:C204,PreparerInfo!B192:B204,"",0,1)</f>
        <v/>
      </c>
      <c r="Q193" t="str">
        <f>_xlfn.XLOOKUP($E193,Source!A192:A200,Source!B192:B200,"",0,1)</f>
        <v/>
      </c>
    </row>
    <row r="194" spans="1:17" x14ac:dyDescent="0.3">
      <c r="A194" s="3">
        <v>2033616</v>
      </c>
      <c r="B194">
        <v>51510</v>
      </c>
      <c r="C194">
        <v>6</v>
      </c>
      <c r="D194" s="9">
        <v>105</v>
      </c>
      <c r="E194">
        <v>1006</v>
      </c>
      <c r="F194" s="1">
        <v>44005</v>
      </c>
      <c r="G194" t="s">
        <v>62</v>
      </c>
      <c r="H194" s="4">
        <v>312.14</v>
      </c>
      <c r="I194" s="4" t="s">
        <v>16</v>
      </c>
      <c r="J194" s="4">
        <v>312.14</v>
      </c>
      <c r="K194" t="str">
        <f>_xlfn.XLOOKUP($C194,Table1[BusinessUnitID],Table1[BusinessUnit],"",0)</f>
        <v>MAINTENANCE</v>
      </c>
      <c r="L194" t="str" cm="1">
        <f t="array" ref="L194">_xlfn.XLOOKUP($C194,Table1[[#All],[BusinessUnitID]],Table1[[#All],[Description]],"",0,1)</f>
        <v>Transactions related to the hotel Maintenance Department. Primarily includes payroll for maintenance, grounds keepers and related supplies.</v>
      </c>
      <c r="M194" t="str">
        <f>_xlfn.XLOOKUP($B194,ChartOfAccounts!A193:A278,ChartOfAccounts!B193:B278,"",0,1)</f>
        <v/>
      </c>
      <c r="N194">
        <f>_xlfn.XLOOKUP($B194,ChartOfAccounts!A193:A278,ChartOfAccounts!D193:D278,0,1)</f>
        <v>0</v>
      </c>
      <c r="O194" t="str">
        <f>_xlfn.XLOOKUP($B194,ChartOfAccounts!A193:A278,ChartOfAccounts!F193:F278,"",0,1)</f>
        <v/>
      </c>
      <c r="P194" t="str" cm="1">
        <f t="array" ref="P194">_xlfn.XLOOKUP($D194&amp;$C194,PreparerInfo!A193:A205&amp;PreparerInfo!C193:C205,PreparerInfo!B193:B205,"",0,1)</f>
        <v/>
      </c>
      <c r="Q194" t="str">
        <f>_xlfn.XLOOKUP($E194,Source!A193:A201,Source!B193:B201,"",0,1)</f>
        <v/>
      </c>
    </row>
    <row r="195" spans="1:17" x14ac:dyDescent="0.3">
      <c r="A195" s="3">
        <v>2033616</v>
      </c>
      <c r="B195">
        <v>22110</v>
      </c>
      <c r="C195">
        <v>6</v>
      </c>
      <c r="D195" s="9">
        <v>105</v>
      </c>
      <c r="E195">
        <v>1006</v>
      </c>
      <c r="F195" s="1">
        <v>44005</v>
      </c>
      <c r="G195" t="s">
        <v>62</v>
      </c>
      <c r="H195" s="4" t="s">
        <v>16</v>
      </c>
      <c r="I195" s="4">
        <v>-312.14</v>
      </c>
      <c r="J195" s="4">
        <v>-312.14</v>
      </c>
      <c r="K195" t="str">
        <f>_xlfn.XLOOKUP($C195,Table1[BusinessUnitID],Table1[BusinessUnit],"",0)</f>
        <v>MAINTENANCE</v>
      </c>
      <c r="L195" t="str" cm="1">
        <f t="array" ref="L195">_xlfn.XLOOKUP($C195,Table1[[#All],[BusinessUnitID]],Table1[[#All],[Description]],"",0,1)</f>
        <v>Transactions related to the hotel Maintenance Department. Primarily includes payroll for maintenance, grounds keepers and related supplies.</v>
      </c>
      <c r="M195" t="str">
        <f>_xlfn.XLOOKUP($B195,ChartOfAccounts!A194:A279,ChartOfAccounts!B194:B279,"",0,1)</f>
        <v/>
      </c>
      <c r="N195">
        <f>_xlfn.XLOOKUP($B195,ChartOfAccounts!A194:A279,ChartOfAccounts!D194:D279,0,1)</f>
        <v>0</v>
      </c>
      <c r="O195" t="str">
        <f>_xlfn.XLOOKUP($B195,ChartOfAccounts!A194:A279,ChartOfAccounts!F194:F279,"",0,1)</f>
        <v/>
      </c>
      <c r="P195" t="str" cm="1">
        <f t="array" ref="P195">_xlfn.XLOOKUP($D195&amp;$C195,PreparerInfo!A194:A206&amp;PreparerInfo!C194:C206,PreparerInfo!B194:B206,"",0,1)</f>
        <v/>
      </c>
      <c r="Q195" t="str">
        <f>_xlfn.XLOOKUP($E195,Source!A194:A202,Source!B194:B202,"",0,1)</f>
        <v/>
      </c>
    </row>
    <row r="196" spans="1:17" x14ac:dyDescent="0.3">
      <c r="A196" s="3">
        <v>2033617</v>
      </c>
      <c r="B196">
        <v>11845</v>
      </c>
      <c r="C196">
        <v>1</v>
      </c>
      <c r="D196" s="9">
        <v>102</v>
      </c>
      <c r="E196">
        <v>1003</v>
      </c>
      <c r="F196" s="1">
        <v>44005</v>
      </c>
      <c r="G196" t="s">
        <v>15</v>
      </c>
      <c r="H196" s="4">
        <v>339.08</v>
      </c>
      <c r="I196" s="4" t="s">
        <v>16</v>
      </c>
      <c r="J196" s="4">
        <v>339.08</v>
      </c>
      <c r="K196" t="str">
        <f>_xlfn.XLOOKUP($C196,Table1[BusinessUnitID],Table1[BusinessUnit],"",0)</f>
        <v>FOOD SERVICE</v>
      </c>
      <c r="L196" t="str" cm="1">
        <f t="array" ref="L196">_xlfn.XLOOKUP($C196,Table1[[#All],[BusinessUnitID]],Table1[[#All],[Description]],"",0,1)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196" t="str">
        <f>_xlfn.XLOOKUP($B196,ChartOfAccounts!A195:A280,ChartOfAccounts!B195:B280,"",0,1)</f>
        <v/>
      </c>
      <c r="N196">
        <f>_xlfn.XLOOKUP($B196,ChartOfAccounts!A195:A280,ChartOfAccounts!D195:D280,0,1)</f>
        <v>0</v>
      </c>
      <c r="O196" t="str">
        <f>_xlfn.XLOOKUP($B196,ChartOfAccounts!A195:A280,ChartOfAccounts!F195:F280,"",0,1)</f>
        <v/>
      </c>
      <c r="P196" t="str" cm="1">
        <f t="array" ref="P196">_xlfn.XLOOKUP($D196&amp;$C196,PreparerInfo!A195:A207&amp;PreparerInfo!C195:C207,PreparerInfo!B195:B207,"",0,1)</f>
        <v/>
      </c>
      <c r="Q196" t="str">
        <f>_xlfn.XLOOKUP($E196,Source!A195:A203,Source!B195:B203,"",0,1)</f>
        <v/>
      </c>
    </row>
    <row r="197" spans="1:17" x14ac:dyDescent="0.3">
      <c r="A197" s="3">
        <v>2033617</v>
      </c>
      <c r="B197">
        <v>43310</v>
      </c>
      <c r="C197">
        <v>1</v>
      </c>
      <c r="D197" s="9">
        <v>102</v>
      </c>
      <c r="E197">
        <v>1003</v>
      </c>
      <c r="F197" s="1">
        <v>44005</v>
      </c>
      <c r="G197" t="s">
        <v>15</v>
      </c>
      <c r="H197" s="4" t="s">
        <v>16</v>
      </c>
      <c r="I197" s="4">
        <v>-339.08</v>
      </c>
      <c r="J197" s="4">
        <v>-339.08</v>
      </c>
      <c r="K197" t="str">
        <f>_xlfn.XLOOKUP($C197,Table1[BusinessUnitID],Table1[BusinessUnit],"",0)</f>
        <v>FOOD SERVICE</v>
      </c>
      <c r="L197" t="str" cm="1">
        <f t="array" ref="L197">_xlfn.XLOOKUP($C197,Table1[[#All],[BusinessUnitID]],Table1[[#All],[Description]],"",0,1)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197" t="str">
        <f>_xlfn.XLOOKUP($B197,ChartOfAccounts!A196:A281,ChartOfAccounts!B196:B281,"",0,1)</f>
        <v/>
      </c>
      <c r="N197">
        <f>_xlfn.XLOOKUP($B197,ChartOfAccounts!A196:A281,ChartOfAccounts!D196:D281,0,1)</f>
        <v>0</v>
      </c>
      <c r="O197" t="str">
        <f>_xlfn.XLOOKUP($B197,ChartOfAccounts!A196:A281,ChartOfAccounts!F196:F281,"",0,1)</f>
        <v/>
      </c>
      <c r="P197" t="str" cm="1">
        <f t="array" ref="P197">_xlfn.XLOOKUP($D197&amp;$C197,PreparerInfo!A196:A208&amp;PreparerInfo!C196:C208,PreparerInfo!B196:B208,"",0,1)</f>
        <v/>
      </c>
      <c r="Q197" t="str">
        <f>_xlfn.XLOOKUP($E197,Source!A196:A204,Source!B196:B204,"",0,1)</f>
        <v/>
      </c>
    </row>
    <row r="198" spans="1:17" x14ac:dyDescent="0.3">
      <c r="A198" s="3">
        <v>2033618</v>
      </c>
      <c r="B198">
        <v>71400</v>
      </c>
      <c r="C198">
        <v>2</v>
      </c>
      <c r="D198" s="9">
        <v>101</v>
      </c>
      <c r="E198">
        <v>1002</v>
      </c>
      <c r="F198" s="1">
        <v>44005</v>
      </c>
      <c r="G198" t="s">
        <v>231</v>
      </c>
      <c r="H198" s="4">
        <v>375</v>
      </c>
      <c r="I198" s="4" t="s">
        <v>16</v>
      </c>
      <c r="J198" s="4">
        <v>375</v>
      </c>
      <c r="K198" t="str">
        <f>_xlfn.XLOOKUP($C198,Table1[BusinessUnitID],Table1[BusinessUnit],"",0)</f>
        <v>HOTEL</v>
      </c>
      <c r="L198" t="str" cm="1">
        <f t="array" ref="L198">_xlfn.XLOOKUP($C198,Table1[[#All],[BusinessUnitID]],Table1[[#All],[Description]],"",0,1)</f>
        <v xml:space="preserve">Transactions related to guest rooms and overall hotel operations. Includes payroll for administrative staff, clerks and interns. </v>
      </c>
      <c r="M198" t="str">
        <f>_xlfn.XLOOKUP($B198,ChartOfAccounts!A197:A282,ChartOfAccounts!B197:B282,"",0,1)</f>
        <v/>
      </c>
      <c r="N198">
        <f>_xlfn.XLOOKUP($B198,ChartOfAccounts!A197:A282,ChartOfAccounts!D197:D282,0,1)</f>
        <v>0</v>
      </c>
      <c r="O198" t="str">
        <f>_xlfn.XLOOKUP($B198,ChartOfAccounts!A197:A282,ChartOfAccounts!F197:F282,"",0,1)</f>
        <v/>
      </c>
      <c r="P198" t="str" cm="1">
        <f t="array" ref="P198">_xlfn.XLOOKUP($D198&amp;$C198,PreparerInfo!A197:A209&amp;PreparerInfo!C197:C209,PreparerInfo!B197:B209,"",0,1)</f>
        <v/>
      </c>
      <c r="Q198" t="str">
        <f>_xlfn.XLOOKUP($E198,Source!A197:A205,Source!B197:B205,"",0,1)</f>
        <v/>
      </c>
    </row>
    <row r="199" spans="1:17" x14ac:dyDescent="0.3">
      <c r="A199" s="3">
        <v>2033618</v>
      </c>
      <c r="B199">
        <v>11845</v>
      </c>
      <c r="C199">
        <v>2</v>
      </c>
      <c r="D199" s="9">
        <v>101</v>
      </c>
      <c r="E199">
        <v>1002</v>
      </c>
      <c r="F199" s="1">
        <v>44005</v>
      </c>
      <c r="G199" t="s">
        <v>231</v>
      </c>
      <c r="H199" s="4" t="s">
        <v>16</v>
      </c>
      <c r="I199" s="4">
        <v>-375</v>
      </c>
      <c r="J199" s="4">
        <v>-375</v>
      </c>
      <c r="K199" t="str">
        <f>_xlfn.XLOOKUP($C199,Table1[BusinessUnitID],Table1[BusinessUnit],"",0)</f>
        <v>HOTEL</v>
      </c>
      <c r="L199" t="str" cm="1">
        <f t="array" ref="L199">_xlfn.XLOOKUP($C199,Table1[[#All],[BusinessUnitID]],Table1[[#All],[Description]],"",0,1)</f>
        <v xml:space="preserve">Transactions related to guest rooms and overall hotel operations. Includes payroll for administrative staff, clerks and interns. </v>
      </c>
      <c r="M199" t="str">
        <f>_xlfn.XLOOKUP($B199,ChartOfAccounts!A198:A283,ChartOfAccounts!B198:B283,"",0,1)</f>
        <v/>
      </c>
      <c r="N199">
        <f>_xlfn.XLOOKUP($B199,ChartOfAccounts!A198:A283,ChartOfAccounts!D198:D283,0,1)</f>
        <v>0</v>
      </c>
      <c r="O199" t="str">
        <f>_xlfn.XLOOKUP($B199,ChartOfAccounts!A198:A283,ChartOfAccounts!F198:F283,"",0,1)</f>
        <v/>
      </c>
      <c r="P199" t="str" cm="1">
        <f t="array" ref="P199">_xlfn.XLOOKUP($D199&amp;$C199,PreparerInfo!A198:A210&amp;PreparerInfo!C198:C210,PreparerInfo!B198:B210,"",0,1)</f>
        <v/>
      </c>
      <c r="Q199" t="str">
        <f>_xlfn.XLOOKUP($E199,Source!A198:A206,Source!B198:B206,"",0,1)</f>
        <v/>
      </c>
    </row>
    <row r="200" spans="1:17" x14ac:dyDescent="0.3">
      <c r="A200" s="3">
        <v>2033619</v>
      </c>
      <c r="B200">
        <v>71400</v>
      </c>
      <c r="C200">
        <v>2</v>
      </c>
      <c r="D200" s="9">
        <v>101</v>
      </c>
      <c r="E200">
        <v>1002</v>
      </c>
      <c r="F200" s="1">
        <v>44005</v>
      </c>
      <c r="G200" t="s">
        <v>232</v>
      </c>
      <c r="H200" s="4">
        <v>388.5</v>
      </c>
      <c r="I200" s="4" t="s">
        <v>16</v>
      </c>
      <c r="J200" s="4">
        <v>388.5</v>
      </c>
      <c r="K200" t="str">
        <f>_xlfn.XLOOKUP($C200,Table1[BusinessUnitID],Table1[BusinessUnit],"",0)</f>
        <v>HOTEL</v>
      </c>
      <c r="L200" t="str" cm="1">
        <f t="array" ref="L200">_xlfn.XLOOKUP($C200,Table1[[#All],[BusinessUnitID]],Table1[[#All],[Description]],"",0,1)</f>
        <v xml:space="preserve">Transactions related to guest rooms and overall hotel operations. Includes payroll for administrative staff, clerks and interns. </v>
      </c>
      <c r="M200" t="str">
        <f>_xlfn.XLOOKUP($B200,ChartOfAccounts!A199:A284,ChartOfAccounts!B199:B284,"",0,1)</f>
        <v/>
      </c>
      <c r="N200">
        <f>_xlfn.XLOOKUP($B200,ChartOfAccounts!A199:A284,ChartOfAccounts!D199:D284,0,1)</f>
        <v>0</v>
      </c>
      <c r="O200" t="str">
        <f>_xlfn.XLOOKUP($B200,ChartOfAccounts!A199:A284,ChartOfAccounts!F199:F284,"",0,1)</f>
        <v/>
      </c>
      <c r="P200" t="str" cm="1">
        <f t="array" ref="P200">_xlfn.XLOOKUP($D200&amp;$C200,PreparerInfo!A199:A211&amp;PreparerInfo!C199:C211,PreparerInfo!B199:B211,"",0,1)</f>
        <v/>
      </c>
      <c r="Q200" t="str">
        <f>_xlfn.XLOOKUP($E200,Source!A199:A207,Source!B199:B207,"",0,1)</f>
        <v/>
      </c>
    </row>
    <row r="201" spans="1:17" x14ac:dyDescent="0.3">
      <c r="A201" s="3">
        <v>2033619</v>
      </c>
      <c r="B201">
        <v>11845</v>
      </c>
      <c r="C201">
        <v>2</v>
      </c>
      <c r="D201" s="9">
        <v>101</v>
      </c>
      <c r="E201">
        <v>1002</v>
      </c>
      <c r="F201" s="1">
        <v>44005</v>
      </c>
      <c r="G201" t="s">
        <v>232</v>
      </c>
      <c r="H201" s="4" t="s">
        <v>16</v>
      </c>
      <c r="I201" s="4">
        <v>-388.5</v>
      </c>
      <c r="J201" s="4">
        <v>-388.5</v>
      </c>
      <c r="K201" t="str">
        <f>_xlfn.XLOOKUP($C201,Table1[BusinessUnitID],Table1[BusinessUnit],"",0)</f>
        <v>HOTEL</v>
      </c>
      <c r="L201" t="str" cm="1">
        <f t="array" ref="L201">_xlfn.XLOOKUP($C201,Table1[[#All],[BusinessUnitID]],Table1[[#All],[Description]],"",0,1)</f>
        <v xml:space="preserve">Transactions related to guest rooms and overall hotel operations. Includes payroll for administrative staff, clerks and interns. </v>
      </c>
      <c r="M201" t="str">
        <f>_xlfn.XLOOKUP($B201,ChartOfAccounts!A200:A285,ChartOfAccounts!B200:B285,"",0,1)</f>
        <v/>
      </c>
      <c r="N201">
        <f>_xlfn.XLOOKUP($B201,ChartOfAccounts!A200:A285,ChartOfAccounts!D200:D285,0,1)</f>
        <v>0</v>
      </c>
      <c r="O201" t="str">
        <f>_xlfn.XLOOKUP($B201,ChartOfAccounts!A200:A285,ChartOfAccounts!F200:F285,"",0,1)</f>
        <v/>
      </c>
      <c r="P201" t="str" cm="1">
        <f t="array" ref="P201">_xlfn.XLOOKUP($D201&amp;$C201,PreparerInfo!A200:A212&amp;PreparerInfo!C200:C212,PreparerInfo!B200:B212,"",0,1)</f>
        <v/>
      </c>
      <c r="Q201" t="str">
        <f>_xlfn.XLOOKUP($E201,Source!A200:A208,Source!B200:B208,"",0,1)</f>
        <v/>
      </c>
    </row>
    <row r="202" spans="1:17" x14ac:dyDescent="0.3">
      <c r="A202" s="3">
        <v>2033620</v>
      </c>
      <c r="B202">
        <v>51510</v>
      </c>
      <c r="C202">
        <v>2</v>
      </c>
      <c r="D202" s="9">
        <v>105</v>
      </c>
      <c r="E202">
        <v>1006</v>
      </c>
      <c r="F202" s="1">
        <v>44005</v>
      </c>
      <c r="G202" t="s">
        <v>62</v>
      </c>
      <c r="H202" s="4">
        <v>414.06</v>
      </c>
      <c r="I202" s="4" t="s">
        <v>16</v>
      </c>
      <c r="J202" s="4">
        <v>414.06</v>
      </c>
      <c r="K202" t="str">
        <f>_xlfn.XLOOKUP($C202,Table1[BusinessUnitID],Table1[BusinessUnit],"",0)</f>
        <v>HOTEL</v>
      </c>
      <c r="L202" t="str" cm="1">
        <f t="array" ref="L202">_xlfn.XLOOKUP($C202,Table1[[#All],[BusinessUnitID]],Table1[[#All],[Description]],"",0,1)</f>
        <v xml:space="preserve">Transactions related to guest rooms and overall hotel operations. Includes payroll for administrative staff, clerks and interns. </v>
      </c>
      <c r="M202" t="str">
        <f>_xlfn.XLOOKUP($B202,ChartOfAccounts!A201:A286,ChartOfAccounts!B201:B286,"",0,1)</f>
        <v/>
      </c>
      <c r="N202">
        <f>_xlfn.XLOOKUP($B202,ChartOfAccounts!A201:A286,ChartOfAccounts!D201:D286,0,1)</f>
        <v>0</v>
      </c>
      <c r="O202" t="str">
        <f>_xlfn.XLOOKUP($B202,ChartOfAccounts!A201:A286,ChartOfAccounts!F201:F286,"",0,1)</f>
        <v/>
      </c>
      <c r="P202" t="str" cm="1">
        <f t="array" ref="P202">_xlfn.XLOOKUP($D202&amp;$C202,PreparerInfo!A201:A213&amp;PreparerInfo!C201:C213,PreparerInfo!B201:B213,"",0,1)</f>
        <v/>
      </c>
      <c r="Q202" t="str">
        <f>_xlfn.XLOOKUP($E202,Source!A201:A209,Source!B201:B209,"",0,1)</f>
        <v/>
      </c>
    </row>
    <row r="203" spans="1:17" x14ac:dyDescent="0.3">
      <c r="A203" s="3">
        <v>2033620</v>
      </c>
      <c r="B203">
        <v>22110</v>
      </c>
      <c r="C203">
        <v>2</v>
      </c>
      <c r="D203" s="9">
        <v>105</v>
      </c>
      <c r="E203">
        <v>1006</v>
      </c>
      <c r="F203" s="1">
        <v>44005</v>
      </c>
      <c r="G203" t="s">
        <v>62</v>
      </c>
      <c r="H203" s="4" t="s">
        <v>16</v>
      </c>
      <c r="I203" s="4">
        <v>-414.06</v>
      </c>
      <c r="J203" s="4">
        <v>-414.06</v>
      </c>
      <c r="K203" t="str">
        <f>_xlfn.XLOOKUP($C203,Table1[BusinessUnitID],Table1[BusinessUnit],"",0)</f>
        <v>HOTEL</v>
      </c>
      <c r="L203" t="str" cm="1">
        <f t="array" ref="L203">_xlfn.XLOOKUP($C203,Table1[[#All],[BusinessUnitID]],Table1[[#All],[Description]],"",0,1)</f>
        <v xml:space="preserve">Transactions related to guest rooms and overall hotel operations. Includes payroll for administrative staff, clerks and interns. </v>
      </c>
      <c r="M203" t="str">
        <f>_xlfn.XLOOKUP($B203,ChartOfAccounts!A202:A287,ChartOfAccounts!B202:B287,"",0,1)</f>
        <v/>
      </c>
      <c r="N203">
        <f>_xlfn.XLOOKUP($B203,ChartOfAccounts!A202:A287,ChartOfAccounts!D202:D287,0,1)</f>
        <v>0</v>
      </c>
      <c r="O203" t="str">
        <f>_xlfn.XLOOKUP($B203,ChartOfAccounts!A202:A287,ChartOfAccounts!F202:F287,"",0,1)</f>
        <v/>
      </c>
      <c r="P203" t="str" cm="1">
        <f t="array" ref="P203">_xlfn.XLOOKUP($D203&amp;$C203,PreparerInfo!A202:A214&amp;PreparerInfo!C202:C214,PreparerInfo!B202:B214,"",0,1)</f>
        <v/>
      </c>
      <c r="Q203" t="str">
        <f>_xlfn.XLOOKUP($E203,Source!A202:A210,Source!B202:B210,"",0,1)</f>
        <v/>
      </c>
    </row>
    <row r="204" spans="1:17" x14ac:dyDescent="0.3">
      <c r="A204" s="3">
        <v>2033621</v>
      </c>
      <c r="B204">
        <v>51400</v>
      </c>
      <c r="C204">
        <v>4</v>
      </c>
      <c r="D204" s="9">
        <v>105</v>
      </c>
      <c r="E204">
        <v>1006</v>
      </c>
      <c r="F204" s="1">
        <v>44005</v>
      </c>
      <c r="G204" t="s">
        <v>55</v>
      </c>
      <c r="H204" s="4">
        <v>518.32000000000005</v>
      </c>
      <c r="I204" s="4" t="s">
        <v>16</v>
      </c>
      <c r="J204" s="4">
        <v>518.32000000000005</v>
      </c>
      <c r="K204" t="str">
        <f>_xlfn.XLOOKUP($C204,Table1[BusinessUnitID],Table1[BusinessUnit],"",0)</f>
        <v>HOUSEKEEPING</v>
      </c>
      <c r="L204" t="str" cm="1">
        <f t="array" ref="L204">_xlfn.XLOOKUP($C204,Table1[[#All],[BusinessUnitID]],Table1[[#All],[Description]],"",0,1)</f>
        <v xml:space="preserve">Transactions related to the Housekeeping Department. Primarily includes payroll for housekeepers and housekeeping supplies. </v>
      </c>
      <c r="M204" t="str">
        <f>_xlfn.XLOOKUP($B204,ChartOfAccounts!A203:A288,ChartOfAccounts!B203:B288,"",0,1)</f>
        <v/>
      </c>
      <c r="N204">
        <f>_xlfn.XLOOKUP($B204,ChartOfAccounts!A203:A288,ChartOfAccounts!D203:D288,0,1)</f>
        <v>0</v>
      </c>
      <c r="O204" t="str">
        <f>_xlfn.XLOOKUP($B204,ChartOfAccounts!A203:A288,ChartOfAccounts!F203:F288,"",0,1)</f>
        <v/>
      </c>
      <c r="P204" t="str" cm="1">
        <f t="array" ref="P204">_xlfn.XLOOKUP($D204&amp;$C204,PreparerInfo!A203:A215&amp;PreparerInfo!C203:C215,PreparerInfo!B203:B215,"",0,1)</f>
        <v/>
      </c>
      <c r="Q204" t="str">
        <f>_xlfn.XLOOKUP($E204,Source!A203:A211,Source!B203:B211,"",0,1)</f>
        <v/>
      </c>
    </row>
    <row r="205" spans="1:17" x14ac:dyDescent="0.3">
      <c r="A205" s="3">
        <v>2033621</v>
      </c>
      <c r="B205">
        <v>22110</v>
      </c>
      <c r="C205">
        <v>4</v>
      </c>
      <c r="D205" s="9">
        <v>105</v>
      </c>
      <c r="E205">
        <v>1006</v>
      </c>
      <c r="F205" s="1">
        <v>44005</v>
      </c>
      <c r="G205" t="s">
        <v>55</v>
      </c>
      <c r="H205" s="4" t="s">
        <v>16</v>
      </c>
      <c r="I205" s="4">
        <v>-518.32000000000005</v>
      </c>
      <c r="J205" s="4">
        <v>-518.32000000000005</v>
      </c>
      <c r="K205" t="str">
        <f>_xlfn.XLOOKUP($C205,Table1[BusinessUnitID],Table1[BusinessUnit],"",0)</f>
        <v>HOUSEKEEPING</v>
      </c>
      <c r="L205" t="str" cm="1">
        <f t="array" ref="L205">_xlfn.XLOOKUP($C205,Table1[[#All],[BusinessUnitID]],Table1[[#All],[Description]],"",0,1)</f>
        <v xml:space="preserve">Transactions related to the Housekeeping Department. Primarily includes payroll for housekeepers and housekeeping supplies. </v>
      </c>
      <c r="M205" t="str">
        <f>_xlfn.XLOOKUP($B205,ChartOfAccounts!A204:A289,ChartOfAccounts!B204:B289,"",0,1)</f>
        <v/>
      </c>
      <c r="N205">
        <f>_xlfn.XLOOKUP($B205,ChartOfAccounts!A204:A289,ChartOfAccounts!D204:D289,0,1)</f>
        <v>0</v>
      </c>
      <c r="O205" t="str">
        <f>_xlfn.XLOOKUP($B205,ChartOfAccounts!A204:A289,ChartOfAccounts!F204:F289,"",0,1)</f>
        <v/>
      </c>
      <c r="P205" t="str" cm="1">
        <f t="array" ref="P205">_xlfn.XLOOKUP($D205&amp;$C205,PreparerInfo!A204:A216&amp;PreparerInfo!C204:C216,PreparerInfo!B204:B216,"",0,1)</f>
        <v/>
      </c>
      <c r="Q205" t="str">
        <f>_xlfn.XLOOKUP($E205,Source!A204:A212,Source!B204:B212,"",0,1)</f>
        <v/>
      </c>
    </row>
    <row r="206" spans="1:17" x14ac:dyDescent="0.3">
      <c r="A206" s="3">
        <v>2033622</v>
      </c>
      <c r="B206">
        <v>51610</v>
      </c>
      <c r="C206">
        <v>2</v>
      </c>
      <c r="D206" s="9">
        <v>105</v>
      </c>
      <c r="E206">
        <v>1006</v>
      </c>
      <c r="F206" s="1">
        <v>44005</v>
      </c>
      <c r="G206" t="s">
        <v>66</v>
      </c>
      <c r="H206" s="4">
        <v>581</v>
      </c>
      <c r="I206" s="4" t="s">
        <v>16</v>
      </c>
      <c r="J206" s="4">
        <v>581</v>
      </c>
      <c r="K206" t="str">
        <f>_xlfn.XLOOKUP($C206,Table1[BusinessUnitID],Table1[BusinessUnit],"",0)</f>
        <v>HOTEL</v>
      </c>
      <c r="L206" t="str" cm="1">
        <f t="array" ref="L206">_xlfn.XLOOKUP($C206,Table1[[#All],[BusinessUnitID]],Table1[[#All],[Description]],"",0,1)</f>
        <v xml:space="preserve">Transactions related to guest rooms and overall hotel operations. Includes payroll for administrative staff, clerks and interns. </v>
      </c>
      <c r="M206" t="str">
        <f>_xlfn.XLOOKUP($B206,ChartOfAccounts!A205:A290,ChartOfAccounts!B205:B290,"",0,1)</f>
        <v/>
      </c>
      <c r="N206">
        <f>_xlfn.XLOOKUP($B206,ChartOfAccounts!A205:A290,ChartOfAccounts!D205:D290,0,1)</f>
        <v>0</v>
      </c>
      <c r="O206" t="str">
        <f>_xlfn.XLOOKUP($B206,ChartOfAccounts!A205:A290,ChartOfAccounts!F205:F290,"",0,1)</f>
        <v/>
      </c>
      <c r="P206" t="str" cm="1">
        <f t="array" ref="P206">_xlfn.XLOOKUP($D206&amp;$C206,PreparerInfo!A205:A217&amp;PreparerInfo!C205:C217,PreparerInfo!B205:B217,"",0,1)</f>
        <v/>
      </c>
      <c r="Q206" t="str">
        <f>_xlfn.XLOOKUP($E206,Source!A205:A213,Source!B205:B213,"",0,1)</f>
        <v/>
      </c>
    </row>
    <row r="207" spans="1:17" x14ac:dyDescent="0.3">
      <c r="A207" s="3">
        <v>2033622</v>
      </c>
      <c r="B207">
        <v>22110</v>
      </c>
      <c r="C207">
        <v>2</v>
      </c>
      <c r="D207" s="9">
        <v>105</v>
      </c>
      <c r="E207">
        <v>1006</v>
      </c>
      <c r="F207" s="1">
        <v>44005</v>
      </c>
      <c r="G207" t="s">
        <v>66</v>
      </c>
      <c r="H207" s="4" t="s">
        <v>16</v>
      </c>
      <c r="I207" s="4">
        <v>-581</v>
      </c>
      <c r="J207" s="4">
        <v>-581</v>
      </c>
      <c r="K207" t="str">
        <f>_xlfn.XLOOKUP($C207,Table1[BusinessUnitID],Table1[BusinessUnit],"",0)</f>
        <v>HOTEL</v>
      </c>
      <c r="L207" t="str" cm="1">
        <f t="array" ref="L207">_xlfn.XLOOKUP($C207,Table1[[#All],[BusinessUnitID]],Table1[[#All],[Description]],"",0,1)</f>
        <v xml:space="preserve">Transactions related to guest rooms and overall hotel operations. Includes payroll for administrative staff, clerks and interns. </v>
      </c>
      <c r="M207" t="str">
        <f>_xlfn.XLOOKUP($B207,ChartOfAccounts!A206:A291,ChartOfAccounts!B206:B291,"",0,1)</f>
        <v/>
      </c>
      <c r="N207">
        <f>_xlfn.XLOOKUP($B207,ChartOfAccounts!A206:A291,ChartOfAccounts!D206:D291,0,1)</f>
        <v>0</v>
      </c>
      <c r="O207" t="str">
        <f>_xlfn.XLOOKUP($B207,ChartOfAccounts!A206:A291,ChartOfAccounts!F206:F291,"",0,1)</f>
        <v/>
      </c>
      <c r="P207" t="str" cm="1">
        <f t="array" ref="P207">_xlfn.XLOOKUP($D207&amp;$C207,PreparerInfo!A206:A218&amp;PreparerInfo!C206:C218,PreparerInfo!B206:B218,"",0,1)</f>
        <v/>
      </c>
      <c r="Q207" t="str">
        <f>_xlfn.XLOOKUP($E207,Source!A206:A214,Source!B206:B214,"",0,1)</f>
        <v/>
      </c>
    </row>
    <row r="208" spans="1:17" x14ac:dyDescent="0.3">
      <c r="A208" s="3">
        <v>2033623</v>
      </c>
      <c r="B208">
        <v>51610</v>
      </c>
      <c r="C208">
        <v>4</v>
      </c>
      <c r="D208" s="9">
        <v>105</v>
      </c>
      <c r="E208">
        <v>1006</v>
      </c>
      <c r="F208" s="1">
        <v>44005</v>
      </c>
      <c r="G208" t="s">
        <v>68</v>
      </c>
      <c r="H208" s="4">
        <v>594</v>
      </c>
      <c r="I208" s="4" t="s">
        <v>16</v>
      </c>
      <c r="J208" s="4">
        <v>594</v>
      </c>
      <c r="K208" t="str">
        <f>_xlfn.XLOOKUP($C208,Table1[BusinessUnitID],Table1[BusinessUnit],"",0)</f>
        <v>HOUSEKEEPING</v>
      </c>
      <c r="L208" t="str" cm="1">
        <f t="array" ref="L208">_xlfn.XLOOKUP($C208,Table1[[#All],[BusinessUnitID]],Table1[[#All],[Description]],"",0,1)</f>
        <v xml:space="preserve">Transactions related to the Housekeeping Department. Primarily includes payroll for housekeepers and housekeeping supplies. </v>
      </c>
      <c r="M208" t="str">
        <f>_xlfn.XLOOKUP($B208,ChartOfAccounts!A207:A292,ChartOfAccounts!B207:B292,"",0,1)</f>
        <v/>
      </c>
      <c r="N208">
        <f>_xlfn.XLOOKUP($B208,ChartOfAccounts!A207:A292,ChartOfAccounts!D207:D292,0,1)</f>
        <v>0</v>
      </c>
      <c r="O208" t="str">
        <f>_xlfn.XLOOKUP($B208,ChartOfAccounts!A207:A292,ChartOfAccounts!F207:F292,"",0,1)</f>
        <v/>
      </c>
      <c r="P208" t="str" cm="1">
        <f t="array" ref="P208">_xlfn.XLOOKUP($D208&amp;$C208,PreparerInfo!A207:A219&amp;PreparerInfo!C207:C219,PreparerInfo!B207:B219,"",0,1)</f>
        <v/>
      </c>
      <c r="Q208" t="str">
        <f>_xlfn.XLOOKUP($E208,Source!A207:A215,Source!B207:B215,"",0,1)</f>
        <v/>
      </c>
    </row>
    <row r="209" spans="1:17" x14ac:dyDescent="0.3">
      <c r="A209" s="3">
        <v>2033623</v>
      </c>
      <c r="B209">
        <v>22110</v>
      </c>
      <c r="C209">
        <v>4</v>
      </c>
      <c r="D209" s="9">
        <v>105</v>
      </c>
      <c r="E209">
        <v>1006</v>
      </c>
      <c r="F209" s="1">
        <v>44005</v>
      </c>
      <c r="G209" t="s">
        <v>68</v>
      </c>
      <c r="H209" s="4" t="s">
        <v>16</v>
      </c>
      <c r="I209" s="4">
        <v>-594</v>
      </c>
      <c r="J209" s="4">
        <v>-594</v>
      </c>
      <c r="K209" t="str">
        <f>_xlfn.XLOOKUP($C209,Table1[BusinessUnitID],Table1[BusinessUnit],"",0)</f>
        <v>HOUSEKEEPING</v>
      </c>
      <c r="L209" t="str" cm="1">
        <f t="array" ref="L209">_xlfn.XLOOKUP($C209,Table1[[#All],[BusinessUnitID]],Table1[[#All],[Description]],"",0,1)</f>
        <v xml:space="preserve">Transactions related to the Housekeeping Department. Primarily includes payroll for housekeepers and housekeeping supplies. </v>
      </c>
      <c r="M209" t="str">
        <f>_xlfn.XLOOKUP($B209,ChartOfAccounts!A208:A293,ChartOfAccounts!B208:B293,"",0,1)</f>
        <v/>
      </c>
      <c r="N209">
        <f>_xlfn.XLOOKUP($B209,ChartOfAccounts!A208:A293,ChartOfAccounts!D208:D293,0,1)</f>
        <v>0</v>
      </c>
      <c r="O209" t="str">
        <f>_xlfn.XLOOKUP($B209,ChartOfAccounts!A208:A293,ChartOfAccounts!F208:F293,"",0,1)</f>
        <v/>
      </c>
      <c r="P209" t="str" cm="1">
        <f t="array" ref="P209">_xlfn.XLOOKUP($D209&amp;$C209,PreparerInfo!A208:A220&amp;PreparerInfo!C208:C220,PreparerInfo!B208:B220,"",0,1)</f>
        <v/>
      </c>
      <c r="Q209" t="str">
        <f>_xlfn.XLOOKUP($E209,Source!A208:A216,Source!B208:B216,"",0,1)</f>
        <v/>
      </c>
    </row>
    <row r="210" spans="1:17" x14ac:dyDescent="0.3">
      <c r="A210" s="3">
        <v>2033624</v>
      </c>
      <c r="B210">
        <v>51140</v>
      </c>
      <c r="C210">
        <v>2</v>
      </c>
      <c r="D210" s="9">
        <v>105</v>
      </c>
      <c r="E210">
        <v>1004</v>
      </c>
      <c r="F210" s="1">
        <v>44005</v>
      </c>
      <c r="G210" t="s">
        <v>54</v>
      </c>
      <c r="H210" s="4">
        <v>770.35</v>
      </c>
      <c r="I210" s="4" t="s">
        <v>16</v>
      </c>
      <c r="J210" s="4">
        <v>770.35</v>
      </c>
      <c r="K210" t="str">
        <f>_xlfn.XLOOKUP($C210,Table1[BusinessUnitID],Table1[BusinessUnit],"",0)</f>
        <v>HOTEL</v>
      </c>
      <c r="L210" t="str" cm="1">
        <f t="array" ref="L210">_xlfn.XLOOKUP($C210,Table1[[#All],[BusinessUnitID]],Table1[[#All],[Description]],"",0,1)</f>
        <v xml:space="preserve">Transactions related to guest rooms and overall hotel operations. Includes payroll for administrative staff, clerks and interns. </v>
      </c>
      <c r="M210" t="str">
        <f>_xlfn.XLOOKUP($B210,ChartOfAccounts!A209:A294,ChartOfAccounts!B209:B294,"",0,1)</f>
        <v/>
      </c>
      <c r="N210">
        <f>_xlfn.XLOOKUP($B210,ChartOfAccounts!A209:A294,ChartOfAccounts!D209:D294,0,1)</f>
        <v>0</v>
      </c>
      <c r="O210" t="str">
        <f>_xlfn.XLOOKUP($B210,ChartOfAccounts!A209:A294,ChartOfAccounts!F209:F294,"",0,1)</f>
        <v/>
      </c>
      <c r="P210" t="str" cm="1">
        <f t="array" ref="P210">_xlfn.XLOOKUP($D210&amp;$C210,PreparerInfo!A209:A221&amp;PreparerInfo!C209:C221,PreparerInfo!B209:B221,"",0,1)</f>
        <v/>
      </c>
      <c r="Q210" t="str">
        <f>_xlfn.XLOOKUP($E210,Source!A209:A217,Source!B209:B217,"",0,1)</f>
        <v/>
      </c>
    </row>
    <row r="211" spans="1:17" x14ac:dyDescent="0.3">
      <c r="A211" s="3">
        <v>2033624</v>
      </c>
      <c r="B211">
        <v>11845</v>
      </c>
      <c r="C211">
        <v>2</v>
      </c>
      <c r="D211" s="9">
        <v>105</v>
      </c>
      <c r="E211">
        <v>1004</v>
      </c>
      <c r="F211" s="1">
        <v>44005</v>
      </c>
      <c r="G211" t="s">
        <v>54</v>
      </c>
      <c r="H211" s="4" t="s">
        <v>16</v>
      </c>
      <c r="I211" s="4">
        <v>-770.35</v>
      </c>
      <c r="J211" s="4">
        <v>-770.35</v>
      </c>
      <c r="K211" t="str">
        <f>_xlfn.XLOOKUP($C211,Table1[BusinessUnitID],Table1[BusinessUnit],"",0)</f>
        <v>HOTEL</v>
      </c>
      <c r="L211" t="str" cm="1">
        <f t="array" ref="L211">_xlfn.XLOOKUP($C211,Table1[[#All],[BusinessUnitID]],Table1[[#All],[Description]],"",0,1)</f>
        <v xml:space="preserve">Transactions related to guest rooms and overall hotel operations. Includes payroll for administrative staff, clerks and interns. </v>
      </c>
      <c r="M211" t="str">
        <f>_xlfn.XLOOKUP($B211,ChartOfAccounts!A210:A295,ChartOfAccounts!B210:B295,"",0,1)</f>
        <v/>
      </c>
      <c r="N211">
        <f>_xlfn.XLOOKUP($B211,ChartOfAccounts!A210:A295,ChartOfAccounts!D210:D295,0,1)</f>
        <v>0</v>
      </c>
      <c r="O211" t="str">
        <f>_xlfn.XLOOKUP($B211,ChartOfAccounts!A210:A295,ChartOfAccounts!F210:F295,"",0,1)</f>
        <v/>
      </c>
      <c r="P211" t="str" cm="1">
        <f t="array" ref="P211">_xlfn.XLOOKUP($D211&amp;$C211,PreparerInfo!A210:A222&amp;PreparerInfo!C210:C222,PreparerInfo!B210:B222,"",0,1)</f>
        <v/>
      </c>
      <c r="Q211" t="str">
        <f>_xlfn.XLOOKUP($E211,Source!A210:A218,Source!B210:B218,"",0,1)</f>
        <v/>
      </c>
    </row>
    <row r="212" spans="1:17" x14ac:dyDescent="0.3">
      <c r="A212" s="3">
        <v>2033625</v>
      </c>
      <c r="B212">
        <v>51610</v>
      </c>
      <c r="C212">
        <v>6</v>
      </c>
      <c r="D212" s="9">
        <v>105</v>
      </c>
      <c r="E212">
        <v>1006</v>
      </c>
      <c r="F212" s="1">
        <v>44005</v>
      </c>
      <c r="G212" t="s">
        <v>68</v>
      </c>
      <c r="H212" s="4">
        <v>773</v>
      </c>
      <c r="I212" s="4" t="s">
        <v>16</v>
      </c>
      <c r="J212" s="4">
        <v>773</v>
      </c>
      <c r="K212" t="str">
        <f>_xlfn.XLOOKUP($C212,Table1[BusinessUnitID],Table1[BusinessUnit],"",0)</f>
        <v>MAINTENANCE</v>
      </c>
      <c r="L212" t="str" cm="1">
        <f t="array" ref="L212">_xlfn.XLOOKUP($C212,Table1[[#All],[BusinessUnitID]],Table1[[#All],[Description]],"",0,1)</f>
        <v>Transactions related to the hotel Maintenance Department. Primarily includes payroll for maintenance, grounds keepers and related supplies.</v>
      </c>
      <c r="M212" t="str">
        <f>_xlfn.XLOOKUP($B212,ChartOfAccounts!A211:A296,ChartOfAccounts!B211:B296,"",0,1)</f>
        <v/>
      </c>
      <c r="N212">
        <f>_xlfn.XLOOKUP($B212,ChartOfAccounts!A211:A296,ChartOfAccounts!D211:D296,0,1)</f>
        <v>0</v>
      </c>
      <c r="O212" t="str">
        <f>_xlfn.XLOOKUP($B212,ChartOfAccounts!A211:A296,ChartOfAccounts!F211:F296,"",0,1)</f>
        <v/>
      </c>
      <c r="P212" t="str" cm="1">
        <f t="array" ref="P212">_xlfn.XLOOKUP($D212&amp;$C212,PreparerInfo!A211:A223&amp;PreparerInfo!C211:C223,PreparerInfo!B211:B223,"",0,1)</f>
        <v/>
      </c>
      <c r="Q212" t="str">
        <f>_xlfn.XLOOKUP($E212,Source!A211:A219,Source!B211:B219,"",0,1)</f>
        <v/>
      </c>
    </row>
    <row r="213" spans="1:17" x14ac:dyDescent="0.3">
      <c r="A213" s="3">
        <v>2033625</v>
      </c>
      <c r="B213">
        <v>22110</v>
      </c>
      <c r="C213">
        <v>6</v>
      </c>
      <c r="D213" s="9">
        <v>105</v>
      </c>
      <c r="E213">
        <v>1006</v>
      </c>
      <c r="F213" s="1">
        <v>44005</v>
      </c>
      <c r="G213" t="s">
        <v>68</v>
      </c>
      <c r="H213" s="4" t="s">
        <v>16</v>
      </c>
      <c r="I213" s="4">
        <v>-773</v>
      </c>
      <c r="J213" s="4">
        <v>-773</v>
      </c>
      <c r="K213" t="str">
        <f>_xlfn.XLOOKUP($C213,Table1[BusinessUnitID],Table1[BusinessUnit],"",0)</f>
        <v>MAINTENANCE</v>
      </c>
      <c r="L213" t="str" cm="1">
        <f t="array" ref="L213">_xlfn.XLOOKUP($C213,Table1[[#All],[BusinessUnitID]],Table1[[#All],[Description]],"",0,1)</f>
        <v>Transactions related to the hotel Maintenance Department. Primarily includes payroll for maintenance, grounds keepers and related supplies.</v>
      </c>
      <c r="M213" t="str">
        <f>_xlfn.XLOOKUP($B213,ChartOfAccounts!A212:A297,ChartOfAccounts!B212:B297,"",0,1)</f>
        <v/>
      </c>
      <c r="N213">
        <f>_xlfn.XLOOKUP($B213,ChartOfAccounts!A212:A297,ChartOfAccounts!D212:D297,0,1)</f>
        <v>0</v>
      </c>
      <c r="O213" t="str">
        <f>_xlfn.XLOOKUP($B213,ChartOfAccounts!A212:A297,ChartOfAccounts!F212:F297,"",0,1)</f>
        <v/>
      </c>
      <c r="P213" t="str" cm="1">
        <f t="array" ref="P213">_xlfn.XLOOKUP($D213&amp;$C213,PreparerInfo!A212:A224&amp;PreparerInfo!C212:C224,PreparerInfo!B212:B224,"",0,1)</f>
        <v/>
      </c>
      <c r="Q213" t="str">
        <f>_xlfn.XLOOKUP($E213,Source!A212:A220,Source!B212:B220,"",0,1)</f>
        <v/>
      </c>
    </row>
    <row r="214" spans="1:17" x14ac:dyDescent="0.3">
      <c r="A214" s="3">
        <v>2033626</v>
      </c>
      <c r="B214">
        <v>11845</v>
      </c>
      <c r="C214">
        <v>1</v>
      </c>
      <c r="D214" s="9">
        <v>102</v>
      </c>
      <c r="E214">
        <v>1001</v>
      </c>
      <c r="F214" s="1">
        <v>44005</v>
      </c>
      <c r="G214" t="s">
        <v>41</v>
      </c>
      <c r="H214" s="4">
        <v>795.55</v>
      </c>
      <c r="I214" s="4" t="s">
        <v>16</v>
      </c>
      <c r="J214" s="4">
        <v>795.55</v>
      </c>
      <c r="K214" t="str">
        <f>_xlfn.XLOOKUP($C214,Table1[BusinessUnitID],Table1[BusinessUnit],"",0)</f>
        <v>FOOD SERVICE</v>
      </c>
      <c r="L214" t="str" cm="1">
        <f t="array" ref="L214">_xlfn.XLOOKUP($C214,Table1[[#All],[BusinessUnitID]],Table1[[#All],[Description]],"",0,1)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14" t="str">
        <f>_xlfn.XLOOKUP($B214,ChartOfAccounts!A213:A298,ChartOfAccounts!B213:B298,"",0,1)</f>
        <v/>
      </c>
      <c r="N214">
        <f>_xlfn.XLOOKUP($B214,ChartOfAccounts!A213:A298,ChartOfAccounts!D213:D298,0,1)</f>
        <v>0</v>
      </c>
      <c r="O214" t="str">
        <f>_xlfn.XLOOKUP($B214,ChartOfAccounts!A213:A298,ChartOfAccounts!F213:F298,"",0,1)</f>
        <v/>
      </c>
      <c r="P214" t="str" cm="1">
        <f t="array" ref="P214">_xlfn.XLOOKUP($D214&amp;$C214,PreparerInfo!A213:A225&amp;PreparerInfo!C213:C225,PreparerInfo!B213:B225,"",0,1)</f>
        <v/>
      </c>
      <c r="Q214" t="str">
        <f>_xlfn.XLOOKUP($E214,Source!A213:A221,Source!B213:B221,"",0,1)</f>
        <v/>
      </c>
    </row>
    <row r="215" spans="1:17" x14ac:dyDescent="0.3">
      <c r="A215" s="3">
        <v>2033626</v>
      </c>
      <c r="B215">
        <v>43310</v>
      </c>
      <c r="C215">
        <v>1</v>
      </c>
      <c r="D215" s="9">
        <v>102</v>
      </c>
      <c r="E215">
        <v>1001</v>
      </c>
      <c r="F215" s="1">
        <v>44005</v>
      </c>
      <c r="G215" t="s">
        <v>41</v>
      </c>
      <c r="H215" s="4" t="s">
        <v>16</v>
      </c>
      <c r="I215" s="4">
        <v>-795.55</v>
      </c>
      <c r="J215" s="4">
        <v>-795.55</v>
      </c>
      <c r="K215" t="str">
        <f>_xlfn.XLOOKUP($C215,Table1[BusinessUnitID],Table1[BusinessUnit],"",0)</f>
        <v>FOOD SERVICE</v>
      </c>
      <c r="L215" t="str" cm="1">
        <f t="array" ref="L215">_xlfn.XLOOKUP($C215,Table1[[#All],[BusinessUnitID]],Table1[[#All],[Description]],"",0,1)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15" t="str">
        <f>_xlfn.XLOOKUP($B215,ChartOfAccounts!A214:A299,ChartOfAccounts!B214:B299,"",0,1)</f>
        <v/>
      </c>
      <c r="N215">
        <f>_xlfn.XLOOKUP($B215,ChartOfAccounts!A214:A299,ChartOfAccounts!D214:D299,0,1)</f>
        <v>0</v>
      </c>
      <c r="O215" t="str">
        <f>_xlfn.XLOOKUP($B215,ChartOfAccounts!A214:A299,ChartOfAccounts!F214:F299,"",0,1)</f>
        <v/>
      </c>
      <c r="P215" t="str" cm="1">
        <f t="array" ref="P215">_xlfn.XLOOKUP($D215&amp;$C215,PreparerInfo!A214:A226&amp;PreparerInfo!C214:C226,PreparerInfo!B214:B226,"",0,1)</f>
        <v/>
      </c>
      <c r="Q215" t="str">
        <f>_xlfn.XLOOKUP($E215,Source!A214:A222,Source!B214:B222,"",0,1)</f>
        <v/>
      </c>
    </row>
    <row r="216" spans="1:17" x14ac:dyDescent="0.3">
      <c r="A216" s="3">
        <v>2033627</v>
      </c>
      <c r="B216">
        <v>51610</v>
      </c>
      <c r="C216">
        <v>4</v>
      </c>
      <c r="D216" s="9">
        <v>105</v>
      </c>
      <c r="E216">
        <v>1006</v>
      </c>
      <c r="F216" s="1">
        <v>44005</v>
      </c>
      <c r="G216" t="s">
        <v>66</v>
      </c>
      <c r="H216" s="4">
        <v>800</v>
      </c>
      <c r="I216" s="4" t="s">
        <v>16</v>
      </c>
      <c r="J216" s="4">
        <v>800</v>
      </c>
      <c r="K216" t="str">
        <f>_xlfn.XLOOKUP($C216,Table1[BusinessUnitID],Table1[BusinessUnit],"",0)</f>
        <v>HOUSEKEEPING</v>
      </c>
      <c r="L216" t="str" cm="1">
        <f t="array" ref="L216">_xlfn.XLOOKUP($C216,Table1[[#All],[BusinessUnitID]],Table1[[#All],[Description]],"",0,1)</f>
        <v xml:space="preserve">Transactions related to the Housekeeping Department. Primarily includes payroll for housekeepers and housekeeping supplies. </v>
      </c>
      <c r="M216" t="str">
        <f>_xlfn.XLOOKUP($B216,ChartOfAccounts!A215:A300,ChartOfAccounts!B215:B300,"",0,1)</f>
        <v/>
      </c>
      <c r="N216">
        <f>_xlfn.XLOOKUP($B216,ChartOfAccounts!A215:A300,ChartOfAccounts!D215:D300,0,1)</f>
        <v>0</v>
      </c>
      <c r="O216" t="str">
        <f>_xlfn.XLOOKUP($B216,ChartOfAccounts!A215:A300,ChartOfAccounts!F215:F300,"",0,1)</f>
        <v/>
      </c>
      <c r="P216" t="str" cm="1">
        <f t="array" ref="P216">_xlfn.XLOOKUP($D216&amp;$C216,PreparerInfo!A215:A227&amp;PreparerInfo!C215:C227,PreparerInfo!B215:B227,"",0,1)</f>
        <v/>
      </c>
      <c r="Q216" t="str">
        <f>_xlfn.XLOOKUP($E216,Source!A215:A223,Source!B215:B223,"",0,1)</f>
        <v/>
      </c>
    </row>
    <row r="217" spans="1:17" x14ac:dyDescent="0.3">
      <c r="A217" s="3">
        <v>2033627</v>
      </c>
      <c r="B217">
        <v>22110</v>
      </c>
      <c r="C217">
        <v>4</v>
      </c>
      <c r="D217" s="9">
        <v>105</v>
      </c>
      <c r="E217">
        <v>1006</v>
      </c>
      <c r="F217" s="1">
        <v>44005</v>
      </c>
      <c r="G217" t="s">
        <v>66</v>
      </c>
      <c r="H217" s="4" t="s">
        <v>16</v>
      </c>
      <c r="I217" s="4">
        <v>-800</v>
      </c>
      <c r="J217" s="4">
        <v>-800</v>
      </c>
      <c r="K217" t="str">
        <f>_xlfn.XLOOKUP($C217,Table1[BusinessUnitID],Table1[BusinessUnit],"",0)</f>
        <v>HOUSEKEEPING</v>
      </c>
      <c r="L217" t="str" cm="1">
        <f t="array" ref="L217">_xlfn.XLOOKUP($C217,Table1[[#All],[BusinessUnitID]],Table1[[#All],[Description]],"",0,1)</f>
        <v xml:space="preserve">Transactions related to the Housekeeping Department. Primarily includes payroll for housekeepers and housekeeping supplies. </v>
      </c>
      <c r="M217" t="str">
        <f>_xlfn.XLOOKUP($B217,ChartOfAccounts!A216:A301,ChartOfAccounts!B216:B301,"",0,1)</f>
        <v/>
      </c>
      <c r="N217">
        <f>_xlfn.XLOOKUP($B217,ChartOfAccounts!A216:A301,ChartOfAccounts!D216:D301,0,1)</f>
        <v>0</v>
      </c>
      <c r="O217" t="str">
        <f>_xlfn.XLOOKUP($B217,ChartOfAccounts!A216:A301,ChartOfAccounts!F216:F301,"",0,1)</f>
        <v/>
      </c>
      <c r="P217" t="str" cm="1">
        <f t="array" ref="P217">_xlfn.XLOOKUP($D217&amp;$C217,PreparerInfo!A216:A228&amp;PreparerInfo!C216:C228,PreparerInfo!B216:B228,"",0,1)</f>
        <v/>
      </c>
      <c r="Q217" t="str">
        <f>_xlfn.XLOOKUP($E217,Source!A216:A224,Source!B216:B224,"",0,1)</f>
        <v/>
      </c>
    </row>
    <row r="218" spans="1:17" x14ac:dyDescent="0.3">
      <c r="A218" s="3">
        <v>2033628</v>
      </c>
      <c r="B218">
        <v>51610</v>
      </c>
      <c r="C218">
        <v>1</v>
      </c>
      <c r="D218" s="9">
        <v>105</v>
      </c>
      <c r="E218">
        <v>1006</v>
      </c>
      <c r="F218" s="1">
        <v>44005</v>
      </c>
      <c r="G218" t="s">
        <v>68</v>
      </c>
      <c r="H218" s="4">
        <v>812.5</v>
      </c>
      <c r="I218" s="4" t="s">
        <v>16</v>
      </c>
      <c r="J218" s="4">
        <v>812.5</v>
      </c>
      <c r="K218" t="str">
        <f>_xlfn.XLOOKUP($C218,Table1[BusinessUnitID],Table1[BusinessUnit],"",0)</f>
        <v>FOOD SERVICE</v>
      </c>
      <c r="L218" t="str" cm="1">
        <f t="array" ref="L218">_xlfn.XLOOKUP($C218,Table1[[#All],[BusinessUnitID]],Table1[[#All],[Description]],"",0,1)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18" t="str">
        <f>_xlfn.XLOOKUP($B218,ChartOfAccounts!A217:A302,ChartOfAccounts!B217:B302,"",0,1)</f>
        <v/>
      </c>
      <c r="N218">
        <f>_xlfn.XLOOKUP($B218,ChartOfAccounts!A217:A302,ChartOfAccounts!D217:D302,0,1)</f>
        <v>0</v>
      </c>
      <c r="O218" t="str">
        <f>_xlfn.XLOOKUP($B218,ChartOfAccounts!A217:A302,ChartOfAccounts!F217:F302,"",0,1)</f>
        <v/>
      </c>
      <c r="P218" t="str" cm="1">
        <f t="array" ref="P218">_xlfn.XLOOKUP($D218&amp;$C218,PreparerInfo!A217:A229&amp;PreparerInfo!C217:C229,PreparerInfo!B217:B229,"",0,1)</f>
        <v/>
      </c>
      <c r="Q218" t="str">
        <f>_xlfn.XLOOKUP($E218,Source!A217:A225,Source!B217:B225,"",0,1)</f>
        <v/>
      </c>
    </row>
    <row r="219" spans="1:17" x14ac:dyDescent="0.3">
      <c r="A219" s="3">
        <v>2033628</v>
      </c>
      <c r="B219">
        <v>22110</v>
      </c>
      <c r="C219">
        <v>1</v>
      </c>
      <c r="D219" s="9">
        <v>105</v>
      </c>
      <c r="E219">
        <v>1006</v>
      </c>
      <c r="F219" s="1">
        <v>44005</v>
      </c>
      <c r="G219" t="s">
        <v>68</v>
      </c>
      <c r="H219" s="4" t="s">
        <v>16</v>
      </c>
      <c r="I219" s="4">
        <v>-812.5</v>
      </c>
      <c r="J219" s="4">
        <v>-812.5</v>
      </c>
      <c r="K219" t="str">
        <f>_xlfn.XLOOKUP($C219,Table1[BusinessUnitID],Table1[BusinessUnit],"",0)</f>
        <v>FOOD SERVICE</v>
      </c>
      <c r="L219" t="str" cm="1">
        <f t="array" ref="L219">_xlfn.XLOOKUP($C219,Table1[[#All],[BusinessUnitID]],Table1[[#All],[Description]],"",0,1)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19" t="str">
        <f>_xlfn.XLOOKUP($B219,ChartOfAccounts!A218:A303,ChartOfAccounts!B218:B303,"",0,1)</f>
        <v/>
      </c>
      <c r="N219">
        <f>_xlfn.XLOOKUP($B219,ChartOfAccounts!A218:A303,ChartOfAccounts!D218:D303,0,1)</f>
        <v>0</v>
      </c>
      <c r="O219" t="str">
        <f>_xlfn.XLOOKUP($B219,ChartOfAccounts!A218:A303,ChartOfAccounts!F218:F303,"",0,1)</f>
        <v/>
      </c>
      <c r="P219" t="str" cm="1">
        <f t="array" ref="P219">_xlfn.XLOOKUP($D219&amp;$C219,PreparerInfo!A218:A230&amp;PreparerInfo!C218:C230,PreparerInfo!B218:B230,"",0,1)</f>
        <v/>
      </c>
      <c r="Q219" t="str">
        <f>_xlfn.XLOOKUP($E219,Source!A218:A226,Source!B218:B226,"",0,1)</f>
        <v/>
      </c>
    </row>
    <row r="220" spans="1:17" x14ac:dyDescent="0.3">
      <c r="A220" s="3">
        <v>2033629</v>
      </c>
      <c r="B220">
        <v>51140</v>
      </c>
      <c r="C220">
        <v>1</v>
      </c>
      <c r="D220" s="9">
        <v>105</v>
      </c>
      <c r="E220">
        <v>1004</v>
      </c>
      <c r="F220" s="1">
        <v>44005</v>
      </c>
      <c r="G220" t="s">
        <v>54</v>
      </c>
      <c r="H220" s="4">
        <v>989.67</v>
      </c>
      <c r="I220" s="4" t="s">
        <v>16</v>
      </c>
      <c r="J220" s="4">
        <v>989.67</v>
      </c>
      <c r="K220" t="str">
        <f>_xlfn.XLOOKUP($C220,Table1[BusinessUnitID],Table1[BusinessUnit],"",0)</f>
        <v>FOOD SERVICE</v>
      </c>
      <c r="L220" t="str" cm="1">
        <f t="array" ref="L220">_xlfn.XLOOKUP($C220,Table1[[#All],[BusinessUnitID]],Table1[[#All],[Description]],"",0,1)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20" t="str">
        <f>_xlfn.XLOOKUP($B220,ChartOfAccounts!A219:A304,ChartOfAccounts!B219:B304,"",0,1)</f>
        <v/>
      </c>
      <c r="N220">
        <f>_xlfn.XLOOKUP($B220,ChartOfAccounts!A219:A304,ChartOfAccounts!D219:D304,0,1)</f>
        <v>0</v>
      </c>
      <c r="O220" t="str">
        <f>_xlfn.XLOOKUP($B220,ChartOfAccounts!A219:A304,ChartOfAccounts!F219:F304,"",0,1)</f>
        <v/>
      </c>
      <c r="P220" t="str" cm="1">
        <f t="array" ref="P220">_xlfn.XLOOKUP($D220&amp;$C220,PreparerInfo!A219:A231&amp;PreparerInfo!C219:C231,PreparerInfo!B219:B231,"",0,1)</f>
        <v/>
      </c>
      <c r="Q220" t="str">
        <f>_xlfn.XLOOKUP($E220,Source!A219:A227,Source!B219:B227,"",0,1)</f>
        <v/>
      </c>
    </row>
    <row r="221" spans="1:17" x14ac:dyDescent="0.3">
      <c r="A221" s="3">
        <v>2033629</v>
      </c>
      <c r="B221">
        <v>11845</v>
      </c>
      <c r="C221">
        <v>1</v>
      </c>
      <c r="D221" s="9">
        <v>105</v>
      </c>
      <c r="E221">
        <v>1004</v>
      </c>
      <c r="F221" s="1">
        <v>44005</v>
      </c>
      <c r="G221" t="s">
        <v>54</v>
      </c>
      <c r="H221" s="4" t="s">
        <v>16</v>
      </c>
      <c r="I221" s="4">
        <v>-989.67</v>
      </c>
      <c r="J221" s="4">
        <v>-989.67</v>
      </c>
      <c r="K221" t="str">
        <f>_xlfn.XLOOKUP($C221,Table1[BusinessUnitID],Table1[BusinessUnit],"",0)</f>
        <v>FOOD SERVICE</v>
      </c>
      <c r="L221" t="str" cm="1">
        <f t="array" ref="L221">_xlfn.XLOOKUP($C221,Table1[[#All],[BusinessUnitID]],Table1[[#All],[Description]],"",0,1)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21" t="str">
        <f>_xlfn.XLOOKUP($B221,ChartOfAccounts!A220:A305,ChartOfAccounts!B220:B305,"",0,1)</f>
        <v/>
      </c>
      <c r="N221">
        <f>_xlfn.XLOOKUP($B221,ChartOfAccounts!A220:A305,ChartOfAccounts!D220:D305,0,1)</f>
        <v>0</v>
      </c>
      <c r="O221" t="str">
        <f>_xlfn.XLOOKUP($B221,ChartOfAccounts!A220:A305,ChartOfAccounts!F220:F305,"",0,1)</f>
        <v/>
      </c>
      <c r="P221" t="str" cm="1">
        <f t="array" ref="P221">_xlfn.XLOOKUP($D221&amp;$C221,PreparerInfo!A220:A232&amp;PreparerInfo!C220:C232,PreparerInfo!B220:B232,"",0,1)</f>
        <v/>
      </c>
      <c r="Q221" t="str">
        <f>_xlfn.XLOOKUP($E221,Source!A220:A228,Source!B220:B228,"",0,1)</f>
        <v/>
      </c>
    </row>
    <row r="222" spans="1:17" x14ac:dyDescent="0.3">
      <c r="A222" s="3">
        <v>2033630</v>
      </c>
      <c r="B222">
        <v>51610</v>
      </c>
      <c r="C222">
        <v>1</v>
      </c>
      <c r="D222" s="9">
        <v>105</v>
      </c>
      <c r="E222">
        <v>1006</v>
      </c>
      <c r="F222" s="1">
        <v>44005</v>
      </c>
      <c r="G222" t="s">
        <v>75</v>
      </c>
      <c r="H222" s="4">
        <v>997.5</v>
      </c>
      <c r="I222" s="4" t="s">
        <v>16</v>
      </c>
      <c r="J222" s="4">
        <v>997.5</v>
      </c>
      <c r="K222" t="str">
        <f>_xlfn.XLOOKUP($C222,Table1[BusinessUnitID],Table1[BusinessUnit],"",0)</f>
        <v>FOOD SERVICE</v>
      </c>
      <c r="L222" t="str" cm="1">
        <f t="array" ref="L222">_xlfn.XLOOKUP($C222,Table1[[#All],[BusinessUnitID]],Table1[[#All],[Description]],"",0,1)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22" t="str">
        <f>_xlfn.XLOOKUP($B222,ChartOfAccounts!A221:A306,ChartOfAccounts!B221:B306,"",0,1)</f>
        <v/>
      </c>
      <c r="N222">
        <f>_xlfn.XLOOKUP($B222,ChartOfAccounts!A221:A306,ChartOfAccounts!D221:D306,0,1)</f>
        <v>0</v>
      </c>
      <c r="O222" t="str">
        <f>_xlfn.XLOOKUP($B222,ChartOfAccounts!A221:A306,ChartOfAccounts!F221:F306,"",0,1)</f>
        <v/>
      </c>
      <c r="P222" t="str" cm="1">
        <f t="array" ref="P222">_xlfn.XLOOKUP($D222&amp;$C222,PreparerInfo!A221:A233&amp;PreparerInfo!C221:C233,PreparerInfo!B221:B233,"",0,1)</f>
        <v/>
      </c>
      <c r="Q222" t="str">
        <f>_xlfn.XLOOKUP($E222,Source!A221:A229,Source!B221:B229,"",0,1)</f>
        <v/>
      </c>
    </row>
    <row r="223" spans="1:17" x14ac:dyDescent="0.3">
      <c r="A223" s="3">
        <v>2033630</v>
      </c>
      <c r="B223">
        <v>22110</v>
      </c>
      <c r="C223">
        <v>1</v>
      </c>
      <c r="D223" s="9">
        <v>105</v>
      </c>
      <c r="E223">
        <v>1006</v>
      </c>
      <c r="F223" s="1">
        <v>44005</v>
      </c>
      <c r="G223" t="s">
        <v>75</v>
      </c>
      <c r="H223" s="4" t="s">
        <v>16</v>
      </c>
      <c r="I223" s="4">
        <v>-997.5</v>
      </c>
      <c r="J223" s="4">
        <v>-997.5</v>
      </c>
      <c r="K223" t="str">
        <f>_xlfn.XLOOKUP($C223,Table1[BusinessUnitID],Table1[BusinessUnit],"",0)</f>
        <v>FOOD SERVICE</v>
      </c>
      <c r="L223" t="str" cm="1">
        <f t="array" ref="L223">_xlfn.XLOOKUP($C223,Table1[[#All],[BusinessUnitID]],Table1[[#All],[Description]],"",0,1)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23" t="str">
        <f>_xlfn.XLOOKUP($B223,ChartOfAccounts!A222:A307,ChartOfAccounts!B222:B307,"",0,1)</f>
        <v/>
      </c>
      <c r="N223">
        <f>_xlfn.XLOOKUP($B223,ChartOfAccounts!A222:A307,ChartOfAccounts!D222:D307,0,1)</f>
        <v>0</v>
      </c>
      <c r="O223" t="str">
        <f>_xlfn.XLOOKUP($B223,ChartOfAccounts!A222:A307,ChartOfAccounts!F222:F307,"",0,1)</f>
        <v/>
      </c>
      <c r="P223" t="str" cm="1">
        <f t="array" ref="P223">_xlfn.XLOOKUP($D223&amp;$C223,PreparerInfo!A222:A234&amp;PreparerInfo!C222:C234,PreparerInfo!B222:B234,"",0,1)</f>
        <v/>
      </c>
      <c r="Q223" t="str">
        <f>_xlfn.XLOOKUP($E223,Source!A222:A230,Source!B222:B230,"",0,1)</f>
        <v/>
      </c>
    </row>
    <row r="224" spans="1:17" x14ac:dyDescent="0.3">
      <c r="A224" s="3">
        <v>2033631</v>
      </c>
      <c r="B224">
        <v>51400</v>
      </c>
      <c r="C224">
        <v>1</v>
      </c>
      <c r="D224" s="9">
        <v>105</v>
      </c>
      <c r="E224">
        <v>1006</v>
      </c>
      <c r="F224" s="1">
        <v>44005</v>
      </c>
      <c r="G224" t="s">
        <v>55</v>
      </c>
      <c r="H224" s="4">
        <v>1019.94</v>
      </c>
      <c r="I224" s="4" t="s">
        <v>16</v>
      </c>
      <c r="J224" s="4">
        <v>1019.94</v>
      </c>
      <c r="K224" t="str">
        <f>_xlfn.XLOOKUP($C224,Table1[BusinessUnitID],Table1[BusinessUnit],"",0)</f>
        <v>FOOD SERVICE</v>
      </c>
      <c r="L224" t="str" cm="1">
        <f t="array" ref="L224">_xlfn.XLOOKUP($C224,Table1[[#All],[BusinessUnitID]],Table1[[#All],[Description]],"",0,1)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24" t="str">
        <f>_xlfn.XLOOKUP($B224,ChartOfAccounts!A223:A308,ChartOfAccounts!B223:B308,"",0,1)</f>
        <v/>
      </c>
      <c r="N224">
        <f>_xlfn.XLOOKUP($B224,ChartOfAccounts!A223:A308,ChartOfAccounts!D223:D308,0,1)</f>
        <v>0</v>
      </c>
      <c r="O224" t="str">
        <f>_xlfn.XLOOKUP($B224,ChartOfAccounts!A223:A308,ChartOfAccounts!F223:F308,"",0,1)</f>
        <v/>
      </c>
      <c r="P224" t="str" cm="1">
        <f t="array" ref="P224">_xlfn.XLOOKUP($D224&amp;$C224,PreparerInfo!A223:A235&amp;PreparerInfo!C223:C235,PreparerInfo!B223:B235,"",0,1)</f>
        <v/>
      </c>
      <c r="Q224" t="str">
        <f>_xlfn.XLOOKUP($E224,Source!A223:A231,Source!B223:B231,"",0,1)</f>
        <v/>
      </c>
    </row>
    <row r="225" spans="1:17" x14ac:dyDescent="0.3">
      <c r="A225" s="3">
        <v>2033631</v>
      </c>
      <c r="B225">
        <v>22110</v>
      </c>
      <c r="C225">
        <v>1</v>
      </c>
      <c r="D225" s="9">
        <v>105</v>
      </c>
      <c r="E225">
        <v>1006</v>
      </c>
      <c r="F225" s="1">
        <v>44005</v>
      </c>
      <c r="G225" t="s">
        <v>55</v>
      </c>
      <c r="H225" s="4" t="s">
        <v>16</v>
      </c>
      <c r="I225" s="4">
        <v>-1019.94</v>
      </c>
      <c r="J225" s="4">
        <v>-1019.94</v>
      </c>
      <c r="K225" t="str">
        <f>_xlfn.XLOOKUP($C225,Table1[BusinessUnitID],Table1[BusinessUnit],"",0)</f>
        <v>FOOD SERVICE</v>
      </c>
      <c r="L225" t="str" cm="1">
        <f t="array" ref="L225">_xlfn.XLOOKUP($C225,Table1[[#All],[BusinessUnitID]],Table1[[#All],[Description]],"",0,1)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25" t="str">
        <f>_xlfn.XLOOKUP($B225,ChartOfAccounts!A224:A309,ChartOfAccounts!B224:B309,"",0,1)</f>
        <v/>
      </c>
      <c r="N225">
        <f>_xlfn.XLOOKUP($B225,ChartOfAccounts!A224:A309,ChartOfAccounts!D224:D309,0,1)</f>
        <v>0</v>
      </c>
      <c r="O225" t="str">
        <f>_xlfn.XLOOKUP($B225,ChartOfAccounts!A224:A309,ChartOfAccounts!F224:F309,"",0,1)</f>
        <v/>
      </c>
      <c r="P225" t="str" cm="1">
        <f t="array" ref="P225">_xlfn.XLOOKUP($D225&amp;$C225,PreparerInfo!A224:A236&amp;PreparerInfo!C224:C236,PreparerInfo!B224:B236,"",0,1)</f>
        <v/>
      </c>
      <c r="Q225" t="str">
        <f>_xlfn.XLOOKUP($E225,Source!A224:A232,Source!B224:B232,"",0,1)</f>
        <v/>
      </c>
    </row>
    <row r="226" spans="1:17" x14ac:dyDescent="0.3">
      <c r="A226" s="3">
        <v>2033632</v>
      </c>
      <c r="B226">
        <v>51510</v>
      </c>
      <c r="C226">
        <v>4</v>
      </c>
      <c r="D226" s="9">
        <v>105</v>
      </c>
      <c r="E226">
        <v>1006</v>
      </c>
      <c r="F226" s="1">
        <v>44005</v>
      </c>
      <c r="G226" t="s">
        <v>62</v>
      </c>
      <c r="H226" s="4">
        <v>1051.7</v>
      </c>
      <c r="I226" s="4" t="s">
        <v>16</v>
      </c>
      <c r="J226" s="4">
        <v>1051.7</v>
      </c>
      <c r="K226" t="str">
        <f>_xlfn.XLOOKUP($C226,Table1[BusinessUnitID],Table1[BusinessUnit],"",0)</f>
        <v>HOUSEKEEPING</v>
      </c>
      <c r="L226" t="str" cm="1">
        <f t="array" ref="L226">_xlfn.XLOOKUP($C226,Table1[[#All],[BusinessUnitID]],Table1[[#All],[Description]],"",0,1)</f>
        <v xml:space="preserve">Transactions related to the Housekeeping Department. Primarily includes payroll for housekeepers and housekeeping supplies. </v>
      </c>
      <c r="M226" t="str">
        <f>_xlfn.XLOOKUP($B226,ChartOfAccounts!A225:A310,ChartOfAccounts!B225:B310,"",0,1)</f>
        <v/>
      </c>
      <c r="N226">
        <f>_xlfn.XLOOKUP($B226,ChartOfAccounts!A225:A310,ChartOfAccounts!D225:D310,0,1)</f>
        <v>0</v>
      </c>
      <c r="O226" t="str">
        <f>_xlfn.XLOOKUP($B226,ChartOfAccounts!A225:A310,ChartOfAccounts!F225:F310,"",0,1)</f>
        <v/>
      </c>
      <c r="P226" t="str" cm="1">
        <f t="array" ref="P226">_xlfn.XLOOKUP($D226&amp;$C226,PreparerInfo!A225:A237&amp;PreparerInfo!C225:C237,PreparerInfo!B225:B237,"",0,1)</f>
        <v/>
      </c>
      <c r="Q226" t="str">
        <f>_xlfn.XLOOKUP($E226,Source!A225:A233,Source!B225:B233,"",0,1)</f>
        <v/>
      </c>
    </row>
    <row r="227" spans="1:17" x14ac:dyDescent="0.3">
      <c r="A227" s="3">
        <v>2033632</v>
      </c>
      <c r="B227">
        <v>22110</v>
      </c>
      <c r="C227">
        <v>4</v>
      </c>
      <c r="D227" s="9">
        <v>105</v>
      </c>
      <c r="E227">
        <v>1006</v>
      </c>
      <c r="F227" s="1">
        <v>44005</v>
      </c>
      <c r="G227" t="s">
        <v>62</v>
      </c>
      <c r="H227" s="4" t="s">
        <v>16</v>
      </c>
      <c r="I227" s="4">
        <v>-1051.7</v>
      </c>
      <c r="J227" s="4">
        <v>-1051.7</v>
      </c>
      <c r="K227" t="str">
        <f>_xlfn.XLOOKUP($C227,Table1[BusinessUnitID],Table1[BusinessUnit],"",0)</f>
        <v>HOUSEKEEPING</v>
      </c>
      <c r="L227" t="str" cm="1">
        <f t="array" ref="L227">_xlfn.XLOOKUP($C227,Table1[[#All],[BusinessUnitID]],Table1[[#All],[Description]],"",0,1)</f>
        <v xml:space="preserve">Transactions related to the Housekeeping Department. Primarily includes payroll for housekeepers and housekeeping supplies. </v>
      </c>
      <c r="M227" t="str">
        <f>_xlfn.XLOOKUP($B227,ChartOfAccounts!A226:A311,ChartOfAccounts!B226:B311,"",0,1)</f>
        <v/>
      </c>
      <c r="N227">
        <f>_xlfn.XLOOKUP($B227,ChartOfAccounts!A226:A311,ChartOfAccounts!D226:D311,0,1)</f>
        <v>0</v>
      </c>
      <c r="O227" t="str">
        <f>_xlfn.XLOOKUP($B227,ChartOfAccounts!A226:A311,ChartOfAccounts!F226:F311,"",0,1)</f>
        <v/>
      </c>
      <c r="P227" t="str" cm="1">
        <f t="array" ref="P227">_xlfn.XLOOKUP($D227&amp;$C227,PreparerInfo!A226:A238&amp;PreparerInfo!C226:C238,PreparerInfo!B226:B238,"",0,1)</f>
        <v/>
      </c>
      <c r="Q227" t="str">
        <f>_xlfn.XLOOKUP($E227,Source!A226:A234,Source!B226:B234,"",0,1)</f>
        <v/>
      </c>
    </row>
    <row r="228" spans="1:17" x14ac:dyDescent="0.3">
      <c r="A228" s="3">
        <v>2033633</v>
      </c>
      <c r="B228">
        <v>51610</v>
      </c>
      <c r="C228">
        <v>1</v>
      </c>
      <c r="D228" s="9">
        <v>105</v>
      </c>
      <c r="E228">
        <v>1006</v>
      </c>
      <c r="F228" s="1">
        <v>44005</v>
      </c>
      <c r="G228" t="s">
        <v>66</v>
      </c>
      <c r="H228" s="4">
        <v>1200</v>
      </c>
      <c r="I228" s="4" t="s">
        <v>16</v>
      </c>
      <c r="J228" s="4">
        <v>1200</v>
      </c>
      <c r="K228" t="str">
        <f>_xlfn.XLOOKUP($C228,Table1[BusinessUnitID],Table1[BusinessUnit],"",0)</f>
        <v>FOOD SERVICE</v>
      </c>
      <c r="L228" t="str" cm="1">
        <f t="array" ref="L228">_xlfn.XLOOKUP($C228,Table1[[#All],[BusinessUnitID]],Table1[[#All],[Description]],"",0,1)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28" t="str">
        <f>_xlfn.XLOOKUP($B228,ChartOfAccounts!A227:A312,ChartOfAccounts!B227:B312,"",0,1)</f>
        <v/>
      </c>
      <c r="N228">
        <f>_xlfn.XLOOKUP($B228,ChartOfAccounts!A227:A312,ChartOfAccounts!D227:D312,0,1)</f>
        <v>0</v>
      </c>
      <c r="O228" t="str">
        <f>_xlfn.XLOOKUP($B228,ChartOfAccounts!A227:A312,ChartOfAccounts!F227:F312,"",0,1)</f>
        <v/>
      </c>
      <c r="P228" t="str" cm="1">
        <f t="array" ref="P228">_xlfn.XLOOKUP($D228&amp;$C228,PreparerInfo!A227:A239&amp;PreparerInfo!C227:C239,PreparerInfo!B227:B239,"",0,1)</f>
        <v/>
      </c>
      <c r="Q228" t="str">
        <f>_xlfn.XLOOKUP($E228,Source!A227:A235,Source!B227:B235,"",0,1)</f>
        <v/>
      </c>
    </row>
    <row r="229" spans="1:17" x14ac:dyDescent="0.3">
      <c r="A229" s="3">
        <v>2033633</v>
      </c>
      <c r="B229">
        <v>22110</v>
      </c>
      <c r="C229">
        <v>1</v>
      </c>
      <c r="D229" s="9">
        <v>105</v>
      </c>
      <c r="E229">
        <v>1006</v>
      </c>
      <c r="F229" s="1">
        <v>44005</v>
      </c>
      <c r="G229" t="s">
        <v>66</v>
      </c>
      <c r="H229" s="4" t="s">
        <v>16</v>
      </c>
      <c r="I229" s="4">
        <v>-1200</v>
      </c>
      <c r="J229" s="4">
        <v>-1200</v>
      </c>
      <c r="K229" t="str">
        <f>_xlfn.XLOOKUP($C229,Table1[BusinessUnitID],Table1[BusinessUnit],"",0)</f>
        <v>FOOD SERVICE</v>
      </c>
      <c r="L229" t="str" cm="1">
        <f t="array" ref="L229">_xlfn.XLOOKUP($C229,Table1[[#All],[BusinessUnitID]],Table1[[#All],[Description]],"",0,1)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29" t="str">
        <f>_xlfn.XLOOKUP($B229,ChartOfAccounts!A228:A313,ChartOfAccounts!B228:B313,"",0,1)</f>
        <v/>
      </c>
      <c r="N229">
        <f>_xlfn.XLOOKUP($B229,ChartOfAccounts!A228:A313,ChartOfAccounts!D228:D313,0,1)</f>
        <v>0</v>
      </c>
      <c r="O229" t="str">
        <f>_xlfn.XLOOKUP($B229,ChartOfAccounts!A228:A313,ChartOfAccounts!F228:F313,"",0,1)</f>
        <v/>
      </c>
      <c r="P229" t="str" cm="1">
        <f t="array" ref="P229">_xlfn.XLOOKUP($D229&amp;$C229,PreparerInfo!A228:A240&amp;PreparerInfo!C228:C240,PreparerInfo!B228:B240,"",0,1)</f>
        <v/>
      </c>
      <c r="Q229" t="str">
        <f>_xlfn.XLOOKUP($E229,Source!A228:A236,Source!B228:B236,"",0,1)</f>
        <v/>
      </c>
    </row>
    <row r="230" spans="1:17" x14ac:dyDescent="0.3">
      <c r="A230" s="3">
        <v>2033634</v>
      </c>
      <c r="B230">
        <v>51140</v>
      </c>
      <c r="C230">
        <v>4</v>
      </c>
      <c r="D230" s="9">
        <v>105</v>
      </c>
      <c r="E230">
        <v>1004</v>
      </c>
      <c r="F230" s="1">
        <v>44005</v>
      </c>
      <c r="G230" t="s">
        <v>54</v>
      </c>
      <c r="H230" s="4">
        <v>1722.74</v>
      </c>
      <c r="I230" s="4" t="s">
        <v>16</v>
      </c>
      <c r="J230" s="4">
        <v>1722.74</v>
      </c>
      <c r="K230" t="str">
        <f>_xlfn.XLOOKUP($C230,Table1[BusinessUnitID],Table1[BusinessUnit],"",0)</f>
        <v>HOUSEKEEPING</v>
      </c>
      <c r="L230" t="str" cm="1">
        <f t="array" ref="L230">_xlfn.XLOOKUP($C230,Table1[[#All],[BusinessUnitID]],Table1[[#All],[Description]],"",0,1)</f>
        <v xml:space="preserve">Transactions related to the Housekeeping Department. Primarily includes payroll for housekeepers and housekeeping supplies. </v>
      </c>
      <c r="M230" t="str">
        <f>_xlfn.XLOOKUP($B230,ChartOfAccounts!A229:A314,ChartOfAccounts!B229:B314,"",0,1)</f>
        <v/>
      </c>
      <c r="N230">
        <f>_xlfn.XLOOKUP($B230,ChartOfAccounts!A229:A314,ChartOfAccounts!D229:D314,0,1)</f>
        <v>0</v>
      </c>
      <c r="O230" t="str">
        <f>_xlfn.XLOOKUP($B230,ChartOfAccounts!A229:A314,ChartOfAccounts!F229:F314,"",0,1)</f>
        <v/>
      </c>
      <c r="P230" t="str" cm="1">
        <f t="array" ref="P230">_xlfn.XLOOKUP($D230&amp;$C230,PreparerInfo!A229:A241&amp;PreparerInfo!C229:C241,PreparerInfo!B229:B241,"",0,1)</f>
        <v/>
      </c>
      <c r="Q230" t="str">
        <f>_xlfn.XLOOKUP($E230,Source!A229:A237,Source!B229:B237,"",0,1)</f>
        <v/>
      </c>
    </row>
    <row r="231" spans="1:17" x14ac:dyDescent="0.3">
      <c r="A231" s="3">
        <v>2033634</v>
      </c>
      <c r="B231">
        <v>11845</v>
      </c>
      <c r="C231">
        <v>4</v>
      </c>
      <c r="D231" s="9">
        <v>105</v>
      </c>
      <c r="E231">
        <v>1004</v>
      </c>
      <c r="F231" s="1">
        <v>44005</v>
      </c>
      <c r="G231" t="s">
        <v>54</v>
      </c>
      <c r="H231" s="4" t="s">
        <v>16</v>
      </c>
      <c r="I231" s="4">
        <v>-1722.74</v>
      </c>
      <c r="J231" s="4">
        <v>-1722.74</v>
      </c>
      <c r="K231" t="str">
        <f>_xlfn.XLOOKUP($C231,Table1[BusinessUnitID],Table1[BusinessUnit],"",0)</f>
        <v>HOUSEKEEPING</v>
      </c>
      <c r="L231" t="str" cm="1">
        <f t="array" ref="L231">_xlfn.XLOOKUP($C231,Table1[[#All],[BusinessUnitID]],Table1[[#All],[Description]],"",0,1)</f>
        <v xml:space="preserve">Transactions related to the Housekeeping Department. Primarily includes payroll for housekeepers and housekeeping supplies. </v>
      </c>
      <c r="M231" t="str">
        <f>_xlfn.XLOOKUP($B231,ChartOfAccounts!A230:A315,ChartOfAccounts!B230:B315,"",0,1)</f>
        <v/>
      </c>
      <c r="N231">
        <f>_xlfn.XLOOKUP($B231,ChartOfAccounts!A230:A315,ChartOfAccounts!D230:D315,0,1)</f>
        <v>0</v>
      </c>
      <c r="O231" t="str">
        <f>_xlfn.XLOOKUP($B231,ChartOfAccounts!A230:A315,ChartOfAccounts!F230:F315,"",0,1)</f>
        <v/>
      </c>
      <c r="P231" t="str" cm="1">
        <f t="array" ref="P231">_xlfn.XLOOKUP($D231&amp;$C231,PreparerInfo!A230:A242&amp;PreparerInfo!C230:C242,PreparerInfo!B230:B242,"",0,1)</f>
        <v/>
      </c>
      <c r="Q231" t="str">
        <f>_xlfn.XLOOKUP($E231,Source!A230:A238,Source!B230:B238,"",0,1)</f>
        <v/>
      </c>
    </row>
    <row r="232" spans="1:17" x14ac:dyDescent="0.3">
      <c r="A232" s="3">
        <v>2033635</v>
      </c>
      <c r="B232">
        <v>51120</v>
      </c>
      <c r="C232">
        <v>6</v>
      </c>
      <c r="D232" s="9">
        <v>105</v>
      </c>
      <c r="E232">
        <v>1004</v>
      </c>
      <c r="F232" s="1">
        <v>44005</v>
      </c>
      <c r="G232" t="s">
        <v>60</v>
      </c>
      <c r="H232" s="4">
        <v>2187.36</v>
      </c>
      <c r="I232" s="4" t="s">
        <v>16</v>
      </c>
      <c r="J232" s="4">
        <v>2187.36</v>
      </c>
      <c r="K232" t="str">
        <f>_xlfn.XLOOKUP($C232,Table1[BusinessUnitID],Table1[BusinessUnit],"",0)</f>
        <v>MAINTENANCE</v>
      </c>
      <c r="L232" t="str" cm="1">
        <f t="array" ref="L232">_xlfn.XLOOKUP($C232,Table1[[#All],[BusinessUnitID]],Table1[[#All],[Description]],"",0,1)</f>
        <v>Transactions related to the hotel Maintenance Department. Primarily includes payroll for maintenance, grounds keepers and related supplies.</v>
      </c>
      <c r="M232" t="str">
        <f>_xlfn.XLOOKUP($B232,ChartOfAccounts!A231:A316,ChartOfAccounts!B231:B316,"",0,1)</f>
        <v/>
      </c>
      <c r="N232">
        <f>_xlfn.XLOOKUP($B232,ChartOfAccounts!A231:A316,ChartOfAccounts!D231:D316,0,1)</f>
        <v>0</v>
      </c>
      <c r="O232" t="str">
        <f>_xlfn.XLOOKUP($B232,ChartOfAccounts!A231:A316,ChartOfAccounts!F231:F316,"",0,1)</f>
        <v/>
      </c>
      <c r="P232" t="str" cm="1">
        <f t="array" ref="P232">_xlfn.XLOOKUP($D232&amp;$C232,PreparerInfo!A231:A243&amp;PreparerInfo!C231:C243,PreparerInfo!B231:B243,"",0,1)</f>
        <v/>
      </c>
      <c r="Q232" t="str">
        <f>_xlfn.XLOOKUP($E232,Source!A231:A239,Source!B231:B239,"",0,1)</f>
        <v/>
      </c>
    </row>
    <row r="233" spans="1:17" x14ac:dyDescent="0.3">
      <c r="A233" s="3">
        <v>2033635</v>
      </c>
      <c r="B233">
        <v>11845</v>
      </c>
      <c r="C233">
        <v>6</v>
      </c>
      <c r="D233" s="9">
        <v>105</v>
      </c>
      <c r="E233">
        <v>1004</v>
      </c>
      <c r="F233" s="1">
        <v>44005</v>
      </c>
      <c r="G233" t="s">
        <v>60</v>
      </c>
      <c r="H233" s="4" t="s">
        <v>16</v>
      </c>
      <c r="I233" s="4">
        <v>-2187.36</v>
      </c>
      <c r="J233" s="4">
        <v>-2187.36</v>
      </c>
      <c r="K233" t="str">
        <f>_xlfn.XLOOKUP($C233,Table1[BusinessUnitID],Table1[BusinessUnit],"",0)</f>
        <v>MAINTENANCE</v>
      </c>
      <c r="L233" t="str" cm="1">
        <f t="array" ref="L233">_xlfn.XLOOKUP($C233,Table1[[#All],[BusinessUnitID]],Table1[[#All],[Description]],"",0,1)</f>
        <v>Transactions related to the hotel Maintenance Department. Primarily includes payroll for maintenance, grounds keepers and related supplies.</v>
      </c>
      <c r="M233" t="str">
        <f>_xlfn.XLOOKUP($B233,ChartOfAccounts!A232:A317,ChartOfAccounts!B232:B317,"",0,1)</f>
        <v/>
      </c>
      <c r="N233">
        <f>_xlfn.XLOOKUP($B233,ChartOfAccounts!A232:A317,ChartOfAccounts!D232:D317,0,1)</f>
        <v>0</v>
      </c>
      <c r="O233" t="str">
        <f>_xlfn.XLOOKUP($B233,ChartOfAccounts!A232:A317,ChartOfAccounts!F232:F317,"",0,1)</f>
        <v/>
      </c>
      <c r="P233" t="str" cm="1">
        <f t="array" ref="P233">_xlfn.XLOOKUP($D233&amp;$C233,PreparerInfo!A232:A244&amp;PreparerInfo!C232:C244,PreparerInfo!B232:B244,"",0,1)</f>
        <v/>
      </c>
      <c r="Q233" t="str">
        <f>_xlfn.XLOOKUP($E233,Source!A232:A240,Source!B232:B240,"",0,1)</f>
        <v/>
      </c>
    </row>
    <row r="234" spans="1:17" x14ac:dyDescent="0.3">
      <c r="A234" s="3">
        <v>2033636</v>
      </c>
      <c r="B234">
        <v>11845</v>
      </c>
      <c r="C234">
        <v>1</v>
      </c>
      <c r="D234" s="9">
        <v>102</v>
      </c>
      <c r="E234">
        <v>1003</v>
      </c>
      <c r="F234" s="1">
        <v>44005</v>
      </c>
      <c r="G234" t="s">
        <v>15</v>
      </c>
      <c r="H234" s="4">
        <v>2219.14</v>
      </c>
      <c r="I234" s="4" t="s">
        <v>16</v>
      </c>
      <c r="J234" s="4">
        <v>2219.14</v>
      </c>
      <c r="K234" t="str">
        <f>_xlfn.XLOOKUP($C234,Table1[BusinessUnitID],Table1[BusinessUnit],"",0)</f>
        <v>FOOD SERVICE</v>
      </c>
      <c r="L234" t="str" cm="1">
        <f t="array" ref="L234">_xlfn.XLOOKUP($C234,Table1[[#All],[BusinessUnitID]],Table1[[#All],[Description]],"",0,1)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34" t="str">
        <f>_xlfn.XLOOKUP($B234,ChartOfAccounts!A233:A318,ChartOfAccounts!B233:B318,"",0,1)</f>
        <v/>
      </c>
      <c r="N234">
        <f>_xlfn.XLOOKUP($B234,ChartOfAccounts!A233:A318,ChartOfAccounts!D233:D318,0,1)</f>
        <v>0</v>
      </c>
      <c r="O234" t="str">
        <f>_xlfn.XLOOKUP($B234,ChartOfAccounts!A233:A318,ChartOfAccounts!F233:F318,"",0,1)</f>
        <v/>
      </c>
      <c r="P234" t="str" cm="1">
        <f t="array" ref="P234">_xlfn.XLOOKUP($D234&amp;$C234,PreparerInfo!A233:A245&amp;PreparerInfo!C233:C245,PreparerInfo!B233:B245,"",0,1)</f>
        <v/>
      </c>
      <c r="Q234" t="str">
        <f>_xlfn.XLOOKUP($E234,Source!A233:A241,Source!B233:B241,"",0,1)</f>
        <v/>
      </c>
    </row>
    <row r="235" spans="1:17" x14ac:dyDescent="0.3">
      <c r="A235" s="3">
        <v>2033636</v>
      </c>
      <c r="B235">
        <v>43310</v>
      </c>
      <c r="C235">
        <v>1</v>
      </c>
      <c r="D235" s="9">
        <v>102</v>
      </c>
      <c r="E235">
        <v>1003</v>
      </c>
      <c r="F235" s="1">
        <v>44005</v>
      </c>
      <c r="G235" t="s">
        <v>15</v>
      </c>
      <c r="H235" s="4" t="s">
        <v>16</v>
      </c>
      <c r="I235" s="4">
        <v>-2219.14</v>
      </c>
      <c r="J235" s="4">
        <v>-2219.14</v>
      </c>
      <c r="K235" t="str">
        <f>_xlfn.XLOOKUP($C235,Table1[BusinessUnitID],Table1[BusinessUnit],"",0)</f>
        <v>FOOD SERVICE</v>
      </c>
      <c r="L235" t="str" cm="1">
        <f t="array" ref="L235">_xlfn.XLOOKUP($C235,Table1[[#All],[BusinessUnitID]],Table1[[#All],[Description]],"",0,1)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35" t="str">
        <f>_xlfn.XLOOKUP($B235,ChartOfAccounts!A234:A319,ChartOfAccounts!B234:B319,"",0,1)</f>
        <v/>
      </c>
      <c r="N235">
        <f>_xlfn.XLOOKUP($B235,ChartOfAccounts!A234:A319,ChartOfAccounts!D234:D319,0,1)</f>
        <v>0</v>
      </c>
      <c r="O235" t="str">
        <f>_xlfn.XLOOKUP($B235,ChartOfAccounts!A234:A319,ChartOfAccounts!F234:F319,"",0,1)</f>
        <v/>
      </c>
      <c r="P235" t="str" cm="1">
        <f t="array" ref="P235">_xlfn.XLOOKUP($D235&amp;$C235,PreparerInfo!A234:A246&amp;PreparerInfo!C234:C246,PreparerInfo!B234:B246,"",0,1)</f>
        <v/>
      </c>
      <c r="Q235" t="str">
        <f>_xlfn.XLOOKUP($E235,Source!A234:A242,Source!B234:B242,"",0,1)</f>
        <v/>
      </c>
    </row>
    <row r="236" spans="1:17" x14ac:dyDescent="0.3">
      <c r="A236" s="3">
        <v>2033637</v>
      </c>
      <c r="B236">
        <v>51120</v>
      </c>
      <c r="C236">
        <v>6</v>
      </c>
      <c r="D236" s="9">
        <v>105</v>
      </c>
      <c r="E236">
        <v>1005</v>
      </c>
      <c r="F236" s="1">
        <v>44005</v>
      </c>
      <c r="G236" t="s">
        <v>189</v>
      </c>
      <c r="H236" s="4">
        <v>2405.92</v>
      </c>
      <c r="I236" s="4" t="s">
        <v>16</v>
      </c>
      <c r="J236" s="4">
        <v>2405.92</v>
      </c>
      <c r="K236" t="str">
        <f>_xlfn.XLOOKUP($C236,Table1[BusinessUnitID],Table1[BusinessUnit],"",0)</f>
        <v>MAINTENANCE</v>
      </c>
      <c r="L236" t="str" cm="1">
        <f t="array" ref="L236">_xlfn.XLOOKUP($C236,Table1[[#All],[BusinessUnitID]],Table1[[#All],[Description]],"",0,1)</f>
        <v>Transactions related to the hotel Maintenance Department. Primarily includes payroll for maintenance, grounds keepers and related supplies.</v>
      </c>
      <c r="M236" t="str">
        <f>_xlfn.XLOOKUP($B236,ChartOfAccounts!A235:A320,ChartOfAccounts!B235:B320,"",0,1)</f>
        <v/>
      </c>
      <c r="N236">
        <f>_xlfn.XLOOKUP($B236,ChartOfAccounts!A235:A320,ChartOfAccounts!D235:D320,0,1)</f>
        <v>0</v>
      </c>
      <c r="O236" t="str">
        <f>_xlfn.XLOOKUP($B236,ChartOfAccounts!A235:A320,ChartOfAccounts!F235:F320,"",0,1)</f>
        <v/>
      </c>
      <c r="P236" t="str" cm="1">
        <f t="array" ref="P236">_xlfn.XLOOKUP($D236&amp;$C236,PreparerInfo!A235:A247&amp;PreparerInfo!C235:C247,PreparerInfo!B235:B247,"",0,1)</f>
        <v/>
      </c>
      <c r="Q236" t="str">
        <f>_xlfn.XLOOKUP($E236,Source!A235:A243,Source!B235:B243,"",0,1)</f>
        <v/>
      </c>
    </row>
    <row r="237" spans="1:17" x14ac:dyDescent="0.3">
      <c r="A237" s="3">
        <v>2033637</v>
      </c>
      <c r="B237">
        <v>11845</v>
      </c>
      <c r="C237">
        <v>6</v>
      </c>
      <c r="D237" s="9">
        <v>105</v>
      </c>
      <c r="E237">
        <v>1005</v>
      </c>
      <c r="F237" s="1">
        <v>44005</v>
      </c>
      <c r="G237" t="s">
        <v>189</v>
      </c>
      <c r="H237" s="4" t="s">
        <v>16</v>
      </c>
      <c r="I237" s="4">
        <v>-2405.92</v>
      </c>
      <c r="J237" s="4">
        <v>-2405.92</v>
      </c>
      <c r="K237" t="str">
        <f>_xlfn.XLOOKUP($C237,Table1[BusinessUnitID],Table1[BusinessUnit],"",0)</f>
        <v>MAINTENANCE</v>
      </c>
      <c r="L237" t="str" cm="1">
        <f t="array" ref="L237">_xlfn.XLOOKUP($C237,Table1[[#All],[BusinessUnitID]],Table1[[#All],[Description]],"",0,1)</f>
        <v>Transactions related to the hotel Maintenance Department. Primarily includes payroll for maintenance, grounds keepers and related supplies.</v>
      </c>
      <c r="M237" t="str">
        <f>_xlfn.XLOOKUP($B237,ChartOfAccounts!A236:A321,ChartOfAccounts!B236:B321,"",0,1)</f>
        <v/>
      </c>
      <c r="N237">
        <f>_xlfn.XLOOKUP($B237,ChartOfAccounts!A236:A321,ChartOfAccounts!D236:D321,0,1)</f>
        <v>0</v>
      </c>
      <c r="O237" t="str">
        <f>_xlfn.XLOOKUP($B237,ChartOfAccounts!A236:A321,ChartOfAccounts!F236:F321,"",0,1)</f>
        <v/>
      </c>
      <c r="P237" t="str" cm="1">
        <f t="array" ref="P237">_xlfn.XLOOKUP($D237&amp;$C237,PreparerInfo!A236:A248&amp;PreparerInfo!C236:C248,PreparerInfo!B236:B248,"",0,1)</f>
        <v/>
      </c>
      <c r="Q237" t="str">
        <f>_xlfn.XLOOKUP($E237,Source!A236:A244,Source!B236:B244,"",0,1)</f>
        <v/>
      </c>
    </row>
    <row r="238" spans="1:17" x14ac:dyDescent="0.3">
      <c r="A238" s="3">
        <v>2033638</v>
      </c>
      <c r="B238">
        <v>71400</v>
      </c>
      <c r="C238">
        <v>1</v>
      </c>
      <c r="D238" s="9">
        <v>102</v>
      </c>
      <c r="E238">
        <v>1002</v>
      </c>
      <c r="F238" s="1">
        <v>44005</v>
      </c>
      <c r="G238" t="s">
        <v>134</v>
      </c>
      <c r="H238" s="4">
        <v>2436</v>
      </c>
      <c r="I238" s="4" t="s">
        <v>16</v>
      </c>
      <c r="J238" s="4">
        <v>2436</v>
      </c>
      <c r="K238" t="str">
        <f>_xlfn.XLOOKUP($C238,Table1[BusinessUnitID],Table1[BusinessUnit],"",0)</f>
        <v>FOOD SERVICE</v>
      </c>
      <c r="L238" t="str" cm="1">
        <f t="array" ref="L238">_xlfn.XLOOKUP($C238,Table1[[#All],[BusinessUnitID]],Table1[[#All],[Description]],"",0,1)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38" t="str">
        <f>_xlfn.XLOOKUP($B238,ChartOfAccounts!A237:A322,ChartOfAccounts!B237:B322,"",0,1)</f>
        <v/>
      </c>
      <c r="N238">
        <f>_xlfn.XLOOKUP($B238,ChartOfAccounts!A237:A322,ChartOfAccounts!D237:D322,0,1)</f>
        <v>0</v>
      </c>
      <c r="O238" t="str">
        <f>_xlfn.XLOOKUP($B238,ChartOfAccounts!A237:A322,ChartOfAccounts!F237:F322,"",0,1)</f>
        <v/>
      </c>
      <c r="P238" t="str" cm="1">
        <f t="array" ref="P238">_xlfn.XLOOKUP($D238&amp;$C238,PreparerInfo!A237:A249&amp;PreparerInfo!C237:C249,PreparerInfo!B237:B249,"",0,1)</f>
        <v/>
      </c>
      <c r="Q238" t="str">
        <f>_xlfn.XLOOKUP($E238,Source!A237:A245,Source!B237:B245,"",0,1)</f>
        <v/>
      </c>
    </row>
    <row r="239" spans="1:17" x14ac:dyDescent="0.3">
      <c r="A239" s="3">
        <v>2033638</v>
      </c>
      <c r="B239">
        <v>11845</v>
      </c>
      <c r="C239">
        <v>1</v>
      </c>
      <c r="D239" s="9">
        <v>102</v>
      </c>
      <c r="E239">
        <v>1002</v>
      </c>
      <c r="F239" s="1">
        <v>44005</v>
      </c>
      <c r="G239" t="s">
        <v>134</v>
      </c>
      <c r="H239" s="4" t="s">
        <v>16</v>
      </c>
      <c r="I239" s="4">
        <v>-2436</v>
      </c>
      <c r="J239" s="4">
        <v>-2436</v>
      </c>
      <c r="K239" t="str">
        <f>_xlfn.XLOOKUP($C239,Table1[BusinessUnitID],Table1[BusinessUnit],"",0)</f>
        <v>FOOD SERVICE</v>
      </c>
      <c r="L239" t="str" cm="1">
        <f t="array" ref="L239">_xlfn.XLOOKUP($C239,Table1[[#All],[BusinessUnitID]],Table1[[#All],[Description]],"",0,1)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39" t="str">
        <f>_xlfn.XLOOKUP($B239,ChartOfAccounts!A238:A323,ChartOfAccounts!B238:B323,"",0,1)</f>
        <v/>
      </c>
      <c r="N239">
        <f>_xlfn.XLOOKUP($B239,ChartOfAccounts!A238:A323,ChartOfAccounts!D238:D323,0,1)</f>
        <v>0</v>
      </c>
      <c r="O239" t="str">
        <f>_xlfn.XLOOKUP($B239,ChartOfAccounts!A238:A323,ChartOfAccounts!F238:F323,"",0,1)</f>
        <v/>
      </c>
      <c r="P239" t="str" cm="1">
        <f t="array" ref="P239">_xlfn.XLOOKUP($D239&amp;$C239,PreparerInfo!A238:A250&amp;PreparerInfo!C238:C250,PreparerInfo!B238:B250,"",0,1)</f>
        <v/>
      </c>
      <c r="Q239" t="str">
        <f>_xlfn.XLOOKUP($E239,Source!A238:A246,Source!B238:B246,"",0,1)</f>
        <v/>
      </c>
    </row>
    <row r="240" spans="1:17" x14ac:dyDescent="0.3">
      <c r="A240" s="3">
        <v>2033639</v>
      </c>
      <c r="B240">
        <v>51510</v>
      </c>
      <c r="C240">
        <v>1</v>
      </c>
      <c r="D240" s="9">
        <v>105</v>
      </c>
      <c r="E240">
        <v>1006</v>
      </c>
      <c r="F240" s="1">
        <v>44005</v>
      </c>
      <c r="G240" t="s">
        <v>62</v>
      </c>
      <c r="H240" s="4">
        <v>2481.11</v>
      </c>
      <c r="I240" s="4" t="s">
        <v>16</v>
      </c>
      <c r="J240" s="4">
        <v>2481.11</v>
      </c>
      <c r="K240" t="str">
        <f>_xlfn.XLOOKUP($C240,Table1[BusinessUnitID],Table1[BusinessUnit],"",0)</f>
        <v>FOOD SERVICE</v>
      </c>
      <c r="L240" t="str" cm="1">
        <f t="array" ref="L240">_xlfn.XLOOKUP($C240,Table1[[#All],[BusinessUnitID]],Table1[[#All],[Description]],"",0,1)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40" t="str">
        <f>_xlfn.XLOOKUP($B240,ChartOfAccounts!A239:A324,ChartOfAccounts!B239:B324,"",0,1)</f>
        <v/>
      </c>
      <c r="N240">
        <f>_xlfn.XLOOKUP($B240,ChartOfAccounts!A239:A324,ChartOfAccounts!D239:D324,0,1)</f>
        <v>0</v>
      </c>
      <c r="O240" t="str">
        <f>_xlfn.XLOOKUP($B240,ChartOfAccounts!A239:A324,ChartOfAccounts!F239:F324,"",0,1)</f>
        <v/>
      </c>
      <c r="P240" t="str" cm="1">
        <f t="array" ref="P240">_xlfn.XLOOKUP($D240&amp;$C240,PreparerInfo!A239:A251&amp;PreparerInfo!C239:C251,PreparerInfo!B239:B251,"",0,1)</f>
        <v/>
      </c>
      <c r="Q240" t="str">
        <f>_xlfn.XLOOKUP($E240,Source!A239:A247,Source!B239:B247,"",0,1)</f>
        <v/>
      </c>
    </row>
    <row r="241" spans="1:17" x14ac:dyDescent="0.3">
      <c r="A241" s="3">
        <v>2033639</v>
      </c>
      <c r="B241">
        <v>22110</v>
      </c>
      <c r="C241">
        <v>1</v>
      </c>
      <c r="D241" s="9">
        <v>105</v>
      </c>
      <c r="E241">
        <v>1006</v>
      </c>
      <c r="F241" s="1">
        <v>44005</v>
      </c>
      <c r="G241" t="s">
        <v>62</v>
      </c>
      <c r="H241" s="4" t="s">
        <v>16</v>
      </c>
      <c r="I241" s="4">
        <v>-2481.11</v>
      </c>
      <c r="J241" s="4">
        <v>-2481.11</v>
      </c>
      <c r="K241" t="str">
        <f>_xlfn.XLOOKUP($C241,Table1[BusinessUnitID],Table1[BusinessUnit],"",0)</f>
        <v>FOOD SERVICE</v>
      </c>
      <c r="L241" t="str" cm="1">
        <f t="array" ref="L241">_xlfn.XLOOKUP($C241,Table1[[#All],[BusinessUnitID]],Table1[[#All],[Description]],"",0,1)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41" t="str">
        <f>_xlfn.XLOOKUP($B241,ChartOfAccounts!A240:A325,ChartOfAccounts!B240:B325,"",0,1)</f>
        <v/>
      </c>
      <c r="N241">
        <f>_xlfn.XLOOKUP($B241,ChartOfAccounts!A240:A325,ChartOfAccounts!D240:D325,0,1)</f>
        <v>0</v>
      </c>
      <c r="O241" t="str">
        <f>_xlfn.XLOOKUP($B241,ChartOfAccounts!A240:A325,ChartOfAccounts!F240:F325,"",0,1)</f>
        <v/>
      </c>
      <c r="P241" t="str" cm="1">
        <f t="array" ref="P241">_xlfn.XLOOKUP($D241&amp;$C241,PreparerInfo!A240:A252&amp;PreparerInfo!C240:C252,PreparerInfo!B240:B252,"",0,1)</f>
        <v/>
      </c>
      <c r="Q241" t="str">
        <f>_xlfn.XLOOKUP($E241,Source!A240:A248,Source!B240:B248,"",0,1)</f>
        <v/>
      </c>
    </row>
    <row r="242" spans="1:17" x14ac:dyDescent="0.3">
      <c r="A242" s="3">
        <v>2033640</v>
      </c>
      <c r="B242">
        <v>51120</v>
      </c>
      <c r="C242">
        <v>2</v>
      </c>
      <c r="D242" s="9">
        <v>105</v>
      </c>
      <c r="E242">
        <v>1004</v>
      </c>
      <c r="F242" s="1">
        <v>44005</v>
      </c>
      <c r="G242" t="s">
        <v>60</v>
      </c>
      <c r="H242" s="4">
        <v>2901.53</v>
      </c>
      <c r="I242" s="4" t="s">
        <v>16</v>
      </c>
      <c r="J242" s="4">
        <v>2901.53</v>
      </c>
      <c r="K242" t="str">
        <f>_xlfn.XLOOKUP($C242,Table1[BusinessUnitID],Table1[BusinessUnit],"",0)</f>
        <v>HOTEL</v>
      </c>
      <c r="L242" t="str" cm="1">
        <f t="array" ref="L242">_xlfn.XLOOKUP($C242,Table1[[#All],[BusinessUnitID]],Table1[[#All],[Description]],"",0,1)</f>
        <v xml:space="preserve">Transactions related to guest rooms and overall hotel operations. Includes payroll for administrative staff, clerks and interns. </v>
      </c>
      <c r="M242" t="str">
        <f>_xlfn.XLOOKUP($B242,ChartOfAccounts!A241:A326,ChartOfAccounts!B241:B326,"",0,1)</f>
        <v/>
      </c>
      <c r="N242">
        <f>_xlfn.XLOOKUP($B242,ChartOfAccounts!A241:A326,ChartOfAccounts!D241:D326,0,1)</f>
        <v>0</v>
      </c>
      <c r="O242" t="str">
        <f>_xlfn.XLOOKUP($B242,ChartOfAccounts!A241:A326,ChartOfAccounts!F241:F326,"",0,1)</f>
        <v/>
      </c>
      <c r="P242" t="str" cm="1">
        <f t="array" ref="P242">_xlfn.XLOOKUP($D242&amp;$C242,PreparerInfo!A241:A253&amp;PreparerInfo!C241:C253,PreparerInfo!B241:B253,"",0,1)</f>
        <v/>
      </c>
      <c r="Q242" t="str">
        <f>_xlfn.XLOOKUP($E242,Source!A241:A249,Source!B241:B249,"",0,1)</f>
        <v/>
      </c>
    </row>
    <row r="243" spans="1:17" x14ac:dyDescent="0.3">
      <c r="A243" s="3">
        <v>2033640</v>
      </c>
      <c r="B243">
        <v>11845</v>
      </c>
      <c r="C243">
        <v>2</v>
      </c>
      <c r="D243" s="9">
        <v>105</v>
      </c>
      <c r="E243">
        <v>1004</v>
      </c>
      <c r="F243" s="1">
        <v>44005</v>
      </c>
      <c r="G243" t="s">
        <v>60</v>
      </c>
      <c r="H243" s="4" t="s">
        <v>16</v>
      </c>
      <c r="I243" s="4">
        <v>-2901.53</v>
      </c>
      <c r="J243" s="4">
        <v>-2901.53</v>
      </c>
      <c r="K243" t="str">
        <f>_xlfn.XLOOKUP($C243,Table1[BusinessUnitID],Table1[BusinessUnit],"",0)</f>
        <v>HOTEL</v>
      </c>
      <c r="L243" t="str" cm="1">
        <f t="array" ref="L243">_xlfn.XLOOKUP($C243,Table1[[#All],[BusinessUnitID]],Table1[[#All],[Description]],"",0,1)</f>
        <v xml:space="preserve">Transactions related to guest rooms and overall hotel operations. Includes payroll for administrative staff, clerks and interns. </v>
      </c>
      <c r="M243" t="str">
        <f>_xlfn.XLOOKUP($B243,ChartOfAccounts!A242:A327,ChartOfAccounts!B242:B327,"",0,1)</f>
        <v/>
      </c>
      <c r="N243">
        <f>_xlfn.XLOOKUP($B243,ChartOfAccounts!A242:A327,ChartOfAccounts!D242:D327,0,1)</f>
        <v>0</v>
      </c>
      <c r="O243" t="str">
        <f>_xlfn.XLOOKUP($B243,ChartOfAccounts!A242:A327,ChartOfAccounts!F242:F327,"",0,1)</f>
        <v/>
      </c>
      <c r="P243" t="str" cm="1">
        <f t="array" ref="P243">_xlfn.XLOOKUP($D243&amp;$C243,PreparerInfo!A242:A254&amp;PreparerInfo!C242:C254,PreparerInfo!B242:B254,"",0,1)</f>
        <v/>
      </c>
      <c r="Q243" t="str">
        <f>_xlfn.XLOOKUP($E243,Source!A242:A250,Source!B242:B250,"",0,1)</f>
        <v/>
      </c>
    </row>
    <row r="244" spans="1:17" x14ac:dyDescent="0.3">
      <c r="A244" s="3">
        <v>2033641</v>
      </c>
      <c r="B244">
        <v>11845</v>
      </c>
      <c r="C244">
        <v>1</v>
      </c>
      <c r="D244" s="9">
        <v>106</v>
      </c>
      <c r="E244">
        <v>1003</v>
      </c>
      <c r="F244" s="1">
        <v>44005</v>
      </c>
      <c r="G244" t="s">
        <v>80</v>
      </c>
      <c r="H244" s="4">
        <v>3155.58</v>
      </c>
      <c r="I244" s="4" t="s">
        <v>16</v>
      </c>
      <c r="J244" s="4">
        <v>3155.58</v>
      </c>
      <c r="K244" t="str">
        <f>_xlfn.XLOOKUP($C244,Table1[BusinessUnitID],Table1[BusinessUnit],"",0)</f>
        <v>FOOD SERVICE</v>
      </c>
      <c r="L244" t="str" cm="1">
        <f t="array" ref="L244">_xlfn.XLOOKUP($C244,Table1[[#All],[BusinessUnitID]],Table1[[#All],[Description]],"",0,1)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44" t="str">
        <f>_xlfn.XLOOKUP($B244,ChartOfAccounts!A243:A328,ChartOfAccounts!B243:B328,"",0,1)</f>
        <v/>
      </c>
      <c r="N244">
        <f>_xlfn.XLOOKUP($B244,ChartOfAccounts!A243:A328,ChartOfAccounts!D243:D328,0,1)</f>
        <v>0</v>
      </c>
      <c r="O244" t="str">
        <f>_xlfn.XLOOKUP($B244,ChartOfAccounts!A243:A328,ChartOfAccounts!F243:F328,"",0,1)</f>
        <v/>
      </c>
      <c r="P244" t="str" cm="1">
        <f t="array" ref="P244">_xlfn.XLOOKUP($D244&amp;$C244,PreparerInfo!A243:A255&amp;PreparerInfo!C243:C255,PreparerInfo!B243:B255,"",0,1)</f>
        <v/>
      </c>
      <c r="Q244" t="str">
        <f>_xlfn.XLOOKUP($E244,Source!A243:A251,Source!B243:B251,"",0,1)</f>
        <v/>
      </c>
    </row>
    <row r="245" spans="1:17" x14ac:dyDescent="0.3">
      <c r="A245" s="3">
        <v>2033641</v>
      </c>
      <c r="B245">
        <v>43310</v>
      </c>
      <c r="C245">
        <v>1</v>
      </c>
      <c r="D245" s="9">
        <v>106</v>
      </c>
      <c r="E245">
        <v>1003</v>
      </c>
      <c r="F245" s="1">
        <v>44005</v>
      </c>
      <c r="G245" t="s">
        <v>80</v>
      </c>
      <c r="H245" s="4" t="s">
        <v>16</v>
      </c>
      <c r="I245" s="4">
        <v>-3155.58</v>
      </c>
      <c r="J245" s="4">
        <v>-3155.58</v>
      </c>
      <c r="K245" t="str">
        <f>_xlfn.XLOOKUP($C245,Table1[BusinessUnitID],Table1[BusinessUnit],"",0)</f>
        <v>FOOD SERVICE</v>
      </c>
      <c r="L245" t="str" cm="1">
        <f t="array" ref="L245">_xlfn.XLOOKUP($C245,Table1[[#All],[BusinessUnitID]],Table1[[#All],[Description]],"",0,1)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45" t="str">
        <f>_xlfn.XLOOKUP($B245,ChartOfAccounts!A244:A329,ChartOfAccounts!B244:B329,"",0,1)</f>
        <v/>
      </c>
      <c r="N245">
        <f>_xlfn.XLOOKUP($B245,ChartOfAccounts!A244:A329,ChartOfAccounts!D244:D329,0,1)</f>
        <v>0</v>
      </c>
      <c r="O245" t="str">
        <f>_xlfn.XLOOKUP($B245,ChartOfAccounts!A244:A329,ChartOfAccounts!F244:F329,"",0,1)</f>
        <v/>
      </c>
      <c r="P245" t="str" cm="1">
        <f t="array" ref="P245">_xlfn.XLOOKUP($D245&amp;$C245,PreparerInfo!A244:A256&amp;PreparerInfo!C244:C256,PreparerInfo!B244:B256,"",0,1)</f>
        <v/>
      </c>
      <c r="Q245" t="str">
        <f>_xlfn.XLOOKUP($E245,Source!A244:A252,Source!B244:B252,"",0,1)</f>
        <v/>
      </c>
    </row>
    <row r="246" spans="1:17" x14ac:dyDescent="0.3">
      <c r="A246" s="3">
        <v>2033642</v>
      </c>
      <c r="B246">
        <v>51120</v>
      </c>
      <c r="C246">
        <v>2</v>
      </c>
      <c r="D246" s="9">
        <v>105</v>
      </c>
      <c r="E246">
        <v>1005</v>
      </c>
      <c r="F246" s="1">
        <v>44005</v>
      </c>
      <c r="G246" t="s">
        <v>188</v>
      </c>
      <c r="H246" s="4">
        <v>5459.3</v>
      </c>
      <c r="I246" s="4" t="s">
        <v>16</v>
      </c>
      <c r="J246" s="4">
        <v>5459.3</v>
      </c>
      <c r="K246" t="str">
        <f>_xlfn.XLOOKUP($C246,Table1[BusinessUnitID],Table1[BusinessUnit],"",0)</f>
        <v>HOTEL</v>
      </c>
      <c r="L246" t="str" cm="1">
        <f t="array" ref="L246">_xlfn.XLOOKUP($C246,Table1[[#All],[BusinessUnitID]],Table1[[#All],[Description]],"",0,1)</f>
        <v xml:space="preserve">Transactions related to guest rooms and overall hotel operations. Includes payroll for administrative staff, clerks and interns. </v>
      </c>
      <c r="M246" t="str">
        <f>_xlfn.XLOOKUP($B246,ChartOfAccounts!A245:A330,ChartOfAccounts!B245:B330,"",0,1)</f>
        <v/>
      </c>
      <c r="N246">
        <f>_xlfn.XLOOKUP($B246,ChartOfAccounts!A245:A330,ChartOfAccounts!D245:D330,0,1)</f>
        <v>0</v>
      </c>
      <c r="O246" t="str">
        <f>_xlfn.XLOOKUP($B246,ChartOfAccounts!A245:A330,ChartOfAccounts!F245:F330,"",0,1)</f>
        <v/>
      </c>
      <c r="P246" t="str" cm="1">
        <f t="array" ref="P246">_xlfn.XLOOKUP($D246&amp;$C246,PreparerInfo!A245:A257&amp;PreparerInfo!C245:C257,PreparerInfo!B245:B257,"",0,1)</f>
        <v/>
      </c>
      <c r="Q246" t="str">
        <f>_xlfn.XLOOKUP($E246,Source!A245:A253,Source!B245:B253,"",0,1)</f>
        <v/>
      </c>
    </row>
    <row r="247" spans="1:17" x14ac:dyDescent="0.3">
      <c r="A247" s="3">
        <v>2033642</v>
      </c>
      <c r="B247">
        <v>11845</v>
      </c>
      <c r="C247">
        <v>2</v>
      </c>
      <c r="D247" s="9">
        <v>105</v>
      </c>
      <c r="E247">
        <v>1005</v>
      </c>
      <c r="F247" s="1">
        <v>44005</v>
      </c>
      <c r="G247" t="s">
        <v>188</v>
      </c>
      <c r="H247" s="4" t="s">
        <v>16</v>
      </c>
      <c r="I247" s="4">
        <v>-5459.3</v>
      </c>
      <c r="J247" s="4">
        <v>-5459.3</v>
      </c>
      <c r="K247" t="str">
        <f>_xlfn.XLOOKUP($C247,Table1[BusinessUnitID],Table1[BusinessUnit],"",0)</f>
        <v>HOTEL</v>
      </c>
      <c r="L247" t="str" cm="1">
        <f t="array" ref="L247">_xlfn.XLOOKUP($C247,Table1[[#All],[BusinessUnitID]],Table1[[#All],[Description]],"",0,1)</f>
        <v xml:space="preserve">Transactions related to guest rooms and overall hotel operations. Includes payroll for administrative staff, clerks and interns. </v>
      </c>
      <c r="M247" t="str">
        <f>_xlfn.XLOOKUP($B247,ChartOfAccounts!A246:A331,ChartOfAccounts!B246:B331,"",0,1)</f>
        <v/>
      </c>
      <c r="N247">
        <f>_xlfn.XLOOKUP($B247,ChartOfAccounts!A246:A331,ChartOfAccounts!D246:D331,0,1)</f>
        <v>0</v>
      </c>
      <c r="O247" t="str">
        <f>_xlfn.XLOOKUP($B247,ChartOfAccounts!A246:A331,ChartOfAccounts!F246:F331,"",0,1)</f>
        <v/>
      </c>
      <c r="P247" t="str" cm="1">
        <f t="array" ref="P247">_xlfn.XLOOKUP($D247&amp;$C247,PreparerInfo!A246:A258&amp;PreparerInfo!C246:C258,PreparerInfo!B246:B258,"",0,1)</f>
        <v/>
      </c>
      <c r="Q247" t="str">
        <f>_xlfn.XLOOKUP($E247,Source!A246:A254,Source!B246:B254,"",0,1)</f>
        <v/>
      </c>
    </row>
    <row r="248" spans="1:17" x14ac:dyDescent="0.3">
      <c r="A248" s="3">
        <v>2033643</v>
      </c>
      <c r="B248">
        <v>51130</v>
      </c>
      <c r="C248">
        <v>2</v>
      </c>
      <c r="D248" s="9">
        <v>105</v>
      </c>
      <c r="E248">
        <v>1005</v>
      </c>
      <c r="F248" s="1">
        <v>44005</v>
      </c>
      <c r="G248" t="s">
        <v>143</v>
      </c>
      <c r="H248" s="4">
        <v>5874.63</v>
      </c>
      <c r="I248" s="4" t="s">
        <v>16</v>
      </c>
      <c r="J248" s="4">
        <v>5874.63</v>
      </c>
      <c r="K248" t="str">
        <f>_xlfn.XLOOKUP($C248,Table1[BusinessUnitID],Table1[BusinessUnit],"",0)</f>
        <v>HOTEL</v>
      </c>
      <c r="L248" t="str" cm="1">
        <f t="array" ref="L248">_xlfn.XLOOKUP($C248,Table1[[#All],[BusinessUnitID]],Table1[[#All],[Description]],"",0,1)</f>
        <v xml:space="preserve">Transactions related to guest rooms and overall hotel operations. Includes payroll for administrative staff, clerks and interns. </v>
      </c>
      <c r="M248" t="str">
        <f>_xlfn.XLOOKUP($B248,ChartOfAccounts!A247:A332,ChartOfAccounts!B247:B332,"",0,1)</f>
        <v/>
      </c>
      <c r="N248">
        <f>_xlfn.XLOOKUP($B248,ChartOfAccounts!A247:A332,ChartOfAccounts!D247:D332,0,1)</f>
        <v>0</v>
      </c>
      <c r="O248" t="str">
        <f>_xlfn.XLOOKUP($B248,ChartOfAccounts!A247:A332,ChartOfAccounts!F247:F332,"",0,1)</f>
        <v/>
      </c>
      <c r="P248" t="str" cm="1">
        <f t="array" ref="P248">_xlfn.XLOOKUP($D248&amp;$C248,PreparerInfo!A247:A259&amp;PreparerInfo!C247:C259,PreparerInfo!B247:B259,"",0,1)</f>
        <v/>
      </c>
      <c r="Q248" t="str">
        <f>_xlfn.XLOOKUP($E248,Source!A247:A255,Source!B247:B255,"",0,1)</f>
        <v/>
      </c>
    </row>
    <row r="249" spans="1:17" x14ac:dyDescent="0.3">
      <c r="A249" s="3">
        <v>2033643</v>
      </c>
      <c r="B249">
        <v>11845</v>
      </c>
      <c r="C249">
        <v>2</v>
      </c>
      <c r="D249" s="9">
        <v>105</v>
      </c>
      <c r="E249">
        <v>1005</v>
      </c>
      <c r="F249" s="1">
        <v>44005</v>
      </c>
      <c r="G249" t="s">
        <v>143</v>
      </c>
      <c r="H249" s="4" t="s">
        <v>16</v>
      </c>
      <c r="I249" s="4">
        <v>-5874.63</v>
      </c>
      <c r="J249" s="4">
        <v>-5874.63</v>
      </c>
      <c r="K249" t="str">
        <f>_xlfn.XLOOKUP($C249,Table1[BusinessUnitID],Table1[BusinessUnit],"",0)</f>
        <v>HOTEL</v>
      </c>
      <c r="L249" t="str" cm="1">
        <f t="array" ref="L249">_xlfn.XLOOKUP($C249,Table1[[#All],[BusinessUnitID]],Table1[[#All],[Description]],"",0,1)</f>
        <v xml:space="preserve">Transactions related to guest rooms and overall hotel operations. Includes payroll for administrative staff, clerks and interns. </v>
      </c>
      <c r="M249" t="str">
        <f>_xlfn.XLOOKUP($B249,ChartOfAccounts!A248:A333,ChartOfAccounts!B248:B333,"",0,1)</f>
        <v/>
      </c>
      <c r="N249">
        <f>_xlfn.XLOOKUP($B249,ChartOfAccounts!A248:A333,ChartOfAccounts!D248:D333,0,1)</f>
        <v>0</v>
      </c>
      <c r="O249" t="str">
        <f>_xlfn.XLOOKUP($B249,ChartOfAccounts!A248:A333,ChartOfAccounts!F248:F333,"",0,1)</f>
        <v/>
      </c>
      <c r="P249" t="str" cm="1">
        <f t="array" ref="P249">_xlfn.XLOOKUP($D249&amp;$C249,PreparerInfo!A248:A260&amp;PreparerInfo!C248:C260,PreparerInfo!B248:B260,"",0,1)</f>
        <v/>
      </c>
      <c r="Q249" t="str">
        <f>_xlfn.XLOOKUP($E249,Source!A248:A256,Source!B248:B256,"",0,1)</f>
        <v/>
      </c>
    </row>
    <row r="250" spans="1:17" x14ac:dyDescent="0.3">
      <c r="A250" s="3">
        <v>2033644</v>
      </c>
      <c r="B250">
        <v>51200</v>
      </c>
      <c r="C250">
        <v>2</v>
      </c>
      <c r="D250" s="9">
        <v>105</v>
      </c>
      <c r="E250">
        <v>1005</v>
      </c>
      <c r="F250" s="1">
        <v>44005</v>
      </c>
      <c r="G250" t="s">
        <v>152</v>
      </c>
      <c r="H250" s="4">
        <v>5874.63</v>
      </c>
      <c r="I250" s="4" t="s">
        <v>16</v>
      </c>
      <c r="J250" s="4">
        <v>5874.63</v>
      </c>
      <c r="K250" t="str">
        <f>_xlfn.XLOOKUP($C250,Table1[BusinessUnitID],Table1[BusinessUnit],"",0)</f>
        <v>HOTEL</v>
      </c>
      <c r="L250" t="str" cm="1">
        <f t="array" ref="L250">_xlfn.XLOOKUP($C250,Table1[[#All],[BusinessUnitID]],Table1[[#All],[Description]],"",0,1)</f>
        <v xml:space="preserve">Transactions related to guest rooms and overall hotel operations. Includes payroll for administrative staff, clerks and interns. </v>
      </c>
      <c r="M250" t="str">
        <f>_xlfn.XLOOKUP($B250,ChartOfAccounts!A249:A334,ChartOfAccounts!B249:B334,"",0,1)</f>
        <v/>
      </c>
      <c r="N250">
        <f>_xlfn.XLOOKUP($B250,ChartOfAccounts!A249:A334,ChartOfAccounts!D249:D334,0,1)</f>
        <v>0</v>
      </c>
      <c r="O250" t="str">
        <f>_xlfn.XLOOKUP($B250,ChartOfAccounts!A249:A334,ChartOfAccounts!F249:F334,"",0,1)</f>
        <v/>
      </c>
      <c r="P250" t="str" cm="1">
        <f t="array" ref="P250">_xlfn.XLOOKUP($D250&amp;$C250,PreparerInfo!A249:A261&amp;PreparerInfo!C249:C261,PreparerInfo!B249:B261,"",0,1)</f>
        <v/>
      </c>
      <c r="Q250" t="str">
        <f>_xlfn.XLOOKUP($E250,Source!A249:A257,Source!B249:B257,"",0,1)</f>
        <v/>
      </c>
    </row>
    <row r="251" spans="1:17" x14ac:dyDescent="0.3">
      <c r="A251" s="3">
        <v>2033644</v>
      </c>
      <c r="B251">
        <v>11845</v>
      </c>
      <c r="C251">
        <v>2</v>
      </c>
      <c r="D251" s="9">
        <v>105</v>
      </c>
      <c r="E251">
        <v>1005</v>
      </c>
      <c r="F251" s="1">
        <v>44005</v>
      </c>
      <c r="G251" t="s">
        <v>152</v>
      </c>
      <c r="H251" s="4" t="s">
        <v>16</v>
      </c>
      <c r="I251" s="4">
        <v>-5874.63</v>
      </c>
      <c r="J251" s="4">
        <v>-5874.63</v>
      </c>
      <c r="K251" t="str">
        <f>_xlfn.XLOOKUP($C251,Table1[BusinessUnitID],Table1[BusinessUnit],"",0)</f>
        <v>HOTEL</v>
      </c>
      <c r="L251" t="str" cm="1">
        <f t="array" ref="L251">_xlfn.XLOOKUP($C251,Table1[[#All],[BusinessUnitID]],Table1[[#All],[Description]],"",0,1)</f>
        <v xml:space="preserve">Transactions related to guest rooms and overall hotel operations. Includes payroll for administrative staff, clerks and interns. </v>
      </c>
      <c r="M251" t="str">
        <f>_xlfn.XLOOKUP($B251,ChartOfAccounts!A250:A335,ChartOfAccounts!B250:B335,"",0,1)</f>
        <v/>
      </c>
      <c r="N251">
        <f>_xlfn.XLOOKUP($B251,ChartOfAccounts!A250:A335,ChartOfAccounts!D250:D335,0,1)</f>
        <v>0</v>
      </c>
      <c r="O251" t="str">
        <f>_xlfn.XLOOKUP($B251,ChartOfAccounts!A250:A335,ChartOfAccounts!F250:F335,"",0,1)</f>
        <v/>
      </c>
      <c r="P251" t="str" cm="1">
        <f t="array" ref="P251">_xlfn.XLOOKUP($D251&amp;$C251,PreparerInfo!A250:A262&amp;PreparerInfo!C250:C262,PreparerInfo!B250:B262,"",0,1)</f>
        <v/>
      </c>
      <c r="Q251" t="str">
        <f>_xlfn.XLOOKUP($E251,Source!A250:A258,Source!B250:B258,"",0,1)</f>
        <v/>
      </c>
    </row>
    <row r="252" spans="1:17" x14ac:dyDescent="0.3">
      <c r="A252" s="3">
        <v>2033645</v>
      </c>
      <c r="B252">
        <v>11845</v>
      </c>
      <c r="C252">
        <v>2</v>
      </c>
      <c r="D252" s="9">
        <v>106</v>
      </c>
      <c r="E252">
        <v>1003</v>
      </c>
      <c r="F252" s="1">
        <v>44005</v>
      </c>
      <c r="G252" t="s">
        <v>81</v>
      </c>
      <c r="H252" s="4">
        <v>5908</v>
      </c>
      <c r="I252" s="4" t="s">
        <v>16</v>
      </c>
      <c r="J252" s="4">
        <v>5908</v>
      </c>
      <c r="K252" t="str">
        <f>_xlfn.XLOOKUP($C252,Table1[BusinessUnitID],Table1[BusinessUnit],"",0)</f>
        <v>HOTEL</v>
      </c>
      <c r="L252" t="str" cm="1">
        <f t="array" ref="L252">_xlfn.XLOOKUP($C252,Table1[[#All],[BusinessUnitID]],Table1[[#All],[Description]],"",0,1)</f>
        <v xml:space="preserve">Transactions related to guest rooms and overall hotel operations. Includes payroll for administrative staff, clerks and interns. </v>
      </c>
      <c r="M252" t="str">
        <f>_xlfn.XLOOKUP($B252,ChartOfAccounts!A251:A336,ChartOfAccounts!B251:B336,"",0,1)</f>
        <v/>
      </c>
      <c r="N252">
        <f>_xlfn.XLOOKUP($B252,ChartOfAccounts!A251:A336,ChartOfAccounts!D251:D336,0,1)</f>
        <v>0</v>
      </c>
      <c r="O252" t="str">
        <f>_xlfn.XLOOKUP($B252,ChartOfAccounts!A251:A336,ChartOfAccounts!F251:F336,"",0,1)</f>
        <v/>
      </c>
      <c r="P252" t="str" cm="1">
        <f t="array" ref="P252">_xlfn.XLOOKUP($D252&amp;$C252,PreparerInfo!A251:A263&amp;PreparerInfo!C251:C263,PreparerInfo!B251:B263,"",0,1)</f>
        <v/>
      </c>
      <c r="Q252" t="str">
        <f>_xlfn.XLOOKUP($E252,Source!A251:A259,Source!B251:B259,"",0,1)</f>
        <v/>
      </c>
    </row>
    <row r="253" spans="1:17" x14ac:dyDescent="0.3">
      <c r="A253" s="3">
        <v>2033645</v>
      </c>
      <c r="B253">
        <v>43180</v>
      </c>
      <c r="C253">
        <v>2</v>
      </c>
      <c r="D253" s="9">
        <v>106</v>
      </c>
      <c r="E253">
        <v>1003</v>
      </c>
      <c r="F253" s="1">
        <v>44005</v>
      </c>
      <c r="G253" t="s">
        <v>81</v>
      </c>
      <c r="H253" s="4" t="s">
        <v>16</v>
      </c>
      <c r="I253" s="4">
        <v>-5908</v>
      </c>
      <c r="J253" s="4">
        <v>-5908</v>
      </c>
      <c r="K253" t="str">
        <f>_xlfn.XLOOKUP($C253,Table1[BusinessUnitID],Table1[BusinessUnit],"",0)</f>
        <v>HOTEL</v>
      </c>
      <c r="L253" t="str" cm="1">
        <f t="array" ref="L253">_xlfn.XLOOKUP($C253,Table1[[#All],[BusinessUnitID]],Table1[[#All],[Description]],"",0,1)</f>
        <v xml:space="preserve">Transactions related to guest rooms and overall hotel operations. Includes payroll for administrative staff, clerks and interns. </v>
      </c>
      <c r="M253" t="str">
        <f>_xlfn.XLOOKUP($B253,ChartOfAccounts!A252:A337,ChartOfAccounts!B252:B337,"",0,1)</f>
        <v/>
      </c>
      <c r="N253">
        <f>_xlfn.XLOOKUP($B253,ChartOfAccounts!A252:A337,ChartOfAccounts!D252:D337,0,1)</f>
        <v>0</v>
      </c>
      <c r="O253" t="str">
        <f>_xlfn.XLOOKUP($B253,ChartOfAccounts!A252:A337,ChartOfAccounts!F252:F337,"",0,1)</f>
        <v/>
      </c>
      <c r="P253" t="str" cm="1">
        <f t="array" ref="P253">_xlfn.XLOOKUP($D253&amp;$C253,PreparerInfo!A252:A264&amp;PreparerInfo!C252:C264,PreparerInfo!B252:B264,"",0,1)</f>
        <v/>
      </c>
      <c r="Q253" t="str">
        <f>_xlfn.XLOOKUP($E253,Source!A252:A260,Source!B252:B260,"",0,1)</f>
        <v/>
      </c>
    </row>
    <row r="254" spans="1:17" x14ac:dyDescent="0.3">
      <c r="A254" s="3">
        <v>2033646</v>
      </c>
      <c r="B254">
        <v>11845</v>
      </c>
      <c r="C254">
        <v>2</v>
      </c>
      <c r="D254" s="9">
        <v>104</v>
      </c>
      <c r="E254">
        <v>1003</v>
      </c>
      <c r="F254" s="1">
        <v>44005</v>
      </c>
      <c r="G254" t="s">
        <v>15</v>
      </c>
      <c r="H254" s="4">
        <v>7000</v>
      </c>
      <c r="I254" s="4" t="s">
        <v>16</v>
      </c>
      <c r="J254" s="4">
        <v>7000</v>
      </c>
      <c r="K254" t="str">
        <f>_xlfn.XLOOKUP($C254,Table1[BusinessUnitID],Table1[BusinessUnit],"",0)</f>
        <v>HOTEL</v>
      </c>
      <c r="L254" t="str" cm="1">
        <f t="array" ref="L254">_xlfn.XLOOKUP($C254,Table1[[#All],[BusinessUnitID]],Table1[[#All],[Description]],"",0,1)</f>
        <v xml:space="preserve">Transactions related to guest rooms and overall hotel operations. Includes payroll for administrative staff, clerks and interns. </v>
      </c>
      <c r="M254" t="str">
        <f>_xlfn.XLOOKUP($B254,ChartOfAccounts!A253:A338,ChartOfAccounts!B253:B338,"",0,1)</f>
        <v/>
      </c>
      <c r="N254">
        <f>_xlfn.XLOOKUP($B254,ChartOfAccounts!A253:A338,ChartOfAccounts!D253:D338,0,1)</f>
        <v>0</v>
      </c>
      <c r="O254" t="str">
        <f>_xlfn.XLOOKUP($B254,ChartOfAccounts!A253:A338,ChartOfAccounts!F253:F338,"",0,1)</f>
        <v/>
      </c>
      <c r="P254" t="str" cm="1">
        <f t="array" ref="P254">_xlfn.XLOOKUP($D254&amp;$C254,PreparerInfo!A253:A265&amp;PreparerInfo!C253:C265,PreparerInfo!B253:B265,"",0,1)</f>
        <v/>
      </c>
      <c r="Q254" t="str">
        <f>_xlfn.XLOOKUP($E254,Source!A253:A261,Source!B253:B261,"",0,1)</f>
        <v/>
      </c>
    </row>
    <row r="255" spans="1:17" x14ac:dyDescent="0.3">
      <c r="A255" s="3">
        <v>2033646</v>
      </c>
      <c r="B255">
        <v>43180</v>
      </c>
      <c r="C255">
        <v>2</v>
      </c>
      <c r="D255" s="9">
        <v>104</v>
      </c>
      <c r="E255">
        <v>1003</v>
      </c>
      <c r="F255" s="1">
        <v>44005</v>
      </c>
      <c r="G255" t="s">
        <v>15</v>
      </c>
      <c r="H255" s="4" t="s">
        <v>16</v>
      </c>
      <c r="I255" s="4">
        <v>-7000</v>
      </c>
      <c r="J255" s="4">
        <v>-7000</v>
      </c>
      <c r="K255" t="str">
        <f>_xlfn.XLOOKUP($C255,Table1[BusinessUnitID],Table1[BusinessUnit],"",0)</f>
        <v>HOTEL</v>
      </c>
      <c r="L255" t="str" cm="1">
        <f t="array" ref="L255">_xlfn.XLOOKUP($C255,Table1[[#All],[BusinessUnitID]],Table1[[#All],[Description]],"",0,1)</f>
        <v xml:space="preserve">Transactions related to guest rooms and overall hotel operations. Includes payroll for administrative staff, clerks and interns. </v>
      </c>
      <c r="M255" t="str">
        <f>_xlfn.XLOOKUP($B255,ChartOfAccounts!A254:A339,ChartOfAccounts!B254:B339,"",0,1)</f>
        <v/>
      </c>
      <c r="N255">
        <f>_xlfn.XLOOKUP($B255,ChartOfAccounts!A254:A339,ChartOfAccounts!D254:D339,0,1)</f>
        <v>0</v>
      </c>
      <c r="O255" t="str">
        <f>_xlfn.XLOOKUP($B255,ChartOfAccounts!A254:A339,ChartOfAccounts!F254:F339,"",0,1)</f>
        <v/>
      </c>
      <c r="P255" t="str" cm="1">
        <f t="array" ref="P255">_xlfn.XLOOKUP($D255&amp;$C255,PreparerInfo!A254:A266&amp;PreparerInfo!C254:C266,PreparerInfo!B254:B266,"",0,1)</f>
        <v/>
      </c>
      <c r="Q255" t="str">
        <f>_xlfn.XLOOKUP($E255,Source!A254:A262,Source!B254:B262,"",0,1)</f>
        <v/>
      </c>
    </row>
    <row r="256" spans="1:17" x14ac:dyDescent="0.3">
      <c r="A256" s="3">
        <v>2033647</v>
      </c>
      <c r="B256">
        <v>51120</v>
      </c>
      <c r="C256">
        <v>4</v>
      </c>
      <c r="D256" s="9">
        <v>105</v>
      </c>
      <c r="E256">
        <v>1004</v>
      </c>
      <c r="F256" s="1">
        <v>44005</v>
      </c>
      <c r="G256" t="s">
        <v>60</v>
      </c>
      <c r="H256" s="4">
        <v>7370.02</v>
      </c>
      <c r="I256" s="4" t="s">
        <v>16</v>
      </c>
      <c r="J256" s="4">
        <v>7370.02</v>
      </c>
      <c r="K256" t="str">
        <f>_xlfn.XLOOKUP($C256,Table1[BusinessUnitID],Table1[BusinessUnit],"",0)</f>
        <v>HOUSEKEEPING</v>
      </c>
      <c r="L256" t="str" cm="1">
        <f t="array" ref="L256">_xlfn.XLOOKUP($C256,Table1[[#All],[BusinessUnitID]],Table1[[#All],[Description]],"",0,1)</f>
        <v xml:space="preserve">Transactions related to the Housekeeping Department. Primarily includes payroll for housekeepers and housekeeping supplies. </v>
      </c>
      <c r="M256" t="str">
        <f>_xlfn.XLOOKUP($B256,ChartOfAccounts!A255:A340,ChartOfAccounts!B255:B340,"",0,1)</f>
        <v/>
      </c>
      <c r="N256">
        <f>_xlfn.XLOOKUP($B256,ChartOfAccounts!A255:A340,ChartOfAccounts!D255:D340,0,1)</f>
        <v>0</v>
      </c>
      <c r="O256" t="str">
        <f>_xlfn.XLOOKUP($B256,ChartOfAccounts!A255:A340,ChartOfAccounts!F255:F340,"",0,1)</f>
        <v/>
      </c>
      <c r="P256" t="str" cm="1">
        <f t="array" ref="P256">_xlfn.XLOOKUP($D256&amp;$C256,PreparerInfo!A255:A267&amp;PreparerInfo!C255:C267,PreparerInfo!B255:B267,"",0,1)</f>
        <v/>
      </c>
      <c r="Q256" t="str">
        <f>_xlfn.XLOOKUP($E256,Source!A255:A263,Source!B255:B263,"",0,1)</f>
        <v/>
      </c>
    </row>
    <row r="257" spans="1:17" x14ac:dyDescent="0.3">
      <c r="A257" s="3">
        <v>2033647</v>
      </c>
      <c r="B257">
        <v>11845</v>
      </c>
      <c r="C257">
        <v>4</v>
      </c>
      <c r="D257" s="9">
        <v>105</v>
      </c>
      <c r="E257">
        <v>1004</v>
      </c>
      <c r="F257" s="1">
        <v>44005</v>
      </c>
      <c r="G257" t="s">
        <v>60</v>
      </c>
      <c r="H257" s="4" t="s">
        <v>16</v>
      </c>
      <c r="I257" s="4">
        <v>-7370.02</v>
      </c>
      <c r="J257" s="4">
        <v>-7370.02</v>
      </c>
      <c r="K257" t="str">
        <f>_xlfn.XLOOKUP($C257,Table1[BusinessUnitID],Table1[BusinessUnit],"",0)</f>
        <v>HOUSEKEEPING</v>
      </c>
      <c r="L257" t="str" cm="1">
        <f t="array" ref="L257">_xlfn.XLOOKUP($C257,Table1[[#All],[BusinessUnitID]],Table1[[#All],[Description]],"",0,1)</f>
        <v xml:space="preserve">Transactions related to the Housekeeping Department. Primarily includes payroll for housekeepers and housekeeping supplies. </v>
      </c>
      <c r="M257" t="str">
        <f>_xlfn.XLOOKUP($B257,ChartOfAccounts!A256:A341,ChartOfAccounts!B256:B341,"",0,1)</f>
        <v/>
      </c>
      <c r="N257">
        <f>_xlfn.XLOOKUP($B257,ChartOfAccounts!A256:A341,ChartOfAccounts!D256:D341,0,1)</f>
        <v>0</v>
      </c>
      <c r="O257" t="str">
        <f>_xlfn.XLOOKUP($B257,ChartOfAccounts!A256:A341,ChartOfAccounts!F256:F341,"",0,1)</f>
        <v/>
      </c>
      <c r="P257" t="str" cm="1">
        <f t="array" ref="P257">_xlfn.XLOOKUP($D257&amp;$C257,PreparerInfo!A256:A268&amp;PreparerInfo!C256:C268,PreparerInfo!B256:B268,"",0,1)</f>
        <v/>
      </c>
      <c r="Q257" t="str">
        <f>_xlfn.XLOOKUP($E257,Source!A256:A264,Source!B256:B264,"",0,1)</f>
        <v/>
      </c>
    </row>
    <row r="258" spans="1:17" x14ac:dyDescent="0.3">
      <c r="A258" s="3">
        <v>2033648</v>
      </c>
      <c r="B258">
        <v>51120</v>
      </c>
      <c r="C258">
        <v>4</v>
      </c>
      <c r="D258" s="9">
        <v>105</v>
      </c>
      <c r="E258">
        <v>1005</v>
      </c>
      <c r="F258" s="1">
        <v>44005</v>
      </c>
      <c r="G258" t="s">
        <v>188</v>
      </c>
      <c r="H258" s="4">
        <v>7880</v>
      </c>
      <c r="I258" s="4" t="s">
        <v>16</v>
      </c>
      <c r="J258" s="4">
        <v>7880</v>
      </c>
      <c r="K258" t="str">
        <f>_xlfn.XLOOKUP($C258,Table1[BusinessUnitID],Table1[BusinessUnit],"",0)</f>
        <v>HOUSEKEEPING</v>
      </c>
      <c r="L258" t="str" cm="1">
        <f t="array" ref="L258">_xlfn.XLOOKUP($C258,Table1[[#All],[BusinessUnitID]],Table1[[#All],[Description]],"",0,1)</f>
        <v xml:space="preserve">Transactions related to the Housekeeping Department. Primarily includes payroll for housekeepers and housekeeping supplies. </v>
      </c>
      <c r="M258" t="str">
        <f>_xlfn.XLOOKUP($B258,ChartOfAccounts!A257:A342,ChartOfAccounts!B257:B342,"",0,1)</f>
        <v/>
      </c>
      <c r="N258">
        <f>_xlfn.XLOOKUP($B258,ChartOfAccounts!A257:A342,ChartOfAccounts!D257:D342,0,1)</f>
        <v>0</v>
      </c>
      <c r="O258" t="str">
        <f>_xlfn.XLOOKUP($B258,ChartOfAccounts!A257:A342,ChartOfAccounts!F257:F342,"",0,1)</f>
        <v/>
      </c>
      <c r="P258" t="str" cm="1">
        <f t="array" ref="P258">_xlfn.XLOOKUP($D258&amp;$C258,PreparerInfo!A257:A269&amp;PreparerInfo!C257:C269,PreparerInfo!B257:B269,"",0,1)</f>
        <v/>
      </c>
      <c r="Q258" t="str">
        <f>_xlfn.XLOOKUP($E258,Source!A257:A265,Source!B257:B265,"",0,1)</f>
        <v/>
      </c>
    </row>
    <row r="259" spans="1:17" x14ac:dyDescent="0.3">
      <c r="A259" s="3">
        <v>2033648</v>
      </c>
      <c r="B259">
        <v>11845</v>
      </c>
      <c r="C259">
        <v>4</v>
      </c>
      <c r="D259" s="9">
        <v>105</v>
      </c>
      <c r="E259">
        <v>1005</v>
      </c>
      <c r="F259" s="1">
        <v>44005</v>
      </c>
      <c r="G259" t="s">
        <v>188</v>
      </c>
      <c r="H259" s="4" t="s">
        <v>16</v>
      </c>
      <c r="I259" s="4">
        <v>-7880</v>
      </c>
      <c r="J259" s="4">
        <v>-7880</v>
      </c>
      <c r="K259" t="str">
        <f>_xlfn.XLOOKUP($C259,Table1[BusinessUnitID],Table1[BusinessUnit],"",0)</f>
        <v>HOUSEKEEPING</v>
      </c>
      <c r="L259" t="str" cm="1">
        <f t="array" ref="L259">_xlfn.XLOOKUP($C259,Table1[[#All],[BusinessUnitID]],Table1[[#All],[Description]],"",0,1)</f>
        <v xml:space="preserve">Transactions related to the Housekeeping Department. Primarily includes payroll for housekeepers and housekeeping supplies. </v>
      </c>
      <c r="M259" t="str">
        <f>_xlfn.XLOOKUP($B259,ChartOfAccounts!A258:A343,ChartOfAccounts!B258:B343,"",0,1)</f>
        <v/>
      </c>
      <c r="N259">
        <f>_xlfn.XLOOKUP($B259,ChartOfAccounts!A258:A343,ChartOfAccounts!D258:D343,0,1)</f>
        <v>0</v>
      </c>
      <c r="O259" t="str">
        <f>_xlfn.XLOOKUP($B259,ChartOfAccounts!A258:A343,ChartOfAccounts!F258:F343,"",0,1)</f>
        <v/>
      </c>
      <c r="P259" t="str" cm="1">
        <f t="array" ref="P259">_xlfn.XLOOKUP($D259&amp;$C259,PreparerInfo!A258:A270&amp;PreparerInfo!C258:C270,PreparerInfo!B258:B270,"",0,1)</f>
        <v/>
      </c>
      <c r="Q259" t="str">
        <f>_xlfn.XLOOKUP($E259,Source!A258:A266,Source!B258:B266,"",0,1)</f>
        <v/>
      </c>
    </row>
    <row r="260" spans="1:17" x14ac:dyDescent="0.3">
      <c r="A260" s="3">
        <v>2033649</v>
      </c>
      <c r="B260">
        <v>51130</v>
      </c>
      <c r="C260">
        <v>4</v>
      </c>
      <c r="D260" s="9">
        <v>105</v>
      </c>
      <c r="E260">
        <v>1005</v>
      </c>
      <c r="F260" s="1">
        <v>44005</v>
      </c>
      <c r="G260" t="s">
        <v>143</v>
      </c>
      <c r="H260" s="4">
        <v>9525</v>
      </c>
      <c r="I260" s="4" t="s">
        <v>16</v>
      </c>
      <c r="J260" s="4">
        <v>9525</v>
      </c>
      <c r="K260" t="str">
        <f>_xlfn.XLOOKUP($C260,Table1[BusinessUnitID],Table1[BusinessUnit],"",0)</f>
        <v>HOUSEKEEPING</v>
      </c>
      <c r="L260" t="str" cm="1">
        <f t="array" ref="L260">_xlfn.XLOOKUP($C260,Table1[[#All],[BusinessUnitID]],Table1[[#All],[Description]],"",0,1)</f>
        <v xml:space="preserve">Transactions related to the Housekeeping Department. Primarily includes payroll for housekeepers and housekeeping supplies. </v>
      </c>
      <c r="M260" t="str">
        <f>_xlfn.XLOOKUP($B260,ChartOfAccounts!A259:A344,ChartOfAccounts!B259:B344,"",0,1)</f>
        <v/>
      </c>
      <c r="N260">
        <f>_xlfn.XLOOKUP($B260,ChartOfAccounts!A259:A344,ChartOfAccounts!D259:D344,0,1)</f>
        <v>0</v>
      </c>
      <c r="O260" t="str">
        <f>_xlfn.XLOOKUP($B260,ChartOfAccounts!A259:A344,ChartOfAccounts!F259:F344,"",0,1)</f>
        <v/>
      </c>
      <c r="P260" t="str" cm="1">
        <f t="array" ref="P260">_xlfn.XLOOKUP($D260&amp;$C260,PreparerInfo!A259:A271&amp;PreparerInfo!C259:C271,PreparerInfo!B259:B271,"",0,1)</f>
        <v/>
      </c>
      <c r="Q260" t="str">
        <f>_xlfn.XLOOKUP($E260,Source!A259:A267,Source!B259:B267,"",0,1)</f>
        <v/>
      </c>
    </row>
    <row r="261" spans="1:17" x14ac:dyDescent="0.3">
      <c r="A261" s="3">
        <v>2033649</v>
      </c>
      <c r="B261">
        <v>11845</v>
      </c>
      <c r="C261">
        <v>4</v>
      </c>
      <c r="D261" s="9">
        <v>105</v>
      </c>
      <c r="E261">
        <v>1005</v>
      </c>
      <c r="F261" s="1">
        <v>44005</v>
      </c>
      <c r="G261" t="s">
        <v>143</v>
      </c>
      <c r="H261" s="4" t="s">
        <v>16</v>
      </c>
      <c r="I261" s="4">
        <v>-9525</v>
      </c>
      <c r="J261" s="4">
        <v>-9525</v>
      </c>
      <c r="K261" t="str">
        <f>_xlfn.XLOOKUP($C261,Table1[BusinessUnitID],Table1[BusinessUnit],"",0)</f>
        <v>HOUSEKEEPING</v>
      </c>
      <c r="L261" t="str" cm="1">
        <f t="array" ref="L261">_xlfn.XLOOKUP($C261,Table1[[#All],[BusinessUnitID]],Table1[[#All],[Description]],"",0,1)</f>
        <v xml:space="preserve">Transactions related to the Housekeeping Department. Primarily includes payroll for housekeepers and housekeeping supplies. </v>
      </c>
      <c r="M261" t="str">
        <f>_xlfn.XLOOKUP($B261,ChartOfAccounts!A260:A345,ChartOfAccounts!B260:B345,"",0,1)</f>
        <v/>
      </c>
      <c r="N261">
        <f>_xlfn.XLOOKUP($B261,ChartOfAccounts!A260:A345,ChartOfAccounts!D260:D345,0,1)</f>
        <v>0</v>
      </c>
      <c r="O261" t="str">
        <f>_xlfn.XLOOKUP($B261,ChartOfAccounts!A260:A345,ChartOfAccounts!F260:F345,"",0,1)</f>
        <v/>
      </c>
      <c r="P261" t="str" cm="1">
        <f t="array" ref="P261">_xlfn.XLOOKUP($D261&amp;$C261,PreparerInfo!A260:A272&amp;PreparerInfo!C260:C272,PreparerInfo!B260:B272,"",0,1)</f>
        <v/>
      </c>
      <c r="Q261" t="str">
        <f>_xlfn.XLOOKUP($E261,Source!A260:A268,Source!B260:B268,"",0,1)</f>
        <v/>
      </c>
    </row>
    <row r="262" spans="1:17" x14ac:dyDescent="0.3">
      <c r="A262" s="3">
        <v>2033650</v>
      </c>
      <c r="B262">
        <v>11845</v>
      </c>
      <c r="C262">
        <v>2</v>
      </c>
      <c r="D262" s="9">
        <v>104</v>
      </c>
      <c r="E262">
        <v>1003</v>
      </c>
      <c r="F262" s="1">
        <v>44005</v>
      </c>
      <c r="G262" t="s">
        <v>15</v>
      </c>
      <c r="H262" s="4">
        <v>16000</v>
      </c>
      <c r="I262" s="4" t="s">
        <v>16</v>
      </c>
      <c r="J262" s="4">
        <v>16000</v>
      </c>
      <c r="K262" t="str">
        <f>_xlfn.XLOOKUP($C262,Table1[BusinessUnitID],Table1[BusinessUnit],"",0)</f>
        <v>HOTEL</v>
      </c>
      <c r="L262" t="str" cm="1">
        <f t="array" ref="L262">_xlfn.XLOOKUP($C262,Table1[[#All],[BusinessUnitID]],Table1[[#All],[Description]],"",0,1)</f>
        <v xml:space="preserve">Transactions related to guest rooms and overall hotel operations. Includes payroll for administrative staff, clerks and interns. </v>
      </c>
      <c r="M262" t="str">
        <f>_xlfn.XLOOKUP($B262,ChartOfAccounts!A261:A346,ChartOfAccounts!B261:B346,"",0,1)</f>
        <v/>
      </c>
      <c r="N262">
        <f>_xlfn.XLOOKUP($B262,ChartOfAccounts!A261:A346,ChartOfAccounts!D261:D346,0,1)</f>
        <v>0</v>
      </c>
      <c r="O262" t="str">
        <f>_xlfn.XLOOKUP($B262,ChartOfAccounts!A261:A346,ChartOfAccounts!F261:F346,"",0,1)</f>
        <v/>
      </c>
      <c r="P262" t="str" cm="1">
        <f t="array" ref="P262">_xlfn.XLOOKUP($D262&amp;$C262,PreparerInfo!A261:A273&amp;PreparerInfo!C261:C273,PreparerInfo!B261:B273,"",0,1)</f>
        <v/>
      </c>
      <c r="Q262" t="str">
        <f>_xlfn.XLOOKUP($E262,Source!A261:A269,Source!B261:B269,"",0,1)</f>
        <v/>
      </c>
    </row>
    <row r="263" spans="1:17" x14ac:dyDescent="0.3">
      <c r="A263" s="3">
        <v>2033650</v>
      </c>
      <c r="B263">
        <v>43180</v>
      </c>
      <c r="C263">
        <v>2</v>
      </c>
      <c r="D263" s="9">
        <v>104</v>
      </c>
      <c r="E263">
        <v>1003</v>
      </c>
      <c r="F263" s="1">
        <v>44005</v>
      </c>
      <c r="G263" t="s">
        <v>15</v>
      </c>
      <c r="H263" s="4" t="s">
        <v>16</v>
      </c>
      <c r="I263" s="4">
        <v>-16000</v>
      </c>
      <c r="J263" s="4">
        <v>-16000</v>
      </c>
      <c r="K263" t="str">
        <f>_xlfn.XLOOKUP($C263,Table1[BusinessUnitID],Table1[BusinessUnit],"",0)</f>
        <v>HOTEL</v>
      </c>
      <c r="L263" t="str" cm="1">
        <f t="array" ref="L263">_xlfn.XLOOKUP($C263,Table1[[#All],[BusinessUnitID]],Table1[[#All],[Description]],"",0,1)</f>
        <v xml:space="preserve">Transactions related to guest rooms and overall hotel operations. Includes payroll for administrative staff, clerks and interns. </v>
      </c>
      <c r="M263" t="str">
        <f>_xlfn.XLOOKUP($B263,ChartOfAccounts!A262:A347,ChartOfAccounts!B262:B347,"",0,1)</f>
        <v/>
      </c>
      <c r="N263">
        <f>_xlfn.XLOOKUP($B263,ChartOfAccounts!A262:A347,ChartOfAccounts!D262:D347,0,1)</f>
        <v>0</v>
      </c>
      <c r="O263" t="str">
        <f>_xlfn.XLOOKUP($B263,ChartOfAccounts!A262:A347,ChartOfAccounts!F262:F347,"",0,1)</f>
        <v/>
      </c>
      <c r="P263" t="str" cm="1">
        <f t="array" ref="P263">_xlfn.XLOOKUP($D263&amp;$C263,PreparerInfo!A262:A274&amp;PreparerInfo!C262:C274,PreparerInfo!B262:B274,"",0,1)</f>
        <v/>
      </c>
      <c r="Q263" t="str">
        <f>_xlfn.XLOOKUP($E263,Source!A262:A270,Source!B262:B270,"",0,1)</f>
        <v/>
      </c>
    </row>
    <row r="264" spans="1:17" x14ac:dyDescent="0.3">
      <c r="A264" s="3">
        <v>2033651</v>
      </c>
      <c r="B264">
        <v>51120</v>
      </c>
      <c r="C264">
        <v>1</v>
      </c>
      <c r="D264" s="9">
        <v>105</v>
      </c>
      <c r="E264">
        <v>1004</v>
      </c>
      <c r="F264" s="1">
        <v>44005</v>
      </c>
      <c r="G264" t="s">
        <v>60</v>
      </c>
      <c r="H264" s="4">
        <v>17386.89</v>
      </c>
      <c r="I264" s="4" t="s">
        <v>16</v>
      </c>
      <c r="J264" s="4">
        <v>17386.89</v>
      </c>
      <c r="K264" t="str">
        <f>_xlfn.XLOOKUP($C264,Table1[BusinessUnitID],Table1[BusinessUnit],"",0)</f>
        <v>FOOD SERVICE</v>
      </c>
      <c r="L264" t="str" cm="1">
        <f t="array" ref="L264">_xlfn.XLOOKUP($C264,Table1[[#All],[BusinessUnitID]],Table1[[#All],[Description]],"",0,1)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64" t="str">
        <f>_xlfn.XLOOKUP($B264,ChartOfAccounts!A263:A348,ChartOfAccounts!B263:B348,"",0,1)</f>
        <v/>
      </c>
      <c r="N264">
        <f>_xlfn.XLOOKUP($B264,ChartOfAccounts!A263:A348,ChartOfAccounts!D263:D348,0,1)</f>
        <v>0</v>
      </c>
      <c r="O264" t="str">
        <f>_xlfn.XLOOKUP($B264,ChartOfAccounts!A263:A348,ChartOfAccounts!F263:F348,"",0,1)</f>
        <v/>
      </c>
      <c r="P264" t="str" cm="1">
        <f t="array" ref="P264">_xlfn.XLOOKUP($D264&amp;$C264,PreparerInfo!A263:A275&amp;PreparerInfo!C263:C275,PreparerInfo!B263:B275,"",0,1)</f>
        <v/>
      </c>
      <c r="Q264" t="str">
        <f>_xlfn.XLOOKUP($E264,Source!A263:A271,Source!B263:B271,"",0,1)</f>
        <v/>
      </c>
    </row>
    <row r="265" spans="1:17" x14ac:dyDescent="0.3">
      <c r="A265" s="3">
        <v>2033651</v>
      </c>
      <c r="B265">
        <v>11845</v>
      </c>
      <c r="C265">
        <v>1</v>
      </c>
      <c r="D265" s="9">
        <v>105</v>
      </c>
      <c r="E265">
        <v>1004</v>
      </c>
      <c r="F265" s="1">
        <v>44005</v>
      </c>
      <c r="G265" t="s">
        <v>60</v>
      </c>
      <c r="H265" s="4" t="s">
        <v>16</v>
      </c>
      <c r="I265" s="4">
        <v>-17386.89</v>
      </c>
      <c r="J265" s="4">
        <v>-17386.89</v>
      </c>
      <c r="K265" t="str">
        <f>_xlfn.XLOOKUP($C265,Table1[BusinessUnitID],Table1[BusinessUnit],"",0)</f>
        <v>FOOD SERVICE</v>
      </c>
      <c r="L265" t="str" cm="1">
        <f t="array" ref="L265">_xlfn.XLOOKUP($C265,Table1[[#All],[BusinessUnitID]],Table1[[#All],[Description]],"",0,1)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65" t="str">
        <f>_xlfn.XLOOKUP($B265,ChartOfAccounts!A264:A349,ChartOfAccounts!B264:B349,"",0,1)</f>
        <v/>
      </c>
      <c r="N265">
        <f>_xlfn.XLOOKUP($B265,ChartOfAccounts!A264:A349,ChartOfAccounts!D264:D349,0,1)</f>
        <v>0</v>
      </c>
      <c r="O265" t="str">
        <f>_xlfn.XLOOKUP($B265,ChartOfAccounts!A264:A349,ChartOfAccounts!F264:F349,"",0,1)</f>
        <v/>
      </c>
      <c r="P265" t="str" cm="1">
        <f t="array" ref="P265">_xlfn.XLOOKUP($D265&amp;$C265,PreparerInfo!A264:A276&amp;PreparerInfo!C264:C276,PreparerInfo!B264:B276,"",0,1)</f>
        <v/>
      </c>
      <c r="Q265" t="str">
        <f>_xlfn.XLOOKUP($E265,Source!A264:A272,Source!B264:B272,"",0,1)</f>
        <v/>
      </c>
    </row>
    <row r="266" spans="1:17" x14ac:dyDescent="0.3">
      <c r="A266" s="3">
        <v>2033652</v>
      </c>
      <c r="B266">
        <v>51200</v>
      </c>
      <c r="C266">
        <v>1</v>
      </c>
      <c r="D266" s="9">
        <v>105</v>
      </c>
      <c r="E266">
        <v>1005</v>
      </c>
      <c r="F266" s="1">
        <v>44005</v>
      </c>
      <c r="G266" t="s">
        <v>153</v>
      </c>
      <c r="H266" s="4">
        <v>17730.47</v>
      </c>
      <c r="I266" s="4" t="s">
        <v>16</v>
      </c>
      <c r="J266" s="4">
        <v>17730.47</v>
      </c>
      <c r="K266" t="str">
        <f>_xlfn.XLOOKUP($C266,Table1[BusinessUnitID],Table1[BusinessUnit],"",0)</f>
        <v>FOOD SERVICE</v>
      </c>
      <c r="L266" t="str" cm="1">
        <f t="array" ref="L266">_xlfn.XLOOKUP($C266,Table1[[#All],[BusinessUnitID]],Table1[[#All],[Description]],"",0,1)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66" t="str">
        <f>_xlfn.XLOOKUP($B266,ChartOfAccounts!A265:A350,ChartOfAccounts!B265:B350,"",0,1)</f>
        <v/>
      </c>
      <c r="N266">
        <f>_xlfn.XLOOKUP($B266,ChartOfAccounts!A265:A350,ChartOfAccounts!D265:D350,0,1)</f>
        <v>0</v>
      </c>
      <c r="O266" t="str">
        <f>_xlfn.XLOOKUP($B266,ChartOfAccounts!A265:A350,ChartOfAccounts!F265:F350,"",0,1)</f>
        <v/>
      </c>
      <c r="P266" t="str" cm="1">
        <f t="array" ref="P266">_xlfn.XLOOKUP($D266&amp;$C266,PreparerInfo!A265:A277&amp;PreparerInfo!C265:C277,PreparerInfo!B265:B277,"",0,1)</f>
        <v/>
      </c>
      <c r="Q266" t="str">
        <f>_xlfn.XLOOKUP($E266,Source!A265:A273,Source!B265:B273,"",0,1)</f>
        <v/>
      </c>
    </row>
    <row r="267" spans="1:17" x14ac:dyDescent="0.3">
      <c r="A267" s="3">
        <v>2033652</v>
      </c>
      <c r="B267">
        <v>11845</v>
      </c>
      <c r="C267">
        <v>1</v>
      </c>
      <c r="D267" s="9">
        <v>105</v>
      </c>
      <c r="E267">
        <v>1005</v>
      </c>
      <c r="F267" s="1">
        <v>44005</v>
      </c>
      <c r="G267" t="s">
        <v>153</v>
      </c>
      <c r="H267" s="4" t="s">
        <v>16</v>
      </c>
      <c r="I267" s="4">
        <v>-17730.47</v>
      </c>
      <c r="J267" s="4">
        <v>-17730.47</v>
      </c>
      <c r="K267" t="str">
        <f>_xlfn.XLOOKUP($C267,Table1[BusinessUnitID],Table1[BusinessUnit],"",0)</f>
        <v>FOOD SERVICE</v>
      </c>
      <c r="L267" t="str" cm="1">
        <f t="array" ref="L267">_xlfn.XLOOKUP($C267,Table1[[#All],[BusinessUnitID]],Table1[[#All],[Description]],"",0,1)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67" t="str">
        <f>_xlfn.XLOOKUP($B267,ChartOfAccounts!A266:A351,ChartOfAccounts!B266:B351,"",0,1)</f>
        <v/>
      </c>
      <c r="N267">
        <f>_xlfn.XLOOKUP($B267,ChartOfAccounts!A266:A351,ChartOfAccounts!D266:D351,0,1)</f>
        <v>0</v>
      </c>
      <c r="O267" t="str">
        <f>_xlfn.XLOOKUP($B267,ChartOfAccounts!A266:A351,ChartOfAccounts!F266:F351,"",0,1)</f>
        <v/>
      </c>
      <c r="P267" t="str" cm="1">
        <f t="array" ref="P267">_xlfn.XLOOKUP($D267&amp;$C267,PreparerInfo!A266:A278&amp;PreparerInfo!C266:C278,PreparerInfo!B266:B278,"",0,1)</f>
        <v/>
      </c>
      <c r="Q267" t="str">
        <f>_xlfn.XLOOKUP($E267,Source!A266:A274,Source!B266:B274,"",0,1)</f>
        <v/>
      </c>
    </row>
    <row r="268" spans="1:17" x14ac:dyDescent="0.3">
      <c r="A268" s="3">
        <v>2033653</v>
      </c>
      <c r="B268">
        <v>51120</v>
      </c>
      <c r="C268">
        <v>1</v>
      </c>
      <c r="D268" s="9">
        <v>105</v>
      </c>
      <c r="E268">
        <v>1005</v>
      </c>
      <c r="F268" s="1">
        <v>44005</v>
      </c>
      <c r="G268" t="s">
        <v>190</v>
      </c>
      <c r="H268" s="4">
        <v>20808.8</v>
      </c>
      <c r="I268" s="4" t="s">
        <v>16</v>
      </c>
      <c r="J268" s="4">
        <v>20808.8</v>
      </c>
      <c r="K268" t="str">
        <f>_xlfn.XLOOKUP($C268,Table1[BusinessUnitID],Table1[BusinessUnit],"",0)</f>
        <v>FOOD SERVICE</v>
      </c>
      <c r="L268" t="str" cm="1">
        <f t="array" ref="L268">_xlfn.XLOOKUP($C268,Table1[[#All],[BusinessUnitID]],Table1[[#All],[Description]],"",0,1)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68" t="str">
        <f>_xlfn.XLOOKUP($B268,ChartOfAccounts!A267:A352,ChartOfAccounts!B267:B352,"",0,1)</f>
        <v/>
      </c>
      <c r="N268">
        <f>_xlfn.XLOOKUP($B268,ChartOfAccounts!A267:A352,ChartOfAccounts!D267:D352,0,1)</f>
        <v>0</v>
      </c>
      <c r="O268" t="str">
        <f>_xlfn.XLOOKUP($B268,ChartOfAccounts!A267:A352,ChartOfAccounts!F267:F352,"",0,1)</f>
        <v/>
      </c>
      <c r="P268" t="str" cm="1">
        <f t="array" ref="P268">_xlfn.XLOOKUP($D268&amp;$C268,PreparerInfo!A267:A279&amp;PreparerInfo!C267:C279,PreparerInfo!B267:B279,"",0,1)</f>
        <v/>
      </c>
      <c r="Q268" t="str">
        <f>_xlfn.XLOOKUP($E268,Source!A267:A275,Source!B267:B275,"",0,1)</f>
        <v/>
      </c>
    </row>
    <row r="269" spans="1:17" x14ac:dyDescent="0.3">
      <c r="A269" s="3">
        <v>2033653</v>
      </c>
      <c r="B269">
        <v>11845</v>
      </c>
      <c r="C269">
        <v>1</v>
      </c>
      <c r="D269" s="9">
        <v>105</v>
      </c>
      <c r="E269">
        <v>1005</v>
      </c>
      <c r="F269" s="1">
        <v>44005</v>
      </c>
      <c r="G269" t="s">
        <v>190</v>
      </c>
      <c r="H269" s="4" t="s">
        <v>16</v>
      </c>
      <c r="I269" s="4">
        <v>-20808.8</v>
      </c>
      <c r="J269" s="4">
        <v>-20808.8</v>
      </c>
      <c r="K269" t="str">
        <f>_xlfn.XLOOKUP($C269,Table1[BusinessUnitID],Table1[BusinessUnit],"",0)</f>
        <v>FOOD SERVICE</v>
      </c>
      <c r="L269" t="str" cm="1">
        <f t="array" ref="L269">_xlfn.XLOOKUP($C269,Table1[[#All],[BusinessUnitID]],Table1[[#All],[Description]],"",0,1)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69" t="str">
        <f>_xlfn.XLOOKUP($B269,ChartOfAccounts!A268:A353,ChartOfAccounts!B268:B353,"",0,1)</f>
        <v/>
      </c>
      <c r="N269">
        <f>_xlfn.XLOOKUP($B269,ChartOfAccounts!A268:A353,ChartOfAccounts!D268:D353,0,1)</f>
        <v>0</v>
      </c>
      <c r="O269" t="str">
        <f>_xlfn.XLOOKUP($B269,ChartOfAccounts!A268:A353,ChartOfAccounts!F268:F353,"",0,1)</f>
        <v/>
      </c>
      <c r="P269" t="str" cm="1">
        <f t="array" ref="P269">_xlfn.XLOOKUP($D269&amp;$C269,PreparerInfo!A268:A280&amp;PreparerInfo!C268:C280,PreparerInfo!B268:B280,"",0,1)</f>
        <v/>
      </c>
      <c r="Q269" t="str">
        <f>_xlfn.XLOOKUP($E269,Source!A268:A276,Source!B268:B276,"",0,1)</f>
        <v/>
      </c>
    </row>
    <row r="270" spans="1:17" x14ac:dyDescent="0.3">
      <c r="A270" s="3">
        <v>2033654</v>
      </c>
      <c r="B270">
        <v>51130</v>
      </c>
      <c r="C270">
        <v>1</v>
      </c>
      <c r="D270" s="9">
        <v>105</v>
      </c>
      <c r="E270">
        <v>1005</v>
      </c>
      <c r="F270" s="1">
        <v>44005</v>
      </c>
      <c r="G270" t="s">
        <v>144</v>
      </c>
      <c r="H270" s="4">
        <v>38894.58</v>
      </c>
      <c r="I270" s="4" t="s">
        <v>16</v>
      </c>
      <c r="J270" s="4">
        <v>38894.58</v>
      </c>
      <c r="K270" t="str">
        <f>_xlfn.XLOOKUP($C270,Table1[BusinessUnitID],Table1[BusinessUnit],"",0)</f>
        <v>FOOD SERVICE</v>
      </c>
      <c r="L270" t="str" cm="1">
        <f t="array" ref="L270">_xlfn.XLOOKUP($C270,Table1[[#All],[BusinessUnitID]],Table1[[#All],[Description]],"",0,1)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70" t="str">
        <f>_xlfn.XLOOKUP($B270,ChartOfAccounts!A269:A354,ChartOfAccounts!B269:B354,"",0,1)</f>
        <v/>
      </c>
      <c r="N270">
        <f>_xlfn.XLOOKUP($B270,ChartOfAccounts!A269:A354,ChartOfAccounts!D269:D354,0,1)</f>
        <v>0</v>
      </c>
      <c r="O270" t="str">
        <f>_xlfn.XLOOKUP($B270,ChartOfAccounts!A269:A354,ChartOfAccounts!F269:F354,"",0,1)</f>
        <v/>
      </c>
      <c r="P270" t="str" cm="1">
        <f t="array" ref="P270">_xlfn.XLOOKUP($D270&amp;$C270,PreparerInfo!A269:A281&amp;PreparerInfo!C269:C281,PreparerInfo!B269:B281,"",0,1)</f>
        <v/>
      </c>
      <c r="Q270" t="str">
        <f>_xlfn.XLOOKUP($E270,Source!A269:A277,Source!B269:B277,"",0,1)</f>
        <v/>
      </c>
    </row>
    <row r="271" spans="1:17" x14ac:dyDescent="0.3">
      <c r="A271" s="3">
        <v>2033654</v>
      </c>
      <c r="B271">
        <v>11845</v>
      </c>
      <c r="C271">
        <v>1</v>
      </c>
      <c r="D271" s="9">
        <v>105</v>
      </c>
      <c r="E271">
        <v>1005</v>
      </c>
      <c r="F271" s="1">
        <v>44005</v>
      </c>
      <c r="G271" t="s">
        <v>144</v>
      </c>
      <c r="H271" s="4" t="s">
        <v>16</v>
      </c>
      <c r="I271" s="4">
        <v>-38894.58</v>
      </c>
      <c r="J271" s="4">
        <v>-38894.58</v>
      </c>
      <c r="K271" t="str">
        <f>_xlfn.XLOOKUP($C271,Table1[BusinessUnitID],Table1[BusinessUnit],"",0)</f>
        <v>FOOD SERVICE</v>
      </c>
      <c r="L271" t="str" cm="1">
        <f t="array" ref="L271">_xlfn.XLOOKUP($C271,Table1[[#All],[BusinessUnitID]],Table1[[#All],[Description]],"",0,1)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71" t="str">
        <f>_xlfn.XLOOKUP($B271,ChartOfAccounts!A270:A355,ChartOfAccounts!B270:B355,"",0,1)</f>
        <v/>
      </c>
      <c r="N271">
        <f>_xlfn.XLOOKUP($B271,ChartOfAccounts!A270:A355,ChartOfAccounts!D270:D355,0,1)</f>
        <v>0</v>
      </c>
      <c r="O271" t="str">
        <f>_xlfn.XLOOKUP($B271,ChartOfAccounts!A270:A355,ChartOfAccounts!F270:F355,"",0,1)</f>
        <v/>
      </c>
      <c r="P271" t="str" cm="1">
        <f t="array" ref="P271">_xlfn.XLOOKUP($D271&amp;$C271,PreparerInfo!A270:A282&amp;PreparerInfo!C270:C282,PreparerInfo!B270:B282,"",0,1)</f>
        <v/>
      </c>
      <c r="Q271" t="str">
        <f>_xlfn.XLOOKUP($E271,Source!A270:A278,Source!B270:B278,"",0,1)</f>
        <v/>
      </c>
    </row>
    <row r="272" spans="1:17" x14ac:dyDescent="0.3">
      <c r="A272" s="3">
        <v>2033655</v>
      </c>
      <c r="B272">
        <v>71410</v>
      </c>
      <c r="C272">
        <v>1</v>
      </c>
      <c r="D272" s="9">
        <v>101</v>
      </c>
      <c r="E272">
        <v>1007</v>
      </c>
      <c r="F272" s="1">
        <v>44006</v>
      </c>
      <c r="G272" t="s">
        <v>86</v>
      </c>
      <c r="H272" s="4">
        <v>4.9800000000000004</v>
      </c>
      <c r="I272" s="4" t="s">
        <v>16</v>
      </c>
      <c r="J272" s="4">
        <v>4.9800000000000004</v>
      </c>
      <c r="K272" t="str">
        <f>_xlfn.XLOOKUP($C272,Table1[BusinessUnitID],Table1[BusinessUnit],"",0)</f>
        <v>FOOD SERVICE</v>
      </c>
      <c r="L272" t="str" cm="1">
        <f t="array" ref="L272">_xlfn.XLOOKUP($C272,Table1[[#All],[BusinessUnitID]],Table1[[#All],[Description]],"",0,1)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72" t="str">
        <f>_xlfn.XLOOKUP($B272,ChartOfAccounts!A271:A356,ChartOfAccounts!B271:B356,"",0,1)</f>
        <v/>
      </c>
      <c r="N272">
        <f>_xlfn.XLOOKUP($B272,ChartOfAccounts!A271:A356,ChartOfAccounts!D271:D356,0,1)</f>
        <v>0</v>
      </c>
      <c r="O272" t="str">
        <f>_xlfn.XLOOKUP($B272,ChartOfAccounts!A271:A356,ChartOfAccounts!F271:F356,"",0,1)</f>
        <v/>
      </c>
      <c r="P272" t="str" cm="1">
        <f t="array" ref="P272">_xlfn.XLOOKUP($D272&amp;$C272,PreparerInfo!A271:A283&amp;PreparerInfo!C271:C283,PreparerInfo!B271:B283,"",0,1)</f>
        <v/>
      </c>
      <c r="Q272" t="str">
        <f>_xlfn.XLOOKUP($E272,Source!A271:A279,Source!B271:B279,"",0,1)</f>
        <v/>
      </c>
    </row>
    <row r="273" spans="1:17" x14ac:dyDescent="0.3">
      <c r="A273" s="3">
        <v>2033655</v>
      </c>
      <c r="B273">
        <v>11845</v>
      </c>
      <c r="C273">
        <v>1</v>
      </c>
      <c r="D273" s="9">
        <v>101</v>
      </c>
      <c r="E273">
        <v>1007</v>
      </c>
      <c r="F273" s="1">
        <v>44006</v>
      </c>
      <c r="G273" t="s">
        <v>86</v>
      </c>
      <c r="H273" s="4" t="s">
        <v>16</v>
      </c>
      <c r="I273" s="4">
        <v>-4.9800000000000004</v>
      </c>
      <c r="J273" s="4">
        <v>-4.9800000000000004</v>
      </c>
      <c r="K273" t="str">
        <f>_xlfn.XLOOKUP($C273,Table1[BusinessUnitID],Table1[BusinessUnit],"",0)</f>
        <v>FOOD SERVICE</v>
      </c>
      <c r="L273" t="str" cm="1">
        <f t="array" ref="L273">_xlfn.XLOOKUP($C273,Table1[[#All],[BusinessUnitID]],Table1[[#All],[Description]],"",0,1)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73" t="str">
        <f>_xlfn.XLOOKUP($B273,ChartOfAccounts!A272:A357,ChartOfAccounts!B272:B357,"",0,1)</f>
        <v/>
      </c>
      <c r="N273">
        <f>_xlfn.XLOOKUP($B273,ChartOfAccounts!A272:A357,ChartOfAccounts!D272:D357,0,1)</f>
        <v>0</v>
      </c>
      <c r="O273" t="str">
        <f>_xlfn.XLOOKUP($B273,ChartOfAccounts!A272:A357,ChartOfAccounts!F272:F357,"",0,1)</f>
        <v/>
      </c>
      <c r="P273" t="str" cm="1">
        <f t="array" ref="P273">_xlfn.XLOOKUP($D273&amp;$C273,PreparerInfo!A272:A284&amp;PreparerInfo!C272:C284,PreparerInfo!B272:B284,"",0,1)</f>
        <v/>
      </c>
      <c r="Q273" t="str">
        <f>_xlfn.XLOOKUP($E273,Source!A272:A280,Source!B272:B280,"",0,1)</f>
        <v/>
      </c>
    </row>
    <row r="274" spans="1:17" x14ac:dyDescent="0.3">
      <c r="A274" s="3">
        <v>2033656</v>
      </c>
      <c r="B274">
        <v>14260</v>
      </c>
      <c r="C274">
        <v>1</v>
      </c>
      <c r="D274" s="9">
        <v>101</v>
      </c>
      <c r="E274">
        <v>1007</v>
      </c>
      <c r="F274" s="1">
        <v>44006</v>
      </c>
      <c r="G274" t="s">
        <v>127</v>
      </c>
      <c r="H274" s="4">
        <v>4.99</v>
      </c>
      <c r="I274" s="4" t="s">
        <v>16</v>
      </c>
      <c r="J274" s="4">
        <v>4.99</v>
      </c>
      <c r="K274" t="str">
        <f>_xlfn.XLOOKUP($C274,Table1[BusinessUnitID],Table1[BusinessUnit],"",0)</f>
        <v>FOOD SERVICE</v>
      </c>
      <c r="L274" t="str" cm="1">
        <f t="array" ref="L274">_xlfn.XLOOKUP($C274,Table1[[#All],[BusinessUnitID]],Table1[[#All],[Description]],"",0,1)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74" t="str">
        <f>_xlfn.XLOOKUP($B274,ChartOfAccounts!A273:A358,ChartOfAccounts!B273:B358,"",0,1)</f>
        <v/>
      </c>
      <c r="N274">
        <f>_xlfn.XLOOKUP($B274,ChartOfAccounts!A273:A358,ChartOfAccounts!D273:D358,0,1)</f>
        <v>0</v>
      </c>
      <c r="O274" t="str">
        <f>_xlfn.XLOOKUP($B274,ChartOfAccounts!A273:A358,ChartOfAccounts!F273:F358,"",0,1)</f>
        <v/>
      </c>
      <c r="P274" t="str" cm="1">
        <f t="array" ref="P274">_xlfn.XLOOKUP($D274&amp;$C274,PreparerInfo!A273:A285&amp;PreparerInfo!C273:C285,PreparerInfo!B273:B285,"",0,1)</f>
        <v/>
      </c>
      <c r="Q274" t="str">
        <f>_xlfn.XLOOKUP($E274,Source!A273:A281,Source!B273:B281,"",0,1)</f>
        <v/>
      </c>
    </row>
    <row r="275" spans="1:17" x14ac:dyDescent="0.3">
      <c r="A275" s="3">
        <v>2033656</v>
      </c>
      <c r="B275">
        <v>11845</v>
      </c>
      <c r="C275">
        <v>1</v>
      </c>
      <c r="D275" s="9">
        <v>101</v>
      </c>
      <c r="E275">
        <v>1007</v>
      </c>
      <c r="F275" s="1">
        <v>44006</v>
      </c>
      <c r="G275" t="s">
        <v>127</v>
      </c>
      <c r="H275" s="4" t="s">
        <v>16</v>
      </c>
      <c r="I275" s="4">
        <v>-4.99</v>
      </c>
      <c r="J275" s="4">
        <v>-4.99</v>
      </c>
      <c r="K275" t="str">
        <f>_xlfn.XLOOKUP($C275,Table1[BusinessUnitID],Table1[BusinessUnit],"",0)</f>
        <v>FOOD SERVICE</v>
      </c>
      <c r="L275" t="str" cm="1">
        <f t="array" ref="L275">_xlfn.XLOOKUP($C275,Table1[[#All],[BusinessUnitID]],Table1[[#All],[Description]],"",0,1)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75" t="str">
        <f>_xlfn.XLOOKUP($B275,ChartOfAccounts!A274:A359,ChartOfAccounts!B274:B359,"",0,1)</f>
        <v/>
      </c>
      <c r="N275">
        <f>_xlfn.XLOOKUP($B275,ChartOfAccounts!A274:A359,ChartOfAccounts!D274:D359,0,1)</f>
        <v>0</v>
      </c>
      <c r="O275" t="str">
        <f>_xlfn.XLOOKUP($B275,ChartOfAccounts!A274:A359,ChartOfAccounts!F274:F359,"",0,1)</f>
        <v/>
      </c>
      <c r="P275" t="str" cm="1">
        <f t="array" ref="P275">_xlfn.XLOOKUP($D275&amp;$C275,PreparerInfo!A274:A286&amp;PreparerInfo!C274:C286,PreparerInfo!B274:B286,"",0,1)</f>
        <v/>
      </c>
      <c r="Q275" t="str">
        <f>_xlfn.XLOOKUP($E275,Source!A274:A282,Source!B274:B282,"",0,1)</f>
        <v/>
      </c>
    </row>
    <row r="276" spans="1:17" x14ac:dyDescent="0.3">
      <c r="A276" s="3">
        <v>2033657</v>
      </c>
      <c r="B276">
        <v>14260</v>
      </c>
      <c r="C276">
        <v>1</v>
      </c>
      <c r="D276" s="9">
        <v>101</v>
      </c>
      <c r="E276">
        <v>1007</v>
      </c>
      <c r="F276" s="1">
        <v>44006</v>
      </c>
      <c r="G276" t="s">
        <v>86</v>
      </c>
      <c r="H276" s="4">
        <v>9.58</v>
      </c>
      <c r="I276" s="4" t="s">
        <v>16</v>
      </c>
      <c r="J276" s="4">
        <v>9.58</v>
      </c>
      <c r="K276" t="str">
        <f>_xlfn.XLOOKUP($C276,Table1[BusinessUnitID],Table1[BusinessUnit],"",0)</f>
        <v>FOOD SERVICE</v>
      </c>
      <c r="L276" t="str" cm="1">
        <f t="array" ref="L276">_xlfn.XLOOKUP($C276,Table1[[#All],[BusinessUnitID]],Table1[[#All],[Description]],"",0,1)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76" t="str">
        <f>_xlfn.XLOOKUP($B276,ChartOfAccounts!A275:A360,ChartOfAccounts!B275:B360,"",0,1)</f>
        <v/>
      </c>
      <c r="N276">
        <f>_xlfn.XLOOKUP($B276,ChartOfAccounts!A275:A360,ChartOfAccounts!D275:D360,0,1)</f>
        <v>0</v>
      </c>
      <c r="O276" t="str">
        <f>_xlfn.XLOOKUP($B276,ChartOfAccounts!A275:A360,ChartOfAccounts!F275:F360,"",0,1)</f>
        <v/>
      </c>
      <c r="P276" t="str" cm="1">
        <f t="array" ref="P276">_xlfn.XLOOKUP($D276&amp;$C276,PreparerInfo!A275:A287&amp;PreparerInfo!C275:C287,PreparerInfo!B275:B287,"",0,1)</f>
        <v/>
      </c>
      <c r="Q276" t="str">
        <f>_xlfn.XLOOKUP($E276,Source!A275:A283,Source!B275:B283,"",0,1)</f>
        <v/>
      </c>
    </row>
    <row r="277" spans="1:17" x14ac:dyDescent="0.3">
      <c r="A277" s="3">
        <v>2033657</v>
      </c>
      <c r="B277">
        <v>11845</v>
      </c>
      <c r="C277">
        <v>1</v>
      </c>
      <c r="D277" s="9">
        <v>101</v>
      </c>
      <c r="E277">
        <v>1007</v>
      </c>
      <c r="F277" s="1">
        <v>44006</v>
      </c>
      <c r="G277" t="s">
        <v>86</v>
      </c>
      <c r="H277" s="4" t="s">
        <v>16</v>
      </c>
      <c r="I277" s="4">
        <v>-9.58</v>
      </c>
      <c r="J277" s="4">
        <v>-9.58</v>
      </c>
      <c r="K277" t="str">
        <f>_xlfn.XLOOKUP($C277,Table1[BusinessUnitID],Table1[BusinessUnit],"",0)</f>
        <v>FOOD SERVICE</v>
      </c>
      <c r="L277" t="str" cm="1">
        <f t="array" ref="L277">_xlfn.XLOOKUP($C277,Table1[[#All],[BusinessUnitID]],Table1[[#All],[Description]],"",0,1)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77" t="str">
        <f>_xlfn.XLOOKUP($B277,ChartOfAccounts!A276:A361,ChartOfAccounts!B276:B361,"",0,1)</f>
        <v/>
      </c>
      <c r="N277">
        <f>_xlfn.XLOOKUP($B277,ChartOfAccounts!A276:A361,ChartOfAccounts!D276:D361,0,1)</f>
        <v>0</v>
      </c>
      <c r="O277" t="str">
        <f>_xlfn.XLOOKUP($B277,ChartOfAccounts!A276:A361,ChartOfAccounts!F276:F361,"",0,1)</f>
        <v/>
      </c>
      <c r="P277" t="str" cm="1">
        <f t="array" ref="P277">_xlfn.XLOOKUP($D277&amp;$C277,PreparerInfo!A276:A288&amp;PreparerInfo!C276:C288,PreparerInfo!B276:B288,"",0,1)</f>
        <v/>
      </c>
      <c r="Q277" t="str">
        <f>_xlfn.XLOOKUP($E277,Source!A276:A284,Source!B276:B284,"",0,1)</f>
        <v/>
      </c>
    </row>
    <row r="278" spans="1:17" x14ac:dyDescent="0.3">
      <c r="A278" s="3">
        <v>2033658</v>
      </c>
      <c r="B278">
        <v>14260</v>
      </c>
      <c r="C278">
        <v>1</v>
      </c>
      <c r="D278" s="9">
        <v>101</v>
      </c>
      <c r="E278">
        <v>1007</v>
      </c>
      <c r="F278" s="1">
        <v>44006</v>
      </c>
      <c r="G278" t="s">
        <v>86</v>
      </c>
      <c r="H278" s="4">
        <v>16.16</v>
      </c>
      <c r="I278" s="4" t="s">
        <v>16</v>
      </c>
      <c r="J278" s="4">
        <v>16.16</v>
      </c>
      <c r="K278" t="str">
        <f>_xlfn.XLOOKUP($C278,Table1[BusinessUnitID],Table1[BusinessUnit],"",0)</f>
        <v>FOOD SERVICE</v>
      </c>
      <c r="L278" t="str" cm="1">
        <f t="array" ref="L278">_xlfn.XLOOKUP($C278,Table1[[#All],[BusinessUnitID]],Table1[[#All],[Description]],"",0,1)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78" t="str">
        <f>_xlfn.XLOOKUP($B278,ChartOfAccounts!A277:A362,ChartOfAccounts!B277:B362,"",0,1)</f>
        <v/>
      </c>
      <c r="N278">
        <f>_xlfn.XLOOKUP($B278,ChartOfAccounts!A277:A362,ChartOfAccounts!D277:D362,0,1)</f>
        <v>0</v>
      </c>
      <c r="O278" t="str">
        <f>_xlfn.XLOOKUP($B278,ChartOfAccounts!A277:A362,ChartOfAccounts!F277:F362,"",0,1)</f>
        <v/>
      </c>
      <c r="P278" t="str" cm="1">
        <f t="array" ref="P278">_xlfn.XLOOKUP($D278&amp;$C278,PreparerInfo!A277:A289&amp;PreparerInfo!C277:C289,PreparerInfo!B277:B289,"",0,1)</f>
        <v/>
      </c>
      <c r="Q278" t="str">
        <f>_xlfn.XLOOKUP($E278,Source!A277:A285,Source!B277:B285,"",0,1)</f>
        <v/>
      </c>
    </row>
    <row r="279" spans="1:17" x14ac:dyDescent="0.3">
      <c r="A279" s="3">
        <v>2033658</v>
      </c>
      <c r="B279">
        <v>11845</v>
      </c>
      <c r="C279">
        <v>1</v>
      </c>
      <c r="D279" s="9">
        <v>101</v>
      </c>
      <c r="E279">
        <v>1007</v>
      </c>
      <c r="F279" s="1">
        <v>44006</v>
      </c>
      <c r="G279" t="s">
        <v>86</v>
      </c>
      <c r="H279" s="4" t="s">
        <v>16</v>
      </c>
      <c r="I279" s="4">
        <v>-16.16</v>
      </c>
      <c r="J279" s="4">
        <v>-16.16</v>
      </c>
      <c r="K279" t="str">
        <f>_xlfn.XLOOKUP($C279,Table1[BusinessUnitID],Table1[BusinessUnit],"",0)</f>
        <v>FOOD SERVICE</v>
      </c>
      <c r="L279" t="str" cm="1">
        <f t="array" ref="L279">_xlfn.XLOOKUP($C279,Table1[[#All],[BusinessUnitID]],Table1[[#All],[Description]],"",0,1)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79" t="str">
        <f>_xlfn.XLOOKUP($B279,ChartOfAccounts!A278:A363,ChartOfAccounts!B278:B363,"",0,1)</f>
        <v/>
      </c>
      <c r="N279">
        <f>_xlfn.XLOOKUP($B279,ChartOfAccounts!A278:A363,ChartOfAccounts!D278:D363,0,1)</f>
        <v>0</v>
      </c>
      <c r="O279" t="str">
        <f>_xlfn.XLOOKUP($B279,ChartOfAccounts!A278:A363,ChartOfAccounts!F278:F363,"",0,1)</f>
        <v/>
      </c>
      <c r="P279" t="str" cm="1">
        <f t="array" ref="P279">_xlfn.XLOOKUP($D279&amp;$C279,PreparerInfo!A278:A290&amp;PreparerInfo!C278:C290,PreparerInfo!B278:B290,"",0,1)</f>
        <v/>
      </c>
      <c r="Q279" t="str">
        <f>_xlfn.XLOOKUP($E279,Source!A278:A286,Source!B278:B286,"",0,1)</f>
        <v/>
      </c>
    </row>
    <row r="280" spans="1:17" x14ac:dyDescent="0.3">
      <c r="A280" s="3">
        <v>2033659</v>
      </c>
      <c r="B280">
        <v>71400</v>
      </c>
      <c r="C280">
        <v>1</v>
      </c>
      <c r="D280" s="9">
        <v>101</v>
      </c>
      <c r="E280">
        <v>1007</v>
      </c>
      <c r="F280" s="1">
        <v>44006</v>
      </c>
      <c r="G280" t="s">
        <v>206</v>
      </c>
      <c r="H280" s="4">
        <v>19.8</v>
      </c>
      <c r="I280" s="4" t="s">
        <v>16</v>
      </c>
      <c r="J280" s="4">
        <v>19.8</v>
      </c>
      <c r="K280" t="str">
        <f>_xlfn.XLOOKUP($C280,Table1[BusinessUnitID],Table1[BusinessUnit],"",0)</f>
        <v>FOOD SERVICE</v>
      </c>
      <c r="L280" t="str" cm="1">
        <f t="array" ref="L280">_xlfn.XLOOKUP($C280,Table1[[#All],[BusinessUnitID]],Table1[[#All],[Description]],"",0,1)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80" t="str">
        <f>_xlfn.XLOOKUP($B280,ChartOfAccounts!A279:A364,ChartOfAccounts!B279:B364,"",0,1)</f>
        <v/>
      </c>
      <c r="N280">
        <f>_xlfn.XLOOKUP($B280,ChartOfAccounts!A279:A364,ChartOfAccounts!D279:D364,0,1)</f>
        <v>0</v>
      </c>
      <c r="O280" t="str">
        <f>_xlfn.XLOOKUP($B280,ChartOfAccounts!A279:A364,ChartOfAccounts!F279:F364,"",0,1)</f>
        <v/>
      </c>
      <c r="P280" t="str" cm="1">
        <f t="array" ref="P280">_xlfn.XLOOKUP($D280&amp;$C280,PreparerInfo!A279:A291&amp;PreparerInfo!C279:C291,PreparerInfo!B279:B291,"",0,1)</f>
        <v/>
      </c>
      <c r="Q280" t="str">
        <f>_xlfn.XLOOKUP($E280,Source!A279:A287,Source!B279:B287,"",0,1)</f>
        <v/>
      </c>
    </row>
    <row r="281" spans="1:17" x14ac:dyDescent="0.3">
      <c r="A281" s="3">
        <v>2033659</v>
      </c>
      <c r="B281">
        <v>11845</v>
      </c>
      <c r="C281">
        <v>1</v>
      </c>
      <c r="D281" s="9">
        <v>101</v>
      </c>
      <c r="E281">
        <v>1007</v>
      </c>
      <c r="F281" s="1">
        <v>44006</v>
      </c>
      <c r="G281" t="s">
        <v>206</v>
      </c>
      <c r="H281" s="4" t="s">
        <v>16</v>
      </c>
      <c r="I281" s="4">
        <v>-19.8</v>
      </c>
      <c r="J281" s="4">
        <v>-19.8</v>
      </c>
      <c r="K281" t="str">
        <f>_xlfn.XLOOKUP($C281,Table1[BusinessUnitID],Table1[BusinessUnit],"",0)</f>
        <v>FOOD SERVICE</v>
      </c>
      <c r="L281" t="str" cm="1">
        <f t="array" ref="L281">_xlfn.XLOOKUP($C281,Table1[[#All],[BusinessUnitID]],Table1[[#All],[Description]],"",0,1)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81" t="str">
        <f>_xlfn.XLOOKUP($B281,ChartOfAccounts!A280:A365,ChartOfAccounts!B280:B365,"",0,1)</f>
        <v/>
      </c>
      <c r="N281">
        <f>_xlfn.XLOOKUP($B281,ChartOfAccounts!A280:A365,ChartOfAccounts!D280:D365,0,1)</f>
        <v>0</v>
      </c>
      <c r="O281" t="str">
        <f>_xlfn.XLOOKUP($B281,ChartOfAccounts!A280:A365,ChartOfAccounts!F280:F365,"",0,1)</f>
        <v/>
      </c>
      <c r="P281" t="str" cm="1">
        <f t="array" ref="P281">_xlfn.XLOOKUP($D281&amp;$C281,PreparerInfo!A280:A292&amp;PreparerInfo!C280:C292,PreparerInfo!B280:B292,"",0,1)</f>
        <v/>
      </c>
      <c r="Q281" t="str">
        <f>_xlfn.XLOOKUP($E281,Source!A280:A288,Source!B280:B288,"",0,1)</f>
        <v/>
      </c>
    </row>
    <row r="282" spans="1:17" x14ac:dyDescent="0.3">
      <c r="A282" s="3">
        <v>2033660</v>
      </c>
      <c r="B282">
        <v>71400</v>
      </c>
      <c r="C282">
        <v>1</v>
      </c>
      <c r="D282" s="9">
        <v>101</v>
      </c>
      <c r="E282">
        <v>1007</v>
      </c>
      <c r="F282" s="1">
        <v>44006</v>
      </c>
      <c r="G282" t="s">
        <v>76</v>
      </c>
      <c r="H282" s="4">
        <v>25.98</v>
      </c>
      <c r="I282" s="4" t="s">
        <v>16</v>
      </c>
      <c r="J282" s="4">
        <v>25.98</v>
      </c>
      <c r="K282" t="str">
        <f>_xlfn.XLOOKUP($C282,Table1[BusinessUnitID],Table1[BusinessUnit],"",0)</f>
        <v>FOOD SERVICE</v>
      </c>
      <c r="L282" t="str" cm="1">
        <f t="array" ref="L282">_xlfn.XLOOKUP($C282,Table1[[#All],[BusinessUnitID]],Table1[[#All],[Description]],"",0,1)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82" t="str">
        <f>_xlfn.XLOOKUP($B282,ChartOfAccounts!A281:A366,ChartOfAccounts!B281:B366,"",0,1)</f>
        <v/>
      </c>
      <c r="N282">
        <f>_xlfn.XLOOKUP($B282,ChartOfAccounts!A281:A366,ChartOfAccounts!D281:D366,0,1)</f>
        <v>0</v>
      </c>
      <c r="O282" t="str">
        <f>_xlfn.XLOOKUP($B282,ChartOfAccounts!A281:A366,ChartOfAccounts!F281:F366,"",0,1)</f>
        <v/>
      </c>
      <c r="P282" t="str" cm="1">
        <f t="array" ref="P282">_xlfn.XLOOKUP($D282&amp;$C282,PreparerInfo!A281:A293&amp;PreparerInfo!C281:C293,PreparerInfo!B281:B293,"",0,1)</f>
        <v/>
      </c>
      <c r="Q282" t="str">
        <f>_xlfn.XLOOKUP($E282,Source!A281:A289,Source!B281:B289,"",0,1)</f>
        <v/>
      </c>
    </row>
    <row r="283" spans="1:17" x14ac:dyDescent="0.3">
      <c r="A283" s="3">
        <v>2033660</v>
      </c>
      <c r="B283">
        <v>11845</v>
      </c>
      <c r="C283">
        <v>1</v>
      </c>
      <c r="D283" s="9">
        <v>101</v>
      </c>
      <c r="E283">
        <v>1007</v>
      </c>
      <c r="F283" s="1">
        <v>44006</v>
      </c>
      <c r="G283" t="s">
        <v>76</v>
      </c>
      <c r="H283" s="4" t="s">
        <v>16</v>
      </c>
      <c r="I283" s="4">
        <v>-25.98</v>
      </c>
      <c r="J283" s="4">
        <v>-25.98</v>
      </c>
      <c r="K283" t="str">
        <f>_xlfn.XLOOKUP($C283,Table1[BusinessUnitID],Table1[BusinessUnit],"",0)</f>
        <v>FOOD SERVICE</v>
      </c>
      <c r="L283" t="str" cm="1">
        <f t="array" ref="L283">_xlfn.XLOOKUP($C283,Table1[[#All],[BusinessUnitID]],Table1[[#All],[Description]],"",0,1)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83" t="str">
        <f>_xlfn.XLOOKUP($B283,ChartOfAccounts!A282:A367,ChartOfAccounts!B282:B367,"",0,1)</f>
        <v/>
      </c>
      <c r="N283">
        <f>_xlfn.XLOOKUP($B283,ChartOfAccounts!A282:A367,ChartOfAccounts!D282:D367,0,1)</f>
        <v>0</v>
      </c>
      <c r="O283" t="str">
        <f>_xlfn.XLOOKUP($B283,ChartOfAccounts!A282:A367,ChartOfAccounts!F282:F367,"",0,1)</f>
        <v/>
      </c>
      <c r="P283" t="str" cm="1">
        <f t="array" ref="P283">_xlfn.XLOOKUP($D283&amp;$C283,PreparerInfo!A282:A294&amp;PreparerInfo!C282:C294,PreparerInfo!B282:B294,"",0,1)</f>
        <v/>
      </c>
      <c r="Q283" t="str">
        <f>_xlfn.XLOOKUP($E283,Source!A282:A290,Source!B282:B290,"",0,1)</f>
        <v/>
      </c>
    </row>
    <row r="284" spans="1:17" x14ac:dyDescent="0.3">
      <c r="A284" s="3">
        <v>2033661</v>
      </c>
      <c r="B284">
        <v>72723</v>
      </c>
      <c r="C284">
        <v>1</v>
      </c>
      <c r="D284" s="9">
        <v>101</v>
      </c>
      <c r="E284">
        <v>1007</v>
      </c>
      <c r="F284" s="1">
        <v>44006</v>
      </c>
      <c r="G284" t="s">
        <v>123</v>
      </c>
      <c r="H284" s="4">
        <v>26.95</v>
      </c>
      <c r="I284" s="4" t="s">
        <v>16</v>
      </c>
      <c r="J284" s="4">
        <v>26.95</v>
      </c>
      <c r="K284" t="str">
        <f>_xlfn.XLOOKUP($C284,Table1[BusinessUnitID],Table1[BusinessUnit],"",0)</f>
        <v>FOOD SERVICE</v>
      </c>
      <c r="L284" t="str" cm="1">
        <f t="array" ref="L284">_xlfn.XLOOKUP($C284,Table1[[#All],[BusinessUnitID]],Table1[[#All],[Description]],"",0,1)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84" t="str">
        <f>_xlfn.XLOOKUP($B284,ChartOfAccounts!A283:A368,ChartOfAccounts!B283:B368,"",0,1)</f>
        <v/>
      </c>
      <c r="N284">
        <f>_xlfn.XLOOKUP($B284,ChartOfAccounts!A283:A368,ChartOfAccounts!D283:D368,0,1)</f>
        <v>0</v>
      </c>
      <c r="O284" t="str">
        <f>_xlfn.XLOOKUP($B284,ChartOfAccounts!A283:A368,ChartOfAccounts!F283:F368,"",0,1)</f>
        <v/>
      </c>
      <c r="P284" t="str" cm="1">
        <f t="array" ref="P284">_xlfn.XLOOKUP($D284&amp;$C284,PreparerInfo!A283:A295&amp;PreparerInfo!C283:C295,PreparerInfo!B283:B295,"",0,1)</f>
        <v/>
      </c>
      <c r="Q284" t="str">
        <f>_xlfn.XLOOKUP($E284,Source!A283:A291,Source!B283:B291,"",0,1)</f>
        <v/>
      </c>
    </row>
    <row r="285" spans="1:17" x14ac:dyDescent="0.3">
      <c r="A285" s="3">
        <v>2033661</v>
      </c>
      <c r="B285">
        <v>11845</v>
      </c>
      <c r="C285">
        <v>1</v>
      </c>
      <c r="D285" s="9">
        <v>101</v>
      </c>
      <c r="E285">
        <v>1007</v>
      </c>
      <c r="F285" s="1">
        <v>44006</v>
      </c>
      <c r="G285" t="s">
        <v>123</v>
      </c>
      <c r="H285" s="4" t="s">
        <v>16</v>
      </c>
      <c r="I285" s="4">
        <v>-26.95</v>
      </c>
      <c r="J285" s="4">
        <v>-26.95</v>
      </c>
      <c r="K285" t="str">
        <f>_xlfn.XLOOKUP($C285,Table1[BusinessUnitID],Table1[BusinessUnit],"",0)</f>
        <v>FOOD SERVICE</v>
      </c>
      <c r="L285" t="str" cm="1">
        <f t="array" ref="L285">_xlfn.XLOOKUP($C285,Table1[[#All],[BusinessUnitID]],Table1[[#All],[Description]],"",0,1)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85" t="str">
        <f>_xlfn.XLOOKUP($B285,ChartOfAccounts!A284:A369,ChartOfAccounts!B284:B369,"",0,1)</f>
        <v/>
      </c>
      <c r="N285">
        <f>_xlfn.XLOOKUP($B285,ChartOfAccounts!A284:A369,ChartOfAccounts!D284:D369,0,1)</f>
        <v>0</v>
      </c>
      <c r="O285" t="str">
        <f>_xlfn.XLOOKUP($B285,ChartOfAccounts!A284:A369,ChartOfAccounts!F284:F369,"",0,1)</f>
        <v/>
      </c>
      <c r="P285" t="str" cm="1">
        <f t="array" ref="P285">_xlfn.XLOOKUP($D285&amp;$C285,PreparerInfo!A284:A296&amp;PreparerInfo!C284:C296,PreparerInfo!B284:B296,"",0,1)</f>
        <v/>
      </c>
      <c r="Q285" t="str">
        <f>_xlfn.XLOOKUP($E285,Source!A284:A292,Source!B284:B292,"",0,1)</f>
        <v/>
      </c>
    </row>
    <row r="286" spans="1:17" x14ac:dyDescent="0.3">
      <c r="A286" s="3">
        <v>2033662</v>
      </c>
      <c r="B286">
        <v>71400</v>
      </c>
      <c r="C286">
        <v>1</v>
      </c>
      <c r="D286" s="9">
        <v>101</v>
      </c>
      <c r="E286">
        <v>1007</v>
      </c>
      <c r="F286" s="1">
        <v>44006</v>
      </c>
      <c r="G286" t="s">
        <v>90</v>
      </c>
      <c r="H286" s="4">
        <v>29.31</v>
      </c>
      <c r="I286" s="4" t="s">
        <v>16</v>
      </c>
      <c r="J286" s="4">
        <v>29.31</v>
      </c>
      <c r="K286" t="str">
        <f>_xlfn.XLOOKUP($C286,Table1[BusinessUnitID],Table1[BusinessUnit],"",0)</f>
        <v>FOOD SERVICE</v>
      </c>
      <c r="L286" t="str" cm="1">
        <f t="array" ref="L286">_xlfn.XLOOKUP($C286,Table1[[#All],[BusinessUnitID]],Table1[[#All],[Description]],"",0,1)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86" t="str">
        <f>_xlfn.XLOOKUP($B286,ChartOfAccounts!A285:A370,ChartOfAccounts!B285:B370,"",0,1)</f>
        <v/>
      </c>
      <c r="N286">
        <f>_xlfn.XLOOKUP($B286,ChartOfAccounts!A285:A370,ChartOfAccounts!D285:D370,0,1)</f>
        <v>0</v>
      </c>
      <c r="O286" t="str">
        <f>_xlfn.XLOOKUP($B286,ChartOfAccounts!A285:A370,ChartOfAccounts!F285:F370,"",0,1)</f>
        <v/>
      </c>
      <c r="P286" t="str" cm="1">
        <f t="array" ref="P286">_xlfn.XLOOKUP($D286&amp;$C286,PreparerInfo!A285:A297&amp;PreparerInfo!C285:C297,PreparerInfo!B285:B297,"",0,1)</f>
        <v/>
      </c>
      <c r="Q286" t="str">
        <f>_xlfn.XLOOKUP($E286,Source!A285:A293,Source!B285:B293,"",0,1)</f>
        <v/>
      </c>
    </row>
    <row r="287" spans="1:17" x14ac:dyDescent="0.3">
      <c r="A287" s="3">
        <v>2033662</v>
      </c>
      <c r="B287">
        <v>11845</v>
      </c>
      <c r="C287">
        <v>1</v>
      </c>
      <c r="D287" s="9">
        <v>101</v>
      </c>
      <c r="E287">
        <v>1007</v>
      </c>
      <c r="F287" s="1">
        <v>44006</v>
      </c>
      <c r="G287" t="s">
        <v>90</v>
      </c>
      <c r="H287" s="4" t="s">
        <v>16</v>
      </c>
      <c r="I287" s="4">
        <v>-29.31</v>
      </c>
      <c r="J287" s="4">
        <v>-29.31</v>
      </c>
      <c r="K287" t="str">
        <f>_xlfn.XLOOKUP($C287,Table1[BusinessUnitID],Table1[BusinessUnit],"",0)</f>
        <v>FOOD SERVICE</v>
      </c>
      <c r="L287" t="str" cm="1">
        <f t="array" ref="L287">_xlfn.XLOOKUP($C287,Table1[[#All],[BusinessUnitID]],Table1[[#All],[Description]],"",0,1)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87" t="str">
        <f>_xlfn.XLOOKUP($B287,ChartOfAccounts!A286:A371,ChartOfAccounts!B286:B371,"",0,1)</f>
        <v/>
      </c>
      <c r="N287">
        <f>_xlfn.XLOOKUP($B287,ChartOfAccounts!A286:A371,ChartOfAccounts!D286:D371,0,1)</f>
        <v>0</v>
      </c>
      <c r="O287" t="str">
        <f>_xlfn.XLOOKUP($B287,ChartOfAccounts!A286:A371,ChartOfAccounts!F286:F371,"",0,1)</f>
        <v/>
      </c>
      <c r="P287" t="str" cm="1">
        <f t="array" ref="P287">_xlfn.XLOOKUP($D287&amp;$C287,PreparerInfo!A286:A298&amp;PreparerInfo!C286:C298,PreparerInfo!B286:B298,"",0,1)</f>
        <v/>
      </c>
      <c r="Q287" t="str">
        <f>_xlfn.XLOOKUP($E287,Source!A286:A294,Source!B286:B294,"",0,1)</f>
        <v/>
      </c>
    </row>
    <row r="288" spans="1:17" x14ac:dyDescent="0.3">
      <c r="A288" s="3">
        <v>2033663</v>
      </c>
      <c r="B288">
        <v>71400</v>
      </c>
      <c r="C288">
        <v>1</v>
      </c>
      <c r="D288" s="9">
        <v>101</v>
      </c>
      <c r="E288">
        <v>1007</v>
      </c>
      <c r="F288" s="1">
        <v>44006</v>
      </c>
      <c r="G288" t="s">
        <v>159</v>
      </c>
      <c r="H288" s="4">
        <v>35.909999999999997</v>
      </c>
      <c r="I288" s="4" t="s">
        <v>16</v>
      </c>
      <c r="J288" s="4">
        <v>35.909999999999997</v>
      </c>
      <c r="K288" t="str">
        <f>_xlfn.XLOOKUP($C288,Table1[BusinessUnitID],Table1[BusinessUnit],"",0)</f>
        <v>FOOD SERVICE</v>
      </c>
      <c r="L288" t="str" cm="1">
        <f t="array" ref="L288">_xlfn.XLOOKUP($C288,Table1[[#All],[BusinessUnitID]],Table1[[#All],[Description]],"",0,1)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88" t="str">
        <f>_xlfn.XLOOKUP($B288,ChartOfAccounts!A287:A372,ChartOfAccounts!B287:B372,"",0,1)</f>
        <v/>
      </c>
      <c r="N288">
        <f>_xlfn.XLOOKUP($B288,ChartOfAccounts!A287:A372,ChartOfAccounts!D287:D372,0,1)</f>
        <v>0</v>
      </c>
      <c r="O288" t="str">
        <f>_xlfn.XLOOKUP($B288,ChartOfAccounts!A287:A372,ChartOfAccounts!F287:F372,"",0,1)</f>
        <v/>
      </c>
      <c r="P288" t="str" cm="1">
        <f t="array" ref="P288">_xlfn.XLOOKUP($D288&amp;$C288,PreparerInfo!A287:A299&amp;PreparerInfo!C287:C299,PreparerInfo!B287:B299,"",0,1)</f>
        <v/>
      </c>
      <c r="Q288" t="str">
        <f>_xlfn.XLOOKUP($E288,Source!A287:A295,Source!B287:B295,"",0,1)</f>
        <v/>
      </c>
    </row>
    <row r="289" spans="1:17" x14ac:dyDescent="0.3">
      <c r="A289" s="3">
        <v>2033663</v>
      </c>
      <c r="B289">
        <v>11845</v>
      </c>
      <c r="C289">
        <v>1</v>
      </c>
      <c r="D289" s="9">
        <v>101</v>
      </c>
      <c r="E289">
        <v>1007</v>
      </c>
      <c r="F289" s="1">
        <v>44006</v>
      </c>
      <c r="G289" t="s">
        <v>159</v>
      </c>
      <c r="H289" s="4" t="s">
        <v>16</v>
      </c>
      <c r="I289" s="4">
        <v>-35.909999999999997</v>
      </c>
      <c r="J289" s="4">
        <v>-35.909999999999997</v>
      </c>
      <c r="K289" t="str">
        <f>_xlfn.XLOOKUP($C289,Table1[BusinessUnitID],Table1[BusinessUnit],"",0)</f>
        <v>FOOD SERVICE</v>
      </c>
      <c r="L289" t="str" cm="1">
        <f t="array" ref="L289">_xlfn.XLOOKUP($C289,Table1[[#All],[BusinessUnitID]],Table1[[#All],[Description]],"",0,1)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89" t="str">
        <f>_xlfn.XLOOKUP($B289,ChartOfAccounts!A288:A373,ChartOfAccounts!B288:B373,"",0,1)</f>
        <v/>
      </c>
      <c r="N289">
        <f>_xlfn.XLOOKUP($B289,ChartOfAccounts!A288:A373,ChartOfAccounts!D288:D373,0,1)</f>
        <v>0</v>
      </c>
      <c r="O289" t="str">
        <f>_xlfn.XLOOKUP($B289,ChartOfAccounts!A288:A373,ChartOfAccounts!F288:F373,"",0,1)</f>
        <v/>
      </c>
      <c r="P289" t="str" cm="1">
        <f t="array" ref="P289">_xlfn.XLOOKUP($D289&amp;$C289,PreparerInfo!A288:A300&amp;PreparerInfo!C288:C300,PreparerInfo!B288:B300,"",0,1)</f>
        <v/>
      </c>
      <c r="Q289" t="str">
        <f>_xlfn.XLOOKUP($E289,Source!A288:A296,Source!B288:B296,"",0,1)</f>
        <v/>
      </c>
    </row>
    <row r="290" spans="1:17" x14ac:dyDescent="0.3">
      <c r="A290" s="3">
        <v>2033664</v>
      </c>
      <c r="B290">
        <v>14260</v>
      </c>
      <c r="C290">
        <v>1</v>
      </c>
      <c r="D290" s="9">
        <v>102</v>
      </c>
      <c r="E290">
        <v>1002</v>
      </c>
      <c r="F290" s="1">
        <v>44006</v>
      </c>
      <c r="G290" t="s">
        <v>26</v>
      </c>
      <c r="H290" s="4">
        <v>40.299999999999997</v>
      </c>
      <c r="I290" s="4" t="s">
        <v>16</v>
      </c>
      <c r="J290" s="4">
        <v>40.299999999999997</v>
      </c>
      <c r="K290" t="str">
        <f>_xlfn.XLOOKUP($C290,Table1[BusinessUnitID],Table1[BusinessUnit],"",0)</f>
        <v>FOOD SERVICE</v>
      </c>
      <c r="L290" t="str" cm="1">
        <f t="array" ref="L290">_xlfn.XLOOKUP($C290,Table1[[#All],[BusinessUnitID]],Table1[[#All],[Description]],"",0,1)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90" t="str">
        <f>_xlfn.XLOOKUP($B290,ChartOfAccounts!A289:A374,ChartOfAccounts!B289:B374,"",0,1)</f>
        <v/>
      </c>
      <c r="N290">
        <f>_xlfn.XLOOKUP($B290,ChartOfAccounts!A289:A374,ChartOfAccounts!D289:D374,0,1)</f>
        <v>0</v>
      </c>
      <c r="O290" t="str">
        <f>_xlfn.XLOOKUP($B290,ChartOfAccounts!A289:A374,ChartOfAccounts!F289:F374,"",0,1)</f>
        <v/>
      </c>
      <c r="P290" t="str" cm="1">
        <f t="array" ref="P290">_xlfn.XLOOKUP($D290&amp;$C290,PreparerInfo!A289:A301&amp;PreparerInfo!C289:C301,PreparerInfo!B289:B301,"",0,1)</f>
        <v/>
      </c>
      <c r="Q290" t="str">
        <f>_xlfn.XLOOKUP($E290,Source!A289:A297,Source!B289:B297,"",0,1)</f>
        <v/>
      </c>
    </row>
    <row r="291" spans="1:17" x14ac:dyDescent="0.3">
      <c r="A291" s="3">
        <v>2033664</v>
      </c>
      <c r="B291">
        <v>11845</v>
      </c>
      <c r="C291">
        <v>1</v>
      </c>
      <c r="D291" s="9">
        <v>102</v>
      </c>
      <c r="E291">
        <v>1002</v>
      </c>
      <c r="F291" s="1">
        <v>44006</v>
      </c>
      <c r="G291" t="s">
        <v>26</v>
      </c>
      <c r="H291" s="4" t="s">
        <v>16</v>
      </c>
      <c r="I291" s="4">
        <v>-40.299999999999997</v>
      </c>
      <c r="J291" s="4">
        <v>-40.299999999999997</v>
      </c>
      <c r="K291" t="str">
        <f>_xlfn.XLOOKUP($C291,Table1[BusinessUnitID],Table1[BusinessUnit],"",0)</f>
        <v>FOOD SERVICE</v>
      </c>
      <c r="L291" t="str" cm="1">
        <f t="array" ref="L291">_xlfn.XLOOKUP($C291,Table1[[#All],[BusinessUnitID]],Table1[[#All],[Description]],"",0,1)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91" t="str">
        <f>_xlfn.XLOOKUP($B291,ChartOfAccounts!A290:A375,ChartOfAccounts!B290:B375,"",0,1)</f>
        <v/>
      </c>
      <c r="N291">
        <f>_xlfn.XLOOKUP($B291,ChartOfAccounts!A290:A375,ChartOfAccounts!D290:D375,0,1)</f>
        <v>0</v>
      </c>
      <c r="O291" t="str">
        <f>_xlfn.XLOOKUP($B291,ChartOfAccounts!A290:A375,ChartOfAccounts!F290:F375,"",0,1)</f>
        <v/>
      </c>
      <c r="P291" t="str" cm="1">
        <f t="array" ref="P291">_xlfn.XLOOKUP($D291&amp;$C291,PreparerInfo!A290:A302&amp;PreparerInfo!C290:C302,PreparerInfo!B290:B302,"",0,1)</f>
        <v/>
      </c>
      <c r="Q291" t="str">
        <f>_xlfn.XLOOKUP($E291,Source!A290:A298,Source!B290:B298,"",0,1)</f>
        <v/>
      </c>
    </row>
    <row r="292" spans="1:17" x14ac:dyDescent="0.3">
      <c r="A292" s="3">
        <v>2033665</v>
      </c>
      <c r="B292">
        <v>71400</v>
      </c>
      <c r="C292">
        <v>1</v>
      </c>
      <c r="D292" s="9">
        <v>101</v>
      </c>
      <c r="E292">
        <v>1007</v>
      </c>
      <c r="F292" s="1">
        <v>44006</v>
      </c>
      <c r="G292" t="s">
        <v>89</v>
      </c>
      <c r="H292" s="4">
        <v>42.7</v>
      </c>
      <c r="I292" s="4" t="s">
        <v>16</v>
      </c>
      <c r="J292" s="4">
        <v>42.7</v>
      </c>
      <c r="K292" t="str">
        <f>_xlfn.XLOOKUP($C292,Table1[BusinessUnitID],Table1[BusinessUnit],"",0)</f>
        <v>FOOD SERVICE</v>
      </c>
      <c r="L292" t="str" cm="1">
        <f t="array" ref="L292">_xlfn.XLOOKUP($C292,Table1[[#All],[BusinessUnitID]],Table1[[#All],[Description]],"",0,1)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92" t="str">
        <f>_xlfn.XLOOKUP($B292,ChartOfAccounts!A291:A376,ChartOfAccounts!B291:B376,"",0,1)</f>
        <v/>
      </c>
      <c r="N292">
        <f>_xlfn.XLOOKUP($B292,ChartOfAccounts!A291:A376,ChartOfAccounts!D291:D376,0,1)</f>
        <v>0</v>
      </c>
      <c r="O292" t="str">
        <f>_xlfn.XLOOKUP($B292,ChartOfAccounts!A291:A376,ChartOfAccounts!F291:F376,"",0,1)</f>
        <v/>
      </c>
      <c r="P292" t="str" cm="1">
        <f t="array" ref="P292">_xlfn.XLOOKUP($D292&amp;$C292,PreparerInfo!A291:A303&amp;PreparerInfo!C291:C303,PreparerInfo!B291:B303,"",0,1)</f>
        <v/>
      </c>
      <c r="Q292" t="str">
        <f>_xlfn.XLOOKUP($E292,Source!A291:A299,Source!B291:B299,"",0,1)</f>
        <v/>
      </c>
    </row>
    <row r="293" spans="1:17" x14ac:dyDescent="0.3">
      <c r="A293" s="3">
        <v>2033665</v>
      </c>
      <c r="B293">
        <v>11845</v>
      </c>
      <c r="C293">
        <v>1</v>
      </c>
      <c r="D293" s="9">
        <v>101</v>
      </c>
      <c r="E293">
        <v>1007</v>
      </c>
      <c r="F293" s="1">
        <v>44006</v>
      </c>
      <c r="G293" t="s">
        <v>89</v>
      </c>
      <c r="H293" s="4" t="s">
        <v>16</v>
      </c>
      <c r="I293" s="4">
        <v>-42.7</v>
      </c>
      <c r="J293" s="4">
        <v>-42.7</v>
      </c>
      <c r="K293" t="str">
        <f>_xlfn.XLOOKUP($C293,Table1[BusinessUnitID],Table1[BusinessUnit],"",0)</f>
        <v>FOOD SERVICE</v>
      </c>
      <c r="L293" t="str" cm="1">
        <f t="array" ref="L293">_xlfn.XLOOKUP($C293,Table1[[#All],[BusinessUnitID]],Table1[[#All],[Description]],"",0,1)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93" t="str">
        <f>_xlfn.XLOOKUP($B293,ChartOfAccounts!A292:A377,ChartOfAccounts!B292:B377,"",0,1)</f>
        <v/>
      </c>
      <c r="N293">
        <f>_xlfn.XLOOKUP($B293,ChartOfAccounts!A292:A377,ChartOfAccounts!D292:D377,0,1)</f>
        <v>0</v>
      </c>
      <c r="O293" t="str">
        <f>_xlfn.XLOOKUP($B293,ChartOfAccounts!A292:A377,ChartOfAccounts!F292:F377,"",0,1)</f>
        <v/>
      </c>
      <c r="P293" t="str" cm="1">
        <f t="array" ref="P293">_xlfn.XLOOKUP($D293&amp;$C293,PreparerInfo!A292:A304&amp;PreparerInfo!C292:C304,PreparerInfo!B292:B304,"",0,1)</f>
        <v/>
      </c>
      <c r="Q293" t="str">
        <f>_xlfn.XLOOKUP($E293,Source!A292:A300,Source!B292:B300,"",0,1)</f>
        <v/>
      </c>
    </row>
    <row r="294" spans="1:17" x14ac:dyDescent="0.3">
      <c r="A294" s="3">
        <v>2033666</v>
      </c>
      <c r="B294">
        <v>14260</v>
      </c>
      <c r="C294">
        <v>1</v>
      </c>
      <c r="D294" s="9">
        <v>102</v>
      </c>
      <c r="E294">
        <v>1002</v>
      </c>
      <c r="F294" s="1">
        <v>44006</v>
      </c>
      <c r="G294" t="s">
        <v>26</v>
      </c>
      <c r="H294" s="4">
        <v>45.7</v>
      </c>
      <c r="I294" s="4" t="s">
        <v>16</v>
      </c>
      <c r="J294" s="4">
        <v>45.7</v>
      </c>
      <c r="K294" t="str">
        <f>_xlfn.XLOOKUP($C294,Table1[BusinessUnitID],Table1[BusinessUnit],"",0)</f>
        <v>FOOD SERVICE</v>
      </c>
      <c r="L294" t="str" cm="1">
        <f t="array" ref="L294">_xlfn.XLOOKUP($C294,Table1[[#All],[BusinessUnitID]],Table1[[#All],[Description]],"",0,1)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94" t="str">
        <f>_xlfn.XLOOKUP($B294,ChartOfAccounts!A293:A378,ChartOfAccounts!B293:B378,"",0,1)</f>
        <v/>
      </c>
      <c r="N294">
        <f>_xlfn.XLOOKUP($B294,ChartOfAccounts!A293:A378,ChartOfAccounts!D293:D378,0,1)</f>
        <v>0</v>
      </c>
      <c r="O294" t="str">
        <f>_xlfn.XLOOKUP($B294,ChartOfAccounts!A293:A378,ChartOfAccounts!F293:F378,"",0,1)</f>
        <v/>
      </c>
      <c r="P294" t="str" cm="1">
        <f t="array" ref="P294">_xlfn.XLOOKUP($D294&amp;$C294,PreparerInfo!A293:A305&amp;PreparerInfo!C293:C305,PreparerInfo!B293:B305,"",0,1)</f>
        <v/>
      </c>
      <c r="Q294" t="str">
        <f>_xlfn.XLOOKUP($E294,Source!A293:A301,Source!B293:B301,"",0,1)</f>
        <v/>
      </c>
    </row>
    <row r="295" spans="1:17" x14ac:dyDescent="0.3">
      <c r="A295" s="3">
        <v>2033666</v>
      </c>
      <c r="B295">
        <v>11845</v>
      </c>
      <c r="C295">
        <v>1</v>
      </c>
      <c r="D295" s="9">
        <v>102</v>
      </c>
      <c r="E295">
        <v>1002</v>
      </c>
      <c r="F295" s="1">
        <v>44006</v>
      </c>
      <c r="G295" t="s">
        <v>26</v>
      </c>
      <c r="H295" s="4" t="s">
        <v>16</v>
      </c>
      <c r="I295" s="4">
        <v>-45.7</v>
      </c>
      <c r="J295" s="4">
        <v>-45.7</v>
      </c>
      <c r="K295" t="str">
        <f>_xlfn.XLOOKUP($C295,Table1[BusinessUnitID],Table1[BusinessUnit],"",0)</f>
        <v>FOOD SERVICE</v>
      </c>
      <c r="L295" t="str" cm="1">
        <f t="array" ref="L295">_xlfn.XLOOKUP($C295,Table1[[#All],[BusinessUnitID]],Table1[[#All],[Description]],"",0,1)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95" t="str">
        <f>_xlfn.XLOOKUP($B295,ChartOfAccounts!A294:A379,ChartOfAccounts!B294:B379,"",0,1)</f>
        <v/>
      </c>
      <c r="N295">
        <f>_xlfn.XLOOKUP($B295,ChartOfAccounts!A294:A379,ChartOfAccounts!D294:D379,0,1)</f>
        <v>0</v>
      </c>
      <c r="O295" t="str">
        <f>_xlfn.XLOOKUP($B295,ChartOfAccounts!A294:A379,ChartOfAccounts!F294:F379,"",0,1)</f>
        <v/>
      </c>
      <c r="P295" t="str" cm="1">
        <f t="array" ref="P295">_xlfn.XLOOKUP($D295&amp;$C295,PreparerInfo!A294:A306&amp;PreparerInfo!C294:C306,PreparerInfo!B294:B306,"",0,1)</f>
        <v/>
      </c>
      <c r="Q295" t="str">
        <f>_xlfn.XLOOKUP($E295,Source!A294:A302,Source!B294:B302,"",0,1)</f>
        <v/>
      </c>
    </row>
    <row r="296" spans="1:17" x14ac:dyDescent="0.3">
      <c r="A296" s="3">
        <v>2033667</v>
      </c>
      <c r="B296">
        <v>71900</v>
      </c>
      <c r="C296">
        <v>1</v>
      </c>
      <c r="D296" s="9">
        <v>102</v>
      </c>
      <c r="E296">
        <v>1002</v>
      </c>
      <c r="F296" s="1">
        <v>44006</v>
      </c>
      <c r="G296" t="s">
        <v>36</v>
      </c>
      <c r="H296" s="4">
        <v>47.75</v>
      </c>
      <c r="I296" s="4" t="s">
        <v>16</v>
      </c>
      <c r="J296" s="4">
        <v>47.75</v>
      </c>
      <c r="K296" t="str">
        <f>_xlfn.XLOOKUP($C296,Table1[BusinessUnitID],Table1[BusinessUnit],"",0)</f>
        <v>FOOD SERVICE</v>
      </c>
      <c r="L296" t="str" cm="1">
        <f t="array" ref="L296">_xlfn.XLOOKUP($C296,Table1[[#All],[BusinessUnitID]],Table1[[#All],[Description]],"",0,1)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96" t="str">
        <f>_xlfn.XLOOKUP($B296,ChartOfAccounts!A295:A380,ChartOfAccounts!B295:B380,"",0,1)</f>
        <v/>
      </c>
      <c r="N296">
        <f>_xlfn.XLOOKUP($B296,ChartOfAccounts!A295:A380,ChartOfAccounts!D295:D380,0,1)</f>
        <v>0</v>
      </c>
      <c r="O296" t="str">
        <f>_xlfn.XLOOKUP($B296,ChartOfAccounts!A295:A380,ChartOfAccounts!F295:F380,"",0,1)</f>
        <v/>
      </c>
      <c r="P296" t="str" cm="1">
        <f t="array" ref="P296">_xlfn.XLOOKUP($D296&amp;$C296,PreparerInfo!A295:A307&amp;PreparerInfo!C295:C307,PreparerInfo!B295:B307,"",0,1)</f>
        <v/>
      </c>
      <c r="Q296" t="str">
        <f>_xlfn.XLOOKUP($E296,Source!A295:A303,Source!B295:B303,"",0,1)</f>
        <v/>
      </c>
    </row>
    <row r="297" spans="1:17" x14ac:dyDescent="0.3">
      <c r="A297" s="3">
        <v>2033667</v>
      </c>
      <c r="B297">
        <v>11845</v>
      </c>
      <c r="C297">
        <v>1</v>
      </c>
      <c r="D297" s="9">
        <v>102</v>
      </c>
      <c r="E297">
        <v>1002</v>
      </c>
      <c r="F297" s="1">
        <v>44006</v>
      </c>
      <c r="G297" t="s">
        <v>36</v>
      </c>
      <c r="H297" s="4" t="s">
        <v>16</v>
      </c>
      <c r="I297" s="4">
        <v>-47.75</v>
      </c>
      <c r="J297" s="4">
        <v>-47.75</v>
      </c>
      <c r="K297" t="str">
        <f>_xlfn.XLOOKUP($C297,Table1[BusinessUnitID],Table1[BusinessUnit],"",0)</f>
        <v>FOOD SERVICE</v>
      </c>
      <c r="L297" t="str" cm="1">
        <f t="array" ref="L297">_xlfn.XLOOKUP($C297,Table1[[#All],[BusinessUnitID]],Table1[[#All],[Description]],"",0,1)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97" t="str">
        <f>_xlfn.XLOOKUP($B297,ChartOfAccounts!A296:A381,ChartOfAccounts!B296:B381,"",0,1)</f>
        <v/>
      </c>
      <c r="N297">
        <f>_xlfn.XLOOKUP($B297,ChartOfAccounts!A296:A381,ChartOfAccounts!D296:D381,0,1)</f>
        <v>0</v>
      </c>
      <c r="O297" t="str">
        <f>_xlfn.XLOOKUP($B297,ChartOfAccounts!A296:A381,ChartOfAccounts!F296:F381,"",0,1)</f>
        <v/>
      </c>
      <c r="P297" t="str" cm="1">
        <f t="array" ref="P297">_xlfn.XLOOKUP($D297&amp;$C297,PreparerInfo!A296:A308&amp;PreparerInfo!C296:C308,PreparerInfo!B296:B308,"",0,1)</f>
        <v/>
      </c>
      <c r="Q297" t="str">
        <f>_xlfn.XLOOKUP($E297,Source!A296:A304,Source!B296:B304,"",0,1)</f>
        <v/>
      </c>
    </row>
    <row r="298" spans="1:17" x14ac:dyDescent="0.3">
      <c r="A298" s="3">
        <v>2033668</v>
      </c>
      <c r="B298">
        <v>71400</v>
      </c>
      <c r="C298">
        <v>1</v>
      </c>
      <c r="D298" s="9">
        <v>101</v>
      </c>
      <c r="E298">
        <v>1007</v>
      </c>
      <c r="F298" s="1">
        <v>44006</v>
      </c>
      <c r="G298" t="s">
        <v>90</v>
      </c>
      <c r="H298" s="4">
        <v>52.08</v>
      </c>
      <c r="I298" s="4" t="s">
        <v>16</v>
      </c>
      <c r="J298" s="4">
        <v>52.08</v>
      </c>
      <c r="K298" t="str">
        <f>_xlfn.XLOOKUP($C298,Table1[BusinessUnitID],Table1[BusinessUnit],"",0)</f>
        <v>FOOD SERVICE</v>
      </c>
      <c r="L298" t="str" cm="1">
        <f t="array" ref="L298">_xlfn.XLOOKUP($C298,Table1[[#All],[BusinessUnitID]],Table1[[#All],[Description]],"",0,1)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98" t="str">
        <f>_xlfn.XLOOKUP($B298,ChartOfAccounts!A297:A382,ChartOfAccounts!B297:B382,"",0,1)</f>
        <v/>
      </c>
      <c r="N298">
        <f>_xlfn.XLOOKUP($B298,ChartOfAccounts!A297:A382,ChartOfAccounts!D297:D382,0,1)</f>
        <v>0</v>
      </c>
      <c r="O298" t="str">
        <f>_xlfn.XLOOKUP($B298,ChartOfAccounts!A297:A382,ChartOfAccounts!F297:F382,"",0,1)</f>
        <v/>
      </c>
      <c r="P298" t="str" cm="1">
        <f t="array" ref="P298">_xlfn.XLOOKUP($D298&amp;$C298,PreparerInfo!A297:A309&amp;PreparerInfo!C297:C309,PreparerInfo!B297:B309,"",0,1)</f>
        <v/>
      </c>
      <c r="Q298" t="str">
        <f>_xlfn.XLOOKUP($E298,Source!A297:A305,Source!B297:B305,"",0,1)</f>
        <v/>
      </c>
    </row>
    <row r="299" spans="1:17" x14ac:dyDescent="0.3">
      <c r="A299" s="3">
        <v>2033668</v>
      </c>
      <c r="B299">
        <v>11845</v>
      </c>
      <c r="C299">
        <v>1</v>
      </c>
      <c r="D299" s="9">
        <v>101</v>
      </c>
      <c r="E299">
        <v>1007</v>
      </c>
      <c r="F299" s="1">
        <v>44006</v>
      </c>
      <c r="G299" t="s">
        <v>90</v>
      </c>
      <c r="H299" s="4" t="s">
        <v>16</v>
      </c>
      <c r="I299" s="4">
        <v>-52.08</v>
      </c>
      <c r="J299" s="4">
        <v>-52.08</v>
      </c>
      <c r="K299" t="str">
        <f>_xlfn.XLOOKUP($C299,Table1[BusinessUnitID],Table1[BusinessUnit],"",0)</f>
        <v>FOOD SERVICE</v>
      </c>
      <c r="L299" t="str" cm="1">
        <f t="array" ref="L299">_xlfn.XLOOKUP($C299,Table1[[#All],[BusinessUnitID]],Table1[[#All],[Description]],"",0,1)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299" t="str">
        <f>_xlfn.XLOOKUP($B299,ChartOfAccounts!A298:A383,ChartOfAccounts!B298:B383,"",0,1)</f>
        <v/>
      </c>
      <c r="N299">
        <f>_xlfn.XLOOKUP($B299,ChartOfAccounts!A298:A383,ChartOfAccounts!D298:D383,0,1)</f>
        <v>0</v>
      </c>
      <c r="O299" t="str">
        <f>_xlfn.XLOOKUP($B299,ChartOfAccounts!A298:A383,ChartOfAccounts!F298:F383,"",0,1)</f>
        <v/>
      </c>
      <c r="P299" t="str" cm="1">
        <f t="array" ref="P299">_xlfn.XLOOKUP($D299&amp;$C299,PreparerInfo!A298:A310&amp;PreparerInfo!C298:C310,PreparerInfo!B298:B310,"",0,1)</f>
        <v/>
      </c>
      <c r="Q299" t="str">
        <f>_xlfn.XLOOKUP($E299,Source!A298:A306,Source!B298:B306,"",0,1)</f>
        <v/>
      </c>
    </row>
    <row r="300" spans="1:17" x14ac:dyDescent="0.3">
      <c r="A300" s="3">
        <v>2033669</v>
      </c>
      <c r="B300">
        <v>14250</v>
      </c>
      <c r="C300">
        <v>3</v>
      </c>
      <c r="D300" s="9">
        <v>101</v>
      </c>
      <c r="E300">
        <v>1007</v>
      </c>
      <c r="F300" s="1">
        <v>44006</v>
      </c>
      <c r="G300" t="s">
        <v>83</v>
      </c>
      <c r="H300" s="4">
        <v>53.67</v>
      </c>
      <c r="I300" s="4" t="s">
        <v>16</v>
      </c>
      <c r="J300" s="4">
        <v>53.67</v>
      </c>
      <c r="K300" t="str">
        <f>_xlfn.XLOOKUP($C300,Table1[BusinessUnitID],Table1[BusinessUnit],"",0)</f>
        <v>HOTEL PANTRY</v>
      </c>
      <c r="L300" t="str" cm="1">
        <f t="array" ref="L300">_xlfn.XLOOKUP($C300,Table1[[#All],[BusinessUnitID]],Table1[[#All],[Description]],"",0,1)</f>
        <v>Transactions related to the hotel convenience store, including some food and beverage costs.</v>
      </c>
      <c r="M300" t="str">
        <f>_xlfn.XLOOKUP($B300,ChartOfAccounts!A299:A384,ChartOfAccounts!B299:B384,"",0,1)</f>
        <v/>
      </c>
      <c r="N300">
        <f>_xlfn.XLOOKUP($B300,ChartOfAccounts!A299:A384,ChartOfAccounts!D299:D384,0,1)</f>
        <v>0</v>
      </c>
      <c r="O300" t="str">
        <f>_xlfn.XLOOKUP($B300,ChartOfAccounts!A299:A384,ChartOfAccounts!F299:F384,"",0,1)</f>
        <v/>
      </c>
      <c r="P300" t="str" cm="1">
        <f t="array" ref="P300">_xlfn.XLOOKUP($D300&amp;$C300,PreparerInfo!A299:A311&amp;PreparerInfo!C299:C311,PreparerInfo!B299:B311,"",0,1)</f>
        <v/>
      </c>
      <c r="Q300" t="str">
        <f>_xlfn.XLOOKUP($E300,Source!A299:A307,Source!B299:B307,"",0,1)</f>
        <v/>
      </c>
    </row>
    <row r="301" spans="1:17" x14ac:dyDescent="0.3">
      <c r="A301" s="3">
        <v>2033669</v>
      </c>
      <c r="B301">
        <v>11845</v>
      </c>
      <c r="C301">
        <v>3</v>
      </c>
      <c r="D301" s="9">
        <v>101</v>
      </c>
      <c r="E301">
        <v>1007</v>
      </c>
      <c r="F301" s="1">
        <v>44006</v>
      </c>
      <c r="G301" t="s">
        <v>83</v>
      </c>
      <c r="H301" s="4" t="s">
        <v>16</v>
      </c>
      <c r="I301" s="4">
        <v>-53.67</v>
      </c>
      <c r="J301" s="4">
        <v>-53.67</v>
      </c>
      <c r="K301" t="str">
        <f>_xlfn.XLOOKUP($C301,Table1[BusinessUnitID],Table1[BusinessUnit],"",0)</f>
        <v>HOTEL PANTRY</v>
      </c>
      <c r="L301" t="str" cm="1">
        <f t="array" ref="L301">_xlfn.XLOOKUP($C301,Table1[[#All],[BusinessUnitID]],Table1[[#All],[Description]],"",0,1)</f>
        <v>Transactions related to the hotel convenience store, including some food and beverage costs.</v>
      </c>
      <c r="M301" t="str">
        <f>_xlfn.XLOOKUP($B301,ChartOfAccounts!A300:A385,ChartOfAccounts!B300:B385,"",0,1)</f>
        <v/>
      </c>
      <c r="N301">
        <f>_xlfn.XLOOKUP($B301,ChartOfAccounts!A300:A385,ChartOfAccounts!D300:D385,0,1)</f>
        <v>0</v>
      </c>
      <c r="O301" t="str">
        <f>_xlfn.XLOOKUP($B301,ChartOfAccounts!A300:A385,ChartOfAccounts!F300:F385,"",0,1)</f>
        <v/>
      </c>
      <c r="P301" t="str" cm="1">
        <f t="array" ref="P301">_xlfn.XLOOKUP($D301&amp;$C301,PreparerInfo!A300:A312&amp;PreparerInfo!C300:C312,PreparerInfo!B300:B312,"",0,1)</f>
        <v/>
      </c>
      <c r="Q301" t="str">
        <f>_xlfn.XLOOKUP($E301,Source!A300:A308,Source!B300:B308,"",0,1)</f>
        <v/>
      </c>
    </row>
    <row r="302" spans="1:17" x14ac:dyDescent="0.3">
      <c r="A302" s="3">
        <v>2033670</v>
      </c>
      <c r="B302">
        <v>71400</v>
      </c>
      <c r="C302">
        <v>1</v>
      </c>
      <c r="D302" s="9">
        <v>101</v>
      </c>
      <c r="E302">
        <v>1007</v>
      </c>
      <c r="F302" s="1">
        <v>44006</v>
      </c>
      <c r="G302" t="s">
        <v>148</v>
      </c>
      <c r="H302" s="4">
        <v>56.11</v>
      </c>
      <c r="I302" s="4" t="s">
        <v>16</v>
      </c>
      <c r="J302" s="4">
        <v>56.11</v>
      </c>
      <c r="K302" t="str">
        <f>_xlfn.XLOOKUP($C302,Table1[BusinessUnitID],Table1[BusinessUnit],"",0)</f>
        <v>FOOD SERVICE</v>
      </c>
      <c r="L302" t="str" cm="1">
        <f t="array" ref="L302">_xlfn.XLOOKUP($C302,Table1[[#All],[BusinessUnitID]],Table1[[#All],[Description]],"",0,1)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02" t="str">
        <f>_xlfn.XLOOKUP($B302,ChartOfAccounts!A301:A386,ChartOfAccounts!B301:B386,"",0,1)</f>
        <v/>
      </c>
      <c r="N302">
        <f>_xlfn.XLOOKUP($B302,ChartOfAccounts!A301:A386,ChartOfAccounts!D301:D386,0,1)</f>
        <v>0</v>
      </c>
      <c r="O302" t="str">
        <f>_xlfn.XLOOKUP($B302,ChartOfAccounts!A301:A386,ChartOfAccounts!F301:F386,"",0,1)</f>
        <v/>
      </c>
      <c r="P302" t="str" cm="1">
        <f t="array" ref="P302">_xlfn.XLOOKUP($D302&amp;$C302,PreparerInfo!A301:A313&amp;PreparerInfo!C301:C313,PreparerInfo!B301:B313,"",0,1)</f>
        <v/>
      </c>
      <c r="Q302" t="str">
        <f>_xlfn.XLOOKUP($E302,Source!A301:A309,Source!B301:B309,"",0,1)</f>
        <v/>
      </c>
    </row>
    <row r="303" spans="1:17" x14ac:dyDescent="0.3">
      <c r="A303" s="3">
        <v>2033670</v>
      </c>
      <c r="B303">
        <v>11845</v>
      </c>
      <c r="C303">
        <v>1</v>
      </c>
      <c r="D303" s="9">
        <v>101</v>
      </c>
      <c r="E303">
        <v>1007</v>
      </c>
      <c r="F303" s="1">
        <v>44006</v>
      </c>
      <c r="G303" t="s">
        <v>148</v>
      </c>
      <c r="H303" s="4" t="s">
        <v>16</v>
      </c>
      <c r="I303" s="4">
        <v>-56.11</v>
      </c>
      <c r="J303" s="4">
        <v>-56.11</v>
      </c>
      <c r="K303" t="str">
        <f>_xlfn.XLOOKUP($C303,Table1[BusinessUnitID],Table1[BusinessUnit],"",0)</f>
        <v>FOOD SERVICE</v>
      </c>
      <c r="L303" t="str" cm="1">
        <f t="array" ref="L303">_xlfn.XLOOKUP($C303,Table1[[#All],[BusinessUnitID]],Table1[[#All],[Description]],"",0,1)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03" t="str">
        <f>_xlfn.XLOOKUP($B303,ChartOfAccounts!A302:A387,ChartOfAccounts!B302:B387,"",0,1)</f>
        <v/>
      </c>
      <c r="N303">
        <f>_xlfn.XLOOKUP($B303,ChartOfAccounts!A302:A387,ChartOfAccounts!D302:D387,0,1)</f>
        <v>0</v>
      </c>
      <c r="O303" t="str">
        <f>_xlfn.XLOOKUP($B303,ChartOfAccounts!A302:A387,ChartOfAccounts!F302:F387,"",0,1)</f>
        <v/>
      </c>
      <c r="P303" t="str" cm="1">
        <f t="array" ref="P303">_xlfn.XLOOKUP($D303&amp;$C303,PreparerInfo!A302:A314&amp;PreparerInfo!C302:C314,PreparerInfo!B302:B314,"",0,1)</f>
        <v/>
      </c>
      <c r="Q303" t="str">
        <f>_xlfn.XLOOKUP($E303,Source!A302:A310,Source!B302:B310,"",0,1)</f>
        <v/>
      </c>
    </row>
    <row r="304" spans="1:17" x14ac:dyDescent="0.3">
      <c r="A304" s="3">
        <v>2033671</v>
      </c>
      <c r="B304">
        <v>71400</v>
      </c>
      <c r="C304">
        <v>1</v>
      </c>
      <c r="D304" s="9">
        <v>101</v>
      </c>
      <c r="E304">
        <v>1007</v>
      </c>
      <c r="F304" s="1">
        <v>44006</v>
      </c>
      <c r="G304" t="s">
        <v>83</v>
      </c>
      <c r="H304" s="4">
        <v>60.04</v>
      </c>
      <c r="I304" s="4" t="s">
        <v>16</v>
      </c>
      <c r="J304" s="4">
        <v>60.04</v>
      </c>
      <c r="K304" t="str">
        <f>_xlfn.XLOOKUP($C304,Table1[BusinessUnitID],Table1[BusinessUnit],"",0)</f>
        <v>FOOD SERVICE</v>
      </c>
      <c r="L304" t="str" cm="1">
        <f t="array" ref="L304">_xlfn.XLOOKUP($C304,Table1[[#All],[BusinessUnitID]],Table1[[#All],[Description]],"",0,1)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04" t="str">
        <f>_xlfn.XLOOKUP($B304,ChartOfAccounts!A303:A388,ChartOfAccounts!B303:B388,"",0,1)</f>
        <v/>
      </c>
      <c r="N304">
        <f>_xlfn.XLOOKUP($B304,ChartOfAccounts!A303:A388,ChartOfAccounts!D303:D388,0,1)</f>
        <v>0</v>
      </c>
      <c r="O304" t="str">
        <f>_xlfn.XLOOKUP($B304,ChartOfAccounts!A303:A388,ChartOfAccounts!F303:F388,"",0,1)</f>
        <v/>
      </c>
      <c r="P304" t="str" cm="1">
        <f t="array" ref="P304">_xlfn.XLOOKUP($D304&amp;$C304,PreparerInfo!A303:A315&amp;PreparerInfo!C303:C315,PreparerInfo!B303:B315,"",0,1)</f>
        <v/>
      </c>
      <c r="Q304" t="str">
        <f>_xlfn.XLOOKUP($E304,Source!A303:A311,Source!B303:B311,"",0,1)</f>
        <v/>
      </c>
    </row>
    <row r="305" spans="1:17" x14ac:dyDescent="0.3">
      <c r="A305" s="3">
        <v>2033671</v>
      </c>
      <c r="B305">
        <v>11845</v>
      </c>
      <c r="C305">
        <v>1</v>
      </c>
      <c r="D305" s="9">
        <v>101</v>
      </c>
      <c r="E305">
        <v>1007</v>
      </c>
      <c r="F305" s="1">
        <v>44006</v>
      </c>
      <c r="G305" t="s">
        <v>83</v>
      </c>
      <c r="H305" s="4" t="s">
        <v>16</v>
      </c>
      <c r="I305" s="4">
        <v>-60.04</v>
      </c>
      <c r="J305" s="4">
        <v>-60.04</v>
      </c>
      <c r="K305" t="str">
        <f>_xlfn.XLOOKUP($C305,Table1[BusinessUnitID],Table1[BusinessUnit],"",0)</f>
        <v>FOOD SERVICE</v>
      </c>
      <c r="L305" t="str" cm="1">
        <f t="array" ref="L305">_xlfn.XLOOKUP($C305,Table1[[#All],[BusinessUnitID]],Table1[[#All],[Description]],"",0,1)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05" t="str">
        <f>_xlfn.XLOOKUP($B305,ChartOfAccounts!A304:A389,ChartOfAccounts!B304:B389,"",0,1)</f>
        <v/>
      </c>
      <c r="N305">
        <f>_xlfn.XLOOKUP($B305,ChartOfAccounts!A304:A389,ChartOfAccounts!D304:D389,0,1)</f>
        <v>0</v>
      </c>
      <c r="O305" t="str">
        <f>_xlfn.XLOOKUP($B305,ChartOfAccounts!A304:A389,ChartOfAccounts!F304:F389,"",0,1)</f>
        <v/>
      </c>
      <c r="P305" t="str" cm="1">
        <f t="array" ref="P305">_xlfn.XLOOKUP($D305&amp;$C305,PreparerInfo!A304:A316&amp;PreparerInfo!C304:C316,PreparerInfo!B304:B316,"",0,1)</f>
        <v/>
      </c>
      <c r="Q305" t="str">
        <f>_xlfn.XLOOKUP($E305,Source!A304:A312,Source!B304:B312,"",0,1)</f>
        <v/>
      </c>
    </row>
    <row r="306" spans="1:17" x14ac:dyDescent="0.3">
      <c r="A306" s="3">
        <v>2033672</v>
      </c>
      <c r="B306">
        <v>11845</v>
      </c>
      <c r="C306">
        <v>3</v>
      </c>
      <c r="D306" s="9">
        <v>102</v>
      </c>
      <c r="E306">
        <v>1001</v>
      </c>
      <c r="F306" s="1">
        <v>44006</v>
      </c>
      <c r="G306" t="s">
        <v>41</v>
      </c>
      <c r="H306" s="4">
        <v>63.17</v>
      </c>
      <c r="I306" s="4" t="s">
        <v>16</v>
      </c>
      <c r="J306" s="4">
        <v>63.17</v>
      </c>
      <c r="K306" t="str">
        <f>_xlfn.XLOOKUP($C306,Table1[BusinessUnitID],Table1[BusinessUnit],"",0)</f>
        <v>HOTEL PANTRY</v>
      </c>
      <c r="L306" t="str" cm="1">
        <f t="array" ref="L306">_xlfn.XLOOKUP($C306,Table1[[#All],[BusinessUnitID]],Table1[[#All],[Description]],"",0,1)</f>
        <v>Transactions related to the hotel convenience store, including some food and beverage costs.</v>
      </c>
      <c r="M306" t="str">
        <f>_xlfn.XLOOKUP($B306,ChartOfAccounts!A305:A390,ChartOfAccounts!B305:B390,"",0,1)</f>
        <v/>
      </c>
      <c r="N306">
        <f>_xlfn.XLOOKUP($B306,ChartOfAccounts!A305:A390,ChartOfAccounts!D305:D390,0,1)</f>
        <v>0</v>
      </c>
      <c r="O306" t="str">
        <f>_xlfn.XLOOKUP($B306,ChartOfAccounts!A305:A390,ChartOfAccounts!F305:F390,"",0,1)</f>
        <v/>
      </c>
      <c r="P306" t="str" cm="1">
        <f t="array" ref="P306">_xlfn.XLOOKUP($D306&amp;$C306,PreparerInfo!A305:A317&amp;PreparerInfo!C305:C317,PreparerInfo!B305:B317,"",0,1)</f>
        <v/>
      </c>
      <c r="Q306" t="str">
        <f>_xlfn.XLOOKUP($E306,Source!A305:A313,Source!B305:B313,"",0,1)</f>
        <v/>
      </c>
    </row>
    <row r="307" spans="1:17" x14ac:dyDescent="0.3">
      <c r="A307" s="3">
        <v>2033672</v>
      </c>
      <c r="B307">
        <v>43440</v>
      </c>
      <c r="C307">
        <v>3</v>
      </c>
      <c r="D307" s="9">
        <v>102</v>
      </c>
      <c r="E307">
        <v>1001</v>
      </c>
      <c r="F307" s="1">
        <v>44006</v>
      </c>
      <c r="G307" t="s">
        <v>41</v>
      </c>
      <c r="H307" s="4" t="s">
        <v>16</v>
      </c>
      <c r="I307" s="4">
        <v>-63.17</v>
      </c>
      <c r="J307" s="4">
        <v>-63.17</v>
      </c>
      <c r="K307" t="str">
        <f>_xlfn.XLOOKUP($C307,Table1[BusinessUnitID],Table1[BusinessUnit],"",0)</f>
        <v>HOTEL PANTRY</v>
      </c>
      <c r="L307" t="str" cm="1">
        <f t="array" ref="L307">_xlfn.XLOOKUP($C307,Table1[[#All],[BusinessUnitID]],Table1[[#All],[Description]],"",0,1)</f>
        <v>Transactions related to the hotel convenience store, including some food and beverage costs.</v>
      </c>
      <c r="M307" t="str">
        <f>_xlfn.XLOOKUP($B307,ChartOfAccounts!A306:A391,ChartOfAccounts!B306:B391,"",0,1)</f>
        <v/>
      </c>
      <c r="N307">
        <f>_xlfn.XLOOKUP($B307,ChartOfAccounts!A306:A391,ChartOfAccounts!D306:D391,0,1)</f>
        <v>0</v>
      </c>
      <c r="O307" t="str">
        <f>_xlfn.XLOOKUP($B307,ChartOfAccounts!A306:A391,ChartOfAccounts!F306:F391,"",0,1)</f>
        <v/>
      </c>
      <c r="P307" t="str" cm="1">
        <f t="array" ref="P307">_xlfn.XLOOKUP($D307&amp;$C307,PreparerInfo!A306:A318&amp;PreparerInfo!C306:C318,PreparerInfo!B306:B318,"",0,1)</f>
        <v/>
      </c>
      <c r="Q307" t="str">
        <f>_xlfn.XLOOKUP($E307,Source!A306:A314,Source!B306:B314,"",0,1)</f>
        <v/>
      </c>
    </row>
    <row r="308" spans="1:17" x14ac:dyDescent="0.3">
      <c r="A308" s="3">
        <v>2033673</v>
      </c>
      <c r="B308">
        <v>71410</v>
      </c>
      <c r="C308">
        <v>3</v>
      </c>
      <c r="D308" s="9">
        <v>101</v>
      </c>
      <c r="E308">
        <v>1007</v>
      </c>
      <c r="F308" s="1">
        <v>44006</v>
      </c>
      <c r="G308" t="s">
        <v>115</v>
      </c>
      <c r="H308" s="4">
        <v>68.22</v>
      </c>
      <c r="I308" s="4" t="s">
        <v>16</v>
      </c>
      <c r="J308" s="4">
        <v>68.22</v>
      </c>
      <c r="K308" t="str">
        <f>_xlfn.XLOOKUP($C308,Table1[BusinessUnitID],Table1[BusinessUnit],"",0)</f>
        <v>HOTEL PANTRY</v>
      </c>
      <c r="L308" t="str" cm="1">
        <f t="array" ref="L308">_xlfn.XLOOKUP($C308,Table1[[#All],[BusinessUnitID]],Table1[[#All],[Description]],"",0,1)</f>
        <v>Transactions related to the hotel convenience store, including some food and beverage costs.</v>
      </c>
      <c r="M308" t="str">
        <f>_xlfn.XLOOKUP($B308,ChartOfAccounts!A307:A392,ChartOfAccounts!B307:B392,"",0,1)</f>
        <v/>
      </c>
      <c r="N308">
        <f>_xlfn.XLOOKUP($B308,ChartOfAccounts!A307:A392,ChartOfAccounts!D307:D392,0,1)</f>
        <v>0</v>
      </c>
      <c r="O308" t="str">
        <f>_xlfn.XLOOKUP($B308,ChartOfAccounts!A307:A392,ChartOfAccounts!F307:F392,"",0,1)</f>
        <v/>
      </c>
      <c r="P308" t="str" cm="1">
        <f t="array" ref="P308">_xlfn.XLOOKUP($D308&amp;$C308,PreparerInfo!A307:A319&amp;PreparerInfo!C307:C319,PreparerInfo!B307:B319,"",0,1)</f>
        <v/>
      </c>
      <c r="Q308" t="str">
        <f>_xlfn.XLOOKUP($E308,Source!A307:A315,Source!B307:B315,"",0,1)</f>
        <v/>
      </c>
    </row>
    <row r="309" spans="1:17" x14ac:dyDescent="0.3">
      <c r="A309" s="3">
        <v>2033673</v>
      </c>
      <c r="B309">
        <v>11845</v>
      </c>
      <c r="C309">
        <v>3</v>
      </c>
      <c r="D309" s="9">
        <v>101</v>
      </c>
      <c r="E309">
        <v>1007</v>
      </c>
      <c r="F309" s="1">
        <v>44006</v>
      </c>
      <c r="G309" t="s">
        <v>115</v>
      </c>
      <c r="H309" s="4" t="s">
        <v>16</v>
      </c>
      <c r="I309" s="4">
        <v>-68.22</v>
      </c>
      <c r="J309" s="4">
        <v>-68.22</v>
      </c>
      <c r="K309" t="str">
        <f>_xlfn.XLOOKUP($C309,Table1[BusinessUnitID],Table1[BusinessUnit],"",0)</f>
        <v>HOTEL PANTRY</v>
      </c>
      <c r="L309" t="str" cm="1">
        <f t="array" ref="L309">_xlfn.XLOOKUP($C309,Table1[[#All],[BusinessUnitID]],Table1[[#All],[Description]],"",0,1)</f>
        <v>Transactions related to the hotel convenience store, including some food and beverage costs.</v>
      </c>
      <c r="M309" t="str">
        <f>_xlfn.XLOOKUP($B309,ChartOfAccounts!A308:A393,ChartOfAccounts!B308:B393,"",0,1)</f>
        <v/>
      </c>
      <c r="N309">
        <f>_xlfn.XLOOKUP($B309,ChartOfAccounts!A308:A393,ChartOfAccounts!D308:D393,0,1)</f>
        <v>0</v>
      </c>
      <c r="O309" t="str">
        <f>_xlfn.XLOOKUP($B309,ChartOfAccounts!A308:A393,ChartOfAccounts!F308:F393,"",0,1)</f>
        <v/>
      </c>
      <c r="P309" t="str" cm="1">
        <f t="array" ref="P309">_xlfn.XLOOKUP($D309&amp;$C309,PreparerInfo!A308:A320&amp;PreparerInfo!C308:C320,PreparerInfo!B308:B320,"",0,1)</f>
        <v/>
      </c>
      <c r="Q309" t="str">
        <f>_xlfn.XLOOKUP($E309,Source!A308:A316,Source!B308:B316,"",0,1)</f>
        <v/>
      </c>
    </row>
    <row r="310" spans="1:17" x14ac:dyDescent="0.3">
      <c r="A310" s="3">
        <v>2033674</v>
      </c>
      <c r="B310">
        <v>71400</v>
      </c>
      <c r="C310">
        <v>2</v>
      </c>
      <c r="D310" s="9">
        <v>101</v>
      </c>
      <c r="E310">
        <v>1002</v>
      </c>
      <c r="F310" s="1">
        <v>44006</v>
      </c>
      <c r="G310" t="s">
        <v>233</v>
      </c>
      <c r="H310" s="4">
        <v>73.3</v>
      </c>
      <c r="I310" s="4" t="s">
        <v>16</v>
      </c>
      <c r="J310" s="4">
        <v>73.3</v>
      </c>
      <c r="K310" t="str">
        <f>_xlfn.XLOOKUP($C310,Table1[BusinessUnitID],Table1[BusinessUnit],"",0)</f>
        <v>HOTEL</v>
      </c>
      <c r="L310" t="str" cm="1">
        <f t="array" ref="L310">_xlfn.XLOOKUP($C310,Table1[[#All],[BusinessUnitID]],Table1[[#All],[Description]],"",0,1)</f>
        <v xml:space="preserve">Transactions related to guest rooms and overall hotel operations. Includes payroll for administrative staff, clerks and interns. </v>
      </c>
      <c r="M310" t="str">
        <f>_xlfn.XLOOKUP($B310,ChartOfAccounts!A309:A394,ChartOfAccounts!B309:B394,"",0,1)</f>
        <v/>
      </c>
      <c r="N310">
        <f>_xlfn.XLOOKUP($B310,ChartOfAccounts!A309:A394,ChartOfAccounts!D309:D394,0,1)</f>
        <v>0</v>
      </c>
      <c r="O310" t="str">
        <f>_xlfn.XLOOKUP($B310,ChartOfAccounts!A309:A394,ChartOfAccounts!F309:F394,"",0,1)</f>
        <v/>
      </c>
      <c r="P310" t="str" cm="1">
        <f t="array" ref="P310">_xlfn.XLOOKUP($D310&amp;$C310,PreparerInfo!A309:A321&amp;PreparerInfo!C309:C321,PreparerInfo!B309:B321,"",0,1)</f>
        <v/>
      </c>
      <c r="Q310" t="str">
        <f>_xlfn.XLOOKUP($E310,Source!A309:A317,Source!B309:B317,"",0,1)</f>
        <v/>
      </c>
    </row>
    <row r="311" spans="1:17" x14ac:dyDescent="0.3">
      <c r="A311" s="3">
        <v>2033674</v>
      </c>
      <c r="B311">
        <v>11845</v>
      </c>
      <c r="C311">
        <v>2</v>
      </c>
      <c r="D311" s="9">
        <v>101</v>
      </c>
      <c r="E311">
        <v>1002</v>
      </c>
      <c r="F311" s="1">
        <v>44006</v>
      </c>
      <c r="G311" t="s">
        <v>233</v>
      </c>
      <c r="H311" s="4" t="s">
        <v>16</v>
      </c>
      <c r="I311" s="4">
        <v>-73.3</v>
      </c>
      <c r="J311" s="4">
        <v>-73.3</v>
      </c>
      <c r="K311" t="str">
        <f>_xlfn.XLOOKUP($C311,Table1[BusinessUnitID],Table1[BusinessUnit],"",0)</f>
        <v>HOTEL</v>
      </c>
      <c r="L311" t="str" cm="1">
        <f t="array" ref="L311">_xlfn.XLOOKUP($C311,Table1[[#All],[BusinessUnitID]],Table1[[#All],[Description]],"",0,1)</f>
        <v xml:space="preserve">Transactions related to guest rooms and overall hotel operations. Includes payroll for administrative staff, clerks and interns. </v>
      </c>
      <c r="M311" t="str">
        <f>_xlfn.XLOOKUP($B311,ChartOfAccounts!A310:A395,ChartOfAccounts!B310:B395,"",0,1)</f>
        <v/>
      </c>
      <c r="N311">
        <f>_xlfn.XLOOKUP($B311,ChartOfAccounts!A310:A395,ChartOfAccounts!D310:D395,0,1)</f>
        <v>0</v>
      </c>
      <c r="O311" t="str">
        <f>_xlfn.XLOOKUP($B311,ChartOfAccounts!A310:A395,ChartOfAccounts!F310:F395,"",0,1)</f>
        <v/>
      </c>
      <c r="P311" t="str" cm="1">
        <f t="array" ref="P311">_xlfn.XLOOKUP($D311&amp;$C311,PreparerInfo!A310:A322&amp;PreparerInfo!C310:C322,PreparerInfo!B310:B322,"",0,1)</f>
        <v/>
      </c>
      <c r="Q311" t="str">
        <f>_xlfn.XLOOKUP($E311,Source!A310:A318,Source!B310:B318,"",0,1)</f>
        <v/>
      </c>
    </row>
    <row r="312" spans="1:17" x14ac:dyDescent="0.3">
      <c r="A312" s="3">
        <v>2033675</v>
      </c>
      <c r="B312">
        <v>11845</v>
      </c>
      <c r="C312">
        <v>1</v>
      </c>
      <c r="D312" s="9">
        <v>102</v>
      </c>
      <c r="E312">
        <v>1001</v>
      </c>
      <c r="F312" s="1">
        <v>44006</v>
      </c>
      <c r="G312" t="s">
        <v>41</v>
      </c>
      <c r="H312" s="4">
        <v>76.77</v>
      </c>
      <c r="I312" s="4" t="s">
        <v>16</v>
      </c>
      <c r="J312" s="4">
        <v>76.77</v>
      </c>
      <c r="K312" t="str">
        <f>_xlfn.XLOOKUP($C312,Table1[BusinessUnitID],Table1[BusinessUnit],"",0)</f>
        <v>FOOD SERVICE</v>
      </c>
      <c r="L312" t="str" cm="1">
        <f t="array" ref="L312">_xlfn.XLOOKUP($C312,Table1[[#All],[BusinessUnitID]],Table1[[#All],[Description]],"",0,1)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12" t="str">
        <f>_xlfn.XLOOKUP($B312,ChartOfAccounts!A311:A396,ChartOfAccounts!B311:B396,"",0,1)</f>
        <v/>
      </c>
      <c r="N312">
        <f>_xlfn.XLOOKUP($B312,ChartOfAccounts!A311:A396,ChartOfAccounts!D311:D396,0,1)</f>
        <v>0</v>
      </c>
      <c r="O312" t="str">
        <f>_xlfn.XLOOKUP($B312,ChartOfAccounts!A311:A396,ChartOfAccounts!F311:F396,"",0,1)</f>
        <v/>
      </c>
      <c r="P312" t="str" cm="1">
        <f t="array" ref="P312">_xlfn.XLOOKUP($D312&amp;$C312,PreparerInfo!A311:A323&amp;PreparerInfo!C311:C323,PreparerInfo!B311:B323,"",0,1)</f>
        <v/>
      </c>
      <c r="Q312" t="str">
        <f>_xlfn.XLOOKUP($E312,Source!A311:A319,Source!B311:B319,"",0,1)</f>
        <v/>
      </c>
    </row>
    <row r="313" spans="1:17" x14ac:dyDescent="0.3">
      <c r="A313" s="3">
        <v>2033675</v>
      </c>
      <c r="B313">
        <v>43310</v>
      </c>
      <c r="C313">
        <v>1</v>
      </c>
      <c r="D313" s="9">
        <v>102</v>
      </c>
      <c r="E313">
        <v>1001</v>
      </c>
      <c r="F313" s="1">
        <v>44006</v>
      </c>
      <c r="G313" t="s">
        <v>41</v>
      </c>
      <c r="H313" s="4" t="s">
        <v>16</v>
      </c>
      <c r="I313" s="4">
        <v>-76.77</v>
      </c>
      <c r="J313" s="4">
        <v>-76.77</v>
      </c>
      <c r="K313" t="str">
        <f>_xlfn.XLOOKUP($C313,Table1[BusinessUnitID],Table1[BusinessUnit],"",0)</f>
        <v>FOOD SERVICE</v>
      </c>
      <c r="L313" t="str" cm="1">
        <f t="array" ref="L313">_xlfn.XLOOKUP($C313,Table1[[#All],[BusinessUnitID]],Table1[[#All],[Description]],"",0,1)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13" t="str">
        <f>_xlfn.XLOOKUP($B313,ChartOfAccounts!A312:A397,ChartOfAccounts!B312:B397,"",0,1)</f>
        <v/>
      </c>
      <c r="N313">
        <f>_xlfn.XLOOKUP($B313,ChartOfAccounts!A312:A397,ChartOfAccounts!D312:D397,0,1)</f>
        <v>0</v>
      </c>
      <c r="O313" t="str">
        <f>_xlfn.XLOOKUP($B313,ChartOfAccounts!A312:A397,ChartOfAccounts!F312:F397,"",0,1)</f>
        <v/>
      </c>
      <c r="P313" t="str" cm="1">
        <f t="array" ref="P313">_xlfn.XLOOKUP($D313&amp;$C313,PreparerInfo!A312:A324&amp;PreparerInfo!C312:C324,PreparerInfo!B312:B324,"",0,1)</f>
        <v/>
      </c>
      <c r="Q313" t="str">
        <f>_xlfn.XLOOKUP($E313,Source!A312:A320,Source!B312:B320,"",0,1)</f>
        <v/>
      </c>
    </row>
    <row r="314" spans="1:17" x14ac:dyDescent="0.3">
      <c r="A314" s="3">
        <v>2033676</v>
      </c>
      <c r="B314">
        <v>71400</v>
      </c>
      <c r="C314">
        <v>1</v>
      </c>
      <c r="D314" s="9">
        <v>101</v>
      </c>
      <c r="E314">
        <v>1007</v>
      </c>
      <c r="F314" s="1">
        <v>44006</v>
      </c>
      <c r="G314" t="s">
        <v>83</v>
      </c>
      <c r="H314" s="4">
        <v>76.97</v>
      </c>
      <c r="I314" s="4" t="s">
        <v>16</v>
      </c>
      <c r="J314" s="4">
        <v>76.97</v>
      </c>
      <c r="K314" t="str">
        <f>_xlfn.XLOOKUP($C314,Table1[BusinessUnitID],Table1[BusinessUnit],"",0)</f>
        <v>FOOD SERVICE</v>
      </c>
      <c r="L314" t="str" cm="1">
        <f t="array" ref="L314">_xlfn.XLOOKUP($C314,Table1[[#All],[BusinessUnitID]],Table1[[#All],[Description]],"",0,1)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14" t="str">
        <f>_xlfn.XLOOKUP($B314,ChartOfAccounts!A313:A398,ChartOfAccounts!B313:B398,"",0,1)</f>
        <v/>
      </c>
      <c r="N314">
        <f>_xlfn.XLOOKUP($B314,ChartOfAccounts!A313:A398,ChartOfAccounts!D313:D398,0,1)</f>
        <v>0</v>
      </c>
      <c r="O314" t="str">
        <f>_xlfn.XLOOKUP($B314,ChartOfAccounts!A313:A398,ChartOfAccounts!F313:F398,"",0,1)</f>
        <v/>
      </c>
      <c r="P314" t="str" cm="1">
        <f t="array" ref="P314">_xlfn.XLOOKUP($D314&amp;$C314,PreparerInfo!A313:A325&amp;PreparerInfo!C313:C325,PreparerInfo!B313:B325,"",0,1)</f>
        <v/>
      </c>
      <c r="Q314" t="str">
        <f>_xlfn.XLOOKUP($E314,Source!A313:A321,Source!B313:B321,"",0,1)</f>
        <v/>
      </c>
    </row>
    <row r="315" spans="1:17" x14ac:dyDescent="0.3">
      <c r="A315" s="3">
        <v>2033676</v>
      </c>
      <c r="B315">
        <v>11845</v>
      </c>
      <c r="C315">
        <v>1</v>
      </c>
      <c r="D315" s="9">
        <v>101</v>
      </c>
      <c r="E315">
        <v>1007</v>
      </c>
      <c r="F315" s="1">
        <v>44006</v>
      </c>
      <c r="G315" t="s">
        <v>83</v>
      </c>
      <c r="H315" s="4" t="s">
        <v>16</v>
      </c>
      <c r="I315" s="4">
        <v>-76.97</v>
      </c>
      <c r="J315" s="4">
        <v>-76.97</v>
      </c>
      <c r="K315" t="str">
        <f>_xlfn.XLOOKUP($C315,Table1[BusinessUnitID],Table1[BusinessUnit],"",0)</f>
        <v>FOOD SERVICE</v>
      </c>
      <c r="L315" t="str" cm="1">
        <f t="array" ref="L315">_xlfn.XLOOKUP($C315,Table1[[#All],[BusinessUnitID]],Table1[[#All],[Description]],"",0,1)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15" t="str">
        <f>_xlfn.XLOOKUP($B315,ChartOfAccounts!A314:A399,ChartOfAccounts!B314:B399,"",0,1)</f>
        <v/>
      </c>
      <c r="N315">
        <f>_xlfn.XLOOKUP($B315,ChartOfAccounts!A314:A399,ChartOfAccounts!D314:D399,0,1)</f>
        <v>0</v>
      </c>
      <c r="O315" t="str">
        <f>_xlfn.XLOOKUP($B315,ChartOfAccounts!A314:A399,ChartOfAccounts!F314:F399,"",0,1)</f>
        <v/>
      </c>
      <c r="P315" t="str" cm="1">
        <f t="array" ref="P315">_xlfn.XLOOKUP($D315&amp;$C315,PreparerInfo!A314:A326&amp;PreparerInfo!C314:C326,PreparerInfo!B314:B326,"",0,1)</f>
        <v/>
      </c>
      <c r="Q315" t="str">
        <f>_xlfn.XLOOKUP($E315,Source!A314:A322,Source!B314:B322,"",0,1)</f>
        <v/>
      </c>
    </row>
    <row r="316" spans="1:17" x14ac:dyDescent="0.3">
      <c r="A316" s="3">
        <v>2033677</v>
      </c>
      <c r="B316">
        <v>11845</v>
      </c>
      <c r="C316">
        <v>3</v>
      </c>
      <c r="D316" s="9">
        <v>102</v>
      </c>
      <c r="E316">
        <v>1003</v>
      </c>
      <c r="F316" s="1">
        <v>44006</v>
      </c>
      <c r="G316" t="s">
        <v>15</v>
      </c>
      <c r="H316" s="4">
        <v>86.83</v>
      </c>
      <c r="I316" s="4" t="s">
        <v>16</v>
      </c>
      <c r="J316" s="4">
        <v>86.83</v>
      </c>
      <c r="K316" t="str">
        <f>_xlfn.XLOOKUP($C316,Table1[BusinessUnitID],Table1[BusinessUnit],"",0)</f>
        <v>HOTEL PANTRY</v>
      </c>
      <c r="L316" t="str" cm="1">
        <f t="array" ref="L316">_xlfn.XLOOKUP($C316,Table1[[#All],[BusinessUnitID]],Table1[[#All],[Description]],"",0,1)</f>
        <v>Transactions related to the hotel convenience store, including some food and beverage costs.</v>
      </c>
      <c r="M316" t="str">
        <f>_xlfn.XLOOKUP($B316,ChartOfAccounts!A315:A400,ChartOfAccounts!B315:B400,"",0,1)</f>
        <v/>
      </c>
      <c r="N316">
        <f>_xlfn.XLOOKUP($B316,ChartOfAccounts!A315:A400,ChartOfAccounts!D315:D400,0,1)</f>
        <v>0</v>
      </c>
      <c r="O316" t="str">
        <f>_xlfn.XLOOKUP($B316,ChartOfAccounts!A315:A400,ChartOfAccounts!F315:F400,"",0,1)</f>
        <v/>
      </c>
      <c r="P316" t="str" cm="1">
        <f t="array" ref="P316">_xlfn.XLOOKUP($D316&amp;$C316,PreparerInfo!A315:A327&amp;PreparerInfo!C315:C327,PreparerInfo!B315:B327,"",0,1)</f>
        <v/>
      </c>
      <c r="Q316" t="str">
        <f>_xlfn.XLOOKUP($E316,Source!A315:A323,Source!B315:B323,"",0,1)</f>
        <v/>
      </c>
    </row>
    <row r="317" spans="1:17" x14ac:dyDescent="0.3">
      <c r="A317" s="3">
        <v>2033677</v>
      </c>
      <c r="B317">
        <v>43440</v>
      </c>
      <c r="C317">
        <v>3</v>
      </c>
      <c r="D317" s="9">
        <v>102</v>
      </c>
      <c r="E317">
        <v>1003</v>
      </c>
      <c r="F317" s="1">
        <v>44006</v>
      </c>
      <c r="G317" t="s">
        <v>15</v>
      </c>
      <c r="H317" s="4" t="s">
        <v>16</v>
      </c>
      <c r="I317" s="4">
        <v>-86.83</v>
      </c>
      <c r="J317" s="4">
        <v>-86.83</v>
      </c>
      <c r="K317" t="str">
        <f>_xlfn.XLOOKUP($C317,Table1[BusinessUnitID],Table1[BusinessUnit],"",0)</f>
        <v>HOTEL PANTRY</v>
      </c>
      <c r="L317" t="str" cm="1">
        <f t="array" ref="L317">_xlfn.XLOOKUP($C317,Table1[[#All],[BusinessUnitID]],Table1[[#All],[Description]],"",0,1)</f>
        <v>Transactions related to the hotel convenience store, including some food and beverage costs.</v>
      </c>
      <c r="M317" t="str">
        <f>_xlfn.XLOOKUP($B317,ChartOfAccounts!A316:A401,ChartOfAccounts!B316:B401,"",0,1)</f>
        <v/>
      </c>
      <c r="N317">
        <f>_xlfn.XLOOKUP($B317,ChartOfAccounts!A316:A401,ChartOfAccounts!D316:D401,0,1)</f>
        <v>0</v>
      </c>
      <c r="O317" t="str">
        <f>_xlfn.XLOOKUP($B317,ChartOfAccounts!A316:A401,ChartOfAccounts!F316:F401,"",0,1)</f>
        <v/>
      </c>
      <c r="P317" t="str" cm="1">
        <f t="array" ref="P317">_xlfn.XLOOKUP($D317&amp;$C317,PreparerInfo!A316:A328&amp;PreparerInfo!C316:C328,PreparerInfo!B316:B328,"",0,1)</f>
        <v/>
      </c>
      <c r="Q317" t="str">
        <f>_xlfn.XLOOKUP($E317,Source!A316:A324,Source!B316:B324,"",0,1)</f>
        <v/>
      </c>
    </row>
    <row r="318" spans="1:17" x14ac:dyDescent="0.3">
      <c r="A318" s="3">
        <v>2033678</v>
      </c>
      <c r="B318">
        <v>74203</v>
      </c>
      <c r="C318">
        <v>1</v>
      </c>
      <c r="D318" s="9">
        <v>101</v>
      </c>
      <c r="E318">
        <v>1007</v>
      </c>
      <c r="F318" s="1">
        <v>44006</v>
      </c>
      <c r="G318" t="s">
        <v>136</v>
      </c>
      <c r="H318" s="4">
        <v>94</v>
      </c>
      <c r="I318" s="4" t="s">
        <v>16</v>
      </c>
      <c r="J318" s="4">
        <v>94</v>
      </c>
      <c r="K318" t="str">
        <f>_xlfn.XLOOKUP($C318,Table1[BusinessUnitID],Table1[BusinessUnit],"",0)</f>
        <v>FOOD SERVICE</v>
      </c>
      <c r="L318" t="str" cm="1">
        <f t="array" ref="L318">_xlfn.XLOOKUP($C318,Table1[[#All],[BusinessUnitID]],Table1[[#All],[Description]],"",0,1)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18" t="str">
        <f>_xlfn.XLOOKUP($B318,ChartOfAccounts!A317:A402,ChartOfAccounts!B317:B402,"",0,1)</f>
        <v/>
      </c>
      <c r="N318">
        <f>_xlfn.XLOOKUP($B318,ChartOfAccounts!A317:A402,ChartOfAccounts!D317:D402,0,1)</f>
        <v>0</v>
      </c>
      <c r="O318" t="str">
        <f>_xlfn.XLOOKUP($B318,ChartOfAccounts!A317:A402,ChartOfAccounts!F317:F402,"",0,1)</f>
        <v/>
      </c>
      <c r="P318" t="str" cm="1">
        <f t="array" ref="P318">_xlfn.XLOOKUP($D318&amp;$C318,PreparerInfo!A317:A329&amp;PreparerInfo!C317:C329,PreparerInfo!B317:B329,"",0,1)</f>
        <v/>
      </c>
      <c r="Q318" t="str">
        <f>_xlfn.XLOOKUP($E318,Source!A317:A325,Source!B317:B325,"",0,1)</f>
        <v/>
      </c>
    </row>
    <row r="319" spans="1:17" x14ac:dyDescent="0.3">
      <c r="A319" s="3">
        <v>2033678</v>
      </c>
      <c r="B319">
        <v>11845</v>
      </c>
      <c r="C319">
        <v>1</v>
      </c>
      <c r="D319" s="9">
        <v>101</v>
      </c>
      <c r="E319">
        <v>1007</v>
      </c>
      <c r="F319" s="1">
        <v>44006</v>
      </c>
      <c r="G319" t="s">
        <v>136</v>
      </c>
      <c r="H319" s="4" t="s">
        <v>16</v>
      </c>
      <c r="I319" s="4">
        <v>-94</v>
      </c>
      <c r="J319" s="4">
        <v>-94</v>
      </c>
      <c r="K319" t="str">
        <f>_xlfn.XLOOKUP($C319,Table1[BusinessUnitID],Table1[BusinessUnit],"",0)</f>
        <v>FOOD SERVICE</v>
      </c>
      <c r="L319" t="str" cm="1">
        <f t="array" ref="L319">_xlfn.XLOOKUP($C319,Table1[[#All],[BusinessUnitID]],Table1[[#All],[Description]],"",0,1)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19" t="str">
        <f>_xlfn.XLOOKUP($B319,ChartOfAccounts!A318:A403,ChartOfAccounts!B318:B403,"",0,1)</f>
        <v/>
      </c>
      <c r="N319">
        <f>_xlfn.XLOOKUP($B319,ChartOfAccounts!A318:A403,ChartOfAccounts!D318:D403,0,1)</f>
        <v>0</v>
      </c>
      <c r="O319" t="str">
        <f>_xlfn.XLOOKUP($B319,ChartOfAccounts!A318:A403,ChartOfAccounts!F318:F403,"",0,1)</f>
        <v/>
      </c>
      <c r="P319" t="str" cm="1">
        <f t="array" ref="P319">_xlfn.XLOOKUP($D319&amp;$C319,PreparerInfo!A318:A330&amp;PreparerInfo!C318:C330,PreparerInfo!B318:B330,"",0,1)</f>
        <v/>
      </c>
      <c r="Q319" t="str">
        <f>_xlfn.XLOOKUP($E319,Source!A318:A326,Source!B318:B326,"",0,1)</f>
        <v/>
      </c>
    </row>
    <row r="320" spans="1:17" x14ac:dyDescent="0.3">
      <c r="A320" s="3">
        <v>2033679</v>
      </c>
      <c r="B320">
        <v>71400</v>
      </c>
      <c r="C320">
        <v>1</v>
      </c>
      <c r="D320" s="9">
        <v>101</v>
      </c>
      <c r="E320">
        <v>1007</v>
      </c>
      <c r="F320" s="1">
        <v>44006</v>
      </c>
      <c r="G320" t="s">
        <v>92</v>
      </c>
      <c r="H320" s="4">
        <v>94.68</v>
      </c>
      <c r="I320" s="4" t="s">
        <v>16</v>
      </c>
      <c r="J320" s="4">
        <v>94.68</v>
      </c>
      <c r="K320" t="str">
        <f>_xlfn.XLOOKUP($C320,Table1[BusinessUnitID],Table1[BusinessUnit],"",0)</f>
        <v>FOOD SERVICE</v>
      </c>
      <c r="L320" t="str" cm="1">
        <f t="array" ref="L320">_xlfn.XLOOKUP($C320,Table1[[#All],[BusinessUnitID]],Table1[[#All],[Description]],"",0,1)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20" t="str">
        <f>_xlfn.XLOOKUP($B320,ChartOfAccounts!A319:A404,ChartOfAccounts!B319:B404,"",0,1)</f>
        <v/>
      </c>
      <c r="N320">
        <f>_xlfn.XLOOKUP($B320,ChartOfAccounts!A319:A404,ChartOfAccounts!D319:D404,0,1)</f>
        <v>0</v>
      </c>
      <c r="O320" t="str">
        <f>_xlfn.XLOOKUP($B320,ChartOfAccounts!A319:A404,ChartOfAccounts!F319:F404,"",0,1)</f>
        <v/>
      </c>
      <c r="P320" t="str" cm="1">
        <f t="array" ref="P320">_xlfn.XLOOKUP($D320&amp;$C320,PreparerInfo!A319:A331&amp;PreparerInfo!C319:C331,PreparerInfo!B319:B331,"",0,1)</f>
        <v/>
      </c>
      <c r="Q320" t="str">
        <f>_xlfn.XLOOKUP($E320,Source!A319:A327,Source!B319:B327,"",0,1)</f>
        <v/>
      </c>
    </row>
    <row r="321" spans="1:17" x14ac:dyDescent="0.3">
      <c r="A321" s="3">
        <v>2033679</v>
      </c>
      <c r="B321">
        <v>11845</v>
      </c>
      <c r="C321">
        <v>1</v>
      </c>
      <c r="D321" s="9">
        <v>101</v>
      </c>
      <c r="E321">
        <v>1007</v>
      </c>
      <c r="F321" s="1">
        <v>44006</v>
      </c>
      <c r="G321" t="s">
        <v>92</v>
      </c>
      <c r="H321" s="4" t="s">
        <v>16</v>
      </c>
      <c r="I321" s="4">
        <v>-94.68</v>
      </c>
      <c r="J321" s="4">
        <v>-94.68</v>
      </c>
      <c r="K321" t="str">
        <f>_xlfn.XLOOKUP($C321,Table1[BusinessUnitID],Table1[BusinessUnit],"",0)</f>
        <v>FOOD SERVICE</v>
      </c>
      <c r="L321" t="str" cm="1">
        <f t="array" ref="L321">_xlfn.XLOOKUP($C321,Table1[[#All],[BusinessUnitID]],Table1[[#All],[Description]],"",0,1)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21" t="str">
        <f>_xlfn.XLOOKUP($B321,ChartOfAccounts!A320:A405,ChartOfAccounts!B320:B405,"",0,1)</f>
        <v/>
      </c>
      <c r="N321">
        <f>_xlfn.XLOOKUP($B321,ChartOfAccounts!A320:A405,ChartOfAccounts!D320:D405,0,1)</f>
        <v>0</v>
      </c>
      <c r="O321" t="str">
        <f>_xlfn.XLOOKUP($B321,ChartOfAccounts!A320:A405,ChartOfAccounts!F320:F405,"",0,1)</f>
        <v/>
      </c>
      <c r="P321" t="str" cm="1">
        <f t="array" ref="P321">_xlfn.XLOOKUP($D321&amp;$C321,PreparerInfo!A320:A332&amp;PreparerInfo!C320:C332,PreparerInfo!B320:B332,"",0,1)</f>
        <v/>
      </c>
      <c r="Q321" t="str">
        <f>_xlfn.XLOOKUP($E321,Source!A320:A328,Source!B320:B328,"",0,1)</f>
        <v/>
      </c>
    </row>
    <row r="322" spans="1:17" x14ac:dyDescent="0.3">
      <c r="A322" s="3">
        <v>2033680</v>
      </c>
      <c r="B322">
        <v>71400</v>
      </c>
      <c r="C322">
        <v>1</v>
      </c>
      <c r="D322" s="9">
        <v>101</v>
      </c>
      <c r="E322">
        <v>1007</v>
      </c>
      <c r="F322" s="1">
        <v>44006</v>
      </c>
      <c r="G322" t="s">
        <v>83</v>
      </c>
      <c r="H322" s="4">
        <v>95.6</v>
      </c>
      <c r="I322" s="4" t="s">
        <v>16</v>
      </c>
      <c r="J322" s="4">
        <v>95.6</v>
      </c>
      <c r="K322" t="str">
        <f>_xlfn.XLOOKUP($C322,Table1[BusinessUnitID],Table1[BusinessUnit],"",0)</f>
        <v>FOOD SERVICE</v>
      </c>
      <c r="L322" t="str" cm="1">
        <f t="array" ref="L322">_xlfn.XLOOKUP($C322,Table1[[#All],[BusinessUnitID]],Table1[[#All],[Description]],"",0,1)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22" t="str">
        <f>_xlfn.XLOOKUP($B322,ChartOfAccounts!A321:A406,ChartOfAccounts!B321:B406,"",0,1)</f>
        <v/>
      </c>
      <c r="N322">
        <f>_xlfn.XLOOKUP($B322,ChartOfAccounts!A321:A406,ChartOfAccounts!D321:D406,0,1)</f>
        <v>0</v>
      </c>
      <c r="O322" t="str">
        <f>_xlfn.XLOOKUP($B322,ChartOfAccounts!A321:A406,ChartOfAccounts!F321:F406,"",0,1)</f>
        <v/>
      </c>
      <c r="P322" t="str" cm="1">
        <f t="array" ref="P322">_xlfn.XLOOKUP($D322&amp;$C322,PreparerInfo!A321:A333&amp;PreparerInfo!C321:C333,PreparerInfo!B321:B333,"",0,1)</f>
        <v/>
      </c>
      <c r="Q322" t="str">
        <f>_xlfn.XLOOKUP($E322,Source!A321:A329,Source!B321:B329,"",0,1)</f>
        <v/>
      </c>
    </row>
    <row r="323" spans="1:17" x14ac:dyDescent="0.3">
      <c r="A323" s="3">
        <v>2033680</v>
      </c>
      <c r="B323">
        <v>11845</v>
      </c>
      <c r="C323">
        <v>1</v>
      </c>
      <c r="D323" s="9">
        <v>101</v>
      </c>
      <c r="E323">
        <v>1007</v>
      </c>
      <c r="F323" s="1">
        <v>44006</v>
      </c>
      <c r="G323" t="s">
        <v>83</v>
      </c>
      <c r="H323" s="4" t="s">
        <v>16</v>
      </c>
      <c r="I323" s="4">
        <v>-95.6</v>
      </c>
      <c r="J323" s="4">
        <v>-95.6</v>
      </c>
      <c r="K323" t="str">
        <f>_xlfn.XLOOKUP($C323,Table1[BusinessUnitID],Table1[BusinessUnit],"",0)</f>
        <v>FOOD SERVICE</v>
      </c>
      <c r="L323" t="str" cm="1">
        <f t="array" ref="L323">_xlfn.XLOOKUP($C323,Table1[[#All],[BusinessUnitID]],Table1[[#All],[Description]],"",0,1)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23" t="str">
        <f>_xlfn.XLOOKUP($B323,ChartOfAccounts!A322:A407,ChartOfAccounts!B322:B407,"",0,1)</f>
        <v/>
      </c>
      <c r="N323">
        <f>_xlfn.XLOOKUP($B323,ChartOfAccounts!A322:A407,ChartOfAccounts!D322:D407,0,1)</f>
        <v>0</v>
      </c>
      <c r="O323" t="str">
        <f>_xlfn.XLOOKUP($B323,ChartOfAccounts!A322:A407,ChartOfAccounts!F322:F407,"",0,1)</f>
        <v/>
      </c>
      <c r="P323" t="str" cm="1">
        <f t="array" ref="P323">_xlfn.XLOOKUP($D323&amp;$C323,PreparerInfo!A322:A334&amp;PreparerInfo!C322:C334,PreparerInfo!B322:B334,"",0,1)</f>
        <v/>
      </c>
      <c r="Q323" t="str">
        <f>_xlfn.XLOOKUP($E323,Source!A322:A330,Source!B322:B330,"",0,1)</f>
        <v/>
      </c>
    </row>
    <row r="324" spans="1:17" x14ac:dyDescent="0.3">
      <c r="A324" s="3">
        <v>2033681</v>
      </c>
      <c r="B324">
        <v>11845</v>
      </c>
      <c r="C324">
        <v>1</v>
      </c>
      <c r="D324" s="9">
        <v>101</v>
      </c>
      <c r="E324">
        <v>1007</v>
      </c>
      <c r="F324" s="1">
        <v>44006</v>
      </c>
      <c r="G324" t="s">
        <v>204</v>
      </c>
      <c r="H324" s="4">
        <v>99</v>
      </c>
      <c r="I324" s="4" t="s">
        <v>16</v>
      </c>
      <c r="J324" s="4">
        <v>99</v>
      </c>
      <c r="K324" t="str">
        <f>_xlfn.XLOOKUP($C324,Table1[BusinessUnitID],Table1[BusinessUnit],"",0)</f>
        <v>FOOD SERVICE</v>
      </c>
      <c r="L324" t="str" cm="1">
        <f t="array" ref="L324">_xlfn.XLOOKUP($C324,Table1[[#All],[BusinessUnitID]],Table1[[#All],[Description]],"",0,1)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24" t="str">
        <f>_xlfn.XLOOKUP($B324,ChartOfAccounts!A323:A408,ChartOfAccounts!B323:B408,"",0,1)</f>
        <v/>
      </c>
      <c r="N324">
        <f>_xlfn.XLOOKUP($B324,ChartOfAccounts!A323:A408,ChartOfAccounts!D323:D408,0,1)</f>
        <v>0</v>
      </c>
      <c r="O324" t="str">
        <f>_xlfn.XLOOKUP($B324,ChartOfAccounts!A323:A408,ChartOfAccounts!F323:F408,"",0,1)</f>
        <v/>
      </c>
      <c r="P324" t="str" cm="1">
        <f t="array" ref="P324">_xlfn.XLOOKUP($D324&amp;$C324,PreparerInfo!A323:A335&amp;PreparerInfo!C323:C335,PreparerInfo!B323:B335,"",0,1)</f>
        <v/>
      </c>
      <c r="Q324" t="str">
        <f>_xlfn.XLOOKUP($E324,Source!A323:A331,Source!B323:B331,"",0,1)</f>
        <v/>
      </c>
    </row>
    <row r="325" spans="1:17" x14ac:dyDescent="0.3">
      <c r="A325" s="3">
        <v>2033681</v>
      </c>
      <c r="B325">
        <v>72723</v>
      </c>
      <c r="C325">
        <v>1</v>
      </c>
      <c r="D325" s="9">
        <v>101</v>
      </c>
      <c r="E325">
        <v>1007</v>
      </c>
      <c r="F325" s="1">
        <v>44006</v>
      </c>
      <c r="G325" t="s">
        <v>204</v>
      </c>
      <c r="H325" s="4" t="s">
        <v>16</v>
      </c>
      <c r="I325" s="4">
        <v>-99</v>
      </c>
      <c r="J325" s="4">
        <v>-99</v>
      </c>
      <c r="K325" t="str">
        <f>_xlfn.XLOOKUP($C325,Table1[BusinessUnitID],Table1[BusinessUnit],"",0)</f>
        <v>FOOD SERVICE</v>
      </c>
      <c r="L325" t="str" cm="1">
        <f t="array" ref="L325">_xlfn.XLOOKUP($C325,Table1[[#All],[BusinessUnitID]],Table1[[#All],[Description]],"",0,1)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25" t="str">
        <f>_xlfn.XLOOKUP($B325,ChartOfAccounts!A324:A409,ChartOfAccounts!B324:B409,"",0,1)</f>
        <v/>
      </c>
      <c r="N325">
        <f>_xlfn.XLOOKUP($B325,ChartOfAccounts!A324:A409,ChartOfAccounts!D324:D409,0,1)</f>
        <v>0</v>
      </c>
      <c r="O325" t="str">
        <f>_xlfn.XLOOKUP($B325,ChartOfAccounts!A324:A409,ChartOfAccounts!F324:F409,"",0,1)</f>
        <v/>
      </c>
      <c r="P325" t="str" cm="1">
        <f t="array" ref="P325">_xlfn.XLOOKUP($D325&amp;$C325,PreparerInfo!A324:A336&amp;PreparerInfo!C324:C336,PreparerInfo!B324:B336,"",0,1)</f>
        <v/>
      </c>
      <c r="Q325" t="str">
        <f>_xlfn.XLOOKUP($E325,Source!A324:A332,Source!B324:B332,"",0,1)</f>
        <v/>
      </c>
    </row>
    <row r="326" spans="1:17" x14ac:dyDescent="0.3">
      <c r="A326" s="3">
        <v>2033682</v>
      </c>
      <c r="B326">
        <v>14260</v>
      </c>
      <c r="C326">
        <v>1</v>
      </c>
      <c r="D326" s="9">
        <v>101</v>
      </c>
      <c r="E326">
        <v>1007</v>
      </c>
      <c r="F326" s="1">
        <v>44006</v>
      </c>
      <c r="G326" t="s">
        <v>86</v>
      </c>
      <c r="H326" s="4">
        <v>100.35</v>
      </c>
      <c r="I326" s="4" t="s">
        <v>16</v>
      </c>
      <c r="J326" s="4">
        <v>100.35</v>
      </c>
      <c r="K326" t="str">
        <f>_xlfn.XLOOKUP($C326,Table1[BusinessUnitID],Table1[BusinessUnit],"",0)</f>
        <v>FOOD SERVICE</v>
      </c>
      <c r="L326" t="str" cm="1">
        <f t="array" ref="L326">_xlfn.XLOOKUP($C326,Table1[[#All],[BusinessUnitID]],Table1[[#All],[Description]],"",0,1)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26" t="str">
        <f>_xlfn.XLOOKUP($B326,ChartOfAccounts!A325:A410,ChartOfAccounts!B325:B410,"",0,1)</f>
        <v/>
      </c>
      <c r="N326">
        <f>_xlfn.XLOOKUP($B326,ChartOfAccounts!A325:A410,ChartOfAccounts!D325:D410,0,1)</f>
        <v>0</v>
      </c>
      <c r="O326" t="str">
        <f>_xlfn.XLOOKUP($B326,ChartOfAccounts!A325:A410,ChartOfAccounts!F325:F410,"",0,1)</f>
        <v/>
      </c>
      <c r="P326" t="str" cm="1">
        <f t="array" ref="P326">_xlfn.XLOOKUP($D326&amp;$C326,PreparerInfo!A325:A337&amp;PreparerInfo!C325:C337,PreparerInfo!B325:B337,"",0,1)</f>
        <v/>
      </c>
      <c r="Q326" t="str">
        <f>_xlfn.XLOOKUP($E326,Source!A325:A333,Source!B325:B333,"",0,1)</f>
        <v/>
      </c>
    </row>
    <row r="327" spans="1:17" x14ac:dyDescent="0.3">
      <c r="A327" s="3">
        <v>2033682</v>
      </c>
      <c r="B327">
        <v>11845</v>
      </c>
      <c r="C327">
        <v>1</v>
      </c>
      <c r="D327" s="9">
        <v>101</v>
      </c>
      <c r="E327">
        <v>1007</v>
      </c>
      <c r="F327" s="1">
        <v>44006</v>
      </c>
      <c r="G327" t="s">
        <v>86</v>
      </c>
      <c r="H327" s="4" t="s">
        <v>16</v>
      </c>
      <c r="I327" s="4">
        <v>-100.35</v>
      </c>
      <c r="J327" s="4">
        <v>-100.35</v>
      </c>
      <c r="K327" t="str">
        <f>_xlfn.XLOOKUP($C327,Table1[BusinessUnitID],Table1[BusinessUnit],"",0)</f>
        <v>FOOD SERVICE</v>
      </c>
      <c r="L327" t="str" cm="1">
        <f t="array" ref="L327">_xlfn.XLOOKUP($C327,Table1[[#All],[BusinessUnitID]],Table1[[#All],[Description]],"",0,1)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27" t="str">
        <f>_xlfn.XLOOKUP($B327,ChartOfAccounts!A326:A411,ChartOfAccounts!B326:B411,"",0,1)</f>
        <v/>
      </c>
      <c r="N327">
        <f>_xlfn.XLOOKUP($B327,ChartOfAccounts!A326:A411,ChartOfAccounts!D326:D411,0,1)</f>
        <v>0</v>
      </c>
      <c r="O327" t="str">
        <f>_xlfn.XLOOKUP($B327,ChartOfAccounts!A326:A411,ChartOfAccounts!F326:F411,"",0,1)</f>
        <v/>
      </c>
      <c r="P327" t="str" cm="1">
        <f t="array" ref="P327">_xlfn.XLOOKUP($D327&amp;$C327,PreparerInfo!A326:A338&amp;PreparerInfo!C326:C338,PreparerInfo!B326:B338,"",0,1)</f>
        <v/>
      </c>
      <c r="Q327" t="str">
        <f>_xlfn.XLOOKUP($E327,Source!A326:A334,Source!B326:B334,"",0,1)</f>
        <v/>
      </c>
    </row>
    <row r="328" spans="1:17" x14ac:dyDescent="0.3">
      <c r="A328" s="3">
        <v>2033683</v>
      </c>
      <c r="B328">
        <v>71400</v>
      </c>
      <c r="C328">
        <v>1</v>
      </c>
      <c r="D328" s="9">
        <v>101</v>
      </c>
      <c r="E328">
        <v>1007</v>
      </c>
      <c r="F328" s="1">
        <v>44006</v>
      </c>
      <c r="G328" t="s">
        <v>198</v>
      </c>
      <c r="H328" s="4">
        <v>119.4</v>
      </c>
      <c r="I328" s="4" t="s">
        <v>16</v>
      </c>
      <c r="J328" s="4">
        <v>119.4</v>
      </c>
      <c r="K328" t="str">
        <f>_xlfn.XLOOKUP($C328,Table1[BusinessUnitID],Table1[BusinessUnit],"",0)</f>
        <v>FOOD SERVICE</v>
      </c>
      <c r="L328" t="str" cm="1">
        <f t="array" ref="L328">_xlfn.XLOOKUP($C328,Table1[[#All],[BusinessUnitID]],Table1[[#All],[Description]],"",0,1)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28" t="str">
        <f>_xlfn.XLOOKUP($B328,ChartOfAccounts!A327:A412,ChartOfAccounts!B327:B412,"",0,1)</f>
        <v/>
      </c>
      <c r="N328">
        <f>_xlfn.XLOOKUP($B328,ChartOfAccounts!A327:A412,ChartOfAccounts!D327:D412,0,1)</f>
        <v>0</v>
      </c>
      <c r="O328" t="str">
        <f>_xlfn.XLOOKUP($B328,ChartOfAccounts!A327:A412,ChartOfAccounts!F327:F412,"",0,1)</f>
        <v/>
      </c>
      <c r="P328" t="str" cm="1">
        <f t="array" ref="P328">_xlfn.XLOOKUP($D328&amp;$C328,PreparerInfo!A327:A339&amp;PreparerInfo!C327:C339,PreparerInfo!B327:B339,"",0,1)</f>
        <v/>
      </c>
      <c r="Q328" t="str">
        <f>_xlfn.XLOOKUP($E328,Source!A327:A335,Source!B327:B335,"",0,1)</f>
        <v/>
      </c>
    </row>
    <row r="329" spans="1:17" x14ac:dyDescent="0.3">
      <c r="A329" s="3">
        <v>2033683</v>
      </c>
      <c r="B329">
        <v>11845</v>
      </c>
      <c r="C329">
        <v>1</v>
      </c>
      <c r="D329" s="9">
        <v>101</v>
      </c>
      <c r="E329">
        <v>1007</v>
      </c>
      <c r="F329" s="1">
        <v>44006</v>
      </c>
      <c r="G329" t="s">
        <v>198</v>
      </c>
      <c r="H329" s="4" t="s">
        <v>16</v>
      </c>
      <c r="I329" s="4">
        <v>-119.4</v>
      </c>
      <c r="J329" s="4">
        <v>-119.4</v>
      </c>
      <c r="K329" t="str">
        <f>_xlfn.XLOOKUP($C329,Table1[BusinessUnitID],Table1[BusinessUnit],"",0)</f>
        <v>FOOD SERVICE</v>
      </c>
      <c r="L329" t="str" cm="1">
        <f t="array" ref="L329">_xlfn.XLOOKUP($C329,Table1[[#All],[BusinessUnitID]],Table1[[#All],[Description]],"",0,1)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29" t="str">
        <f>_xlfn.XLOOKUP($B329,ChartOfAccounts!A328:A413,ChartOfAccounts!B328:B413,"",0,1)</f>
        <v/>
      </c>
      <c r="N329">
        <f>_xlfn.XLOOKUP($B329,ChartOfAccounts!A328:A413,ChartOfAccounts!D328:D413,0,1)</f>
        <v>0</v>
      </c>
      <c r="O329" t="str">
        <f>_xlfn.XLOOKUP($B329,ChartOfAccounts!A328:A413,ChartOfAccounts!F328:F413,"",0,1)</f>
        <v/>
      </c>
      <c r="P329" t="str" cm="1">
        <f t="array" ref="P329">_xlfn.XLOOKUP($D329&amp;$C329,PreparerInfo!A328:A340&amp;PreparerInfo!C328:C340,PreparerInfo!B328:B340,"",0,1)</f>
        <v/>
      </c>
      <c r="Q329" t="str">
        <f>_xlfn.XLOOKUP($E329,Source!A328:A336,Source!B328:B336,"",0,1)</f>
        <v/>
      </c>
    </row>
    <row r="330" spans="1:17" x14ac:dyDescent="0.3">
      <c r="A330" s="3">
        <v>2033684</v>
      </c>
      <c r="B330">
        <v>71400</v>
      </c>
      <c r="C330">
        <v>1</v>
      </c>
      <c r="D330" s="9">
        <v>101</v>
      </c>
      <c r="E330">
        <v>1007</v>
      </c>
      <c r="F330" s="1">
        <v>44006</v>
      </c>
      <c r="G330" t="s">
        <v>90</v>
      </c>
      <c r="H330" s="4">
        <v>130</v>
      </c>
      <c r="I330" s="4" t="s">
        <v>16</v>
      </c>
      <c r="J330" s="4">
        <v>130</v>
      </c>
      <c r="K330" t="str">
        <f>_xlfn.XLOOKUP($C330,Table1[BusinessUnitID],Table1[BusinessUnit],"",0)</f>
        <v>FOOD SERVICE</v>
      </c>
      <c r="L330" t="str" cm="1">
        <f t="array" ref="L330">_xlfn.XLOOKUP($C330,Table1[[#All],[BusinessUnitID]],Table1[[#All],[Description]],"",0,1)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30" t="str">
        <f>_xlfn.XLOOKUP($B330,ChartOfAccounts!A329:A414,ChartOfAccounts!B329:B414,"",0,1)</f>
        <v/>
      </c>
      <c r="N330">
        <f>_xlfn.XLOOKUP($B330,ChartOfAccounts!A329:A414,ChartOfAccounts!D329:D414,0,1)</f>
        <v>0</v>
      </c>
      <c r="O330" t="str">
        <f>_xlfn.XLOOKUP($B330,ChartOfAccounts!A329:A414,ChartOfAccounts!F329:F414,"",0,1)</f>
        <v/>
      </c>
      <c r="P330" t="str" cm="1">
        <f t="array" ref="P330">_xlfn.XLOOKUP($D330&amp;$C330,PreparerInfo!A329:A341&amp;PreparerInfo!C329:C341,PreparerInfo!B329:B341,"",0,1)</f>
        <v/>
      </c>
      <c r="Q330" t="str">
        <f>_xlfn.XLOOKUP($E330,Source!A329:A337,Source!B329:B337,"",0,1)</f>
        <v/>
      </c>
    </row>
    <row r="331" spans="1:17" x14ac:dyDescent="0.3">
      <c r="A331" s="3">
        <v>2033684</v>
      </c>
      <c r="B331">
        <v>11845</v>
      </c>
      <c r="C331">
        <v>1</v>
      </c>
      <c r="D331" s="9">
        <v>101</v>
      </c>
      <c r="E331">
        <v>1007</v>
      </c>
      <c r="F331" s="1">
        <v>44006</v>
      </c>
      <c r="G331" t="s">
        <v>90</v>
      </c>
      <c r="H331" s="4" t="s">
        <v>16</v>
      </c>
      <c r="I331" s="4">
        <v>-130</v>
      </c>
      <c r="J331" s="4">
        <v>-130</v>
      </c>
      <c r="K331" t="str">
        <f>_xlfn.XLOOKUP($C331,Table1[BusinessUnitID],Table1[BusinessUnit],"",0)</f>
        <v>FOOD SERVICE</v>
      </c>
      <c r="L331" t="str" cm="1">
        <f t="array" ref="L331">_xlfn.XLOOKUP($C331,Table1[[#All],[BusinessUnitID]],Table1[[#All],[Description]],"",0,1)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31" t="str">
        <f>_xlfn.XLOOKUP($B331,ChartOfAccounts!A330:A415,ChartOfAccounts!B330:B415,"",0,1)</f>
        <v/>
      </c>
      <c r="N331">
        <f>_xlfn.XLOOKUP($B331,ChartOfAccounts!A330:A415,ChartOfAccounts!D330:D415,0,1)</f>
        <v>0</v>
      </c>
      <c r="O331" t="str">
        <f>_xlfn.XLOOKUP($B331,ChartOfAccounts!A330:A415,ChartOfAccounts!F330:F415,"",0,1)</f>
        <v/>
      </c>
      <c r="P331" t="str" cm="1">
        <f t="array" ref="P331">_xlfn.XLOOKUP($D331&amp;$C331,PreparerInfo!A330:A342&amp;PreparerInfo!C330:C342,PreparerInfo!B330:B342,"",0,1)</f>
        <v/>
      </c>
      <c r="Q331" t="str">
        <f>_xlfn.XLOOKUP($E331,Source!A330:A338,Source!B330:B338,"",0,1)</f>
        <v/>
      </c>
    </row>
    <row r="332" spans="1:17" x14ac:dyDescent="0.3">
      <c r="A332" s="3">
        <v>2033685</v>
      </c>
      <c r="B332">
        <v>71410</v>
      </c>
      <c r="C332">
        <v>1</v>
      </c>
      <c r="D332" s="9">
        <v>101</v>
      </c>
      <c r="E332">
        <v>1007</v>
      </c>
      <c r="F332" s="1">
        <v>44006</v>
      </c>
      <c r="G332" t="s">
        <v>71</v>
      </c>
      <c r="H332" s="4">
        <v>182.99</v>
      </c>
      <c r="I332" s="4" t="s">
        <v>16</v>
      </c>
      <c r="J332" s="4">
        <v>182.99</v>
      </c>
      <c r="K332" t="str">
        <f>_xlfn.XLOOKUP($C332,Table1[BusinessUnitID],Table1[BusinessUnit],"",0)</f>
        <v>FOOD SERVICE</v>
      </c>
      <c r="L332" t="str" cm="1">
        <f t="array" ref="L332">_xlfn.XLOOKUP($C332,Table1[[#All],[BusinessUnitID]],Table1[[#All],[Description]],"",0,1)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32" t="str">
        <f>_xlfn.XLOOKUP($B332,ChartOfAccounts!A331:A416,ChartOfAccounts!B331:B416,"",0,1)</f>
        <v/>
      </c>
      <c r="N332">
        <f>_xlfn.XLOOKUP($B332,ChartOfAccounts!A331:A416,ChartOfAccounts!D331:D416,0,1)</f>
        <v>0</v>
      </c>
      <c r="O332" t="str">
        <f>_xlfn.XLOOKUP($B332,ChartOfAccounts!A331:A416,ChartOfAccounts!F331:F416,"",0,1)</f>
        <v/>
      </c>
      <c r="P332" t="str" cm="1">
        <f t="array" ref="P332">_xlfn.XLOOKUP($D332&amp;$C332,PreparerInfo!A331:A343&amp;PreparerInfo!C331:C343,PreparerInfo!B331:B343,"",0,1)</f>
        <v/>
      </c>
      <c r="Q332" t="str">
        <f>_xlfn.XLOOKUP($E332,Source!A331:A339,Source!B331:B339,"",0,1)</f>
        <v/>
      </c>
    </row>
    <row r="333" spans="1:17" x14ac:dyDescent="0.3">
      <c r="A333" s="3">
        <v>2033685</v>
      </c>
      <c r="B333">
        <v>11845</v>
      </c>
      <c r="C333">
        <v>1</v>
      </c>
      <c r="D333" s="9">
        <v>101</v>
      </c>
      <c r="E333">
        <v>1007</v>
      </c>
      <c r="F333" s="1">
        <v>44006</v>
      </c>
      <c r="G333" t="s">
        <v>71</v>
      </c>
      <c r="H333" s="4" t="s">
        <v>16</v>
      </c>
      <c r="I333" s="4">
        <v>-182.99</v>
      </c>
      <c r="J333" s="4">
        <v>-182.99</v>
      </c>
      <c r="K333" t="str">
        <f>_xlfn.XLOOKUP($C333,Table1[BusinessUnitID],Table1[BusinessUnit],"",0)</f>
        <v>FOOD SERVICE</v>
      </c>
      <c r="L333" t="str" cm="1">
        <f t="array" ref="L333">_xlfn.XLOOKUP($C333,Table1[[#All],[BusinessUnitID]],Table1[[#All],[Description]],"",0,1)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33" t="str">
        <f>_xlfn.XLOOKUP($B333,ChartOfAccounts!A332:A417,ChartOfAccounts!B332:B417,"",0,1)</f>
        <v/>
      </c>
      <c r="N333">
        <f>_xlfn.XLOOKUP($B333,ChartOfAccounts!A332:A417,ChartOfAccounts!D332:D417,0,1)</f>
        <v>0</v>
      </c>
      <c r="O333" t="str">
        <f>_xlfn.XLOOKUP($B333,ChartOfAccounts!A332:A417,ChartOfAccounts!F332:F417,"",0,1)</f>
        <v/>
      </c>
      <c r="P333" t="str" cm="1">
        <f t="array" ref="P333">_xlfn.XLOOKUP($D333&amp;$C333,PreparerInfo!A332:A344&amp;PreparerInfo!C332:C344,PreparerInfo!B332:B344,"",0,1)</f>
        <v/>
      </c>
      <c r="Q333" t="str">
        <f>_xlfn.XLOOKUP($E333,Source!A332:A340,Source!B332:B340,"",0,1)</f>
        <v/>
      </c>
    </row>
    <row r="334" spans="1:17" x14ac:dyDescent="0.3">
      <c r="A334" s="3">
        <v>2033686</v>
      </c>
      <c r="B334">
        <v>11845</v>
      </c>
      <c r="C334">
        <v>1</v>
      </c>
      <c r="D334" s="9">
        <v>101</v>
      </c>
      <c r="E334">
        <v>1007</v>
      </c>
      <c r="F334" s="1">
        <v>44006</v>
      </c>
      <c r="G334" t="s">
        <v>90</v>
      </c>
      <c r="H334" s="4">
        <v>184</v>
      </c>
      <c r="I334" s="4" t="s">
        <v>16</v>
      </c>
      <c r="J334" s="4">
        <v>184</v>
      </c>
      <c r="K334" t="str">
        <f>_xlfn.XLOOKUP($C334,Table1[BusinessUnitID],Table1[BusinessUnit],"",0)</f>
        <v>FOOD SERVICE</v>
      </c>
      <c r="L334" t="str" cm="1">
        <f t="array" ref="L334">_xlfn.XLOOKUP($C334,Table1[[#All],[BusinessUnitID]],Table1[[#All],[Description]],"",0,1)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34" t="str">
        <f>_xlfn.XLOOKUP($B334,ChartOfAccounts!A333:A418,ChartOfAccounts!B333:B418,"",0,1)</f>
        <v/>
      </c>
      <c r="N334">
        <f>_xlfn.XLOOKUP($B334,ChartOfAccounts!A333:A418,ChartOfAccounts!D333:D418,0,1)</f>
        <v>0</v>
      </c>
      <c r="O334" t="str">
        <f>_xlfn.XLOOKUP($B334,ChartOfAccounts!A333:A418,ChartOfAccounts!F333:F418,"",0,1)</f>
        <v/>
      </c>
      <c r="P334" t="str" cm="1">
        <f t="array" ref="P334">_xlfn.XLOOKUP($D334&amp;$C334,PreparerInfo!A333:A345&amp;PreparerInfo!C333:C345,PreparerInfo!B333:B345,"",0,1)</f>
        <v/>
      </c>
      <c r="Q334" t="str">
        <f>_xlfn.XLOOKUP($E334,Source!A333:A341,Source!B333:B341,"",0,1)</f>
        <v/>
      </c>
    </row>
    <row r="335" spans="1:17" x14ac:dyDescent="0.3">
      <c r="A335" s="3">
        <v>2033686</v>
      </c>
      <c r="B335">
        <v>71400</v>
      </c>
      <c r="C335">
        <v>1</v>
      </c>
      <c r="D335" s="9">
        <v>101</v>
      </c>
      <c r="E335">
        <v>1007</v>
      </c>
      <c r="F335" s="1">
        <v>44006</v>
      </c>
      <c r="G335" t="s">
        <v>90</v>
      </c>
      <c r="H335" s="4" t="s">
        <v>16</v>
      </c>
      <c r="I335" s="4">
        <v>-184</v>
      </c>
      <c r="J335" s="4">
        <v>-184</v>
      </c>
      <c r="K335" t="str">
        <f>_xlfn.XLOOKUP($C335,Table1[BusinessUnitID],Table1[BusinessUnit],"",0)</f>
        <v>FOOD SERVICE</v>
      </c>
      <c r="L335" t="str" cm="1">
        <f t="array" ref="L335">_xlfn.XLOOKUP($C335,Table1[[#All],[BusinessUnitID]],Table1[[#All],[Description]],"",0,1)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35" t="str">
        <f>_xlfn.XLOOKUP($B335,ChartOfAccounts!A334:A419,ChartOfAccounts!B334:B419,"",0,1)</f>
        <v/>
      </c>
      <c r="N335">
        <f>_xlfn.XLOOKUP($B335,ChartOfAccounts!A334:A419,ChartOfAccounts!D334:D419,0,1)</f>
        <v>0</v>
      </c>
      <c r="O335" t="str">
        <f>_xlfn.XLOOKUP($B335,ChartOfAccounts!A334:A419,ChartOfAccounts!F334:F419,"",0,1)</f>
        <v/>
      </c>
      <c r="P335" t="str" cm="1">
        <f t="array" ref="P335">_xlfn.XLOOKUP($D335&amp;$C335,PreparerInfo!A334:A346&amp;PreparerInfo!C334:C346,PreparerInfo!B334:B346,"",0,1)</f>
        <v/>
      </c>
      <c r="Q335" t="str">
        <f>_xlfn.XLOOKUP($E335,Source!A334:A342,Source!B334:B342,"",0,1)</f>
        <v/>
      </c>
    </row>
    <row r="336" spans="1:17" x14ac:dyDescent="0.3">
      <c r="A336" s="3">
        <v>2033687</v>
      </c>
      <c r="B336">
        <v>74203</v>
      </c>
      <c r="C336">
        <v>2</v>
      </c>
      <c r="D336" s="9">
        <v>102</v>
      </c>
      <c r="E336">
        <v>1007</v>
      </c>
      <c r="F336" s="1">
        <v>44006</v>
      </c>
      <c r="G336" t="s">
        <v>124</v>
      </c>
      <c r="H336" s="4">
        <v>208</v>
      </c>
      <c r="I336" s="4" t="s">
        <v>16</v>
      </c>
      <c r="J336" s="4">
        <v>208</v>
      </c>
      <c r="K336" t="str">
        <f>_xlfn.XLOOKUP($C336,Table1[BusinessUnitID],Table1[BusinessUnit],"",0)</f>
        <v>HOTEL</v>
      </c>
      <c r="L336" t="str" cm="1">
        <f t="array" ref="L336">_xlfn.XLOOKUP($C336,Table1[[#All],[BusinessUnitID]],Table1[[#All],[Description]],"",0,1)</f>
        <v xml:space="preserve">Transactions related to guest rooms and overall hotel operations. Includes payroll for administrative staff, clerks and interns. </v>
      </c>
      <c r="M336" t="str">
        <f>_xlfn.XLOOKUP($B336,ChartOfAccounts!A335:A420,ChartOfAccounts!B335:B420,"",0,1)</f>
        <v/>
      </c>
      <c r="N336">
        <f>_xlfn.XLOOKUP($B336,ChartOfAccounts!A335:A420,ChartOfAccounts!D335:D420,0,1)</f>
        <v>0</v>
      </c>
      <c r="O336" t="str">
        <f>_xlfn.XLOOKUP($B336,ChartOfAccounts!A335:A420,ChartOfAccounts!F335:F420,"",0,1)</f>
        <v/>
      </c>
      <c r="P336" t="str" cm="1">
        <f t="array" ref="P336">_xlfn.XLOOKUP($D336&amp;$C336,PreparerInfo!A335:A347&amp;PreparerInfo!C335:C347,PreparerInfo!B335:B347,"",0,1)</f>
        <v/>
      </c>
      <c r="Q336" t="str">
        <f>_xlfn.XLOOKUP($E336,Source!A335:A343,Source!B335:B343,"",0,1)</f>
        <v/>
      </c>
    </row>
    <row r="337" spans="1:17" x14ac:dyDescent="0.3">
      <c r="A337" s="3">
        <v>2033687</v>
      </c>
      <c r="B337">
        <v>11845</v>
      </c>
      <c r="C337">
        <v>2</v>
      </c>
      <c r="D337" s="9">
        <v>102</v>
      </c>
      <c r="E337">
        <v>1007</v>
      </c>
      <c r="F337" s="1">
        <v>44006</v>
      </c>
      <c r="G337" t="s">
        <v>124</v>
      </c>
      <c r="H337" s="4" t="s">
        <v>16</v>
      </c>
      <c r="I337" s="4">
        <v>-208</v>
      </c>
      <c r="J337" s="4">
        <v>-208</v>
      </c>
      <c r="K337" t="str">
        <f>_xlfn.XLOOKUP($C337,Table1[BusinessUnitID],Table1[BusinessUnit],"",0)</f>
        <v>HOTEL</v>
      </c>
      <c r="L337" t="str" cm="1">
        <f t="array" ref="L337">_xlfn.XLOOKUP($C337,Table1[[#All],[BusinessUnitID]],Table1[[#All],[Description]],"",0,1)</f>
        <v xml:space="preserve">Transactions related to guest rooms and overall hotel operations. Includes payroll for administrative staff, clerks and interns. </v>
      </c>
      <c r="M337" t="str">
        <f>_xlfn.XLOOKUP($B337,ChartOfAccounts!A336:A421,ChartOfAccounts!B336:B421,"",0,1)</f>
        <v/>
      </c>
      <c r="N337">
        <f>_xlfn.XLOOKUP($B337,ChartOfAccounts!A336:A421,ChartOfAccounts!D336:D421,0,1)</f>
        <v>0</v>
      </c>
      <c r="O337" t="str">
        <f>_xlfn.XLOOKUP($B337,ChartOfAccounts!A336:A421,ChartOfAccounts!F336:F421,"",0,1)</f>
        <v/>
      </c>
      <c r="P337" t="str" cm="1">
        <f t="array" ref="P337">_xlfn.XLOOKUP($D337&amp;$C337,PreparerInfo!A336:A348&amp;PreparerInfo!C336:C348,PreparerInfo!B336:B348,"",0,1)</f>
        <v/>
      </c>
      <c r="Q337" t="str">
        <f>_xlfn.XLOOKUP($E337,Source!A336:A344,Source!B336:B344,"",0,1)</f>
        <v/>
      </c>
    </row>
    <row r="338" spans="1:17" x14ac:dyDescent="0.3">
      <c r="A338" s="3">
        <v>2033688</v>
      </c>
      <c r="B338">
        <v>72723</v>
      </c>
      <c r="C338">
        <v>1</v>
      </c>
      <c r="D338" s="9">
        <v>101</v>
      </c>
      <c r="E338">
        <v>1007</v>
      </c>
      <c r="F338" s="1">
        <v>44006</v>
      </c>
      <c r="G338" t="s">
        <v>129</v>
      </c>
      <c r="H338" s="4">
        <v>224</v>
      </c>
      <c r="I338" s="4" t="s">
        <v>16</v>
      </c>
      <c r="J338" s="4">
        <v>224</v>
      </c>
      <c r="K338" t="str">
        <f>_xlfn.XLOOKUP($C338,Table1[BusinessUnitID],Table1[BusinessUnit],"",0)</f>
        <v>FOOD SERVICE</v>
      </c>
      <c r="L338" t="str" cm="1">
        <f t="array" ref="L338">_xlfn.XLOOKUP($C338,Table1[[#All],[BusinessUnitID]],Table1[[#All],[Description]],"",0,1)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38" t="str">
        <f>_xlfn.XLOOKUP($B338,ChartOfAccounts!A337:A422,ChartOfAccounts!B337:B422,"",0,1)</f>
        <v/>
      </c>
      <c r="N338">
        <f>_xlfn.XLOOKUP($B338,ChartOfAccounts!A337:A422,ChartOfAccounts!D337:D422,0,1)</f>
        <v>0</v>
      </c>
      <c r="O338" t="str">
        <f>_xlfn.XLOOKUP($B338,ChartOfAccounts!A337:A422,ChartOfAccounts!F337:F422,"",0,1)</f>
        <v/>
      </c>
      <c r="P338" t="str" cm="1">
        <f t="array" ref="P338">_xlfn.XLOOKUP($D338&amp;$C338,PreparerInfo!A337:A349&amp;PreparerInfo!C337:C349,PreparerInfo!B337:B349,"",0,1)</f>
        <v/>
      </c>
      <c r="Q338" t="str">
        <f>_xlfn.XLOOKUP($E338,Source!A337:A345,Source!B337:B345,"",0,1)</f>
        <v/>
      </c>
    </row>
    <row r="339" spans="1:17" x14ac:dyDescent="0.3">
      <c r="A339" s="3">
        <v>2033688</v>
      </c>
      <c r="B339">
        <v>11845</v>
      </c>
      <c r="C339">
        <v>1</v>
      </c>
      <c r="D339" s="9">
        <v>101</v>
      </c>
      <c r="E339">
        <v>1007</v>
      </c>
      <c r="F339" s="1">
        <v>44006</v>
      </c>
      <c r="G339" t="s">
        <v>129</v>
      </c>
      <c r="H339" s="4" t="s">
        <v>16</v>
      </c>
      <c r="I339" s="4">
        <v>-224</v>
      </c>
      <c r="J339" s="4">
        <v>-224</v>
      </c>
      <c r="K339" t="str">
        <f>_xlfn.XLOOKUP($C339,Table1[BusinessUnitID],Table1[BusinessUnit],"",0)</f>
        <v>FOOD SERVICE</v>
      </c>
      <c r="L339" t="str" cm="1">
        <f t="array" ref="L339">_xlfn.XLOOKUP($C339,Table1[[#All],[BusinessUnitID]],Table1[[#All],[Description]],"",0,1)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39" t="str">
        <f>_xlfn.XLOOKUP($B339,ChartOfAccounts!A338:A423,ChartOfAccounts!B338:B423,"",0,1)</f>
        <v/>
      </c>
      <c r="N339">
        <f>_xlfn.XLOOKUP($B339,ChartOfAccounts!A338:A423,ChartOfAccounts!D338:D423,0,1)</f>
        <v>0</v>
      </c>
      <c r="O339" t="str">
        <f>_xlfn.XLOOKUP($B339,ChartOfAccounts!A338:A423,ChartOfAccounts!F338:F423,"",0,1)</f>
        <v/>
      </c>
      <c r="P339" t="str" cm="1">
        <f t="array" ref="P339">_xlfn.XLOOKUP($D339&amp;$C339,PreparerInfo!A338:A350&amp;PreparerInfo!C338:C350,PreparerInfo!B338:B350,"",0,1)</f>
        <v/>
      </c>
      <c r="Q339" t="str">
        <f>_xlfn.XLOOKUP($E339,Source!A338:A346,Source!B338:B346,"",0,1)</f>
        <v/>
      </c>
    </row>
    <row r="340" spans="1:17" x14ac:dyDescent="0.3">
      <c r="A340" s="3">
        <v>2033689</v>
      </c>
      <c r="B340">
        <v>14260</v>
      </c>
      <c r="C340">
        <v>1</v>
      </c>
      <c r="D340" s="9">
        <v>102</v>
      </c>
      <c r="E340">
        <v>1002</v>
      </c>
      <c r="F340" s="1">
        <v>44006</v>
      </c>
      <c r="G340" t="s">
        <v>39</v>
      </c>
      <c r="H340" s="4">
        <v>284.91000000000003</v>
      </c>
      <c r="I340" s="4" t="s">
        <v>16</v>
      </c>
      <c r="J340" s="4">
        <v>284.91000000000003</v>
      </c>
      <c r="K340" t="str">
        <f>_xlfn.XLOOKUP($C340,Table1[BusinessUnitID],Table1[BusinessUnit],"",0)</f>
        <v>FOOD SERVICE</v>
      </c>
      <c r="L340" t="str" cm="1">
        <f t="array" ref="L340">_xlfn.XLOOKUP($C340,Table1[[#All],[BusinessUnitID]],Table1[[#All],[Description]],"",0,1)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40" t="str">
        <f>_xlfn.XLOOKUP($B340,ChartOfAccounts!A339:A424,ChartOfAccounts!B339:B424,"",0,1)</f>
        <v/>
      </c>
      <c r="N340">
        <f>_xlfn.XLOOKUP($B340,ChartOfAccounts!A339:A424,ChartOfAccounts!D339:D424,0,1)</f>
        <v>0</v>
      </c>
      <c r="O340" t="str">
        <f>_xlfn.XLOOKUP($B340,ChartOfAccounts!A339:A424,ChartOfAccounts!F339:F424,"",0,1)</f>
        <v/>
      </c>
      <c r="P340" t="str" cm="1">
        <f t="array" ref="P340">_xlfn.XLOOKUP($D340&amp;$C340,PreparerInfo!A339:A351&amp;PreparerInfo!C339:C351,PreparerInfo!B339:B351,"",0,1)</f>
        <v/>
      </c>
      <c r="Q340" t="str">
        <f>_xlfn.XLOOKUP($E340,Source!A339:A347,Source!B339:B347,"",0,1)</f>
        <v/>
      </c>
    </row>
    <row r="341" spans="1:17" x14ac:dyDescent="0.3">
      <c r="A341" s="3">
        <v>2033689</v>
      </c>
      <c r="B341">
        <v>11845</v>
      </c>
      <c r="C341">
        <v>1</v>
      </c>
      <c r="D341" s="9">
        <v>102</v>
      </c>
      <c r="E341">
        <v>1002</v>
      </c>
      <c r="F341" s="1">
        <v>44006</v>
      </c>
      <c r="G341" t="s">
        <v>39</v>
      </c>
      <c r="H341" s="4" t="s">
        <v>16</v>
      </c>
      <c r="I341" s="4">
        <v>-284.91000000000003</v>
      </c>
      <c r="J341" s="4">
        <v>-284.91000000000003</v>
      </c>
      <c r="K341" t="str">
        <f>_xlfn.XLOOKUP($C341,Table1[BusinessUnitID],Table1[BusinessUnit],"",0)</f>
        <v>FOOD SERVICE</v>
      </c>
      <c r="L341" t="str" cm="1">
        <f t="array" ref="L341">_xlfn.XLOOKUP($C341,Table1[[#All],[BusinessUnitID]],Table1[[#All],[Description]],"",0,1)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41" t="str">
        <f>_xlfn.XLOOKUP($B341,ChartOfAccounts!A340:A425,ChartOfAccounts!B340:B425,"",0,1)</f>
        <v/>
      </c>
      <c r="N341">
        <f>_xlfn.XLOOKUP($B341,ChartOfAccounts!A340:A425,ChartOfAccounts!D340:D425,0,1)</f>
        <v>0</v>
      </c>
      <c r="O341" t="str">
        <f>_xlfn.XLOOKUP($B341,ChartOfAccounts!A340:A425,ChartOfAccounts!F340:F425,"",0,1)</f>
        <v/>
      </c>
      <c r="P341" t="str" cm="1">
        <f t="array" ref="P341">_xlfn.XLOOKUP($D341&amp;$C341,PreparerInfo!A340:A352&amp;PreparerInfo!C340:C352,PreparerInfo!B340:B352,"",0,1)</f>
        <v/>
      </c>
      <c r="Q341" t="str">
        <f>_xlfn.XLOOKUP($E341,Source!A340:A348,Source!B340:B348,"",0,1)</f>
        <v/>
      </c>
    </row>
    <row r="342" spans="1:17" x14ac:dyDescent="0.3">
      <c r="A342" s="3">
        <v>2033690</v>
      </c>
      <c r="B342">
        <v>71400</v>
      </c>
      <c r="C342">
        <v>4</v>
      </c>
      <c r="D342" s="9">
        <v>101</v>
      </c>
      <c r="E342">
        <v>1007</v>
      </c>
      <c r="F342" s="1">
        <v>44006</v>
      </c>
      <c r="G342" t="s">
        <v>78</v>
      </c>
      <c r="H342" s="4">
        <v>302.89999999999998</v>
      </c>
      <c r="I342" s="4" t="s">
        <v>16</v>
      </c>
      <c r="J342" s="4">
        <v>302.89999999999998</v>
      </c>
      <c r="K342" t="str">
        <f>_xlfn.XLOOKUP($C342,Table1[BusinessUnitID],Table1[BusinessUnit],"",0)</f>
        <v>HOUSEKEEPING</v>
      </c>
      <c r="L342" t="str" cm="1">
        <f t="array" ref="L342">_xlfn.XLOOKUP($C342,Table1[[#All],[BusinessUnitID]],Table1[[#All],[Description]],"",0,1)</f>
        <v xml:space="preserve">Transactions related to the Housekeeping Department. Primarily includes payroll for housekeepers and housekeeping supplies. </v>
      </c>
      <c r="M342" t="str">
        <f>_xlfn.XLOOKUP($B342,ChartOfAccounts!A341:A426,ChartOfAccounts!B341:B426,"",0,1)</f>
        <v/>
      </c>
      <c r="N342">
        <f>_xlfn.XLOOKUP($B342,ChartOfAccounts!A341:A426,ChartOfAccounts!D341:D426,0,1)</f>
        <v>0</v>
      </c>
      <c r="O342" t="str">
        <f>_xlfn.XLOOKUP($B342,ChartOfAccounts!A341:A426,ChartOfAccounts!F341:F426,"",0,1)</f>
        <v/>
      </c>
      <c r="P342" t="str" cm="1">
        <f t="array" ref="P342">_xlfn.XLOOKUP($D342&amp;$C342,PreparerInfo!A341:A353&amp;PreparerInfo!C341:C353,PreparerInfo!B341:B353,"",0,1)</f>
        <v/>
      </c>
      <c r="Q342" t="str">
        <f>_xlfn.XLOOKUP($E342,Source!A341:A349,Source!B341:B349,"",0,1)</f>
        <v/>
      </c>
    </row>
    <row r="343" spans="1:17" x14ac:dyDescent="0.3">
      <c r="A343" s="3">
        <v>2033690</v>
      </c>
      <c r="B343">
        <v>11845</v>
      </c>
      <c r="C343">
        <v>4</v>
      </c>
      <c r="D343" s="9">
        <v>101</v>
      </c>
      <c r="E343">
        <v>1007</v>
      </c>
      <c r="F343" s="1">
        <v>44006</v>
      </c>
      <c r="G343" t="s">
        <v>78</v>
      </c>
      <c r="H343" s="4" t="s">
        <v>16</v>
      </c>
      <c r="I343" s="4">
        <v>-302.89999999999998</v>
      </c>
      <c r="J343" s="4">
        <v>-302.89999999999998</v>
      </c>
      <c r="K343" t="str">
        <f>_xlfn.XLOOKUP($C343,Table1[BusinessUnitID],Table1[BusinessUnit],"",0)</f>
        <v>HOUSEKEEPING</v>
      </c>
      <c r="L343" t="str" cm="1">
        <f t="array" ref="L343">_xlfn.XLOOKUP($C343,Table1[[#All],[BusinessUnitID]],Table1[[#All],[Description]],"",0,1)</f>
        <v xml:space="preserve">Transactions related to the Housekeeping Department. Primarily includes payroll for housekeepers and housekeeping supplies. </v>
      </c>
      <c r="M343" t="str">
        <f>_xlfn.XLOOKUP($B343,ChartOfAccounts!A342:A427,ChartOfAccounts!B342:B427,"",0,1)</f>
        <v/>
      </c>
      <c r="N343">
        <f>_xlfn.XLOOKUP($B343,ChartOfAccounts!A342:A427,ChartOfAccounts!D342:D427,0,1)</f>
        <v>0</v>
      </c>
      <c r="O343" t="str">
        <f>_xlfn.XLOOKUP($B343,ChartOfAccounts!A342:A427,ChartOfAccounts!F342:F427,"",0,1)</f>
        <v/>
      </c>
      <c r="P343" t="str" cm="1">
        <f t="array" ref="P343">_xlfn.XLOOKUP($D343&amp;$C343,PreparerInfo!A342:A354&amp;PreparerInfo!C342:C354,PreparerInfo!B342:B354,"",0,1)</f>
        <v/>
      </c>
      <c r="Q343" t="str">
        <f>_xlfn.XLOOKUP($E343,Source!A342:A350,Source!B342:B350,"",0,1)</f>
        <v/>
      </c>
    </row>
    <row r="344" spans="1:17" x14ac:dyDescent="0.3">
      <c r="A344" s="3">
        <v>2033691</v>
      </c>
      <c r="B344">
        <v>71410</v>
      </c>
      <c r="C344">
        <v>2</v>
      </c>
      <c r="D344" s="9">
        <v>102</v>
      </c>
      <c r="E344">
        <v>1007</v>
      </c>
      <c r="F344" s="1">
        <v>44006</v>
      </c>
      <c r="G344" t="s">
        <v>116</v>
      </c>
      <c r="H344" s="4">
        <v>311.81</v>
      </c>
      <c r="I344" s="4" t="s">
        <v>16</v>
      </c>
      <c r="J344" s="4">
        <v>311.81</v>
      </c>
      <c r="K344" t="str">
        <f>_xlfn.XLOOKUP($C344,Table1[BusinessUnitID],Table1[BusinessUnit],"",0)</f>
        <v>HOTEL</v>
      </c>
      <c r="L344" t="str" cm="1">
        <f t="array" ref="L344">_xlfn.XLOOKUP($C344,Table1[[#All],[BusinessUnitID]],Table1[[#All],[Description]],"",0,1)</f>
        <v xml:space="preserve">Transactions related to guest rooms and overall hotel operations. Includes payroll for administrative staff, clerks and interns. </v>
      </c>
      <c r="M344" t="str">
        <f>_xlfn.XLOOKUP($B344,ChartOfAccounts!A343:A428,ChartOfAccounts!B343:B428,"",0,1)</f>
        <v/>
      </c>
      <c r="N344">
        <f>_xlfn.XLOOKUP($B344,ChartOfAccounts!A343:A428,ChartOfAccounts!D343:D428,0,1)</f>
        <v>0</v>
      </c>
      <c r="O344" t="str">
        <f>_xlfn.XLOOKUP($B344,ChartOfAccounts!A343:A428,ChartOfAccounts!F343:F428,"",0,1)</f>
        <v/>
      </c>
      <c r="P344" t="str" cm="1">
        <f t="array" ref="P344">_xlfn.XLOOKUP($D344&amp;$C344,PreparerInfo!A343:A355&amp;PreparerInfo!C343:C355,PreparerInfo!B343:B355,"",0,1)</f>
        <v/>
      </c>
      <c r="Q344" t="str">
        <f>_xlfn.XLOOKUP($E344,Source!A343:A351,Source!B343:B351,"",0,1)</f>
        <v/>
      </c>
    </row>
    <row r="345" spans="1:17" x14ac:dyDescent="0.3">
      <c r="A345" s="3">
        <v>2033691</v>
      </c>
      <c r="B345">
        <v>11845</v>
      </c>
      <c r="C345">
        <v>2</v>
      </c>
      <c r="D345" s="9">
        <v>102</v>
      </c>
      <c r="E345">
        <v>1007</v>
      </c>
      <c r="F345" s="1">
        <v>44006</v>
      </c>
      <c r="G345" t="s">
        <v>116</v>
      </c>
      <c r="H345" s="4" t="s">
        <v>16</v>
      </c>
      <c r="I345" s="4">
        <v>-311.81</v>
      </c>
      <c r="J345" s="4">
        <v>-311.81</v>
      </c>
      <c r="K345" t="str">
        <f>_xlfn.XLOOKUP($C345,Table1[BusinessUnitID],Table1[BusinessUnit],"",0)</f>
        <v>HOTEL</v>
      </c>
      <c r="L345" t="str" cm="1">
        <f t="array" ref="L345">_xlfn.XLOOKUP($C345,Table1[[#All],[BusinessUnitID]],Table1[[#All],[Description]],"",0,1)</f>
        <v xml:space="preserve">Transactions related to guest rooms and overall hotel operations. Includes payroll for administrative staff, clerks and interns. </v>
      </c>
      <c r="M345" t="str">
        <f>_xlfn.XLOOKUP($B345,ChartOfAccounts!A344:A429,ChartOfAccounts!B344:B429,"",0,1)</f>
        <v/>
      </c>
      <c r="N345">
        <f>_xlfn.XLOOKUP($B345,ChartOfAccounts!A344:A429,ChartOfAccounts!D344:D429,0,1)</f>
        <v>0</v>
      </c>
      <c r="O345" t="str">
        <f>_xlfn.XLOOKUP($B345,ChartOfAccounts!A344:A429,ChartOfAccounts!F344:F429,"",0,1)</f>
        <v/>
      </c>
      <c r="P345" t="str" cm="1">
        <f t="array" ref="P345">_xlfn.XLOOKUP($D345&amp;$C345,PreparerInfo!A344:A356&amp;PreparerInfo!C344:C356,PreparerInfo!B344:B356,"",0,1)</f>
        <v/>
      </c>
      <c r="Q345" t="str">
        <f>_xlfn.XLOOKUP($E345,Source!A344:A352,Source!B344:B352,"",0,1)</f>
        <v/>
      </c>
    </row>
    <row r="346" spans="1:17" x14ac:dyDescent="0.3">
      <c r="A346" s="3">
        <v>2033692</v>
      </c>
      <c r="B346">
        <v>14260</v>
      </c>
      <c r="C346">
        <v>1</v>
      </c>
      <c r="D346" s="9">
        <v>102</v>
      </c>
      <c r="E346">
        <v>1002</v>
      </c>
      <c r="F346" s="1">
        <v>44006</v>
      </c>
      <c r="G346" t="s">
        <v>202</v>
      </c>
      <c r="H346" s="4">
        <v>357.88</v>
      </c>
      <c r="I346" s="4" t="s">
        <v>16</v>
      </c>
      <c r="J346" s="4">
        <v>357.88</v>
      </c>
      <c r="K346" t="str">
        <f>_xlfn.XLOOKUP($C346,Table1[BusinessUnitID],Table1[BusinessUnit],"",0)</f>
        <v>FOOD SERVICE</v>
      </c>
      <c r="L346" t="str" cm="1">
        <f t="array" ref="L346">_xlfn.XLOOKUP($C346,Table1[[#All],[BusinessUnitID]],Table1[[#All],[Description]],"",0,1)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46" t="str">
        <f>_xlfn.XLOOKUP($B346,ChartOfAccounts!A345:A430,ChartOfAccounts!B345:B430,"",0,1)</f>
        <v/>
      </c>
      <c r="N346">
        <f>_xlfn.XLOOKUP($B346,ChartOfAccounts!A345:A430,ChartOfAccounts!D345:D430,0,1)</f>
        <v>0</v>
      </c>
      <c r="O346" t="str">
        <f>_xlfn.XLOOKUP($B346,ChartOfAccounts!A345:A430,ChartOfAccounts!F345:F430,"",0,1)</f>
        <v/>
      </c>
      <c r="P346" t="str" cm="1">
        <f t="array" ref="P346">_xlfn.XLOOKUP($D346&amp;$C346,PreparerInfo!A345:A357&amp;PreparerInfo!C345:C357,PreparerInfo!B345:B357,"",0,1)</f>
        <v/>
      </c>
      <c r="Q346" t="str">
        <f>_xlfn.XLOOKUP($E346,Source!A345:A353,Source!B345:B353,"",0,1)</f>
        <v/>
      </c>
    </row>
    <row r="347" spans="1:17" x14ac:dyDescent="0.3">
      <c r="A347" s="3">
        <v>2033692</v>
      </c>
      <c r="B347">
        <v>11845</v>
      </c>
      <c r="C347">
        <v>1</v>
      </c>
      <c r="D347" s="9">
        <v>102</v>
      </c>
      <c r="E347">
        <v>1002</v>
      </c>
      <c r="F347" s="1">
        <v>44006</v>
      </c>
      <c r="G347" t="s">
        <v>202</v>
      </c>
      <c r="H347" s="4" t="s">
        <v>16</v>
      </c>
      <c r="I347" s="4">
        <v>-357.88</v>
      </c>
      <c r="J347" s="4">
        <v>-357.88</v>
      </c>
      <c r="K347" t="str">
        <f>_xlfn.XLOOKUP($C347,Table1[BusinessUnitID],Table1[BusinessUnit],"",0)</f>
        <v>FOOD SERVICE</v>
      </c>
      <c r="L347" t="str" cm="1">
        <f t="array" ref="L347">_xlfn.XLOOKUP($C347,Table1[[#All],[BusinessUnitID]],Table1[[#All],[Description]],"",0,1)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47" t="str">
        <f>_xlfn.XLOOKUP($B347,ChartOfAccounts!A346:A431,ChartOfAccounts!B346:B431,"",0,1)</f>
        <v/>
      </c>
      <c r="N347">
        <f>_xlfn.XLOOKUP($B347,ChartOfAccounts!A346:A431,ChartOfAccounts!D346:D431,0,1)</f>
        <v>0</v>
      </c>
      <c r="O347" t="str">
        <f>_xlfn.XLOOKUP($B347,ChartOfAccounts!A346:A431,ChartOfAccounts!F346:F431,"",0,1)</f>
        <v/>
      </c>
      <c r="P347" t="str" cm="1">
        <f t="array" ref="P347">_xlfn.XLOOKUP($D347&amp;$C347,PreparerInfo!A346:A358&amp;PreparerInfo!C346:C358,PreparerInfo!B346:B358,"",0,1)</f>
        <v/>
      </c>
      <c r="Q347" t="str">
        <f>_xlfn.XLOOKUP($E347,Source!A346:A354,Source!B346:B354,"",0,1)</f>
        <v/>
      </c>
    </row>
    <row r="348" spans="1:17" x14ac:dyDescent="0.3">
      <c r="A348" s="3">
        <v>2033693</v>
      </c>
      <c r="B348">
        <v>14260</v>
      </c>
      <c r="C348">
        <v>1</v>
      </c>
      <c r="D348" s="9">
        <v>102</v>
      </c>
      <c r="E348">
        <v>1002</v>
      </c>
      <c r="F348" s="1">
        <v>44006</v>
      </c>
      <c r="G348" t="s">
        <v>39</v>
      </c>
      <c r="H348" s="4">
        <v>379.88</v>
      </c>
      <c r="I348" s="4" t="s">
        <v>16</v>
      </c>
      <c r="J348" s="4">
        <v>379.88</v>
      </c>
      <c r="K348" t="str">
        <f>_xlfn.XLOOKUP($C348,Table1[BusinessUnitID],Table1[BusinessUnit],"",0)</f>
        <v>FOOD SERVICE</v>
      </c>
      <c r="L348" t="str" cm="1">
        <f t="array" ref="L348">_xlfn.XLOOKUP($C348,Table1[[#All],[BusinessUnitID]],Table1[[#All],[Description]],"",0,1)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48" t="str">
        <f>_xlfn.XLOOKUP($B348,ChartOfAccounts!A347:A432,ChartOfAccounts!B347:B432,"",0,1)</f>
        <v/>
      </c>
      <c r="N348">
        <f>_xlfn.XLOOKUP($B348,ChartOfAccounts!A347:A432,ChartOfAccounts!D347:D432,0,1)</f>
        <v>0</v>
      </c>
      <c r="O348" t="str">
        <f>_xlfn.XLOOKUP($B348,ChartOfAccounts!A347:A432,ChartOfAccounts!F347:F432,"",0,1)</f>
        <v/>
      </c>
      <c r="P348" t="str" cm="1">
        <f t="array" ref="P348">_xlfn.XLOOKUP($D348&amp;$C348,PreparerInfo!A347:A359&amp;PreparerInfo!C347:C359,PreparerInfo!B347:B359,"",0,1)</f>
        <v/>
      </c>
      <c r="Q348" t="str">
        <f>_xlfn.XLOOKUP($E348,Source!A347:A355,Source!B347:B355,"",0,1)</f>
        <v/>
      </c>
    </row>
    <row r="349" spans="1:17" x14ac:dyDescent="0.3">
      <c r="A349" s="3">
        <v>2033693</v>
      </c>
      <c r="B349">
        <v>11845</v>
      </c>
      <c r="C349">
        <v>1</v>
      </c>
      <c r="D349" s="9">
        <v>102</v>
      </c>
      <c r="E349">
        <v>1002</v>
      </c>
      <c r="F349" s="1">
        <v>44006</v>
      </c>
      <c r="G349" t="s">
        <v>39</v>
      </c>
      <c r="H349" s="4" t="s">
        <v>16</v>
      </c>
      <c r="I349" s="4">
        <v>-379.88</v>
      </c>
      <c r="J349" s="4">
        <v>-379.88</v>
      </c>
      <c r="K349" t="str">
        <f>_xlfn.XLOOKUP($C349,Table1[BusinessUnitID],Table1[BusinessUnit],"",0)</f>
        <v>FOOD SERVICE</v>
      </c>
      <c r="L349" t="str" cm="1">
        <f t="array" ref="L349">_xlfn.XLOOKUP($C349,Table1[[#All],[BusinessUnitID]],Table1[[#All],[Description]],"",0,1)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49" t="str">
        <f>_xlfn.XLOOKUP($B349,ChartOfAccounts!A348:A433,ChartOfAccounts!B348:B433,"",0,1)</f>
        <v/>
      </c>
      <c r="N349">
        <f>_xlfn.XLOOKUP($B349,ChartOfAccounts!A348:A433,ChartOfAccounts!D348:D433,0,1)</f>
        <v>0</v>
      </c>
      <c r="O349" t="str">
        <f>_xlfn.XLOOKUP($B349,ChartOfAccounts!A348:A433,ChartOfAccounts!F348:F433,"",0,1)</f>
        <v/>
      </c>
      <c r="P349" t="str" cm="1">
        <f t="array" ref="P349">_xlfn.XLOOKUP($D349&amp;$C349,PreparerInfo!A348:A360&amp;PreparerInfo!C348:C360,PreparerInfo!B348:B360,"",0,1)</f>
        <v/>
      </c>
      <c r="Q349" t="str">
        <f>_xlfn.XLOOKUP($E349,Source!A348:A356,Source!B348:B356,"",0,1)</f>
        <v/>
      </c>
    </row>
    <row r="350" spans="1:17" x14ac:dyDescent="0.3">
      <c r="A350" s="3">
        <v>2033694</v>
      </c>
      <c r="B350">
        <v>71400</v>
      </c>
      <c r="C350">
        <v>4</v>
      </c>
      <c r="D350" s="9">
        <v>101</v>
      </c>
      <c r="E350">
        <v>1002</v>
      </c>
      <c r="F350" s="1">
        <v>44006</v>
      </c>
      <c r="G350" t="s">
        <v>199</v>
      </c>
      <c r="H350" s="4">
        <v>384</v>
      </c>
      <c r="I350" s="4" t="s">
        <v>16</v>
      </c>
      <c r="J350" s="4">
        <v>384</v>
      </c>
      <c r="K350" t="str">
        <f>_xlfn.XLOOKUP($C350,Table1[BusinessUnitID],Table1[BusinessUnit],"",0)</f>
        <v>HOUSEKEEPING</v>
      </c>
      <c r="L350" t="str" cm="1">
        <f t="array" ref="L350">_xlfn.XLOOKUP($C350,Table1[[#All],[BusinessUnitID]],Table1[[#All],[Description]],"",0,1)</f>
        <v xml:space="preserve">Transactions related to the Housekeeping Department. Primarily includes payroll for housekeepers and housekeeping supplies. </v>
      </c>
      <c r="M350" t="str">
        <f>_xlfn.XLOOKUP($B350,ChartOfAccounts!A349:A434,ChartOfAccounts!B349:B434,"",0,1)</f>
        <v/>
      </c>
      <c r="N350">
        <f>_xlfn.XLOOKUP($B350,ChartOfAccounts!A349:A434,ChartOfAccounts!D349:D434,0,1)</f>
        <v>0</v>
      </c>
      <c r="O350" t="str">
        <f>_xlfn.XLOOKUP($B350,ChartOfAccounts!A349:A434,ChartOfAccounts!F349:F434,"",0,1)</f>
        <v/>
      </c>
      <c r="P350" t="str" cm="1">
        <f t="array" ref="P350">_xlfn.XLOOKUP($D350&amp;$C350,PreparerInfo!A349:A361&amp;PreparerInfo!C349:C361,PreparerInfo!B349:B361,"",0,1)</f>
        <v/>
      </c>
      <c r="Q350" t="str">
        <f>_xlfn.XLOOKUP($E350,Source!A349:A357,Source!B349:B357,"",0,1)</f>
        <v/>
      </c>
    </row>
    <row r="351" spans="1:17" x14ac:dyDescent="0.3">
      <c r="A351" s="3">
        <v>2033694</v>
      </c>
      <c r="B351">
        <v>11845</v>
      </c>
      <c r="C351">
        <v>4</v>
      </c>
      <c r="D351" s="9">
        <v>101</v>
      </c>
      <c r="E351">
        <v>1002</v>
      </c>
      <c r="F351" s="1">
        <v>44006</v>
      </c>
      <c r="G351" t="s">
        <v>199</v>
      </c>
      <c r="H351" s="4" t="s">
        <v>16</v>
      </c>
      <c r="I351" s="4">
        <v>-384</v>
      </c>
      <c r="J351" s="4">
        <v>-384</v>
      </c>
      <c r="K351" t="str">
        <f>_xlfn.XLOOKUP($C351,Table1[BusinessUnitID],Table1[BusinessUnit],"",0)</f>
        <v>HOUSEKEEPING</v>
      </c>
      <c r="L351" t="str" cm="1">
        <f t="array" ref="L351">_xlfn.XLOOKUP($C351,Table1[[#All],[BusinessUnitID]],Table1[[#All],[Description]],"",0,1)</f>
        <v xml:space="preserve">Transactions related to the Housekeeping Department. Primarily includes payroll for housekeepers and housekeeping supplies. </v>
      </c>
      <c r="M351" t="str">
        <f>_xlfn.XLOOKUP($B351,ChartOfAccounts!A350:A435,ChartOfAccounts!B350:B435,"",0,1)</f>
        <v/>
      </c>
      <c r="N351">
        <f>_xlfn.XLOOKUP($B351,ChartOfAccounts!A350:A435,ChartOfAccounts!D350:D435,0,1)</f>
        <v>0</v>
      </c>
      <c r="O351" t="str">
        <f>_xlfn.XLOOKUP($B351,ChartOfAccounts!A350:A435,ChartOfAccounts!F350:F435,"",0,1)</f>
        <v/>
      </c>
      <c r="P351" t="str" cm="1">
        <f t="array" ref="P351">_xlfn.XLOOKUP($D351&amp;$C351,PreparerInfo!A350:A362&amp;PreparerInfo!C350:C362,PreparerInfo!B350:B362,"",0,1)</f>
        <v/>
      </c>
      <c r="Q351" t="str">
        <f>_xlfn.XLOOKUP($E351,Source!A350:A358,Source!B350:B358,"",0,1)</f>
        <v/>
      </c>
    </row>
    <row r="352" spans="1:17" x14ac:dyDescent="0.3">
      <c r="A352" s="3">
        <v>2033695</v>
      </c>
      <c r="B352">
        <v>71400</v>
      </c>
      <c r="C352">
        <v>1</v>
      </c>
      <c r="D352" s="9">
        <v>101</v>
      </c>
      <c r="E352">
        <v>1007</v>
      </c>
      <c r="F352" s="1">
        <v>44006</v>
      </c>
      <c r="G352" t="s">
        <v>90</v>
      </c>
      <c r="H352" s="4">
        <v>442.88</v>
      </c>
      <c r="I352" s="4" t="s">
        <v>16</v>
      </c>
      <c r="J352" s="4">
        <v>442.88</v>
      </c>
      <c r="K352" t="str">
        <f>_xlfn.XLOOKUP($C352,Table1[BusinessUnitID],Table1[BusinessUnit],"",0)</f>
        <v>FOOD SERVICE</v>
      </c>
      <c r="L352" t="str" cm="1">
        <f t="array" ref="L352">_xlfn.XLOOKUP($C352,Table1[[#All],[BusinessUnitID]],Table1[[#All],[Description]],"",0,1)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52" t="str">
        <f>_xlfn.XLOOKUP($B352,ChartOfAccounts!A351:A436,ChartOfAccounts!B351:B436,"",0,1)</f>
        <v/>
      </c>
      <c r="N352">
        <f>_xlfn.XLOOKUP($B352,ChartOfAccounts!A351:A436,ChartOfAccounts!D351:D436,0,1)</f>
        <v>0</v>
      </c>
      <c r="O352" t="str">
        <f>_xlfn.XLOOKUP($B352,ChartOfAccounts!A351:A436,ChartOfAccounts!F351:F436,"",0,1)</f>
        <v/>
      </c>
      <c r="P352" t="str" cm="1">
        <f t="array" ref="P352">_xlfn.XLOOKUP($D352&amp;$C352,PreparerInfo!A351:A363&amp;PreparerInfo!C351:C363,PreparerInfo!B351:B363,"",0,1)</f>
        <v/>
      </c>
      <c r="Q352" t="str">
        <f>_xlfn.XLOOKUP($E352,Source!A351:A359,Source!B351:B359,"",0,1)</f>
        <v/>
      </c>
    </row>
    <row r="353" spans="1:17" x14ac:dyDescent="0.3">
      <c r="A353" s="3">
        <v>2033695</v>
      </c>
      <c r="B353">
        <v>11845</v>
      </c>
      <c r="C353">
        <v>1</v>
      </c>
      <c r="D353" s="9">
        <v>101</v>
      </c>
      <c r="E353">
        <v>1007</v>
      </c>
      <c r="F353" s="1">
        <v>44006</v>
      </c>
      <c r="G353" t="s">
        <v>90</v>
      </c>
      <c r="H353" s="4" t="s">
        <v>16</v>
      </c>
      <c r="I353" s="4">
        <v>-442.88</v>
      </c>
      <c r="J353" s="4">
        <v>-442.88</v>
      </c>
      <c r="K353" t="str">
        <f>_xlfn.XLOOKUP($C353,Table1[BusinessUnitID],Table1[BusinessUnit],"",0)</f>
        <v>FOOD SERVICE</v>
      </c>
      <c r="L353" t="str" cm="1">
        <f t="array" ref="L353">_xlfn.XLOOKUP($C353,Table1[[#All],[BusinessUnitID]],Table1[[#All],[Description]],"",0,1)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53" t="str">
        <f>_xlfn.XLOOKUP($B353,ChartOfAccounts!A352:A437,ChartOfAccounts!B352:B437,"",0,1)</f>
        <v/>
      </c>
      <c r="N353">
        <f>_xlfn.XLOOKUP($B353,ChartOfAccounts!A352:A437,ChartOfAccounts!D352:D437,0,1)</f>
        <v>0</v>
      </c>
      <c r="O353" t="str">
        <f>_xlfn.XLOOKUP($B353,ChartOfAccounts!A352:A437,ChartOfAccounts!F352:F437,"",0,1)</f>
        <v/>
      </c>
      <c r="P353" t="str" cm="1">
        <f t="array" ref="P353">_xlfn.XLOOKUP($D353&amp;$C353,PreparerInfo!A352:A364&amp;PreparerInfo!C352:C364,PreparerInfo!B352:B364,"",0,1)</f>
        <v/>
      </c>
      <c r="Q353" t="str">
        <f>_xlfn.XLOOKUP($E353,Source!A352:A360,Source!B352:B360,"",0,1)</f>
        <v/>
      </c>
    </row>
    <row r="354" spans="1:17" x14ac:dyDescent="0.3">
      <c r="A354" s="3">
        <v>2033696</v>
      </c>
      <c r="B354">
        <v>11845</v>
      </c>
      <c r="C354">
        <v>1</v>
      </c>
      <c r="D354" s="9">
        <v>102</v>
      </c>
      <c r="E354">
        <v>1003</v>
      </c>
      <c r="F354" s="1">
        <v>44006</v>
      </c>
      <c r="G354" t="s">
        <v>15</v>
      </c>
      <c r="H354" s="4">
        <v>490.03</v>
      </c>
      <c r="I354" s="4" t="s">
        <v>16</v>
      </c>
      <c r="J354" s="4">
        <v>490.03</v>
      </c>
      <c r="K354" t="str">
        <f>_xlfn.XLOOKUP($C354,Table1[BusinessUnitID],Table1[BusinessUnit],"",0)</f>
        <v>FOOD SERVICE</v>
      </c>
      <c r="L354" t="str" cm="1">
        <f t="array" ref="L354">_xlfn.XLOOKUP($C354,Table1[[#All],[BusinessUnitID]],Table1[[#All],[Description]],"",0,1)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54" t="str">
        <f>_xlfn.XLOOKUP($B354,ChartOfAccounts!A353:A438,ChartOfAccounts!B353:B438,"",0,1)</f>
        <v/>
      </c>
      <c r="N354">
        <f>_xlfn.XLOOKUP($B354,ChartOfAccounts!A353:A438,ChartOfAccounts!D353:D438,0,1)</f>
        <v>0</v>
      </c>
      <c r="O354" t="str">
        <f>_xlfn.XLOOKUP($B354,ChartOfAccounts!A353:A438,ChartOfAccounts!F353:F438,"",0,1)</f>
        <v/>
      </c>
      <c r="P354" t="str" cm="1">
        <f t="array" ref="P354">_xlfn.XLOOKUP($D354&amp;$C354,PreparerInfo!A353:A365&amp;PreparerInfo!C353:C365,PreparerInfo!B353:B365,"",0,1)</f>
        <v/>
      </c>
      <c r="Q354" t="str">
        <f>_xlfn.XLOOKUP($E354,Source!A353:A361,Source!B353:B361,"",0,1)</f>
        <v/>
      </c>
    </row>
    <row r="355" spans="1:17" x14ac:dyDescent="0.3">
      <c r="A355" s="3">
        <v>2033696</v>
      </c>
      <c r="B355">
        <v>43310</v>
      </c>
      <c r="C355">
        <v>1</v>
      </c>
      <c r="D355" s="9">
        <v>102</v>
      </c>
      <c r="E355">
        <v>1003</v>
      </c>
      <c r="F355" s="1">
        <v>44006</v>
      </c>
      <c r="G355" t="s">
        <v>15</v>
      </c>
      <c r="H355" s="4" t="s">
        <v>16</v>
      </c>
      <c r="I355" s="4">
        <v>-490.03</v>
      </c>
      <c r="J355" s="4">
        <v>-490.03</v>
      </c>
      <c r="K355" t="str">
        <f>_xlfn.XLOOKUP($C355,Table1[BusinessUnitID],Table1[BusinessUnit],"",0)</f>
        <v>FOOD SERVICE</v>
      </c>
      <c r="L355" t="str" cm="1">
        <f t="array" ref="L355">_xlfn.XLOOKUP($C355,Table1[[#All],[BusinessUnitID]],Table1[[#All],[Description]],"",0,1)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55" t="str">
        <f>_xlfn.XLOOKUP($B355,ChartOfAccounts!A354:A439,ChartOfAccounts!B354:B439,"",0,1)</f>
        <v/>
      </c>
      <c r="N355">
        <f>_xlfn.XLOOKUP($B355,ChartOfAccounts!A354:A439,ChartOfAccounts!D354:D439,0,1)</f>
        <v>0</v>
      </c>
      <c r="O355" t="str">
        <f>_xlfn.XLOOKUP($B355,ChartOfAccounts!A354:A439,ChartOfAccounts!F354:F439,"",0,1)</f>
        <v/>
      </c>
      <c r="P355" t="str" cm="1">
        <f t="array" ref="P355">_xlfn.XLOOKUP($D355&amp;$C355,PreparerInfo!A354:A366&amp;PreparerInfo!C354:C366,PreparerInfo!B354:B366,"",0,1)</f>
        <v/>
      </c>
      <c r="Q355" t="str">
        <f>_xlfn.XLOOKUP($E355,Source!A354:A362,Source!B354:B362,"",0,1)</f>
        <v/>
      </c>
    </row>
    <row r="356" spans="1:17" x14ac:dyDescent="0.3">
      <c r="A356" s="3">
        <v>2033697</v>
      </c>
      <c r="B356">
        <v>71400</v>
      </c>
      <c r="C356">
        <v>1</v>
      </c>
      <c r="D356" s="9">
        <v>101</v>
      </c>
      <c r="E356">
        <v>1007</v>
      </c>
      <c r="F356" s="1">
        <v>44006</v>
      </c>
      <c r="G356" t="s">
        <v>90</v>
      </c>
      <c r="H356" s="4">
        <v>521.12</v>
      </c>
      <c r="I356" s="4" t="s">
        <v>16</v>
      </c>
      <c r="J356" s="4">
        <v>521.12</v>
      </c>
      <c r="K356" t="str">
        <f>_xlfn.XLOOKUP($C356,Table1[BusinessUnitID],Table1[BusinessUnit],"",0)</f>
        <v>FOOD SERVICE</v>
      </c>
      <c r="L356" t="str" cm="1">
        <f t="array" ref="L356">_xlfn.XLOOKUP($C356,Table1[[#All],[BusinessUnitID]],Table1[[#All],[Description]],"",0,1)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56" t="str">
        <f>_xlfn.XLOOKUP($B356,ChartOfAccounts!A355:A440,ChartOfAccounts!B355:B440,"",0,1)</f>
        <v/>
      </c>
      <c r="N356">
        <f>_xlfn.XLOOKUP($B356,ChartOfAccounts!A355:A440,ChartOfAccounts!D355:D440,0,1)</f>
        <v>0</v>
      </c>
      <c r="O356" t="str">
        <f>_xlfn.XLOOKUP($B356,ChartOfAccounts!A355:A440,ChartOfAccounts!F355:F440,"",0,1)</f>
        <v/>
      </c>
      <c r="P356" t="str" cm="1">
        <f t="array" ref="P356">_xlfn.XLOOKUP($D356&amp;$C356,PreparerInfo!A355:A367&amp;PreparerInfo!C355:C367,PreparerInfo!B355:B367,"",0,1)</f>
        <v/>
      </c>
      <c r="Q356" t="str">
        <f>_xlfn.XLOOKUP($E356,Source!A355:A363,Source!B355:B363,"",0,1)</f>
        <v/>
      </c>
    </row>
    <row r="357" spans="1:17" x14ac:dyDescent="0.3">
      <c r="A357" s="3">
        <v>2033697</v>
      </c>
      <c r="B357">
        <v>11845</v>
      </c>
      <c r="C357">
        <v>1</v>
      </c>
      <c r="D357" s="9">
        <v>101</v>
      </c>
      <c r="E357">
        <v>1007</v>
      </c>
      <c r="F357" s="1">
        <v>44006</v>
      </c>
      <c r="G357" t="s">
        <v>90</v>
      </c>
      <c r="H357" s="4" t="s">
        <v>16</v>
      </c>
      <c r="I357" s="4">
        <v>-521.12</v>
      </c>
      <c r="J357" s="4">
        <v>-521.12</v>
      </c>
      <c r="K357" t="str">
        <f>_xlfn.XLOOKUP($C357,Table1[BusinessUnitID],Table1[BusinessUnit],"",0)</f>
        <v>FOOD SERVICE</v>
      </c>
      <c r="L357" t="str" cm="1">
        <f t="array" ref="L357">_xlfn.XLOOKUP($C357,Table1[[#All],[BusinessUnitID]],Table1[[#All],[Description]],"",0,1)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57" t="str">
        <f>_xlfn.XLOOKUP($B357,ChartOfAccounts!A356:A441,ChartOfAccounts!B356:B441,"",0,1)</f>
        <v/>
      </c>
      <c r="N357">
        <f>_xlfn.XLOOKUP($B357,ChartOfAccounts!A356:A441,ChartOfAccounts!D356:D441,0,1)</f>
        <v>0</v>
      </c>
      <c r="O357" t="str">
        <f>_xlfn.XLOOKUP($B357,ChartOfAccounts!A356:A441,ChartOfAccounts!F356:F441,"",0,1)</f>
        <v/>
      </c>
      <c r="P357" t="str" cm="1">
        <f t="array" ref="P357">_xlfn.XLOOKUP($D357&amp;$C357,PreparerInfo!A356:A368&amp;PreparerInfo!C356:C368,PreparerInfo!B356:B368,"",0,1)</f>
        <v/>
      </c>
      <c r="Q357" t="str">
        <f>_xlfn.XLOOKUP($E357,Source!A356:A364,Source!B356:B364,"",0,1)</f>
        <v/>
      </c>
    </row>
    <row r="358" spans="1:17" x14ac:dyDescent="0.3">
      <c r="A358" s="3">
        <v>2033698</v>
      </c>
      <c r="B358">
        <v>71400</v>
      </c>
      <c r="C358">
        <v>1</v>
      </c>
      <c r="D358" s="9">
        <v>101</v>
      </c>
      <c r="E358">
        <v>1007</v>
      </c>
      <c r="F358" s="1">
        <v>44006</v>
      </c>
      <c r="G358" t="s">
        <v>90</v>
      </c>
      <c r="H358" s="4">
        <v>685.36</v>
      </c>
      <c r="I358" s="4" t="s">
        <v>16</v>
      </c>
      <c r="J358" s="4">
        <v>685.36</v>
      </c>
      <c r="K358" t="str">
        <f>_xlfn.XLOOKUP($C358,Table1[BusinessUnitID],Table1[BusinessUnit],"",0)</f>
        <v>FOOD SERVICE</v>
      </c>
      <c r="L358" t="str" cm="1">
        <f t="array" ref="L358">_xlfn.XLOOKUP($C358,Table1[[#All],[BusinessUnitID]],Table1[[#All],[Description]],"",0,1)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58" t="str">
        <f>_xlfn.XLOOKUP($B358,ChartOfAccounts!A357:A442,ChartOfAccounts!B357:B442,"",0,1)</f>
        <v/>
      </c>
      <c r="N358">
        <f>_xlfn.XLOOKUP($B358,ChartOfAccounts!A357:A442,ChartOfAccounts!D357:D442,0,1)</f>
        <v>0</v>
      </c>
      <c r="O358" t="str">
        <f>_xlfn.XLOOKUP($B358,ChartOfAccounts!A357:A442,ChartOfAccounts!F357:F442,"",0,1)</f>
        <v/>
      </c>
      <c r="P358" t="str" cm="1">
        <f t="array" ref="P358">_xlfn.XLOOKUP($D358&amp;$C358,PreparerInfo!A357:A369&amp;PreparerInfo!C357:C369,PreparerInfo!B357:B369,"",0,1)</f>
        <v/>
      </c>
      <c r="Q358" t="str">
        <f>_xlfn.XLOOKUP($E358,Source!A357:A365,Source!B357:B365,"",0,1)</f>
        <v/>
      </c>
    </row>
    <row r="359" spans="1:17" x14ac:dyDescent="0.3">
      <c r="A359" s="3">
        <v>2033698</v>
      </c>
      <c r="B359">
        <v>11845</v>
      </c>
      <c r="C359">
        <v>1</v>
      </c>
      <c r="D359" s="9">
        <v>101</v>
      </c>
      <c r="E359">
        <v>1007</v>
      </c>
      <c r="F359" s="1">
        <v>44006</v>
      </c>
      <c r="G359" t="s">
        <v>90</v>
      </c>
      <c r="H359" s="4" t="s">
        <v>16</v>
      </c>
      <c r="I359" s="4">
        <v>-685.36</v>
      </c>
      <c r="J359" s="4">
        <v>-685.36</v>
      </c>
      <c r="K359" t="str">
        <f>_xlfn.XLOOKUP($C359,Table1[BusinessUnitID],Table1[BusinessUnit],"",0)</f>
        <v>FOOD SERVICE</v>
      </c>
      <c r="L359" t="str" cm="1">
        <f t="array" ref="L359">_xlfn.XLOOKUP($C359,Table1[[#All],[BusinessUnitID]],Table1[[#All],[Description]],"",0,1)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59" t="str">
        <f>_xlfn.XLOOKUP($B359,ChartOfAccounts!A358:A443,ChartOfAccounts!B358:B443,"",0,1)</f>
        <v/>
      </c>
      <c r="N359">
        <f>_xlfn.XLOOKUP($B359,ChartOfAccounts!A358:A443,ChartOfAccounts!D358:D443,0,1)</f>
        <v>0</v>
      </c>
      <c r="O359" t="str">
        <f>_xlfn.XLOOKUP($B359,ChartOfAccounts!A358:A443,ChartOfAccounts!F358:F443,"",0,1)</f>
        <v/>
      </c>
      <c r="P359" t="str" cm="1">
        <f t="array" ref="P359">_xlfn.XLOOKUP($D359&amp;$C359,PreparerInfo!A358:A370&amp;PreparerInfo!C358:C370,PreparerInfo!B358:B370,"",0,1)</f>
        <v/>
      </c>
      <c r="Q359" t="str">
        <f>_xlfn.XLOOKUP($E359,Source!A358:A366,Source!B358:B366,"",0,1)</f>
        <v/>
      </c>
    </row>
    <row r="360" spans="1:17" x14ac:dyDescent="0.3">
      <c r="A360" s="3">
        <v>2033699</v>
      </c>
      <c r="B360">
        <v>14250</v>
      </c>
      <c r="C360">
        <v>3</v>
      </c>
      <c r="D360" s="9">
        <v>101</v>
      </c>
      <c r="E360">
        <v>1007</v>
      </c>
      <c r="F360" s="1">
        <v>44006</v>
      </c>
      <c r="G360" t="s">
        <v>120</v>
      </c>
      <c r="H360" s="4">
        <v>759.61</v>
      </c>
      <c r="I360" s="4" t="s">
        <v>16</v>
      </c>
      <c r="J360" s="4">
        <v>759.61</v>
      </c>
      <c r="K360" t="str">
        <f>_xlfn.XLOOKUP($C360,Table1[BusinessUnitID],Table1[BusinessUnit],"",0)</f>
        <v>HOTEL PANTRY</v>
      </c>
      <c r="L360" t="str" cm="1">
        <f t="array" ref="L360">_xlfn.XLOOKUP($C360,Table1[[#All],[BusinessUnitID]],Table1[[#All],[Description]],"",0,1)</f>
        <v>Transactions related to the hotel convenience store, including some food and beverage costs.</v>
      </c>
      <c r="M360" t="str">
        <f>_xlfn.XLOOKUP($B360,ChartOfAccounts!A359:A444,ChartOfAccounts!B359:B444,"",0,1)</f>
        <v/>
      </c>
      <c r="N360">
        <f>_xlfn.XLOOKUP($B360,ChartOfAccounts!A359:A444,ChartOfAccounts!D359:D444,0,1)</f>
        <v>0</v>
      </c>
      <c r="O360" t="str">
        <f>_xlfn.XLOOKUP($B360,ChartOfAccounts!A359:A444,ChartOfAccounts!F359:F444,"",0,1)</f>
        <v/>
      </c>
      <c r="P360" t="str" cm="1">
        <f t="array" ref="P360">_xlfn.XLOOKUP($D360&amp;$C360,PreparerInfo!A359:A371&amp;PreparerInfo!C359:C371,PreparerInfo!B359:B371,"",0,1)</f>
        <v/>
      </c>
      <c r="Q360" t="str">
        <f>_xlfn.XLOOKUP($E360,Source!A359:A367,Source!B359:B367,"",0,1)</f>
        <v/>
      </c>
    </row>
    <row r="361" spans="1:17" x14ac:dyDescent="0.3">
      <c r="A361" s="3">
        <v>2033699</v>
      </c>
      <c r="B361">
        <v>11845</v>
      </c>
      <c r="C361">
        <v>3</v>
      </c>
      <c r="D361" s="9">
        <v>101</v>
      </c>
      <c r="E361">
        <v>1007</v>
      </c>
      <c r="F361" s="1">
        <v>44006</v>
      </c>
      <c r="G361" t="s">
        <v>120</v>
      </c>
      <c r="H361" s="4" t="s">
        <v>16</v>
      </c>
      <c r="I361" s="4">
        <v>-759.61</v>
      </c>
      <c r="J361" s="4">
        <v>-759.61</v>
      </c>
      <c r="K361" t="str">
        <f>_xlfn.XLOOKUP($C361,Table1[BusinessUnitID],Table1[BusinessUnit],"",0)</f>
        <v>HOTEL PANTRY</v>
      </c>
      <c r="L361" t="str" cm="1">
        <f t="array" ref="L361">_xlfn.XLOOKUP($C361,Table1[[#All],[BusinessUnitID]],Table1[[#All],[Description]],"",0,1)</f>
        <v>Transactions related to the hotel convenience store, including some food and beverage costs.</v>
      </c>
      <c r="M361" t="str">
        <f>_xlfn.XLOOKUP($B361,ChartOfAccounts!A360:A445,ChartOfAccounts!B360:B445,"",0,1)</f>
        <v/>
      </c>
      <c r="N361">
        <f>_xlfn.XLOOKUP($B361,ChartOfAccounts!A360:A445,ChartOfAccounts!D360:D445,0,1)</f>
        <v>0</v>
      </c>
      <c r="O361" t="str">
        <f>_xlfn.XLOOKUP($B361,ChartOfAccounts!A360:A445,ChartOfAccounts!F360:F445,"",0,1)</f>
        <v/>
      </c>
      <c r="P361" t="str" cm="1">
        <f t="array" ref="P361">_xlfn.XLOOKUP($D361&amp;$C361,PreparerInfo!A360:A372&amp;PreparerInfo!C360:C372,PreparerInfo!B360:B372,"",0,1)</f>
        <v/>
      </c>
      <c r="Q361" t="str">
        <f>_xlfn.XLOOKUP($E361,Source!A360:A368,Source!B360:B368,"",0,1)</f>
        <v/>
      </c>
    </row>
    <row r="362" spans="1:17" x14ac:dyDescent="0.3">
      <c r="A362" s="3">
        <v>2033700</v>
      </c>
      <c r="B362">
        <v>14260</v>
      </c>
      <c r="C362">
        <v>1</v>
      </c>
      <c r="D362" s="9">
        <v>102</v>
      </c>
      <c r="E362">
        <v>1002</v>
      </c>
      <c r="F362" s="1">
        <v>44006</v>
      </c>
      <c r="G362" t="s">
        <v>43</v>
      </c>
      <c r="H362" s="4">
        <v>794.16</v>
      </c>
      <c r="I362" s="4" t="s">
        <v>16</v>
      </c>
      <c r="J362" s="4">
        <v>794.16</v>
      </c>
      <c r="K362" t="str">
        <f>_xlfn.XLOOKUP($C362,Table1[BusinessUnitID],Table1[BusinessUnit],"",0)</f>
        <v>FOOD SERVICE</v>
      </c>
      <c r="L362" t="str" cm="1">
        <f t="array" ref="L362">_xlfn.XLOOKUP($C362,Table1[[#All],[BusinessUnitID]],Table1[[#All],[Description]],"",0,1)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62" t="str">
        <f>_xlfn.XLOOKUP($B362,ChartOfAccounts!A361:A446,ChartOfAccounts!B361:B446,"",0,1)</f>
        <v/>
      </c>
      <c r="N362">
        <f>_xlfn.XLOOKUP($B362,ChartOfAccounts!A361:A446,ChartOfAccounts!D361:D446,0,1)</f>
        <v>0</v>
      </c>
      <c r="O362" t="str">
        <f>_xlfn.XLOOKUP($B362,ChartOfAccounts!A361:A446,ChartOfAccounts!F361:F446,"",0,1)</f>
        <v/>
      </c>
      <c r="P362" t="str" cm="1">
        <f t="array" ref="P362">_xlfn.XLOOKUP($D362&amp;$C362,PreparerInfo!A361:A373&amp;PreparerInfo!C361:C373,PreparerInfo!B361:B373,"",0,1)</f>
        <v/>
      </c>
      <c r="Q362" t="str">
        <f>_xlfn.XLOOKUP($E362,Source!A361:A369,Source!B361:B369,"",0,1)</f>
        <v/>
      </c>
    </row>
    <row r="363" spans="1:17" x14ac:dyDescent="0.3">
      <c r="A363" s="3">
        <v>2033700</v>
      </c>
      <c r="B363">
        <v>11845</v>
      </c>
      <c r="C363">
        <v>1</v>
      </c>
      <c r="D363" s="9">
        <v>102</v>
      </c>
      <c r="E363">
        <v>1002</v>
      </c>
      <c r="F363" s="1">
        <v>44006</v>
      </c>
      <c r="G363" t="s">
        <v>43</v>
      </c>
      <c r="H363" s="4" t="s">
        <v>16</v>
      </c>
      <c r="I363" s="4">
        <v>-794.16</v>
      </c>
      <c r="J363" s="4">
        <v>-794.16</v>
      </c>
      <c r="K363" t="str">
        <f>_xlfn.XLOOKUP($C363,Table1[BusinessUnitID],Table1[BusinessUnit],"",0)</f>
        <v>FOOD SERVICE</v>
      </c>
      <c r="L363" t="str" cm="1">
        <f t="array" ref="L363">_xlfn.XLOOKUP($C363,Table1[[#All],[BusinessUnitID]],Table1[[#All],[Description]],"",0,1)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63" t="str">
        <f>_xlfn.XLOOKUP($B363,ChartOfAccounts!A362:A447,ChartOfAccounts!B362:B447,"",0,1)</f>
        <v/>
      </c>
      <c r="N363">
        <f>_xlfn.XLOOKUP($B363,ChartOfAccounts!A362:A447,ChartOfAccounts!D362:D447,0,1)</f>
        <v>0</v>
      </c>
      <c r="O363" t="str">
        <f>_xlfn.XLOOKUP($B363,ChartOfAccounts!A362:A447,ChartOfAccounts!F362:F447,"",0,1)</f>
        <v/>
      </c>
      <c r="P363" t="str" cm="1">
        <f t="array" ref="P363">_xlfn.XLOOKUP($D363&amp;$C363,PreparerInfo!A362:A374&amp;PreparerInfo!C362:C374,PreparerInfo!B362:B374,"",0,1)</f>
        <v/>
      </c>
      <c r="Q363" t="str">
        <f>_xlfn.XLOOKUP($E363,Source!A362:A370,Source!B362:B370,"",0,1)</f>
        <v/>
      </c>
    </row>
    <row r="364" spans="1:17" x14ac:dyDescent="0.3">
      <c r="A364" s="3">
        <v>2033701</v>
      </c>
      <c r="B364">
        <v>14260</v>
      </c>
      <c r="C364">
        <v>1</v>
      </c>
      <c r="D364" s="9">
        <v>102</v>
      </c>
      <c r="E364">
        <v>1002</v>
      </c>
      <c r="F364" s="1">
        <v>44006</v>
      </c>
      <c r="G364" t="s">
        <v>39</v>
      </c>
      <c r="H364" s="4">
        <v>1119.04</v>
      </c>
      <c r="I364" s="4" t="s">
        <v>16</v>
      </c>
      <c r="J364" s="4">
        <v>1119.04</v>
      </c>
      <c r="K364" t="str">
        <f>_xlfn.XLOOKUP($C364,Table1[BusinessUnitID],Table1[BusinessUnit],"",0)</f>
        <v>FOOD SERVICE</v>
      </c>
      <c r="L364" t="str" cm="1">
        <f t="array" ref="L364">_xlfn.XLOOKUP($C364,Table1[[#All],[BusinessUnitID]],Table1[[#All],[Description]],"",0,1)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64" t="str">
        <f>_xlfn.XLOOKUP($B364,ChartOfAccounts!A363:A448,ChartOfAccounts!B363:B448,"",0,1)</f>
        <v/>
      </c>
      <c r="N364">
        <f>_xlfn.XLOOKUP($B364,ChartOfAccounts!A363:A448,ChartOfAccounts!D363:D448,0,1)</f>
        <v>0</v>
      </c>
      <c r="O364" t="str">
        <f>_xlfn.XLOOKUP($B364,ChartOfAccounts!A363:A448,ChartOfAccounts!F363:F448,"",0,1)</f>
        <v/>
      </c>
      <c r="P364" t="str" cm="1">
        <f t="array" ref="P364">_xlfn.XLOOKUP($D364&amp;$C364,PreparerInfo!A363:A375&amp;PreparerInfo!C363:C375,PreparerInfo!B363:B375,"",0,1)</f>
        <v/>
      </c>
      <c r="Q364" t="str">
        <f>_xlfn.XLOOKUP($E364,Source!A363:A371,Source!B363:B371,"",0,1)</f>
        <v/>
      </c>
    </row>
    <row r="365" spans="1:17" x14ac:dyDescent="0.3">
      <c r="A365" s="3">
        <v>2033701</v>
      </c>
      <c r="B365">
        <v>11845</v>
      </c>
      <c r="C365">
        <v>1</v>
      </c>
      <c r="D365" s="9">
        <v>102</v>
      </c>
      <c r="E365">
        <v>1002</v>
      </c>
      <c r="F365" s="1">
        <v>44006</v>
      </c>
      <c r="G365" t="s">
        <v>39</v>
      </c>
      <c r="H365" s="4" t="s">
        <v>16</v>
      </c>
      <c r="I365" s="4">
        <v>-1119.04</v>
      </c>
      <c r="J365" s="4">
        <v>-1119.04</v>
      </c>
      <c r="K365" t="str">
        <f>_xlfn.XLOOKUP($C365,Table1[BusinessUnitID],Table1[BusinessUnit],"",0)</f>
        <v>FOOD SERVICE</v>
      </c>
      <c r="L365" t="str" cm="1">
        <f t="array" ref="L365">_xlfn.XLOOKUP($C365,Table1[[#All],[BusinessUnitID]],Table1[[#All],[Description]],"",0,1)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65" t="str">
        <f>_xlfn.XLOOKUP($B365,ChartOfAccounts!A364:A449,ChartOfAccounts!B364:B449,"",0,1)</f>
        <v/>
      </c>
      <c r="N365">
        <f>_xlfn.XLOOKUP($B365,ChartOfAccounts!A364:A449,ChartOfAccounts!D364:D449,0,1)</f>
        <v>0</v>
      </c>
      <c r="O365" t="str">
        <f>_xlfn.XLOOKUP($B365,ChartOfAccounts!A364:A449,ChartOfAccounts!F364:F449,"",0,1)</f>
        <v/>
      </c>
      <c r="P365" t="str" cm="1">
        <f t="array" ref="P365">_xlfn.XLOOKUP($D365&amp;$C365,PreparerInfo!A364:A376&amp;PreparerInfo!C364:C376,PreparerInfo!B364:B376,"",0,1)</f>
        <v/>
      </c>
      <c r="Q365" t="str">
        <f>_xlfn.XLOOKUP($E365,Source!A364:A372,Source!B364:B372,"",0,1)</f>
        <v/>
      </c>
    </row>
    <row r="366" spans="1:17" x14ac:dyDescent="0.3">
      <c r="A366" s="3">
        <v>2033702</v>
      </c>
      <c r="B366">
        <v>71400</v>
      </c>
      <c r="C366">
        <v>1</v>
      </c>
      <c r="D366" s="9">
        <v>101</v>
      </c>
      <c r="E366">
        <v>1007</v>
      </c>
      <c r="F366" s="1">
        <v>44006</v>
      </c>
      <c r="G366" t="s">
        <v>90</v>
      </c>
      <c r="H366" s="4">
        <v>1319.55</v>
      </c>
      <c r="I366" s="4" t="s">
        <v>16</v>
      </c>
      <c r="J366" s="4">
        <v>1319.55</v>
      </c>
      <c r="K366" t="str">
        <f>_xlfn.XLOOKUP($C366,Table1[BusinessUnitID],Table1[BusinessUnit],"",0)</f>
        <v>FOOD SERVICE</v>
      </c>
      <c r="L366" t="str" cm="1">
        <f t="array" ref="L366">_xlfn.XLOOKUP($C366,Table1[[#All],[BusinessUnitID]],Table1[[#All],[Description]],"",0,1)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66" t="str">
        <f>_xlfn.XLOOKUP($B366,ChartOfAccounts!A365:A450,ChartOfAccounts!B365:B450,"",0,1)</f>
        <v/>
      </c>
      <c r="N366">
        <f>_xlfn.XLOOKUP($B366,ChartOfAccounts!A365:A450,ChartOfAccounts!D365:D450,0,1)</f>
        <v>0</v>
      </c>
      <c r="O366" t="str">
        <f>_xlfn.XLOOKUP($B366,ChartOfAccounts!A365:A450,ChartOfAccounts!F365:F450,"",0,1)</f>
        <v/>
      </c>
      <c r="P366" t="str" cm="1">
        <f t="array" ref="P366">_xlfn.XLOOKUP($D366&amp;$C366,PreparerInfo!A365:A377&amp;PreparerInfo!C365:C377,PreparerInfo!B365:B377,"",0,1)</f>
        <v/>
      </c>
      <c r="Q366" t="str">
        <f>_xlfn.XLOOKUP($E366,Source!A365:A373,Source!B365:B373,"",0,1)</f>
        <v/>
      </c>
    </row>
    <row r="367" spans="1:17" x14ac:dyDescent="0.3">
      <c r="A367" s="3">
        <v>2033702</v>
      </c>
      <c r="B367">
        <v>11845</v>
      </c>
      <c r="C367">
        <v>1</v>
      </c>
      <c r="D367" s="9">
        <v>101</v>
      </c>
      <c r="E367">
        <v>1007</v>
      </c>
      <c r="F367" s="1">
        <v>44006</v>
      </c>
      <c r="G367" t="s">
        <v>90</v>
      </c>
      <c r="H367" s="4" t="s">
        <v>16</v>
      </c>
      <c r="I367" s="4">
        <v>-1319.55</v>
      </c>
      <c r="J367" s="4">
        <v>-1319.55</v>
      </c>
      <c r="K367" t="str">
        <f>_xlfn.XLOOKUP($C367,Table1[BusinessUnitID],Table1[BusinessUnit],"",0)</f>
        <v>FOOD SERVICE</v>
      </c>
      <c r="L367" t="str" cm="1">
        <f t="array" ref="L367">_xlfn.XLOOKUP($C367,Table1[[#All],[BusinessUnitID]],Table1[[#All],[Description]],"",0,1)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67" t="str">
        <f>_xlfn.XLOOKUP($B367,ChartOfAccounts!A366:A451,ChartOfAccounts!B366:B451,"",0,1)</f>
        <v/>
      </c>
      <c r="N367">
        <f>_xlfn.XLOOKUP($B367,ChartOfAccounts!A366:A451,ChartOfAccounts!D366:D451,0,1)</f>
        <v>0</v>
      </c>
      <c r="O367" t="str">
        <f>_xlfn.XLOOKUP($B367,ChartOfAccounts!A366:A451,ChartOfAccounts!F366:F451,"",0,1)</f>
        <v/>
      </c>
      <c r="P367" t="str" cm="1">
        <f t="array" ref="P367">_xlfn.XLOOKUP($D367&amp;$C367,PreparerInfo!A366:A378&amp;PreparerInfo!C366:C378,PreparerInfo!B366:B378,"",0,1)</f>
        <v/>
      </c>
      <c r="Q367" t="str">
        <f>_xlfn.XLOOKUP($E367,Source!A366:A374,Source!B366:B374,"",0,1)</f>
        <v/>
      </c>
    </row>
    <row r="368" spans="1:17" x14ac:dyDescent="0.3">
      <c r="A368" s="3">
        <v>2033703</v>
      </c>
      <c r="B368">
        <v>11845</v>
      </c>
      <c r="C368">
        <v>2</v>
      </c>
      <c r="D368" s="9">
        <v>104</v>
      </c>
      <c r="E368">
        <v>1003</v>
      </c>
      <c r="F368" s="1">
        <v>44006</v>
      </c>
      <c r="G368" t="s">
        <v>15</v>
      </c>
      <c r="H368" s="4">
        <v>1700</v>
      </c>
      <c r="I368" s="4" t="s">
        <v>16</v>
      </c>
      <c r="J368" s="4">
        <v>1700</v>
      </c>
      <c r="K368" t="str">
        <f>_xlfn.XLOOKUP($C368,Table1[BusinessUnitID],Table1[BusinessUnit],"",0)</f>
        <v>HOTEL</v>
      </c>
      <c r="L368" t="str" cm="1">
        <f t="array" ref="L368">_xlfn.XLOOKUP($C368,Table1[[#All],[BusinessUnitID]],Table1[[#All],[Description]],"",0,1)</f>
        <v xml:space="preserve">Transactions related to guest rooms and overall hotel operations. Includes payroll for administrative staff, clerks and interns. </v>
      </c>
      <c r="M368" t="str">
        <f>_xlfn.XLOOKUP($B368,ChartOfAccounts!A367:A452,ChartOfAccounts!B367:B452,"",0,1)</f>
        <v/>
      </c>
      <c r="N368">
        <f>_xlfn.XLOOKUP($B368,ChartOfAccounts!A367:A452,ChartOfAccounts!D367:D452,0,1)</f>
        <v>0</v>
      </c>
      <c r="O368" t="str">
        <f>_xlfn.XLOOKUP($B368,ChartOfAccounts!A367:A452,ChartOfAccounts!F367:F452,"",0,1)</f>
        <v/>
      </c>
      <c r="P368" t="str" cm="1">
        <f t="array" ref="P368">_xlfn.XLOOKUP($D368&amp;$C368,PreparerInfo!A367:A379&amp;PreparerInfo!C367:C379,PreparerInfo!B367:B379,"",0,1)</f>
        <v/>
      </c>
      <c r="Q368" t="str">
        <f>_xlfn.XLOOKUP($E368,Source!A367:A375,Source!B367:B375,"",0,1)</f>
        <v/>
      </c>
    </row>
    <row r="369" spans="1:17" x14ac:dyDescent="0.3">
      <c r="A369" s="3">
        <v>2033703</v>
      </c>
      <c r="B369">
        <v>43180</v>
      </c>
      <c r="C369">
        <v>2</v>
      </c>
      <c r="D369" s="9">
        <v>104</v>
      </c>
      <c r="E369">
        <v>1003</v>
      </c>
      <c r="F369" s="1">
        <v>44006</v>
      </c>
      <c r="G369" t="s">
        <v>15</v>
      </c>
      <c r="H369" s="4" t="s">
        <v>16</v>
      </c>
      <c r="I369" s="4">
        <v>-1700</v>
      </c>
      <c r="J369" s="4">
        <v>-1700</v>
      </c>
      <c r="K369" t="str">
        <f>_xlfn.XLOOKUP($C369,Table1[BusinessUnitID],Table1[BusinessUnit],"",0)</f>
        <v>HOTEL</v>
      </c>
      <c r="L369" t="str" cm="1">
        <f t="array" ref="L369">_xlfn.XLOOKUP($C369,Table1[[#All],[BusinessUnitID]],Table1[[#All],[Description]],"",0,1)</f>
        <v xml:space="preserve">Transactions related to guest rooms and overall hotel operations. Includes payroll for administrative staff, clerks and interns. </v>
      </c>
      <c r="M369" t="str">
        <f>_xlfn.XLOOKUP($B369,ChartOfAccounts!A368:A453,ChartOfAccounts!B368:B453,"",0,1)</f>
        <v/>
      </c>
      <c r="N369">
        <f>_xlfn.XLOOKUP($B369,ChartOfAccounts!A368:A453,ChartOfAccounts!D368:D453,0,1)</f>
        <v>0</v>
      </c>
      <c r="O369" t="str">
        <f>_xlfn.XLOOKUP($B369,ChartOfAccounts!A368:A453,ChartOfAccounts!F368:F453,"",0,1)</f>
        <v/>
      </c>
      <c r="P369" t="str" cm="1">
        <f t="array" ref="P369">_xlfn.XLOOKUP($D369&amp;$C369,PreparerInfo!A368:A380&amp;PreparerInfo!C368:C380,PreparerInfo!B368:B380,"",0,1)</f>
        <v/>
      </c>
      <c r="Q369" t="str">
        <f>_xlfn.XLOOKUP($E369,Source!A368:A376,Source!B368:B376,"",0,1)</f>
        <v/>
      </c>
    </row>
    <row r="370" spans="1:17" x14ac:dyDescent="0.3">
      <c r="A370" s="3">
        <v>2033704</v>
      </c>
      <c r="B370">
        <v>14260</v>
      </c>
      <c r="C370">
        <v>1</v>
      </c>
      <c r="D370" s="9">
        <v>101</v>
      </c>
      <c r="E370">
        <v>1002</v>
      </c>
      <c r="F370" s="1">
        <v>44006</v>
      </c>
      <c r="G370" t="s">
        <v>38</v>
      </c>
      <c r="H370" s="4">
        <v>1817.47</v>
      </c>
      <c r="I370" s="4" t="s">
        <v>16</v>
      </c>
      <c r="J370" s="4">
        <v>1817.47</v>
      </c>
      <c r="K370" t="str">
        <f>_xlfn.XLOOKUP($C370,Table1[BusinessUnitID],Table1[BusinessUnit],"",0)</f>
        <v>FOOD SERVICE</v>
      </c>
      <c r="L370" t="str" cm="1">
        <f t="array" ref="L370">_xlfn.XLOOKUP($C370,Table1[[#All],[BusinessUnitID]],Table1[[#All],[Description]],"",0,1)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70" t="str">
        <f>_xlfn.XLOOKUP($B370,ChartOfAccounts!A369:A454,ChartOfAccounts!B369:B454,"",0,1)</f>
        <v/>
      </c>
      <c r="N370">
        <f>_xlfn.XLOOKUP($B370,ChartOfAccounts!A369:A454,ChartOfAccounts!D369:D454,0,1)</f>
        <v>0</v>
      </c>
      <c r="O370" t="str">
        <f>_xlfn.XLOOKUP($B370,ChartOfAccounts!A369:A454,ChartOfAccounts!F369:F454,"",0,1)</f>
        <v/>
      </c>
      <c r="P370" t="str" cm="1">
        <f t="array" ref="P370">_xlfn.XLOOKUP($D370&amp;$C370,PreparerInfo!A369:A381&amp;PreparerInfo!C369:C381,PreparerInfo!B369:B381,"",0,1)</f>
        <v/>
      </c>
      <c r="Q370" t="str">
        <f>_xlfn.XLOOKUP($E370,Source!A369:A377,Source!B369:B377,"",0,1)</f>
        <v/>
      </c>
    </row>
    <row r="371" spans="1:17" x14ac:dyDescent="0.3">
      <c r="A371" s="3">
        <v>2033704</v>
      </c>
      <c r="B371">
        <v>11845</v>
      </c>
      <c r="C371">
        <v>1</v>
      </c>
      <c r="D371" s="9">
        <v>101</v>
      </c>
      <c r="E371">
        <v>1002</v>
      </c>
      <c r="F371" s="1">
        <v>44006</v>
      </c>
      <c r="G371" t="s">
        <v>38</v>
      </c>
      <c r="H371" s="4" t="s">
        <v>16</v>
      </c>
      <c r="I371" s="4">
        <v>-1817.47</v>
      </c>
      <c r="J371" s="4">
        <v>-1817.47</v>
      </c>
      <c r="K371" t="str">
        <f>_xlfn.XLOOKUP($C371,Table1[BusinessUnitID],Table1[BusinessUnit],"",0)</f>
        <v>FOOD SERVICE</v>
      </c>
      <c r="L371" t="str" cm="1">
        <f t="array" ref="L371">_xlfn.XLOOKUP($C371,Table1[[#All],[BusinessUnitID]],Table1[[#All],[Description]],"",0,1)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71" t="str">
        <f>_xlfn.XLOOKUP($B371,ChartOfAccounts!A370:A455,ChartOfAccounts!B370:B455,"",0,1)</f>
        <v/>
      </c>
      <c r="N371">
        <f>_xlfn.XLOOKUP($B371,ChartOfAccounts!A370:A455,ChartOfAccounts!D370:D455,0,1)</f>
        <v>0</v>
      </c>
      <c r="O371" t="str">
        <f>_xlfn.XLOOKUP($B371,ChartOfAccounts!A370:A455,ChartOfAccounts!F370:F455,"",0,1)</f>
        <v/>
      </c>
      <c r="P371" t="str" cm="1">
        <f t="array" ref="P371">_xlfn.XLOOKUP($D371&amp;$C371,PreparerInfo!A370:A382&amp;PreparerInfo!C370:C382,PreparerInfo!B370:B382,"",0,1)</f>
        <v/>
      </c>
      <c r="Q371" t="str">
        <f>_xlfn.XLOOKUP($E371,Source!A370:A378,Source!B370:B378,"",0,1)</f>
        <v/>
      </c>
    </row>
    <row r="372" spans="1:17" x14ac:dyDescent="0.3">
      <c r="A372" s="3">
        <v>2033705</v>
      </c>
      <c r="B372">
        <v>71400</v>
      </c>
      <c r="C372">
        <v>6</v>
      </c>
      <c r="D372" s="9">
        <v>101</v>
      </c>
      <c r="E372">
        <v>1007</v>
      </c>
      <c r="F372" s="1">
        <v>44006</v>
      </c>
      <c r="G372" t="s">
        <v>175</v>
      </c>
      <c r="H372" s="4">
        <v>1995.4</v>
      </c>
      <c r="I372" s="4" t="s">
        <v>16</v>
      </c>
      <c r="J372" s="4">
        <v>1995.4</v>
      </c>
      <c r="K372" t="str">
        <f>_xlfn.XLOOKUP($C372,Table1[BusinessUnitID],Table1[BusinessUnit],"",0)</f>
        <v>MAINTENANCE</v>
      </c>
      <c r="L372" t="str" cm="1">
        <f t="array" ref="L372">_xlfn.XLOOKUP($C372,Table1[[#All],[BusinessUnitID]],Table1[[#All],[Description]],"",0,1)</f>
        <v>Transactions related to the hotel Maintenance Department. Primarily includes payroll for maintenance, grounds keepers and related supplies.</v>
      </c>
      <c r="M372" t="str">
        <f>_xlfn.XLOOKUP($B372,ChartOfAccounts!A371:A456,ChartOfAccounts!B371:B456,"",0,1)</f>
        <v/>
      </c>
      <c r="N372">
        <f>_xlfn.XLOOKUP($B372,ChartOfAccounts!A371:A456,ChartOfAccounts!D371:D456,0,1)</f>
        <v>0</v>
      </c>
      <c r="O372" t="str">
        <f>_xlfn.XLOOKUP($B372,ChartOfAccounts!A371:A456,ChartOfAccounts!F371:F456,"",0,1)</f>
        <v/>
      </c>
      <c r="P372" t="str" cm="1">
        <f t="array" ref="P372">_xlfn.XLOOKUP($D372&amp;$C372,PreparerInfo!A371:A383&amp;PreparerInfo!C371:C383,PreparerInfo!B371:B383,"",0,1)</f>
        <v/>
      </c>
      <c r="Q372" t="str">
        <f>_xlfn.XLOOKUP($E372,Source!A371:A379,Source!B371:B379,"",0,1)</f>
        <v/>
      </c>
    </row>
    <row r="373" spans="1:17" x14ac:dyDescent="0.3">
      <c r="A373" s="3">
        <v>2033705</v>
      </c>
      <c r="B373">
        <v>11845</v>
      </c>
      <c r="C373">
        <v>6</v>
      </c>
      <c r="D373" s="9">
        <v>101</v>
      </c>
      <c r="E373">
        <v>1007</v>
      </c>
      <c r="F373" s="1">
        <v>44006</v>
      </c>
      <c r="G373" t="s">
        <v>175</v>
      </c>
      <c r="H373" s="4" t="s">
        <v>16</v>
      </c>
      <c r="I373" s="4">
        <v>-1995.4</v>
      </c>
      <c r="J373" s="4">
        <v>-1995.4</v>
      </c>
      <c r="K373" t="str">
        <f>_xlfn.XLOOKUP($C373,Table1[BusinessUnitID],Table1[BusinessUnit],"",0)</f>
        <v>MAINTENANCE</v>
      </c>
      <c r="L373" t="str" cm="1">
        <f t="array" ref="L373">_xlfn.XLOOKUP($C373,Table1[[#All],[BusinessUnitID]],Table1[[#All],[Description]],"",0,1)</f>
        <v>Transactions related to the hotel Maintenance Department. Primarily includes payroll for maintenance, grounds keepers and related supplies.</v>
      </c>
      <c r="M373" t="str">
        <f>_xlfn.XLOOKUP($B373,ChartOfAccounts!A372:A457,ChartOfAccounts!B372:B457,"",0,1)</f>
        <v/>
      </c>
      <c r="N373">
        <f>_xlfn.XLOOKUP($B373,ChartOfAccounts!A372:A457,ChartOfAccounts!D372:D457,0,1)</f>
        <v>0</v>
      </c>
      <c r="O373" t="str">
        <f>_xlfn.XLOOKUP($B373,ChartOfAccounts!A372:A457,ChartOfAccounts!F372:F457,"",0,1)</f>
        <v/>
      </c>
      <c r="P373" t="str" cm="1">
        <f t="array" ref="P373">_xlfn.XLOOKUP($D373&amp;$C373,PreparerInfo!A372:A384&amp;PreparerInfo!C372:C384,PreparerInfo!B372:B384,"",0,1)</f>
        <v/>
      </c>
      <c r="Q373" t="str">
        <f>_xlfn.XLOOKUP($E373,Source!A372:A380,Source!B372:B380,"",0,1)</f>
        <v/>
      </c>
    </row>
    <row r="374" spans="1:17" x14ac:dyDescent="0.3">
      <c r="A374" s="3">
        <v>2033706</v>
      </c>
      <c r="B374">
        <v>76030</v>
      </c>
      <c r="C374">
        <v>2</v>
      </c>
      <c r="D374" s="9">
        <v>101</v>
      </c>
      <c r="E374">
        <v>1002</v>
      </c>
      <c r="F374" s="1">
        <v>44006</v>
      </c>
      <c r="G374" t="s">
        <v>196</v>
      </c>
      <c r="H374" s="4">
        <v>2152.38</v>
      </c>
      <c r="I374" s="4" t="s">
        <v>16</v>
      </c>
      <c r="J374" s="4">
        <v>2152.38</v>
      </c>
      <c r="K374" t="str">
        <f>_xlfn.XLOOKUP($C374,Table1[BusinessUnitID],Table1[BusinessUnit],"",0)</f>
        <v>HOTEL</v>
      </c>
      <c r="L374" t="str" cm="1">
        <f t="array" ref="L374">_xlfn.XLOOKUP($C374,Table1[[#All],[BusinessUnitID]],Table1[[#All],[Description]],"",0,1)</f>
        <v xml:space="preserve">Transactions related to guest rooms and overall hotel operations. Includes payroll for administrative staff, clerks and interns. </v>
      </c>
      <c r="M374" t="str">
        <f>_xlfn.XLOOKUP($B374,ChartOfAccounts!A373:A458,ChartOfAccounts!B373:B458,"",0,1)</f>
        <v/>
      </c>
      <c r="N374">
        <f>_xlfn.XLOOKUP($B374,ChartOfAccounts!A373:A458,ChartOfAccounts!D373:D458,0,1)</f>
        <v>0</v>
      </c>
      <c r="O374" t="str">
        <f>_xlfn.XLOOKUP($B374,ChartOfAccounts!A373:A458,ChartOfAccounts!F373:F458,"",0,1)</f>
        <v/>
      </c>
      <c r="P374" t="str" cm="1">
        <f t="array" ref="P374">_xlfn.XLOOKUP($D374&amp;$C374,PreparerInfo!A373:A385&amp;PreparerInfo!C373:C385,PreparerInfo!B373:B385,"",0,1)</f>
        <v/>
      </c>
      <c r="Q374" t="str">
        <f>_xlfn.XLOOKUP($E374,Source!A373:A381,Source!B373:B381,"",0,1)</f>
        <v/>
      </c>
    </row>
    <row r="375" spans="1:17" x14ac:dyDescent="0.3">
      <c r="A375" s="3">
        <v>2033706</v>
      </c>
      <c r="B375">
        <v>11845</v>
      </c>
      <c r="C375">
        <v>2</v>
      </c>
      <c r="D375" s="9">
        <v>101</v>
      </c>
      <c r="E375">
        <v>1002</v>
      </c>
      <c r="F375" s="1">
        <v>44006</v>
      </c>
      <c r="G375" t="s">
        <v>196</v>
      </c>
      <c r="H375" s="4" t="s">
        <v>16</v>
      </c>
      <c r="I375" s="4">
        <v>-2152.38</v>
      </c>
      <c r="J375" s="4">
        <v>-2152.38</v>
      </c>
      <c r="K375" t="str">
        <f>_xlfn.XLOOKUP($C375,Table1[BusinessUnitID],Table1[BusinessUnit],"",0)</f>
        <v>HOTEL</v>
      </c>
      <c r="L375" t="str" cm="1">
        <f t="array" ref="L375">_xlfn.XLOOKUP($C375,Table1[[#All],[BusinessUnitID]],Table1[[#All],[Description]],"",0,1)</f>
        <v xml:space="preserve">Transactions related to guest rooms and overall hotel operations. Includes payroll for administrative staff, clerks and interns. </v>
      </c>
      <c r="M375" t="str">
        <f>_xlfn.XLOOKUP($B375,ChartOfAccounts!A374:A459,ChartOfAccounts!B374:B459,"",0,1)</f>
        <v/>
      </c>
      <c r="N375">
        <f>_xlfn.XLOOKUP($B375,ChartOfAccounts!A374:A459,ChartOfAccounts!D374:D459,0,1)</f>
        <v>0</v>
      </c>
      <c r="O375" t="str">
        <f>_xlfn.XLOOKUP($B375,ChartOfAccounts!A374:A459,ChartOfAccounts!F374:F459,"",0,1)</f>
        <v/>
      </c>
      <c r="P375" t="str" cm="1">
        <f t="array" ref="P375">_xlfn.XLOOKUP($D375&amp;$C375,PreparerInfo!A374:A386&amp;PreparerInfo!C374:C386,PreparerInfo!B374:B386,"",0,1)</f>
        <v/>
      </c>
      <c r="Q375" t="str">
        <f>_xlfn.XLOOKUP($E375,Source!A374:A382,Source!B374:B382,"",0,1)</f>
        <v/>
      </c>
    </row>
    <row r="376" spans="1:17" x14ac:dyDescent="0.3">
      <c r="A376" s="3">
        <v>2033707</v>
      </c>
      <c r="B376">
        <v>14260</v>
      </c>
      <c r="C376">
        <v>1</v>
      </c>
      <c r="D376" s="9">
        <v>102</v>
      </c>
      <c r="E376">
        <v>1002</v>
      </c>
      <c r="F376" s="1">
        <v>44006</v>
      </c>
      <c r="G376" t="s">
        <v>214</v>
      </c>
      <c r="H376" s="4">
        <v>2366.64</v>
      </c>
      <c r="I376" s="4" t="s">
        <v>16</v>
      </c>
      <c r="J376" s="4">
        <v>2366.64</v>
      </c>
      <c r="K376" t="str">
        <f>_xlfn.XLOOKUP($C376,Table1[BusinessUnitID],Table1[BusinessUnit],"",0)</f>
        <v>FOOD SERVICE</v>
      </c>
      <c r="L376" t="str" cm="1">
        <f t="array" ref="L376">_xlfn.XLOOKUP($C376,Table1[[#All],[BusinessUnitID]],Table1[[#All],[Description]],"",0,1)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76" t="str">
        <f>_xlfn.XLOOKUP($B376,ChartOfAccounts!A375:A460,ChartOfAccounts!B375:B460,"",0,1)</f>
        <v/>
      </c>
      <c r="N376">
        <f>_xlfn.XLOOKUP($B376,ChartOfAccounts!A375:A460,ChartOfAccounts!D375:D460,0,1)</f>
        <v>0</v>
      </c>
      <c r="O376" t="str">
        <f>_xlfn.XLOOKUP($B376,ChartOfAccounts!A375:A460,ChartOfAccounts!F375:F460,"",0,1)</f>
        <v/>
      </c>
      <c r="P376" t="str" cm="1">
        <f t="array" ref="P376">_xlfn.XLOOKUP($D376&amp;$C376,PreparerInfo!A375:A387&amp;PreparerInfo!C375:C387,PreparerInfo!B375:B387,"",0,1)</f>
        <v/>
      </c>
      <c r="Q376" t="str">
        <f>_xlfn.XLOOKUP($E376,Source!A375:A383,Source!B375:B383,"",0,1)</f>
        <v/>
      </c>
    </row>
    <row r="377" spans="1:17" x14ac:dyDescent="0.3">
      <c r="A377" s="3">
        <v>2033707</v>
      </c>
      <c r="B377">
        <v>11845</v>
      </c>
      <c r="C377">
        <v>1</v>
      </c>
      <c r="D377" s="9">
        <v>102</v>
      </c>
      <c r="E377">
        <v>1002</v>
      </c>
      <c r="F377" s="1">
        <v>44006</v>
      </c>
      <c r="G377" t="s">
        <v>214</v>
      </c>
      <c r="H377" s="4" t="s">
        <v>16</v>
      </c>
      <c r="I377" s="4">
        <v>-2366.64</v>
      </c>
      <c r="J377" s="4">
        <v>-2366.64</v>
      </c>
      <c r="K377" t="str">
        <f>_xlfn.XLOOKUP($C377,Table1[BusinessUnitID],Table1[BusinessUnit],"",0)</f>
        <v>FOOD SERVICE</v>
      </c>
      <c r="L377" t="str" cm="1">
        <f t="array" ref="L377">_xlfn.XLOOKUP($C377,Table1[[#All],[BusinessUnitID]],Table1[[#All],[Description]],"",0,1)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77" t="str">
        <f>_xlfn.XLOOKUP($B377,ChartOfAccounts!A376:A461,ChartOfAccounts!B376:B461,"",0,1)</f>
        <v/>
      </c>
      <c r="N377">
        <f>_xlfn.XLOOKUP($B377,ChartOfAccounts!A376:A461,ChartOfAccounts!D376:D461,0,1)</f>
        <v>0</v>
      </c>
      <c r="O377" t="str">
        <f>_xlfn.XLOOKUP($B377,ChartOfAccounts!A376:A461,ChartOfAccounts!F376:F461,"",0,1)</f>
        <v/>
      </c>
      <c r="P377" t="str" cm="1">
        <f t="array" ref="P377">_xlfn.XLOOKUP($D377&amp;$C377,PreparerInfo!A376:A388&amp;PreparerInfo!C376:C388,PreparerInfo!B376:B388,"",0,1)</f>
        <v/>
      </c>
      <c r="Q377" t="str">
        <f>_xlfn.XLOOKUP($E377,Source!A376:A384,Source!B376:B384,"",0,1)</f>
        <v/>
      </c>
    </row>
    <row r="378" spans="1:17" x14ac:dyDescent="0.3">
      <c r="A378" s="3">
        <v>2033708</v>
      </c>
      <c r="B378">
        <v>11845</v>
      </c>
      <c r="C378">
        <v>2</v>
      </c>
      <c r="D378" s="9">
        <v>104</v>
      </c>
      <c r="E378">
        <v>1003</v>
      </c>
      <c r="F378" s="1">
        <v>44006</v>
      </c>
      <c r="G378" t="s">
        <v>41</v>
      </c>
      <c r="H378" s="4">
        <v>3537</v>
      </c>
      <c r="I378" s="4" t="s">
        <v>16</v>
      </c>
      <c r="J378" s="4">
        <v>3537</v>
      </c>
      <c r="K378" t="str">
        <f>_xlfn.XLOOKUP($C378,Table1[BusinessUnitID],Table1[BusinessUnit],"",0)</f>
        <v>HOTEL</v>
      </c>
      <c r="L378" t="str" cm="1">
        <f t="array" ref="L378">_xlfn.XLOOKUP($C378,Table1[[#All],[BusinessUnitID]],Table1[[#All],[Description]],"",0,1)</f>
        <v xml:space="preserve">Transactions related to guest rooms and overall hotel operations. Includes payroll for administrative staff, clerks and interns. </v>
      </c>
      <c r="M378" t="str">
        <f>_xlfn.XLOOKUP($B378,ChartOfAccounts!A377:A462,ChartOfAccounts!B377:B462,"",0,1)</f>
        <v/>
      </c>
      <c r="N378">
        <f>_xlfn.XLOOKUP($B378,ChartOfAccounts!A377:A462,ChartOfAccounts!D377:D462,0,1)</f>
        <v>0</v>
      </c>
      <c r="O378" t="str">
        <f>_xlfn.XLOOKUP($B378,ChartOfAccounts!A377:A462,ChartOfAccounts!F377:F462,"",0,1)</f>
        <v/>
      </c>
      <c r="P378" t="str" cm="1">
        <f t="array" ref="P378">_xlfn.XLOOKUP($D378&amp;$C378,PreparerInfo!A377:A389&amp;PreparerInfo!C377:C389,PreparerInfo!B377:B389,"",0,1)</f>
        <v/>
      </c>
      <c r="Q378" t="str">
        <f>_xlfn.XLOOKUP($E378,Source!A377:A385,Source!B377:B385,"",0,1)</f>
        <v/>
      </c>
    </row>
    <row r="379" spans="1:17" x14ac:dyDescent="0.3">
      <c r="A379" s="3">
        <v>2033708</v>
      </c>
      <c r="B379">
        <v>43180</v>
      </c>
      <c r="C379">
        <v>2</v>
      </c>
      <c r="D379" s="9">
        <v>104</v>
      </c>
      <c r="E379">
        <v>1003</v>
      </c>
      <c r="F379" s="1">
        <v>44006</v>
      </c>
      <c r="G379" t="s">
        <v>41</v>
      </c>
      <c r="H379" s="4" t="s">
        <v>16</v>
      </c>
      <c r="I379" s="4">
        <v>-3537</v>
      </c>
      <c r="J379" s="4">
        <v>-3537</v>
      </c>
      <c r="K379" t="str">
        <f>_xlfn.XLOOKUP($C379,Table1[BusinessUnitID],Table1[BusinessUnit],"",0)</f>
        <v>HOTEL</v>
      </c>
      <c r="L379" t="str" cm="1">
        <f t="array" ref="L379">_xlfn.XLOOKUP($C379,Table1[[#All],[BusinessUnitID]],Table1[[#All],[Description]],"",0,1)</f>
        <v xml:space="preserve">Transactions related to guest rooms and overall hotel operations. Includes payroll for administrative staff, clerks and interns. </v>
      </c>
      <c r="M379" t="str">
        <f>_xlfn.XLOOKUP($B379,ChartOfAccounts!A378:A463,ChartOfAccounts!B378:B463,"",0,1)</f>
        <v/>
      </c>
      <c r="N379">
        <f>_xlfn.XLOOKUP($B379,ChartOfAccounts!A378:A463,ChartOfAccounts!D378:D463,0,1)</f>
        <v>0</v>
      </c>
      <c r="O379" t="str">
        <f>_xlfn.XLOOKUP($B379,ChartOfAccounts!A378:A463,ChartOfAccounts!F378:F463,"",0,1)</f>
        <v/>
      </c>
      <c r="P379" t="str" cm="1">
        <f t="array" ref="P379">_xlfn.XLOOKUP($D379&amp;$C379,PreparerInfo!A378:A390&amp;PreparerInfo!C378:C390,PreparerInfo!B378:B390,"",0,1)</f>
        <v/>
      </c>
      <c r="Q379" t="str">
        <f>_xlfn.XLOOKUP($E379,Source!A378:A386,Source!B378:B386,"",0,1)</f>
        <v/>
      </c>
    </row>
    <row r="380" spans="1:17" x14ac:dyDescent="0.3">
      <c r="A380" s="3">
        <v>2033709</v>
      </c>
      <c r="B380">
        <v>14260</v>
      </c>
      <c r="C380">
        <v>1</v>
      </c>
      <c r="D380" s="9">
        <v>101</v>
      </c>
      <c r="E380">
        <v>1002</v>
      </c>
      <c r="F380" s="1">
        <v>44006</v>
      </c>
      <c r="G380" t="s">
        <v>38</v>
      </c>
      <c r="H380" s="4">
        <v>4194.0600000000004</v>
      </c>
      <c r="I380" s="4" t="s">
        <v>16</v>
      </c>
      <c r="J380" s="4">
        <v>4194.0600000000004</v>
      </c>
      <c r="K380" t="str">
        <f>_xlfn.XLOOKUP($C380,Table1[BusinessUnitID],Table1[BusinessUnit],"",0)</f>
        <v>FOOD SERVICE</v>
      </c>
      <c r="L380" t="str" cm="1">
        <f t="array" ref="L380">_xlfn.XLOOKUP($C380,Table1[[#All],[BusinessUnitID]],Table1[[#All],[Description]],"",0,1)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80" t="str">
        <f>_xlfn.XLOOKUP($B380,ChartOfAccounts!A379:A464,ChartOfAccounts!B379:B464,"",0,1)</f>
        <v/>
      </c>
      <c r="N380">
        <f>_xlfn.XLOOKUP($B380,ChartOfAccounts!A379:A464,ChartOfAccounts!D379:D464,0,1)</f>
        <v>0</v>
      </c>
      <c r="O380" t="str">
        <f>_xlfn.XLOOKUP($B380,ChartOfAccounts!A379:A464,ChartOfAccounts!F379:F464,"",0,1)</f>
        <v/>
      </c>
      <c r="P380" t="str" cm="1">
        <f t="array" ref="P380">_xlfn.XLOOKUP($D380&amp;$C380,PreparerInfo!A379:A391&amp;PreparerInfo!C379:C391,PreparerInfo!B379:B391,"",0,1)</f>
        <v/>
      </c>
      <c r="Q380" t="str">
        <f>_xlfn.XLOOKUP($E380,Source!A379:A387,Source!B379:B387,"",0,1)</f>
        <v/>
      </c>
    </row>
    <row r="381" spans="1:17" x14ac:dyDescent="0.3">
      <c r="A381" s="3">
        <v>2033709</v>
      </c>
      <c r="B381">
        <v>11845</v>
      </c>
      <c r="C381">
        <v>1</v>
      </c>
      <c r="D381" s="9">
        <v>101</v>
      </c>
      <c r="E381">
        <v>1002</v>
      </c>
      <c r="F381" s="1">
        <v>44006</v>
      </c>
      <c r="G381" t="s">
        <v>38</v>
      </c>
      <c r="H381" s="4" t="s">
        <v>16</v>
      </c>
      <c r="I381" s="4">
        <v>-4194.0600000000004</v>
      </c>
      <c r="J381" s="4">
        <v>-4194.0600000000004</v>
      </c>
      <c r="K381" t="str">
        <f>_xlfn.XLOOKUP($C381,Table1[BusinessUnitID],Table1[BusinessUnit],"",0)</f>
        <v>FOOD SERVICE</v>
      </c>
      <c r="L381" t="str" cm="1">
        <f t="array" ref="L381">_xlfn.XLOOKUP($C381,Table1[[#All],[BusinessUnitID]],Table1[[#All],[Description]],"",0,1)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81" t="str">
        <f>_xlfn.XLOOKUP($B381,ChartOfAccounts!A380:A465,ChartOfAccounts!B380:B465,"",0,1)</f>
        <v/>
      </c>
      <c r="N381">
        <f>_xlfn.XLOOKUP($B381,ChartOfAccounts!A380:A465,ChartOfAccounts!D380:D465,0,1)</f>
        <v>0</v>
      </c>
      <c r="O381" t="str">
        <f>_xlfn.XLOOKUP($B381,ChartOfAccounts!A380:A465,ChartOfAccounts!F380:F465,"",0,1)</f>
        <v/>
      </c>
      <c r="P381" t="str" cm="1">
        <f t="array" ref="P381">_xlfn.XLOOKUP($D381&amp;$C381,PreparerInfo!A380:A392&amp;PreparerInfo!C380:C392,PreparerInfo!B380:B392,"",0,1)</f>
        <v/>
      </c>
      <c r="Q381" t="str">
        <f>_xlfn.XLOOKUP($E381,Source!A380:A388,Source!B380:B388,"",0,1)</f>
        <v/>
      </c>
    </row>
    <row r="382" spans="1:17" x14ac:dyDescent="0.3">
      <c r="A382" s="3">
        <v>2033710</v>
      </c>
      <c r="B382">
        <v>14260</v>
      </c>
      <c r="C382">
        <v>1</v>
      </c>
      <c r="D382" s="9">
        <v>101</v>
      </c>
      <c r="E382">
        <v>1002</v>
      </c>
      <c r="F382" s="1">
        <v>44006</v>
      </c>
      <c r="G382" t="s">
        <v>38</v>
      </c>
      <c r="H382" s="4">
        <v>5772.72</v>
      </c>
      <c r="I382" s="4" t="s">
        <v>16</v>
      </c>
      <c r="J382" s="4">
        <v>5772.72</v>
      </c>
      <c r="K382" t="str">
        <f>_xlfn.XLOOKUP($C382,Table1[BusinessUnitID],Table1[BusinessUnit],"",0)</f>
        <v>FOOD SERVICE</v>
      </c>
      <c r="L382" t="str" cm="1">
        <f t="array" ref="L382">_xlfn.XLOOKUP($C382,Table1[[#All],[BusinessUnitID]],Table1[[#All],[Description]],"",0,1)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82" t="str">
        <f>_xlfn.XLOOKUP($B382,ChartOfAccounts!A381:A466,ChartOfAccounts!B381:B466,"",0,1)</f>
        <v/>
      </c>
      <c r="N382">
        <f>_xlfn.XLOOKUP($B382,ChartOfAccounts!A381:A466,ChartOfAccounts!D381:D466,0,1)</f>
        <v>0</v>
      </c>
      <c r="O382" t="str">
        <f>_xlfn.XLOOKUP($B382,ChartOfAccounts!A381:A466,ChartOfAccounts!F381:F466,"",0,1)</f>
        <v/>
      </c>
      <c r="P382" t="str" cm="1">
        <f t="array" ref="P382">_xlfn.XLOOKUP($D382&amp;$C382,PreparerInfo!A381:A393&amp;PreparerInfo!C381:C393,PreparerInfo!B381:B393,"",0,1)</f>
        <v/>
      </c>
      <c r="Q382" t="str">
        <f>_xlfn.XLOOKUP($E382,Source!A381:A389,Source!B381:B389,"",0,1)</f>
        <v/>
      </c>
    </row>
    <row r="383" spans="1:17" x14ac:dyDescent="0.3">
      <c r="A383" s="3">
        <v>2033710</v>
      </c>
      <c r="B383">
        <v>11845</v>
      </c>
      <c r="C383">
        <v>1</v>
      </c>
      <c r="D383" s="9">
        <v>101</v>
      </c>
      <c r="E383">
        <v>1002</v>
      </c>
      <c r="F383" s="1">
        <v>44006</v>
      </c>
      <c r="G383" t="s">
        <v>38</v>
      </c>
      <c r="H383" s="4" t="s">
        <v>16</v>
      </c>
      <c r="I383" s="4">
        <v>-5772.72</v>
      </c>
      <c r="J383" s="4">
        <v>-5772.72</v>
      </c>
      <c r="K383" t="str">
        <f>_xlfn.XLOOKUP($C383,Table1[BusinessUnitID],Table1[BusinessUnit],"",0)</f>
        <v>FOOD SERVICE</v>
      </c>
      <c r="L383" t="str" cm="1">
        <f t="array" ref="L383">_xlfn.XLOOKUP($C383,Table1[[#All],[BusinessUnitID]],Table1[[#All],[Description]],"",0,1)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83" t="str">
        <f>_xlfn.XLOOKUP($B383,ChartOfAccounts!A382:A467,ChartOfAccounts!B382:B467,"",0,1)</f>
        <v/>
      </c>
      <c r="N383">
        <f>_xlfn.XLOOKUP($B383,ChartOfAccounts!A382:A467,ChartOfAccounts!D382:D467,0,1)</f>
        <v>0</v>
      </c>
      <c r="O383" t="str">
        <f>_xlfn.XLOOKUP($B383,ChartOfAccounts!A382:A467,ChartOfAccounts!F382:F467,"",0,1)</f>
        <v/>
      </c>
      <c r="P383" t="str" cm="1">
        <f t="array" ref="P383">_xlfn.XLOOKUP($D383&amp;$C383,PreparerInfo!A382:A394&amp;PreparerInfo!C382:C394,PreparerInfo!B382:B394,"",0,1)</f>
        <v/>
      </c>
      <c r="Q383" t="str">
        <f>_xlfn.XLOOKUP($E383,Source!A382:A390,Source!B382:B390,"",0,1)</f>
        <v/>
      </c>
    </row>
    <row r="384" spans="1:17" x14ac:dyDescent="0.3">
      <c r="A384" s="3">
        <v>2033711</v>
      </c>
      <c r="B384">
        <v>16200</v>
      </c>
      <c r="C384">
        <v>2</v>
      </c>
      <c r="D384" s="9">
        <v>102</v>
      </c>
      <c r="E384">
        <v>1002</v>
      </c>
      <c r="F384" s="1">
        <v>44006</v>
      </c>
      <c r="G384" t="s">
        <v>282</v>
      </c>
      <c r="H384" s="4">
        <v>14536.31</v>
      </c>
      <c r="I384" s="4"/>
      <c r="J384" s="4">
        <v>14536.31</v>
      </c>
      <c r="K384" t="str">
        <f>_xlfn.XLOOKUP($C384,Table1[BusinessUnitID],Table1[BusinessUnit],"",0)</f>
        <v>HOTEL</v>
      </c>
      <c r="L384" t="str" cm="1">
        <f t="array" ref="L384">_xlfn.XLOOKUP($C384,Table1[[#All],[BusinessUnitID]],Table1[[#All],[Description]],"",0,1)</f>
        <v xml:space="preserve">Transactions related to guest rooms and overall hotel operations. Includes payroll for administrative staff, clerks and interns. </v>
      </c>
      <c r="M384" t="str">
        <f>_xlfn.XLOOKUP($B384,ChartOfAccounts!A383:A468,ChartOfAccounts!B383:B468,"",0,1)</f>
        <v/>
      </c>
      <c r="N384">
        <f>_xlfn.XLOOKUP($B384,ChartOfAccounts!A383:A468,ChartOfAccounts!D383:D468,0,1)</f>
        <v>0</v>
      </c>
      <c r="O384" t="str">
        <f>_xlfn.XLOOKUP($B384,ChartOfAccounts!A383:A468,ChartOfAccounts!F383:F468,"",0,1)</f>
        <v/>
      </c>
      <c r="P384" t="str" cm="1">
        <f t="array" ref="P384">_xlfn.XLOOKUP($D384&amp;$C384,PreparerInfo!A383:A395&amp;PreparerInfo!C383:C395,PreparerInfo!B383:B395,"",0,1)</f>
        <v/>
      </c>
      <c r="Q384" t="str">
        <f>_xlfn.XLOOKUP($E384,Source!A383:A391,Source!B383:B391,"",0,1)</f>
        <v/>
      </c>
    </row>
    <row r="385" spans="1:17" x14ac:dyDescent="0.3">
      <c r="A385" s="3">
        <v>2033711</v>
      </c>
      <c r="B385" s="2">
        <v>11845</v>
      </c>
      <c r="C385">
        <v>2</v>
      </c>
      <c r="D385" s="9">
        <v>102</v>
      </c>
      <c r="E385">
        <v>1002</v>
      </c>
      <c r="F385" s="1">
        <v>44006</v>
      </c>
      <c r="G385" t="s">
        <v>282</v>
      </c>
      <c r="H385" s="4"/>
      <c r="I385" s="4">
        <v>-14536.31</v>
      </c>
      <c r="J385" s="4">
        <v>-14536.31</v>
      </c>
      <c r="K385" t="str">
        <f>_xlfn.XLOOKUP($C385,Table1[BusinessUnitID],Table1[BusinessUnit],"",0)</f>
        <v>HOTEL</v>
      </c>
      <c r="L385" t="str" cm="1">
        <f t="array" ref="L385">_xlfn.XLOOKUP($C385,Table1[[#All],[BusinessUnitID]],Table1[[#All],[Description]],"",0,1)</f>
        <v xml:space="preserve">Transactions related to guest rooms and overall hotel operations. Includes payroll for administrative staff, clerks and interns. </v>
      </c>
      <c r="M385" t="str">
        <f>_xlfn.XLOOKUP($B385,ChartOfAccounts!A384:A469,ChartOfAccounts!B384:B469,"",0,1)</f>
        <v/>
      </c>
      <c r="N385">
        <f>_xlfn.XLOOKUP($B385,ChartOfAccounts!A384:A469,ChartOfAccounts!D384:D469,0,1)</f>
        <v>0</v>
      </c>
      <c r="O385" t="str">
        <f>_xlfn.XLOOKUP($B385,ChartOfAccounts!A384:A469,ChartOfAccounts!F384:F469,"",0,1)</f>
        <v/>
      </c>
      <c r="P385" t="str" cm="1">
        <f t="array" ref="P385">_xlfn.XLOOKUP($D385&amp;$C385,PreparerInfo!A384:A396&amp;PreparerInfo!C384:C396,PreparerInfo!B384:B396,"",0,1)</f>
        <v/>
      </c>
      <c r="Q385" t="str">
        <f>_xlfn.XLOOKUP($E385,Source!A384:A392,Source!B384:B392,"",0,1)</f>
        <v/>
      </c>
    </row>
    <row r="386" spans="1:17" x14ac:dyDescent="0.3">
      <c r="A386" s="3">
        <v>2033712</v>
      </c>
      <c r="B386">
        <v>74201</v>
      </c>
      <c r="C386">
        <v>2</v>
      </c>
      <c r="D386" s="9">
        <v>103</v>
      </c>
      <c r="E386">
        <v>1008</v>
      </c>
      <c r="F386" s="1">
        <v>44008</v>
      </c>
      <c r="G386" t="s">
        <v>73</v>
      </c>
      <c r="H386" s="4">
        <v>43426.26</v>
      </c>
      <c r="I386" s="4" t="s">
        <v>16</v>
      </c>
      <c r="J386" s="4">
        <v>43426.26</v>
      </c>
      <c r="K386" t="str">
        <f>_xlfn.XLOOKUP($C386,Table1[BusinessUnitID],Table1[BusinessUnit],"",0)</f>
        <v>HOTEL</v>
      </c>
      <c r="L386" t="str" cm="1">
        <f t="array" ref="L386">_xlfn.XLOOKUP($C386,Table1[[#All],[BusinessUnitID]],Table1[[#All],[Description]],"",0,1)</f>
        <v xml:space="preserve">Transactions related to guest rooms and overall hotel operations. Includes payroll for administrative staff, clerks and interns. </v>
      </c>
      <c r="M386" t="str">
        <f>_xlfn.XLOOKUP($B386,ChartOfAccounts!A385:A470,ChartOfAccounts!B385:B470,"",0,1)</f>
        <v/>
      </c>
      <c r="N386">
        <f>_xlfn.XLOOKUP($B386,ChartOfAccounts!A385:A470,ChartOfAccounts!D385:D470,0,1)</f>
        <v>0</v>
      </c>
      <c r="O386" t="str">
        <f>_xlfn.XLOOKUP($B386,ChartOfAccounts!A385:A470,ChartOfAccounts!F385:F470,"",0,1)</f>
        <v/>
      </c>
      <c r="P386" t="str" cm="1">
        <f t="array" ref="P386">_xlfn.XLOOKUP($D386&amp;$C386,PreparerInfo!A385:A397&amp;PreparerInfo!C385:C397,PreparerInfo!B385:B397,"",0,1)</f>
        <v/>
      </c>
      <c r="Q386" t="str">
        <f>_xlfn.XLOOKUP($E386,Source!A385:A393,Source!B385:B393,"",0,1)</f>
        <v/>
      </c>
    </row>
    <row r="387" spans="1:17" x14ac:dyDescent="0.3">
      <c r="A387" s="3">
        <v>2033712</v>
      </c>
      <c r="B387">
        <v>74201</v>
      </c>
      <c r="C387">
        <v>2</v>
      </c>
      <c r="D387" s="9">
        <v>103</v>
      </c>
      <c r="E387">
        <v>1008</v>
      </c>
      <c r="F387" s="1">
        <v>44008</v>
      </c>
      <c r="G387" t="s">
        <v>73</v>
      </c>
      <c r="H387" s="4" t="s">
        <v>16</v>
      </c>
      <c r="I387" s="4">
        <v>-43426.26</v>
      </c>
      <c r="J387" s="4">
        <v>-43426.26</v>
      </c>
      <c r="K387" t="str">
        <f>_xlfn.XLOOKUP($C387,Table1[BusinessUnitID],Table1[BusinessUnit],"",0)</f>
        <v>HOTEL</v>
      </c>
      <c r="L387" t="str" cm="1">
        <f t="array" ref="L387">_xlfn.XLOOKUP($C387,Table1[[#All],[BusinessUnitID]],Table1[[#All],[Description]],"",0,1)</f>
        <v xml:space="preserve">Transactions related to guest rooms and overall hotel operations. Includes payroll for administrative staff, clerks and interns. </v>
      </c>
      <c r="M387" t="str">
        <f>_xlfn.XLOOKUP($B387,ChartOfAccounts!A386:A471,ChartOfAccounts!B386:B471,"",0,1)</f>
        <v/>
      </c>
      <c r="N387">
        <f>_xlfn.XLOOKUP($B387,ChartOfAccounts!A386:A471,ChartOfAccounts!D386:D471,0,1)</f>
        <v>0</v>
      </c>
      <c r="O387" t="str">
        <f>_xlfn.XLOOKUP($B387,ChartOfAccounts!A386:A471,ChartOfAccounts!F386:F471,"",0,1)</f>
        <v/>
      </c>
      <c r="P387" t="str" cm="1">
        <f t="array" ref="P387">_xlfn.XLOOKUP($D387&amp;$C387,PreparerInfo!A386:A398&amp;PreparerInfo!C386:C398,PreparerInfo!B386:B398,"",0,1)</f>
        <v/>
      </c>
      <c r="Q387" t="str">
        <f>_xlfn.XLOOKUP($E387,Source!A386:A394,Source!B386:B394,"",0,1)</f>
        <v/>
      </c>
    </row>
    <row r="388" spans="1:17" x14ac:dyDescent="0.3">
      <c r="A388" s="3">
        <v>2033713</v>
      </c>
      <c r="B388">
        <v>71400</v>
      </c>
      <c r="C388">
        <v>1</v>
      </c>
      <c r="D388" s="9">
        <v>101</v>
      </c>
      <c r="E388">
        <v>1002</v>
      </c>
      <c r="F388" s="1">
        <v>44009</v>
      </c>
      <c r="G388" t="s">
        <v>185</v>
      </c>
      <c r="H388" s="4">
        <v>0.05</v>
      </c>
      <c r="I388" s="4" t="s">
        <v>16</v>
      </c>
      <c r="J388" s="4">
        <v>0.05</v>
      </c>
      <c r="K388" t="str">
        <f>_xlfn.XLOOKUP($C388,Table1[BusinessUnitID],Table1[BusinessUnit],"",0)</f>
        <v>FOOD SERVICE</v>
      </c>
      <c r="L388" t="str" cm="1">
        <f t="array" ref="L388">_xlfn.XLOOKUP($C388,Table1[[#All],[BusinessUnitID]],Table1[[#All],[Description]],"",0,1)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88" t="str">
        <f>_xlfn.XLOOKUP($B388,ChartOfAccounts!A387:A472,ChartOfAccounts!B387:B472,"",0,1)</f>
        <v/>
      </c>
      <c r="N388">
        <f>_xlfn.XLOOKUP($B388,ChartOfAccounts!A387:A472,ChartOfAccounts!D387:D472,0,1)</f>
        <v>0</v>
      </c>
      <c r="O388" t="str">
        <f>_xlfn.XLOOKUP($B388,ChartOfAccounts!A387:A472,ChartOfAccounts!F387:F472,"",0,1)</f>
        <v/>
      </c>
      <c r="P388" t="str" cm="1">
        <f t="array" ref="P388">_xlfn.XLOOKUP($D388&amp;$C388,PreparerInfo!A387:A399&amp;PreparerInfo!C387:C399,PreparerInfo!B387:B399,"",0,1)</f>
        <v/>
      </c>
      <c r="Q388" t="str">
        <f>_xlfn.XLOOKUP($E388,Source!A387:A395,Source!B387:B395,"",0,1)</f>
        <v/>
      </c>
    </row>
    <row r="389" spans="1:17" x14ac:dyDescent="0.3">
      <c r="A389" s="3">
        <v>2033713</v>
      </c>
      <c r="B389">
        <v>11845</v>
      </c>
      <c r="C389">
        <v>1</v>
      </c>
      <c r="D389" s="9">
        <v>101</v>
      </c>
      <c r="E389">
        <v>1002</v>
      </c>
      <c r="F389" s="1">
        <v>44009</v>
      </c>
      <c r="G389" t="s">
        <v>185</v>
      </c>
      <c r="H389" s="4" t="s">
        <v>16</v>
      </c>
      <c r="I389" s="4">
        <v>-0.05</v>
      </c>
      <c r="J389" s="4">
        <v>-0.05</v>
      </c>
      <c r="K389" t="str">
        <f>_xlfn.XLOOKUP($C389,Table1[BusinessUnitID],Table1[BusinessUnit],"",0)</f>
        <v>FOOD SERVICE</v>
      </c>
      <c r="L389" t="str" cm="1">
        <f t="array" ref="L389">_xlfn.XLOOKUP($C389,Table1[[#All],[BusinessUnitID]],Table1[[#All],[Description]],"",0,1)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89" t="str">
        <f>_xlfn.XLOOKUP($B389,ChartOfAccounts!A388:A473,ChartOfAccounts!B388:B473,"",0,1)</f>
        <v/>
      </c>
      <c r="N389">
        <f>_xlfn.XLOOKUP($B389,ChartOfAccounts!A388:A473,ChartOfAccounts!D388:D473,0,1)</f>
        <v>0</v>
      </c>
      <c r="O389" t="str">
        <f>_xlfn.XLOOKUP($B389,ChartOfAccounts!A388:A473,ChartOfAccounts!F388:F473,"",0,1)</f>
        <v/>
      </c>
      <c r="P389" t="str" cm="1">
        <f t="array" ref="P389">_xlfn.XLOOKUP($D389&amp;$C389,PreparerInfo!A388:A400&amp;PreparerInfo!C388:C400,PreparerInfo!B388:B400,"",0,1)</f>
        <v/>
      </c>
      <c r="Q389" t="str">
        <f>_xlfn.XLOOKUP($E389,Source!A388:A396,Source!B388:B396,"",0,1)</f>
        <v/>
      </c>
    </row>
    <row r="390" spans="1:17" x14ac:dyDescent="0.3">
      <c r="A390" s="3">
        <v>2033714</v>
      </c>
      <c r="B390">
        <v>71400</v>
      </c>
      <c r="C390">
        <v>6</v>
      </c>
      <c r="D390" s="9">
        <v>101</v>
      </c>
      <c r="E390">
        <v>1002</v>
      </c>
      <c r="F390" s="1">
        <v>44009</v>
      </c>
      <c r="G390" t="s">
        <v>185</v>
      </c>
      <c r="H390" s="4">
        <v>4.1500000000000004</v>
      </c>
      <c r="I390" s="4" t="s">
        <v>16</v>
      </c>
      <c r="J390" s="4">
        <v>4.1500000000000004</v>
      </c>
      <c r="K390" t="str">
        <f>_xlfn.XLOOKUP($C390,Table1[BusinessUnitID],Table1[BusinessUnit],"",0)</f>
        <v>MAINTENANCE</v>
      </c>
      <c r="L390" t="str" cm="1">
        <f t="array" ref="L390">_xlfn.XLOOKUP($C390,Table1[[#All],[BusinessUnitID]],Table1[[#All],[Description]],"",0,1)</f>
        <v>Transactions related to the hotel Maintenance Department. Primarily includes payroll for maintenance, grounds keepers and related supplies.</v>
      </c>
      <c r="M390" t="str">
        <f>_xlfn.XLOOKUP($B390,ChartOfAccounts!A389:A474,ChartOfAccounts!B389:B474,"",0,1)</f>
        <v/>
      </c>
      <c r="N390">
        <f>_xlfn.XLOOKUP($B390,ChartOfAccounts!A389:A474,ChartOfAccounts!D389:D474,0,1)</f>
        <v>0</v>
      </c>
      <c r="O390" t="str">
        <f>_xlfn.XLOOKUP($B390,ChartOfAccounts!A389:A474,ChartOfAccounts!F389:F474,"",0,1)</f>
        <v/>
      </c>
      <c r="P390" t="str" cm="1">
        <f t="array" ref="P390">_xlfn.XLOOKUP($D390&amp;$C390,PreparerInfo!A389:A401&amp;PreparerInfo!C389:C401,PreparerInfo!B389:B401,"",0,1)</f>
        <v/>
      </c>
      <c r="Q390" t="str">
        <f>_xlfn.XLOOKUP($E390,Source!A389:A397,Source!B389:B397,"",0,1)</f>
        <v/>
      </c>
    </row>
    <row r="391" spans="1:17" x14ac:dyDescent="0.3">
      <c r="A391" s="3">
        <v>2033714</v>
      </c>
      <c r="B391">
        <v>11845</v>
      </c>
      <c r="C391">
        <v>6</v>
      </c>
      <c r="D391" s="9">
        <v>101</v>
      </c>
      <c r="E391">
        <v>1002</v>
      </c>
      <c r="F391" s="1">
        <v>44009</v>
      </c>
      <c r="G391" t="s">
        <v>185</v>
      </c>
      <c r="H391" s="4" t="s">
        <v>16</v>
      </c>
      <c r="I391" s="4">
        <v>-4.1500000000000004</v>
      </c>
      <c r="J391" s="4">
        <v>-4.1500000000000004</v>
      </c>
      <c r="K391" t="str">
        <f>_xlfn.XLOOKUP($C391,Table1[BusinessUnitID],Table1[BusinessUnit],"",0)</f>
        <v>MAINTENANCE</v>
      </c>
      <c r="L391" t="str" cm="1">
        <f t="array" ref="L391">_xlfn.XLOOKUP($C391,Table1[[#All],[BusinessUnitID]],Table1[[#All],[Description]],"",0,1)</f>
        <v>Transactions related to the hotel Maintenance Department. Primarily includes payroll for maintenance, grounds keepers and related supplies.</v>
      </c>
      <c r="M391" t="str">
        <f>_xlfn.XLOOKUP($B391,ChartOfAccounts!A390:A475,ChartOfAccounts!B390:B475,"",0,1)</f>
        <v/>
      </c>
      <c r="N391">
        <f>_xlfn.XLOOKUP($B391,ChartOfAccounts!A390:A475,ChartOfAccounts!D390:D475,0,1)</f>
        <v>0</v>
      </c>
      <c r="O391" t="str">
        <f>_xlfn.XLOOKUP($B391,ChartOfAccounts!A390:A475,ChartOfAccounts!F390:F475,"",0,1)</f>
        <v/>
      </c>
      <c r="P391" t="str" cm="1">
        <f t="array" ref="P391">_xlfn.XLOOKUP($D391&amp;$C391,PreparerInfo!A390:A402&amp;PreparerInfo!C390:C402,PreparerInfo!B390:B402,"",0,1)</f>
        <v/>
      </c>
      <c r="Q391" t="str">
        <f>_xlfn.XLOOKUP($E391,Source!A390:A398,Source!B390:B398,"",0,1)</f>
        <v/>
      </c>
    </row>
    <row r="392" spans="1:17" x14ac:dyDescent="0.3">
      <c r="A392" s="3">
        <v>2033715</v>
      </c>
      <c r="B392">
        <v>14260</v>
      </c>
      <c r="C392">
        <v>1</v>
      </c>
      <c r="D392" s="9">
        <v>102</v>
      </c>
      <c r="E392">
        <v>1002</v>
      </c>
      <c r="F392" s="1">
        <v>44009</v>
      </c>
      <c r="G392" t="s">
        <v>39</v>
      </c>
      <c r="H392" s="4">
        <v>7.75</v>
      </c>
      <c r="I392" s="4" t="s">
        <v>16</v>
      </c>
      <c r="J392" s="4">
        <v>7.75</v>
      </c>
      <c r="K392" t="str">
        <f>_xlfn.XLOOKUP($C392,Table1[BusinessUnitID],Table1[BusinessUnit],"",0)</f>
        <v>FOOD SERVICE</v>
      </c>
      <c r="L392" t="str" cm="1">
        <f t="array" ref="L392">_xlfn.XLOOKUP($C392,Table1[[#All],[BusinessUnitID]],Table1[[#All],[Description]],"",0,1)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92" t="str">
        <f>_xlfn.XLOOKUP($B392,ChartOfAccounts!A391:A476,ChartOfAccounts!B391:B476,"",0,1)</f>
        <v/>
      </c>
      <c r="N392">
        <f>_xlfn.XLOOKUP($B392,ChartOfAccounts!A391:A476,ChartOfAccounts!D391:D476,0,1)</f>
        <v>0</v>
      </c>
      <c r="O392" t="str">
        <f>_xlfn.XLOOKUP($B392,ChartOfAccounts!A391:A476,ChartOfAccounts!F391:F476,"",0,1)</f>
        <v/>
      </c>
      <c r="P392" t="str" cm="1">
        <f t="array" ref="P392">_xlfn.XLOOKUP($D392&amp;$C392,PreparerInfo!A391:A403&amp;PreparerInfo!C391:C403,PreparerInfo!B391:B403,"",0,1)</f>
        <v/>
      </c>
      <c r="Q392" t="str">
        <f>_xlfn.XLOOKUP($E392,Source!A391:A399,Source!B391:B399,"",0,1)</f>
        <v/>
      </c>
    </row>
    <row r="393" spans="1:17" x14ac:dyDescent="0.3">
      <c r="A393" s="3">
        <v>2033715</v>
      </c>
      <c r="B393">
        <v>11845</v>
      </c>
      <c r="C393">
        <v>1</v>
      </c>
      <c r="D393" s="9">
        <v>102</v>
      </c>
      <c r="E393">
        <v>1002</v>
      </c>
      <c r="F393" s="1">
        <v>44009</v>
      </c>
      <c r="G393" t="s">
        <v>39</v>
      </c>
      <c r="H393" s="4" t="s">
        <v>16</v>
      </c>
      <c r="I393" s="4">
        <v>-7.75</v>
      </c>
      <c r="J393" s="4">
        <v>-7.75</v>
      </c>
      <c r="K393" t="str">
        <f>_xlfn.XLOOKUP($C393,Table1[BusinessUnitID],Table1[BusinessUnit],"",0)</f>
        <v>FOOD SERVICE</v>
      </c>
      <c r="L393" t="str" cm="1">
        <f t="array" ref="L393">_xlfn.XLOOKUP($C393,Table1[[#All],[BusinessUnitID]],Table1[[#All],[Description]],"",0,1)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393" t="str">
        <f>_xlfn.XLOOKUP($B393,ChartOfAccounts!A392:A477,ChartOfAccounts!B392:B477,"",0,1)</f>
        <v/>
      </c>
      <c r="N393">
        <f>_xlfn.XLOOKUP($B393,ChartOfAccounts!A392:A477,ChartOfAccounts!D392:D477,0,1)</f>
        <v>0</v>
      </c>
      <c r="O393" t="str">
        <f>_xlfn.XLOOKUP($B393,ChartOfAccounts!A392:A477,ChartOfAccounts!F392:F477,"",0,1)</f>
        <v/>
      </c>
      <c r="P393" t="str" cm="1">
        <f t="array" ref="P393">_xlfn.XLOOKUP($D393&amp;$C393,PreparerInfo!A392:A404&amp;PreparerInfo!C392:C404,PreparerInfo!B392:B404,"",0,1)</f>
        <v/>
      </c>
      <c r="Q393" t="str">
        <f>_xlfn.XLOOKUP($E393,Source!A392:A400,Source!B392:B400,"",0,1)</f>
        <v/>
      </c>
    </row>
    <row r="394" spans="1:17" x14ac:dyDescent="0.3">
      <c r="A394" s="3">
        <v>2033716</v>
      </c>
      <c r="B394">
        <v>71400</v>
      </c>
      <c r="C394">
        <v>4</v>
      </c>
      <c r="D394" s="9">
        <v>101</v>
      </c>
      <c r="E394">
        <v>1002</v>
      </c>
      <c r="F394" s="1">
        <v>44009</v>
      </c>
      <c r="G394" t="s">
        <v>172</v>
      </c>
      <c r="H394" s="4">
        <v>8</v>
      </c>
      <c r="I394" s="4" t="s">
        <v>16</v>
      </c>
      <c r="J394" s="4">
        <v>8</v>
      </c>
      <c r="K394" t="str">
        <f>_xlfn.XLOOKUP($C394,Table1[BusinessUnitID],Table1[BusinessUnit],"",0)</f>
        <v>HOUSEKEEPING</v>
      </c>
      <c r="L394" t="str" cm="1">
        <f t="array" ref="L394">_xlfn.XLOOKUP($C394,Table1[[#All],[BusinessUnitID]],Table1[[#All],[Description]],"",0,1)</f>
        <v xml:space="preserve">Transactions related to the Housekeeping Department. Primarily includes payroll for housekeepers and housekeeping supplies. </v>
      </c>
      <c r="M394" t="str">
        <f>_xlfn.XLOOKUP($B394,ChartOfAccounts!A393:A478,ChartOfAccounts!B393:B478,"",0,1)</f>
        <v/>
      </c>
      <c r="N394">
        <f>_xlfn.XLOOKUP($B394,ChartOfAccounts!A393:A478,ChartOfAccounts!D393:D478,0,1)</f>
        <v>0</v>
      </c>
      <c r="O394" t="str">
        <f>_xlfn.XLOOKUP($B394,ChartOfAccounts!A393:A478,ChartOfAccounts!F393:F478,"",0,1)</f>
        <v/>
      </c>
      <c r="P394" t="str" cm="1">
        <f t="array" ref="P394">_xlfn.XLOOKUP($D394&amp;$C394,PreparerInfo!A393:A405&amp;PreparerInfo!C393:C405,PreparerInfo!B393:B405,"",0,1)</f>
        <v/>
      </c>
      <c r="Q394" t="str">
        <f>_xlfn.XLOOKUP($E394,Source!A393:A401,Source!B393:B401,"",0,1)</f>
        <v/>
      </c>
    </row>
    <row r="395" spans="1:17" x14ac:dyDescent="0.3">
      <c r="A395" s="3">
        <v>2033716</v>
      </c>
      <c r="B395">
        <v>11845</v>
      </c>
      <c r="C395">
        <v>4</v>
      </c>
      <c r="D395" s="9">
        <v>101</v>
      </c>
      <c r="E395">
        <v>1002</v>
      </c>
      <c r="F395" s="1">
        <v>44009</v>
      </c>
      <c r="G395" t="s">
        <v>172</v>
      </c>
      <c r="H395" s="4" t="s">
        <v>16</v>
      </c>
      <c r="I395" s="4">
        <v>-8</v>
      </c>
      <c r="J395" s="4">
        <v>-8</v>
      </c>
      <c r="K395" t="str">
        <f>_xlfn.XLOOKUP($C395,Table1[BusinessUnitID],Table1[BusinessUnit],"",0)</f>
        <v>HOUSEKEEPING</v>
      </c>
      <c r="L395" t="str" cm="1">
        <f t="array" ref="L395">_xlfn.XLOOKUP($C395,Table1[[#All],[BusinessUnitID]],Table1[[#All],[Description]],"",0,1)</f>
        <v xml:space="preserve">Transactions related to the Housekeeping Department. Primarily includes payroll for housekeepers and housekeeping supplies. </v>
      </c>
      <c r="M395" t="str">
        <f>_xlfn.XLOOKUP($B395,ChartOfAccounts!A394:A479,ChartOfAccounts!B394:B479,"",0,1)</f>
        <v/>
      </c>
      <c r="N395">
        <f>_xlfn.XLOOKUP($B395,ChartOfAccounts!A394:A479,ChartOfAccounts!D394:D479,0,1)</f>
        <v>0</v>
      </c>
      <c r="O395" t="str">
        <f>_xlfn.XLOOKUP($B395,ChartOfAccounts!A394:A479,ChartOfAccounts!F394:F479,"",0,1)</f>
        <v/>
      </c>
      <c r="P395" t="str" cm="1">
        <f t="array" ref="P395">_xlfn.XLOOKUP($D395&amp;$C395,PreparerInfo!A394:A406&amp;PreparerInfo!C394:C406,PreparerInfo!B394:B406,"",0,1)</f>
        <v/>
      </c>
      <c r="Q395" t="str">
        <f>_xlfn.XLOOKUP($E395,Source!A394:A402,Source!B394:B402,"",0,1)</f>
        <v/>
      </c>
    </row>
    <row r="396" spans="1:17" x14ac:dyDescent="0.3">
      <c r="A396" s="3">
        <v>2033717</v>
      </c>
      <c r="B396">
        <v>71400</v>
      </c>
      <c r="C396">
        <v>4</v>
      </c>
      <c r="D396" s="9">
        <v>101</v>
      </c>
      <c r="E396">
        <v>1002</v>
      </c>
      <c r="F396" s="1">
        <v>44009</v>
      </c>
      <c r="G396" t="s">
        <v>185</v>
      </c>
      <c r="H396" s="4">
        <v>10.35</v>
      </c>
      <c r="I396" s="4" t="s">
        <v>16</v>
      </c>
      <c r="J396" s="4">
        <v>10.35</v>
      </c>
      <c r="K396" t="str">
        <f>_xlfn.XLOOKUP($C396,Table1[BusinessUnitID],Table1[BusinessUnit],"",0)</f>
        <v>HOUSEKEEPING</v>
      </c>
      <c r="L396" t="str" cm="1">
        <f t="array" ref="L396">_xlfn.XLOOKUP($C396,Table1[[#All],[BusinessUnitID]],Table1[[#All],[Description]],"",0,1)</f>
        <v xml:space="preserve">Transactions related to the Housekeeping Department. Primarily includes payroll for housekeepers and housekeeping supplies. </v>
      </c>
      <c r="M396" t="str">
        <f>_xlfn.XLOOKUP($B396,ChartOfAccounts!A395:A480,ChartOfAccounts!B395:B480,"",0,1)</f>
        <v/>
      </c>
      <c r="N396">
        <f>_xlfn.XLOOKUP($B396,ChartOfAccounts!A395:A480,ChartOfAccounts!D395:D480,0,1)</f>
        <v>0</v>
      </c>
      <c r="O396" t="str">
        <f>_xlfn.XLOOKUP($B396,ChartOfAccounts!A395:A480,ChartOfAccounts!F395:F480,"",0,1)</f>
        <v/>
      </c>
      <c r="P396" t="str" cm="1">
        <f t="array" ref="P396">_xlfn.XLOOKUP($D396&amp;$C396,PreparerInfo!A395:A407&amp;PreparerInfo!C395:C407,PreparerInfo!B395:B407,"",0,1)</f>
        <v/>
      </c>
      <c r="Q396" t="str">
        <f>_xlfn.XLOOKUP($E396,Source!A395:A403,Source!B395:B403,"",0,1)</f>
        <v/>
      </c>
    </row>
    <row r="397" spans="1:17" x14ac:dyDescent="0.3">
      <c r="A397" s="3">
        <v>2033717</v>
      </c>
      <c r="B397">
        <v>11845</v>
      </c>
      <c r="C397">
        <v>4</v>
      </c>
      <c r="D397" s="9">
        <v>101</v>
      </c>
      <c r="E397">
        <v>1002</v>
      </c>
      <c r="F397" s="1">
        <v>44009</v>
      </c>
      <c r="G397" t="s">
        <v>185</v>
      </c>
      <c r="H397" s="4" t="s">
        <v>16</v>
      </c>
      <c r="I397" s="4">
        <v>-10.35</v>
      </c>
      <c r="J397" s="4">
        <v>-10.35</v>
      </c>
      <c r="K397" t="str">
        <f>_xlfn.XLOOKUP($C397,Table1[BusinessUnitID],Table1[BusinessUnit],"",0)</f>
        <v>HOUSEKEEPING</v>
      </c>
      <c r="L397" t="str" cm="1">
        <f t="array" ref="L397">_xlfn.XLOOKUP($C397,Table1[[#All],[BusinessUnitID]],Table1[[#All],[Description]],"",0,1)</f>
        <v xml:space="preserve">Transactions related to the Housekeeping Department. Primarily includes payroll for housekeepers and housekeeping supplies. </v>
      </c>
      <c r="M397" t="str">
        <f>_xlfn.XLOOKUP($B397,ChartOfAccounts!A396:A481,ChartOfAccounts!B396:B481,"",0,1)</f>
        <v/>
      </c>
      <c r="N397">
        <f>_xlfn.XLOOKUP($B397,ChartOfAccounts!A396:A481,ChartOfAccounts!D396:D481,0,1)</f>
        <v>0</v>
      </c>
      <c r="O397" t="str">
        <f>_xlfn.XLOOKUP($B397,ChartOfAccounts!A396:A481,ChartOfAccounts!F396:F481,"",0,1)</f>
        <v/>
      </c>
      <c r="P397" t="str" cm="1">
        <f t="array" ref="P397">_xlfn.XLOOKUP($D397&amp;$C397,PreparerInfo!A396:A408&amp;PreparerInfo!C396:C408,PreparerInfo!B396:B408,"",0,1)</f>
        <v/>
      </c>
      <c r="Q397" t="str">
        <f>_xlfn.XLOOKUP($E397,Source!A396:A404,Source!B396:B404,"",0,1)</f>
        <v/>
      </c>
    </row>
    <row r="398" spans="1:17" x14ac:dyDescent="0.3">
      <c r="A398" s="3">
        <v>2033718</v>
      </c>
      <c r="B398">
        <v>71400</v>
      </c>
      <c r="C398">
        <v>2</v>
      </c>
      <c r="D398" s="9">
        <v>101</v>
      </c>
      <c r="E398">
        <v>1002</v>
      </c>
      <c r="F398" s="1">
        <v>44009</v>
      </c>
      <c r="G398" t="s">
        <v>185</v>
      </c>
      <c r="H398" s="4">
        <v>25.35</v>
      </c>
      <c r="I398" s="4" t="s">
        <v>16</v>
      </c>
      <c r="J398" s="4">
        <v>25.35</v>
      </c>
      <c r="K398" t="str">
        <f>_xlfn.XLOOKUP($C398,Table1[BusinessUnitID],Table1[BusinessUnit],"",0)</f>
        <v>HOTEL</v>
      </c>
      <c r="L398" t="str" cm="1">
        <f t="array" ref="L398">_xlfn.XLOOKUP($C398,Table1[[#All],[BusinessUnitID]],Table1[[#All],[Description]],"",0,1)</f>
        <v xml:space="preserve">Transactions related to guest rooms and overall hotel operations. Includes payroll for administrative staff, clerks and interns. </v>
      </c>
      <c r="M398" t="str">
        <f>_xlfn.XLOOKUP($B398,ChartOfAccounts!A397:A482,ChartOfAccounts!B397:B482,"",0,1)</f>
        <v/>
      </c>
      <c r="N398">
        <f>_xlfn.XLOOKUP($B398,ChartOfAccounts!A397:A482,ChartOfAccounts!D397:D482,0,1)</f>
        <v>0</v>
      </c>
      <c r="O398" t="str">
        <f>_xlfn.XLOOKUP($B398,ChartOfAccounts!A397:A482,ChartOfAccounts!F397:F482,"",0,1)</f>
        <v/>
      </c>
      <c r="P398" t="str" cm="1">
        <f t="array" ref="P398">_xlfn.XLOOKUP($D398&amp;$C398,PreparerInfo!A397:A409&amp;PreparerInfo!C397:C409,PreparerInfo!B397:B409,"",0,1)</f>
        <v/>
      </c>
      <c r="Q398" t="str">
        <f>_xlfn.XLOOKUP($E398,Source!A397:A405,Source!B397:B405,"",0,1)</f>
        <v/>
      </c>
    </row>
    <row r="399" spans="1:17" x14ac:dyDescent="0.3">
      <c r="A399" s="3">
        <v>2033718</v>
      </c>
      <c r="B399">
        <v>11845</v>
      </c>
      <c r="C399">
        <v>2</v>
      </c>
      <c r="D399" s="9">
        <v>101</v>
      </c>
      <c r="E399">
        <v>1002</v>
      </c>
      <c r="F399" s="1">
        <v>44009</v>
      </c>
      <c r="G399" t="s">
        <v>185</v>
      </c>
      <c r="H399" s="4" t="s">
        <v>16</v>
      </c>
      <c r="I399" s="4">
        <v>-25.35</v>
      </c>
      <c r="J399" s="4">
        <v>-25.35</v>
      </c>
      <c r="K399" t="str">
        <f>_xlfn.XLOOKUP($C399,Table1[BusinessUnitID],Table1[BusinessUnit],"",0)</f>
        <v>HOTEL</v>
      </c>
      <c r="L399" t="str" cm="1">
        <f t="array" ref="L399">_xlfn.XLOOKUP($C399,Table1[[#All],[BusinessUnitID]],Table1[[#All],[Description]],"",0,1)</f>
        <v xml:space="preserve">Transactions related to guest rooms and overall hotel operations. Includes payroll for administrative staff, clerks and interns. </v>
      </c>
      <c r="M399" t="str">
        <f>_xlfn.XLOOKUP($B399,ChartOfAccounts!A398:A483,ChartOfAccounts!B398:B483,"",0,1)</f>
        <v/>
      </c>
      <c r="N399">
        <f>_xlfn.XLOOKUP($B399,ChartOfAccounts!A398:A483,ChartOfAccounts!D398:D483,0,1)</f>
        <v>0</v>
      </c>
      <c r="O399" t="str">
        <f>_xlfn.XLOOKUP($B399,ChartOfAccounts!A398:A483,ChartOfAccounts!F398:F483,"",0,1)</f>
        <v/>
      </c>
      <c r="P399" t="str" cm="1">
        <f t="array" ref="P399">_xlfn.XLOOKUP($D399&amp;$C399,PreparerInfo!A398:A410&amp;PreparerInfo!C398:C410,PreparerInfo!B398:B410,"",0,1)</f>
        <v/>
      </c>
      <c r="Q399" t="str">
        <f>_xlfn.XLOOKUP($E399,Source!A398:A406,Source!B398:B406,"",0,1)</f>
        <v/>
      </c>
    </row>
    <row r="400" spans="1:17" x14ac:dyDescent="0.3">
      <c r="A400" s="3">
        <v>2033719</v>
      </c>
      <c r="B400">
        <v>11845</v>
      </c>
      <c r="C400">
        <v>3</v>
      </c>
      <c r="D400" s="9">
        <v>102</v>
      </c>
      <c r="E400">
        <v>1003</v>
      </c>
      <c r="F400" s="1">
        <v>44009</v>
      </c>
      <c r="G400" t="s">
        <v>15</v>
      </c>
      <c r="H400" s="4">
        <v>44.43</v>
      </c>
      <c r="I400" s="4" t="s">
        <v>16</v>
      </c>
      <c r="J400" s="4">
        <v>44.43</v>
      </c>
      <c r="K400" t="str">
        <f>_xlfn.XLOOKUP($C400,Table1[BusinessUnitID],Table1[BusinessUnit],"",0)</f>
        <v>HOTEL PANTRY</v>
      </c>
      <c r="L400" t="str" cm="1">
        <f t="array" ref="L400">_xlfn.XLOOKUP($C400,Table1[[#All],[BusinessUnitID]],Table1[[#All],[Description]],"",0,1)</f>
        <v>Transactions related to the hotel convenience store, including some food and beverage costs.</v>
      </c>
      <c r="M400" t="str">
        <f>_xlfn.XLOOKUP($B400,ChartOfAccounts!A399:A484,ChartOfAccounts!B399:B484,"",0,1)</f>
        <v/>
      </c>
      <c r="N400">
        <f>_xlfn.XLOOKUP($B400,ChartOfAccounts!A399:A484,ChartOfAccounts!D399:D484,0,1)</f>
        <v>0</v>
      </c>
      <c r="O400" t="str">
        <f>_xlfn.XLOOKUP($B400,ChartOfAccounts!A399:A484,ChartOfAccounts!F399:F484,"",0,1)</f>
        <v/>
      </c>
      <c r="P400" t="str" cm="1">
        <f t="array" ref="P400">_xlfn.XLOOKUP($D400&amp;$C400,PreparerInfo!A399:A411&amp;PreparerInfo!C399:C411,PreparerInfo!B399:B411,"",0,1)</f>
        <v/>
      </c>
      <c r="Q400" t="str">
        <f>_xlfn.XLOOKUP($E400,Source!A399:A407,Source!B399:B407,"",0,1)</f>
        <v/>
      </c>
    </row>
    <row r="401" spans="1:17" x14ac:dyDescent="0.3">
      <c r="A401" s="3">
        <v>2033719</v>
      </c>
      <c r="B401">
        <v>43440</v>
      </c>
      <c r="C401">
        <v>3</v>
      </c>
      <c r="D401" s="9">
        <v>102</v>
      </c>
      <c r="E401">
        <v>1003</v>
      </c>
      <c r="F401" s="1">
        <v>44009</v>
      </c>
      <c r="G401" t="s">
        <v>15</v>
      </c>
      <c r="H401" s="4" t="s">
        <v>16</v>
      </c>
      <c r="I401" s="4">
        <v>-44.43</v>
      </c>
      <c r="J401" s="4">
        <v>-44.43</v>
      </c>
      <c r="K401" t="str">
        <f>_xlfn.XLOOKUP($C401,Table1[BusinessUnitID],Table1[BusinessUnit],"",0)</f>
        <v>HOTEL PANTRY</v>
      </c>
      <c r="L401" t="str" cm="1">
        <f t="array" ref="L401">_xlfn.XLOOKUP($C401,Table1[[#All],[BusinessUnitID]],Table1[[#All],[Description]],"",0,1)</f>
        <v>Transactions related to the hotel convenience store, including some food and beverage costs.</v>
      </c>
      <c r="M401" t="str">
        <f>_xlfn.XLOOKUP($B401,ChartOfAccounts!A400:A485,ChartOfAccounts!B400:B485,"",0,1)</f>
        <v/>
      </c>
      <c r="N401">
        <f>_xlfn.XLOOKUP($B401,ChartOfAccounts!A400:A485,ChartOfAccounts!D400:D485,0,1)</f>
        <v>0</v>
      </c>
      <c r="O401" t="str">
        <f>_xlfn.XLOOKUP($B401,ChartOfAccounts!A400:A485,ChartOfAccounts!F400:F485,"",0,1)</f>
        <v/>
      </c>
      <c r="P401" t="str" cm="1">
        <f t="array" ref="P401">_xlfn.XLOOKUP($D401&amp;$C401,PreparerInfo!A400:A412&amp;PreparerInfo!C400:C412,PreparerInfo!B400:B412,"",0,1)</f>
        <v/>
      </c>
      <c r="Q401" t="str">
        <f>_xlfn.XLOOKUP($E401,Source!A400:A408,Source!B400:B408,"",0,1)</f>
        <v/>
      </c>
    </row>
    <row r="402" spans="1:17" x14ac:dyDescent="0.3">
      <c r="A402" s="3">
        <v>2033720</v>
      </c>
      <c r="B402">
        <v>11845</v>
      </c>
      <c r="C402">
        <v>1</v>
      </c>
      <c r="D402" s="9">
        <v>106</v>
      </c>
      <c r="E402">
        <v>1003</v>
      </c>
      <c r="F402" s="1">
        <v>44009</v>
      </c>
      <c r="G402" t="s">
        <v>80</v>
      </c>
      <c r="H402" s="4">
        <v>50</v>
      </c>
      <c r="I402" s="4" t="s">
        <v>16</v>
      </c>
      <c r="J402" s="4">
        <v>50</v>
      </c>
      <c r="K402" t="str">
        <f>_xlfn.XLOOKUP($C402,Table1[BusinessUnitID],Table1[BusinessUnit],"",0)</f>
        <v>FOOD SERVICE</v>
      </c>
      <c r="L402" t="str" cm="1">
        <f t="array" ref="L402">_xlfn.XLOOKUP($C402,Table1[[#All],[BusinessUnitID]],Table1[[#All],[Description]],"",0,1)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02" t="str">
        <f>_xlfn.XLOOKUP($B402,ChartOfAccounts!A401:A486,ChartOfAccounts!B401:B486,"",0,1)</f>
        <v/>
      </c>
      <c r="N402">
        <f>_xlfn.XLOOKUP($B402,ChartOfAccounts!A401:A486,ChartOfAccounts!D401:D486,0,1)</f>
        <v>0</v>
      </c>
      <c r="O402" t="str">
        <f>_xlfn.XLOOKUP($B402,ChartOfAccounts!A401:A486,ChartOfAccounts!F401:F486,"",0,1)</f>
        <v/>
      </c>
      <c r="P402" t="str" cm="1">
        <f t="array" ref="P402">_xlfn.XLOOKUP($D402&amp;$C402,PreparerInfo!A401:A413&amp;PreparerInfo!C401:C413,PreparerInfo!B401:B413,"",0,1)</f>
        <v/>
      </c>
      <c r="Q402" t="str">
        <f>_xlfn.XLOOKUP($E402,Source!A401:A409,Source!B401:B409,"",0,1)</f>
        <v/>
      </c>
    </row>
    <row r="403" spans="1:17" x14ac:dyDescent="0.3">
      <c r="A403" s="3">
        <v>2033720</v>
      </c>
      <c r="B403">
        <v>43440</v>
      </c>
      <c r="C403">
        <v>1</v>
      </c>
      <c r="D403" s="9">
        <v>106</v>
      </c>
      <c r="E403">
        <v>1003</v>
      </c>
      <c r="F403" s="1">
        <v>44009</v>
      </c>
      <c r="G403" t="s">
        <v>80</v>
      </c>
      <c r="H403" s="4" t="s">
        <v>16</v>
      </c>
      <c r="I403" s="4">
        <v>-50</v>
      </c>
      <c r="J403" s="4">
        <v>-50</v>
      </c>
      <c r="K403" t="str">
        <f>_xlfn.XLOOKUP($C403,Table1[BusinessUnitID],Table1[BusinessUnit],"",0)</f>
        <v>FOOD SERVICE</v>
      </c>
      <c r="L403" t="str" cm="1">
        <f t="array" ref="L403">_xlfn.XLOOKUP($C403,Table1[[#All],[BusinessUnitID]],Table1[[#All],[Description]],"",0,1)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03" t="str">
        <f>_xlfn.XLOOKUP($B403,ChartOfAccounts!A402:A487,ChartOfAccounts!B402:B487,"",0,1)</f>
        <v/>
      </c>
      <c r="N403">
        <f>_xlfn.XLOOKUP($B403,ChartOfAccounts!A402:A487,ChartOfAccounts!D402:D487,0,1)</f>
        <v>0</v>
      </c>
      <c r="O403" t="str">
        <f>_xlfn.XLOOKUP($B403,ChartOfAccounts!A402:A487,ChartOfAccounts!F402:F487,"",0,1)</f>
        <v/>
      </c>
      <c r="P403" t="str" cm="1">
        <f t="array" ref="P403">_xlfn.XLOOKUP($D403&amp;$C403,PreparerInfo!A402:A414&amp;PreparerInfo!C402:C414,PreparerInfo!B402:B414,"",0,1)</f>
        <v/>
      </c>
      <c r="Q403" t="str">
        <f>_xlfn.XLOOKUP($E403,Source!A402:A410,Source!B402:B410,"",0,1)</f>
        <v/>
      </c>
    </row>
    <row r="404" spans="1:17" x14ac:dyDescent="0.3">
      <c r="A404" s="3">
        <v>2033721</v>
      </c>
      <c r="B404">
        <v>71420</v>
      </c>
      <c r="C404">
        <v>2</v>
      </c>
      <c r="D404" s="9">
        <v>101</v>
      </c>
      <c r="E404">
        <v>1002</v>
      </c>
      <c r="F404" s="1">
        <v>44009</v>
      </c>
      <c r="G404" t="s">
        <v>171</v>
      </c>
      <c r="H404" s="4">
        <v>54.61</v>
      </c>
      <c r="I404" s="4" t="s">
        <v>16</v>
      </c>
      <c r="J404" s="4">
        <v>54.61</v>
      </c>
      <c r="K404" t="str">
        <f>_xlfn.XLOOKUP($C404,Table1[BusinessUnitID],Table1[BusinessUnit],"",0)</f>
        <v>HOTEL</v>
      </c>
      <c r="L404" t="str" cm="1">
        <f t="array" ref="L404">_xlfn.XLOOKUP($C404,Table1[[#All],[BusinessUnitID]],Table1[[#All],[Description]],"",0,1)</f>
        <v xml:space="preserve">Transactions related to guest rooms and overall hotel operations. Includes payroll for administrative staff, clerks and interns. </v>
      </c>
      <c r="M404" t="str">
        <f>_xlfn.XLOOKUP($B404,ChartOfAccounts!A403:A488,ChartOfAccounts!B403:B488,"",0,1)</f>
        <v/>
      </c>
      <c r="N404">
        <f>_xlfn.XLOOKUP($B404,ChartOfAccounts!A403:A488,ChartOfAccounts!D403:D488,0,1)</f>
        <v>0</v>
      </c>
      <c r="O404" t="str">
        <f>_xlfn.XLOOKUP($B404,ChartOfAccounts!A403:A488,ChartOfAccounts!F403:F488,"",0,1)</f>
        <v/>
      </c>
      <c r="P404" t="str" cm="1">
        <f t="array" ref="P404">_xlfn.XLOOKUP($D404&amp;$C404,PreparerInfo!A403:A415&amp;PreparerInfo!C403:C415,PreparerInfo!B403:B415,"",0,1)</f>
        <v/>
      </c>
      <c r="Q404" t="str">
        <f>_xlfn.XLOOKUP($E404,Source!A403:A411,Source!B403:B411,"",0,1)</f>
        <v/>
      </c>
    </row>
    <row r="405" spans="1:17" x14ac:dyDescent="0.3">
      <c r="A405" s="3">
        <v>2033721</v>
      </c>
      <c r="B405">
        <v>11845</v>
      </c>
      <c r="C405">
        <v>2</v>
      </c>
      <c r="D405" s="9">
        <v>101</v>
      </c>
      <c r="E405">
        <v>1002</v>
      </c>
      <c r="F405" s="1">
        <v>44009</v>
      </c>
      <c r="G405" t="s">
        <v>171</v>
      </c>
      <c r="H405" s="4" t="s">
        <v>16</v>
      </c>
      <c r="I405" s="4">
        <v>-54.61</v>
      </c>
      <c r="J405" s="4">
        <v>-54.61</v>
      </c>
      <c r="K405" t="str">
        <f>_xlfn.XLOOKUP($C405,Table1[BusinessUnitID],Table1[BusinessUnit],"",0)</f>
        <v>HOTEL</v>
      </c>
      <c r="L405" t="str" cm="1">
        <f t="array" ref="L405">_xlfn.XLOOKUP($C405,Table1[[#All],[BusinessUnitID]],Table1[[#All],[Description]],"",0,1)</f>
        <v xml:space="preserve">Transactions related to guest rooms and overall hotel operations. Includes payroll for administrative staff, clerks and interns. </v>
      </c>
      <c r="M405" t="str">
        <f>_xlfn.XLOOKUP($B405,ChartOfAccounts!A404:A489,ChartOfAccounts!B404:B489,"",0,1)</f>
        <v/>
      </c>
      <c r="N405">
        <f>_xlfn.XLOOKUP($B405,ChartOfAccounts!A404:A489,ChartOfAccounts!D404:D489,0,1)</f>
        <v>0</v>
      </c>
      <c r="O405" t="str">
        <f>_xlfn.XLOOKUP($B405,ChartOfAccounts!A404:A489,ChartOfAccounts!F404:F489,"",0,1)</f>
        <v/>
      </c>
      <c r="P405" t="str" cm="1">
        <f t="array" ref="P405">_xlfn.XLOOKUP($D405&amp;$C405,PreparerInfo!A404:A416&amp;PreparerInfo!C404:C416,PreparerInfo!B404:B416,"",0,1)</f>
        <v/>
      </c>
      <c r="Q405" t="str">
        <f>_xlfn.XLOOKUP($E405,Source!A404:A412,Source!B404:B412,"",0,1)</f>
        <v/>
      </c>
    </row>
    <row r="406" spans="1:17" x14ac:dyDescent="0.3">
      <c r="A406" s="3">
        <v>2033722</v>
      </c>
      <c r="B406">
        <v>74220</v>
      </c>
      <c r="C406">
        <v>1</v>
      </c>
      <c r="D406" s="9">
        <v>101</v>
      </c>
      <c r="E406">
        <v>1002</v>
      </c>
      <c r="F406" s="1">
        <v>44009</v>
      </c>
      <c r="G406" t="s">
        <v>172</v>
      </c>
      <c r="H406" s="4">
        <v>55</v>
      </c>
      <c r="I406" s="4" t="s">
        <v>16</v>
      </c>
      <c r="J406" s="4">
        <v>55</v>
      </c>
      <c r="K406" t="str">
        <f>_xlfn.XLOOKUP($C406,Table1[BusinessUnitID],Table1[BusinessUnit],"",0)</f>
        <v>FOOD SERVICE</v>
      </c>
      <c r="L406" t="str" cm="1">
        <f t="array" ref="L406">_xlfn.XLOOKUP($C406,Table1[[#All],[BusinessUnitID]],Table1[[#All],[Description]],"",0,1)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06" t="str">
        <f>_xlfn.XLOOKUP($B406,ChartOfAccounts!A405:A490,ChartOfAccounts!B405:B490,"",0,1)</f>
        <v/>
      </c>
      <c r="N406">
        <f>_xlfn.XLOOKUP($B406,ChartOfAccounts!A405:A490,ChartOfAccounts!D405:D490,0,1)</f>
        <v>0</v>
      </c>
      <c r="O406" t="str">
        <f>_xlfn.XLOOKUP($B406,ChartOfAccounts!A405:A490,ChartOfAccounts!F405:F490,"",0,1)</f>
        <v/>
      </c>
      <c r="P406" t="str" cm="1">
        <f t="array" ref="P406">_xlfn.XLOOKUP($D406&amp;$C406,PreparerInfo!A405:A417&amp;PreparerInfo!C405:C417,PreparerInfo!B405:B417,"",0,1)</f>
        <v/>
      </c>
      <c r="Q406" t="str">
        <f>_xlfn.XLOOKUP($E406,Source!A405:A413,Source!B405:B413,"",0,1)</f>
        <v/>
      </c>
    </row>
    <row r="407" spans="1:17" x14ac:dyDescent="0.3">
      <c r="A407" s="3">
        <v>2033722</v>
      </c>
      <c r="B407">
        <v>11845</v>
      </c>
      <c r="C407">
        <v>1</v>
      </c>
      <c r="D407" s="9">
        <v>101</v>
      </c>
      <c r="E407">
        <v>1002</v>
      </c>
      <c r="F407" s="1">
        <v>44009</v>
      </c>
      <c r="G407" t="s">
        <v>172</v>
      </c>
      <c r="H407" s="4" t="s">
        <v>16</v>
      </c>
      <c r="I407" s="4">
        <v>-55</v>
      </c>
      <c r="J407" s="4">
        <v>-55</v>
      </c>
      <c r="K407" t="str">
        <f>_xlfn.XLOOKUP($C407,Table1[BusinessUnitID],Table1[BusinessUnit],"",0)</f>
        <v>FOOD SERVICE</v>
      </c>
      <c r="L407" t="str" cm="1">
        <f t="array" ref="L407">_xlfn.XLOOKUP($C407,Table1[[#All],[BusinessUnitID]],Table1[[#All],[Description]],"",0,1)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07" t="str">
        <f>_xlfn.XLOOKUP($B407,ChartOfAccounts!A406:A491,ChartOfAccounts!B406:B491,"",0,1)</f>
        <v/>
      </c>
      <c r="N407">
        <f>_xlfn.XLOOKUP($B407,ChartOfAccounts!A406:A491,ChartOfAccounts!D406:D491,0,1)</f>
        <v>0</v>
      </c>
      <c r="O407" t="str">
        <f>_xlfn.XLOOKUP($B407,ChartOfAccounts!A406:A491,ChartOfAccounts!F406:F491,"",0,1)</f>
        <v/>
      </c>
      <c r="P407" t="str" cm="1">
        <f t="array" ref="P407">_xlfn.XLOOKUP($D407&amp;$C407,PreparerInfo!A406:A418&amp;PreparerInfo!C406:C418,PreparerInfo!B406:B418,"",0,1)</f>
        <v/>
      </c>
      <c r="Q407" t="str">
        <f>_xlfn.XLOOKUP($E407,Source!A406:A414,Source!B406:B414,"",0,1)</f>
        <v/>
      </c>
    </row>
    <row r="408" spans="1:17" x14ac:dyDescent="0.3">
      <c r="A408" s="3">
        <v>2033723</v>
      </c>
      <c r="B408">
        <v>11845</v>
      </c>
      <c r="C408">
        <v>1</v>
      </c>
      <c r="D408" s="9">
        <v>106</v>
      </c>
      <c r="E408">
        <v>1003</v>
      </c>
      <c r="F408" s="1">
        <v>44009</v>
      </c>
      <c r="G408" t="s">
        <v>80</v>
      </c>
      <c r="H408" s="4">
        <v>75</v>
      </c>
      <c r="I408" s="4" t="s">
        <v>16</v>
      </c>
      <c r="J408" s="4">
        <v>75</v>
      </c>
      <c r="K408" t="str">
        <f>_xlfn.XLOOKUP($C408,Table1[BusinessUnitID],Table1[BusinessUnit],"",0)</f>
        <v>FOOD SERVICE</v>
      </c>
      <c r="L408" t="str" cm="1">
        <f t="array" ref="L408">_xlfn.XLOOKUP($C408,Table1[[#All],[BusinessUnitID]],Table1[[#All],[Description]],"",0,1)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08" t="str">
        <f>_xlfn.XLOOKUP($B408,ChartOfAccounts!A407:A492,ChartOfAccounts!B407:B492,"",0,1)</f>
        <v/>
      </c>
      <c r="N408">
        <f>_xlfn.XLOOKUP($B408,ChartOfAccounts!A407:A492,ChartOfAccounts!D407:D492,0,1)</f>
        <v>0</v>
      </c>
      <c r="O408" t="str">
        <f>_xlfn.XLOOKUP($B408,ChartOfAccounts!A407:A492,ChartOfAccounts!F407:F492,"",0,1)</f>
        <v/>
      </c>
      <c r="P408" t="str" cm="1">
        <f t="array" ref="P408">_xlfn.XLOOKUP($D408&amp;$C408,PreparerInfo!A407:A419&amp;PreparerInfo!C407:C419,PreparerInfo!B407:B419,"",0,1)</f>
        <v/>
      </c>
      <c r="Q408" t="str">
        <f>_xlfn.XLOOKUP($E408,Source!A407:A415,Source!B407:B415,"",0,1)</f>
        <v/>
      </c>
    </row>
    <row r="409" spans="1:17" x14ac:dyDescent="0.3">
      <c r="A409" s="3">
        <v>2033723</v>
      </c>
      <c r="B409">
        <v>43440</v>
      </c>
      <c r="C409">
        <v>1</v>
      </c>
      <c r="D409" s="9">
        <v>106</v>
      </c>
      <c r="E409">
        <v>1003</v>
      </c>
      <c r="F409" s="1">
        <v>44009</v>
      </c>
      <c r="G409" t="s">
        <v>80</v>
      </c>
      <c r="H409" s="4" t="s">
        <v>16</v>
      </c>
      <c r="I409" s="4">
        <v>-75</v>
      </c>
      <c r="J409" s="4">
        <v>-75</v>
      </c>
      <c r="K409" t="str">
        <f>_xlfn.XLOOKUP($C409,Table1[BusinessUnitID],Table1[BusinessUnit],"",0)</f>
        <v>FOOD SERVICE</v>
      </c>
      <c r="L409" t="str" cm="1">
        <f t="array" ref="L409">_xlfn.XLOOKUP($C409,Table1[[#All],[BusinessUnitID]],Table1[[#All],[Description]],"",0,1)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09" t="str">
        <f>_xlfn.XLOOKUP($B409,ChartOfAccounts!A408:A493,ChartOfAccounts!B408:B493,"",0,1)</f>
        <v/>
      </c>
      <c r="N409">
        <f>_xlfn.XLOOKUP($B409,ChartOfAccounts!A408:A493,ChartOfAccounts!D408:D493,0,1)</f>
        <v>0</v>
      </c>
      <c r="O409" t="str">
        <f>_xlfn.XLOOKUP($B409,ChartOfAccounts!A408:A493,ChartOfAccounts!F408:F493,"",0,1)</f>
        <v/>
      </c>
      <c r="P409" t="str" cm="1">
        <f t="array" ref="P409">_xlfn.XLOOKUP($D409&amp;$C409,PreparerInfo!A408:A420&amp;PreparerInfo!C408:C420,PreparerInfo!B408:B420,"",0,1)</f>
        <v/>
      </c>
      <c r="Q409" t="str">
        <f>_xlfn.XLOOKUP($E409,Source!A408:A416,Source!B408:B416,"",0,1)</f>
        <v/>
      </c>
    </row>
    <row r="410" spans="1:17" x14ac:dyDescent="0.3">
      <c r="A410" s="3">
        <v>2033724</v>
      </c>
      <c r="B410">
        <v>11845</v>
      </c>
      <c r="C410">
        <v>3</v>
      </c>
      <c r="D410" s="9">
        <v>102</v>
      </c>
      <c r="E410">
        <v>1001</v>
      </c>
      <c r="F410" s="1">
        <v>44009</v>
      </c>
      <c r="G410" t="s">
        <v>41</v>
      </c>
      <c r="H410" s="4">
        <v>98.84</v>
      </c>
      <c r="I410" s="4" t="s">
        <v>16</v>
      </c>
      <c r="J410" s="4">
        <v>98.84</v>
      </c>
      <c r="K410" t="str">
        <f>_xlfn.XLOOKUP($C410,Table1[BusinessUnitID],Table1[BusinessUnit],"",0)</f>
        <v>HOTEL PANTRY</v>
      </c>
      <c r="L410" t="str" cm="1">
        <f t="array" ref="L410">_xlfn.XLOOKUP($C410,Table1[[#All],[BusinessUnitID]],Table1[[#All],[Description]],"",0,1)</f>
        <v>Transactions related to the hotel convenience store, including some food and beverage costs.</v>
      </c>
      <c r="M410" t="str">
        <f>_xlfn.XLOOKUP($B410,ChartOfAccounts!A409:A494,ChartOfAccounts!B409:B494,"",0,1)</f>
        <v/>
      </c>
      <c r="N410">
        <f>_xlfn.XLOOKUP($B410,ChartOfAccounts!A409:A494,ChartOfAccounts!D409:D494,0,1)</f>
        <v>0</v>
      </c>
      <c r="O410" t="str">
        <f>_xlfn.XLOOKUP($B410,ChartOfAccounts!A409:A494,ChartOfAccounts!F409:F494,"",0,1)</f>
        <v/>
      </c>
      <c r="P410" t="str" cm="1">
        <f t="array" ref="P410">_xlfn.XLOOKUP($D410&amp;$C410,PreparerInfo!A409:A421&amp;PreparerInfo!C409:C421,PreparerInfo!B409:B421,"",0,1)</f>
        <v/>
      </c>
      <c r="Q410" t="str">
        <f>_xlfn.XLOOKUP($E410,Source!A409:A417,Source!B409:B417,"",0,1)</f>
        <v/>
      </c>
    </row>
    <row r="411" spans="1:17" x14ac:dyDescent="0.3">
      <c r="A411" s="3">
        <v>2033724</v>
      </c>
      <c r="B411">
        <v>43440</v>
      </c>
      <c r="C411">
        <v>3</v>
      </c>
      <c r="D411" s="9">
        <v>102</v>
      </c>
      <c r="E411">
        <v>1001</v>
      </c>
      <c r="F411" s="1">
        <v>44009</v>
      </c>
      <c r="G411" t="s">
        <v>41</v>
      </c>
      <c r="H411" s="4" t="s">
        <v>16</v>
      </c>
      <c r="I411" s="4">
        <v>-98.84</v>
      </c>
      <c r="J411" s="4">
        <v>-98.84</v>
      </c>
      <c r="K411" t="str">
        <f>_xlfn.XLOOKUP($C411,Table1[BusinessUnitID],Table1[BusinessUnit],"",0)</f>
        <v>HOTEL PANTRY</v>
      </c>
      <c r="L411" t="str" cm="1">
        <f t="array" ref="L411">_xlfn.XLOOKUP($C411,Table1[[#All],[BusinessUnitID]],Table1[[#All],[Description]],"",0,1)</f>
        <v>Transactions related to the hotel convenience store, including some food and beverage costs.</v>
      </c>
      <c r="M411" t="str">
        <f>_xlfn.XLOOKUP($B411,ChartOfAccounts!A410:A495,ChartOfAccounts!B410:B495,"",0,1)</f>
        <v/>
      </c>
      <c r="N411">
        <f>_xlfn.XLOOKUP($B411,ChartOfAccounts!A410:A495,ChartOfAccounts!D410:D495,0,1)</f>
        <v>0</v>
      </c>
      <c r="O411" t="str">
        <f>_xlfn.XLOOKUP($B411,ChartOfAccounts!A410:A495,ChartOfAccounts!F410:F495,"",0,1)</f>
        <v/>
      </c>
      <c r="P411" t="str" cm="1">
        <f t="array" ref="P411">_xlfn.XLOOKUP($D411&amp;$C411,PreparerInfo!A410:A422&amp;PreparerInfo!C410:C422,PreparerInfo!B410:B422,"",0,1)</f>
        <v/>
      </c>
      <c r="Q411" t="str">
        <f>_xlfn.XLOOKUP($E411,Source!A410:A418,Source!B410:B418,"",0,1)</f>
        <v/>
      </c>
    </row>
    <row r="412" spans="1:17" x14ac:dyDescent="0.3">
      <c r="A412" s="3">
        <v>2033725</v>
      </c>
      <c r="B412">
        <v>11845</v>
      </c>
      <c r="C412">
        <v>2</v>
      </c>
      <c r="D412" s="9">
        <v>106</v>
      </c>
      <c r="E412">
        <v>1003</v>
      </c>
      <c r="F412" s="1">
        <v>44009</v>
      </c>
      <c r="G412" t="s">
        <v>81</v>
      </c>
      <c r="H412" s="4">
        <v>99</v>
      </c>
      <c r="I412" s="4" t="s">
        <v>16</v>
      </c>
      <c r="J412" s="4">
        <v>99</v>
      </c>
      <c r="K412" t="str">
        <f>_xlfn.XLOOKUP($C412,Table1[BusinessUnitID],Table1[BusinessUnit],"",0)</f>
        <v>HOTEL</v>
      </c>
      <c r="L412" t="str" cm="1">
        <f t="array" ref="L412">_xlfn.XLOOKUP($C412,Table1[[#All],[BusinessUnitID]],Table1[[#All],[Description]],"",0,1)</f>
        <v xml:space="preserve">Transactions related to guest rooms and overall hotel operations. Includes payroll for administrative staff, clerks and interns. </v>
      </c>
      <c r="M412" t="str">
        <f>_xlfn.XLOOKUP($B412,ChartOfAccounts!A411:A496,ChartOfAccounts!B411:B496,"",0,1)</f>
        <v/>
      </c>
      <c r="N412">
        <f>_xlfn.XLOOKUP($B412,ChartOfAccounts!A411:A496,ChartOfAccounts!D411:D496,0,1)</f>
        <v>0</v>
      </c>
      <c r="O412" t="str">
        <f>_xlfn.XLOOKUP($B412,ChartOfAccounts!A411:A496,ChartOfAccounts!F411:F496,"",0,1)</f>
        <v/>
      </c>
      <c r="P412" t="str" cm="1">
        <f t="array" ref="P412">_xlfn.XLOOKUP($D412&amp;$C412,PreparerInfo!A411:A423&amp;PreparerInfo!C411:C423,PreparerInfo!B411:B423,"",0,1)</f>
        <v/>
      </c>
      <c r="Q412" t="str">
        <f>_xlfn.XLOOKUP($E412,Source!A411:A419,Source!B411:B419,"",0,1)</f>
        <v/>
      </c>
    </row>
    <row r="413" spans="1:17" x14ac:dyDescent="0.3">
      <c r="A413" s="3">
        <v>2033725</v>
      </c>
      <c r="B413">
        <v>43180</v>
      </c>
      <c r="C413">
        <v>2</v>
      </c>
      <c r="D413" s="9">
        <v>106</v>
      </c>
      <c r="E413">
        <v>1003</v>
      </c>
      <c r="F413" s="1">
        <v>44009</v>
      </c>
      <c r="G413" t="s">
        <v>81</v>
      </c>
      <c r="H413" s="4" t="s">
        <v>16</v>
      </c>
      <c r="I413" s="4">
        <v>-99</v>
      </c>
      <c r="J413" s="4">
        <v>-99</v>
      </c>
      <c r="K413" t="str">
        <f>_xlfn.XLOOKUP($C413,Table1[BusinessUnitID],Table1[BusinessUnit],"",0)</f>
        <v>HOTEL</v>
      </c>
      <c r="L413" t="str" cm="1">
        <f t="array" ref="L413">_xlfn.XLOOKUP($C413,Table1[[#All],[BusinessUnitID]],Table1[[#All],[Description]],"",0,1)</f>
        <v xml:space="preserve">Transactions related to guest rooms and overall hotel operations. Includes payroll for administrative staff, clerks and interns. </v>
      </c>
      <c r="M413" t="str">
        <f>_xlfn.XLOOKUP($B413,ChartOfAccounts!A412:A497,ChartOfAccounts!B412:B497,"",0,1)</f>
        <v/>
      </c>
      <c r="N413">
        <f>_xlfn.XLOOKUP($B413,ChartOfAccounts!A412:A497,ChartOfAccounts!D412:D497,0,1)</f>
        <v>0</v>
      </c>
      <c r="O413" t="str">
        <f>_xlfn.XLOOKUP($B413,ChartOfAccounts!A412:A497,ChartOfAccounts!F412:F497,"",0,1)</f>
        <v/>
      </c>
      <c r="P413" t="str" cm="1">
        <f t="array" ref="P413">_xlfn.XLOOKUP($D413&amp;$C413,PreparerInfo!A412:A424&amp;PreparerInfo!C412:C424,PreparerInfo!B412:B424,"",0,1)</f>
        <v/>
      </c>
      <c r="Q413" t="str">
        <f>_xlfn.XLOOKUP($E413,Source!A412:A420,Source!B412:B420,"",0,1)</f>
        <v/>
      </c>
    </row>
    <row r="414" spans="1:17" x14ac:dyDescent="0.3">
      <c r="A414" s="3">
        <v>2033726</v>
      </c>
      <c r="B414">
        <v>11845</v>
      </c>
      <c r="C414">
        <v>2</v>
      </c>
      <c r="D414" s="9">
        <v>104</v>
      </c>
      <c r="E414">
        <v>1003</v>
      </c>
      <c r="F414" s="1">
        <v>44009</v>
      </c>
      <c r="G414" t="s">
        <v>234</v>
      </c>
      <c r="H414" s="4">
        <v>99</v>
      </c>
      <c r="I414" s="4" t="s">
        <v>16</v>
      </c>
      <c r="J414" s="4">
        <v>99</v>
      </c>
      <c r="K414" t="str">
        <f>_xlfn.XLOOKUP($C414,Table1[BusinessUnitID],Table1[BusinessUnit],"",0)</f>
        <v>HOTEL</v>
      </c>
      <c r="L414" t="str" cm="1">
        <f t="array" ref="L414">_xlfn.XLOOKUP($C414,Table1[[#All],[BusinessUnitID]],Table1[[#All],[Description]],"",0,1)</f>
        <v xml:space="preserve">Transactions related to guest rooms and overall hotel operations. Includes payroll for administrative staff, clerks and interns. </v>
      </c>
      <c r="M414" t="str">
        <f>_xlfn.XLOOKUP($B414,ChartOfAccounts!A413:A498,ChartOfAccounts!B413:B498,"",0,1)</f>
        <v/>
      </c>
      <c r="N414">
        <f>_xlfn.XLOOKUP($B414,ChartOfAccounts!A413:A498,ChartOfAccounts!D413:D498,0,1)</f>
        <v>0</v>
      </c>
      <c r="O414" t="str">
        <f>_xlfn.XLOOKUP($B414,ChartOfAccounts!A413:A498,ChartOfAccounts!F413:F498,"",0,1)</f>
        <v/>
      </c>
      <c r="P414" t="str" cm="1">
        <f t="array" ref="P414">_xlfn.XLOOKUP($D414&amp;$C414,PreparerInfo!A413:A425&amp;PreparerInfo!C413:C425,PreparerInfo!B413:B425,"",0,1)</f>
        <v/>
      </c>
      <c r="Q414" t="str">
        <f>_xlfn.XLOOKUP($E414,Source!A413:A421,Source!B413:B421,"",0,1)</f>
        <v/>
      </c>
    </row>
    <row r="415" spans="1:17" x14ac:dyDescent="0.3">
      <c r="A415" s="3">
        <v>2033726</v>
      </c>
      <c r="B415">
        <v>43180</v>
      </c>
      <c r="C415">
        <v>2</v>
      </c>
      <c r="D415" s="9">
        <v>104</v>
      </c>
      <c r="E415">
        <v>1003</v>
      </c>
      <c r="F415" s="1">
        <v>44009</v>
      </c>
      <c r="G415" t="s">
        <v>234</v>
      </c>
      <c r="H415" s="4" t="s">
        <v>16</v>
      </c>
      <c r="I415" s="4">
        <v>-99</v>
      </c>
      <c r="J415" s="4">
        <v>-99</v>
      </c>
      <c r="K415" t="str">
        <f>_xlfn.XLOOKUP($C415,Table1[BusinessUnitID],Table1[BusinessUnit],"",0)</f>
        <v>HOTEL</v>
      </c>
      <c r="L415" t="str" cm="1">
        <f t="array" ref="L415">_xlfn.XLOOKUP($C415,Table1[[#All],[BusinessUnitID]],Table1[[#All],[Description]],"",0,1)</f>
        <v xml:space="preserve">Transactions related to guest rooms and overall hotel operations. Includes payroll for administrative staff, clerks and interns. </v>
      </c>
      <c r="M415" t="str">
        <f>_xlfn.XLOOKUP($B415,ChartOfAccounts!A414:A499,ChartOfAccounts!B414:B499,"",0,1)</f>
        <v/>
      </c>
      <c r="N415">
        <f>_xlfn.XLOOKUP($B415,ChartOfAccounts!A414:A499,ChartOfAccounts!D414:D499,0,1)</f>
        <v>0</v>
      </c>
      <c r="O415" t="str">
        <f>_xlfn.XLOOKUP($B415,ChartOfAccounts!A414:A499,ChartOfAccounts!F414:F499,"",0,1)</f>
        <v/>
      </c>
      <c r="P415" t="str" cm="1">
        <f t="array" ref="P415">_xlfn.XLOOKUP($D415&amp;$C415,PreparerInfo!A414:A426&amp;PreparerInfo!C414:C426,PreparerInfo!B414:B426,"",0,1)</f>
        <v/>
      </c>
      <c r="Q415" t="str">
        <f>_xlfn.XLOOKUP($E415,Source!A414:A422,Source!B414:B422,"",0,1)</f>
        <v/>
      </c>
    </row>
    <row r="416" spans="1:17" x14ac:dyDescent="0.3">
      <c r="A416" s="3">
        <v>2033727</v>
      </c>
      <c r="B416">
        <v>11845</v>
      </c>
      <c r="C416">
        <v>2</v>
      </c>
      <c r="D416" s="9">
        <v>104</v>
      </c>
      <c r="E416">
        <v>1003</v>
      </c>
      <c r="F416" s="1">
        <v>44009</v>
      </c>
      <c r="G416" t="s">
        <v>235</v>
      </c>
      <c r="H416" s="4">
        <v>99</v>
      </c>
      <c r="I416" s="4" t="s">
        <v>16</v>
      </c>
      <c r="J416" s="4">
        <v>99</v>
      </c>
      <c r="K416" t="str">
        <f>_xlfn.XLOOKUP($C416,Table1[BusinessUnitID],Table1[BusinessUnit],"",0)</f>
        <v>HOTEL</v>
      </c>
      <c r="L416" t="str" cm="1">
        <f t="array" ref="L416">_xlfn.XLOOKUP($C416,Table1[[#All],[BusinessUnitID]],Table1[[#All],[Description]],"",0,1)</f>
        <v xml:space="preserve">Transactions related to guest rooms and overall hotel operations. Includes payroll for administrative staff, clerks and interns. </v>
      </c>
      <c r="M416" t="str">
        <f>_xlfn.XLOOKUP($B416,ChartOfAccounts!A415:A500,ChartOfAccounts!B415:B500,"",0,1)</f>
        <v/>
      </c>
      <c r="N416">
        <f>_xlfn.XLOOKUP($B416,ChartOfAccounts!A415:A500,ChartOfAccounts!D415:D500,0,1)</f>
        <v>0</v>
      </c>
      <c r="O416" t="str">
        <f>_xlfn.XLOOKUP($B416,ChartOfAccounts!A415:A500,ChartOfAccounts!F415:F500,"",0,1)</f>
        <v/>
      </c>
      <c r="P416" t="str" cm="1">
        <f t="array" ref="P416">_xlfn.XLOOKUP($D416&amp;$C416,PreparerInfo!A415:A427&amp;PreparerInfo!C415:C427,PreparerInfo!B415:B427,"",0,1)</f>
        <v/>
      </c>
      <c r="Q416" t="str">
        <f>_xlfn.XLOOKUP($E416,Source!A415:A423,Source!B415:B423,"",0,1)</f>
        <v/>
      </c>
    </row>
    <row r="417" spans="1:17" x14ac:dyDescent="0.3">
      <c r="A417" s="3">
        <v>2033727</v>
      </c>
      <c r="B417">
        <v>43180</v>
      </c>
      <c r="C417">
        <v>2</v>
      </c>
      <c r="D417" s="9">
        <v>104</v>
      </c>
      <c r="E417">
        <v>1003</v>
      </c>
      <c r="F417" s="1">
        <v>44009</v>
      </c>
      <c r="G417" t="s">
        <v>235</v>
      </c>
      <c r="H417" s="4" t="s">
        <v>16</v>
      </c>
      <c r="I417" s="4">
        <v>-99</v>
      </c>
      <c r="J417" s="4">
        <v>-99</v>
      </c>
      <c r="K417" t="str">
        <f>_xlfn.XLOOKUP($C417,Table1[BusinessUnitID],Table1[BusinessUnit],"",0)</f>
        <v>HOTEL</v>
      </c>
      <c r="L417" t="str" cm="1">
        <f t="array" ref="L417">_xlfn.XLOOKUP($C417,Table1[[#All],[BusinessUnitID]],Table1[[#All],[Description]],"",0,1)</f>
        <v xml:space="preserve">Transactions related to guest rooms and overall hotel operations. Includes payroll for administrative staff, clerks and interns. </v>
      </c>
      <c r="M417" t="str">
        <f>_xlfn.XLOOKUP($B417,ChartOfAccounts!A416:A501,ChartOfAccounts!B416:B501,"",0,1)</f>
        <v/>
      </c>
      <c r="N417">
        <f>_xlfn.XLOOKUP($B417,ChartOfAccounts!A416:A501,ChartOfAccounts!D416:D501,0,1)</f>
        <v>0</v>
      </c>
      <c r="O417" t="str">
        <f>_xlfn.XLOOKUP($B417,ChartOfAccounts!A416:A501,ChartOfAccounts!F416:F501,"",0,1)</f>
        <v/>
      </c>
      <c r="P417" t="str" cm="1">
        <f t="array" ref="P417">_xlfn.XLOOKUP($D417&amp;$C417,PreparerInfo!A416:A428&amp;PreparerInfo!C416:C428,PreparerInfo!B416:B428,"",0,1)</f>
        <v/>
      </c>
      <c r="Q417" t="str">
        <f>_xlfn.XLOOKUP($E417,Source!A416:A424,Source!B416:B424,"",0,1)</f>
        <v/>
      </c>
    </row>
    <row r="418" spans="1:17" x14ac:dyDescent="0.3">
      <c r="A418" s="3">
        <v>2033728</v>
      </c>
      <c r="B418">
        <v>11845</v>
      </c>
      <c r="C418">
        <v>3</v>
      </c>
      <c r="D418" s="9">
        <v>102</v>
      </c>
      <c r="E418">
        <v>1001</v>
      </c>
      <c r="F418" s="1">
        <v>44009</v>
      </c>
      <c r="G418" t="s">
        <v>41</v>
      </c>
      <c r="H418" s="4">
        <v>112.7</v>
      </c>
      <c r="I418" s="4" t="s">
        <v>16</v>
      </c>
      <c r="J418" s="4">
        <v>112.7</v>
      </c>
      <c r="K418" t="str">
        <f>_xlfn.XLOOKUP($C418,Table1[BusinessUnitID],Table1[BusinessUnit],"",0)</f>
        <v>HOTEL PANTRY</v>
      </c>
      <c r="L418" t="str" cm="1">
        <f t="array" ref="L418">_xlfn.XLOOKUP($C418,Table1[[#All],[BusinessUnitID]],Table1[[#All],[Description]],"",0,1)</f>
        <v>Transactions related to the hotel convenience store, including some food and beverage costs.</v>
      </c>
      <c r="M418" t="str">
        <f>_xlfn.XLOOKUP($B418,ChartOfAccounts!A417:A502,ChartOfAccounts!B417:B502,"",0,1)</f>
        <v/>
      </c>
      <c r="N418">
        <f>_xlfn.XLOOKUP($B418,ChartOfAccounts!A417:A502,ChartOfAccounts!D417:D502,0,1)</f>
        <v>0</v>
      </c>
      <c r="O418" t="str">
        <f>_xlfn.XLOOKUP($B418,ChartOfAccounts!A417:A502,ChartOfAccounts!F417:F502,"",0,1)</f>
        <v/>
      </c>
      <c r="P418" t="str" cm="1">
        <f t="array" ref="P418">_xlfn.XLOOKUP($D418&amp;$C418,PreparerInfo!A417:A429&amp;PreparerInfo!C417:C429,PreparerInfo!B417:B429,"",0,1)</f>
        <v/>
      </c>
      <c r="Q418" t="str">
        <f>_xlfn.XLOOKUP($E418,Source!A417:A425,Source!B417:B425,"",0,1)</f>
        <v/>
      </c>
    </row>
    <row r="419" spans="1:17" x14ac:dyDescent="0.3">
      <c r="A419" s="3">
        <v>2033728</v>
      </c>
      <c r="B419">
        <v>43440</v>
      </c>
      <c r="C419">
        <v>3</v>
      </c>
      <c r="D419" s="9">
        <v>102</v>
      </c>
      <c r="E419">
        <v>1001</v>
      </c>
      <c r="F419" s="1">
        <v>44009</v>
      </c>
      <c r="G419" t="s">
        <v>41</v>
      </c>
      <c r="H419" s="4" t="s">
        <v>16</v>
      </c>
      <c r="I419" s="4">
        <v>-112.7</v>
      </c>
      <c r="J419" s="4">
        <v>-112.7</v>
      </c>
      <c r="K419" t="str">
        <f>_xlfn.XLOOKUP($C419,Table1[BusinessUnitID],Table1[BusinessUnit],"",0)</f>
        <v>HOTEL PANTRY</v>
      </c>
      <c r="L419" t="str" cm="1">
        <f t="array" ref="L419">_xlfn.XLOOKUP($C419,Table1[[#All],[BusinessUnitID]],Table1[[#All],[Description]],"",0,1)</f>
        <v>Transactions related to the hotel convenience store, including some food and beverage costs.</v>
      </c>
      <c r="M419" t="str">
        <f>_xlfn.XLOOKUP($B419,ChartOfAccounts!A418:A503,ChartOfAccounts!B418:B503,"",0,1)</f>
        <v/>
      </c>
      <c r="N419">
        <f>_xlfn.XLOOKUP($B419,ChartOfAccounts!A418:A503,ChartOfAccounts!D418:D503,0,1)</f>
        <v>0</v>
      </c>
      <c r="O419" t="str">
        <f>_xlfn.XLOOKUP($B419,ChartOfAccounts!A418:A503,ChartOfAccounts!F418:F503,"",0,1)</f>
        <v/>
      </c>
      <c r="P419" t="str" cm="1">
        <f t="array" ref="P419">_xlfn.XLOOKUP($D419&amp;$C419,PreparerInfo!A418:A430&amp;PreparerInfo!C418:C430,PreparerInfo!B418:B430,"",0,1)</f>
        <v/>
      </c>
      <c r="Q419" t="str">
        <f>_xlfn.XLOOKUP($E419,Source!A418:A426,Source!B418:B426,"",0,1)</f>
        <v/>
      </c>
    </row>
    <row r="420" spans="1:17" x14ac:dyDescent="0.3">
      <c r="A420" s="3">
        <v>2033729</v>
      </c>
      <c r="B420">
        <v>43180</v>
      </c>
      <c r="C420">
        <v>2</v>
      </c>
      <c r="D420" s="9">
        <v>102</v>
      </c>
      <c r="E420">
        <v>1002</v>
      </c>
      <c r="F420" s="1">
        <v>44009</v>
      </c>
      <c r="G420" t="s">
        <v>236</v>
      </c>
      <c r="H420" s="4">
        <v>170</v>
      </c>
      <c r="I420" s="4" t="s">
        <v>16</v>
      </c>
      <c r="J420" s="4">
        <v>170</v>
      </c>
      <c r="K420" t="str">
        <f>_xlfn.XLOOKUP($C420,Table1[BusinessUnitID],Table1[BusinessUnit],"",0)</f>
        <v>HOTEL</v>
      </c>
      <c r="L420" t="str" cm="1">
        <f t="array" ref="L420">_xlfn.XLOOKUP($C420,Table1[[#All],[BusinessUnitID]],Table1[[#All],[Description]],"",0,1)</f>
        <v xml:space="preserve">Transactions related to guest rooms and overall hotel operations. Includes payroll for administrative staff, clerks and interns. </v>
      </c>
      <c r="M420" t="str">
        <f>_xlfn.XLOOKUP($B420,ChartOfAccounts!A419:A504,ChartOfAccounts!B419:B504,"",0,1)</f>
        <v/>
      </c>
      <c r="N420">
        <f>_xlfn.XLOOKUP($B420,ChartOfAccounts!A419:A504,ChartOfAccounts!D419:D504,0,1)</f>
        <v>0</v>
      </c>
      <c r="O420" t="str">
        <f>_xlfn.XLOOKUP($B420,ChartOfAccounts!A419:A504,ChartOfAccounts!F419:F504,"",0,1)</f>
        <v/>
      </c>
      <c r="P420" t="str" cm="1">
        <f t="array" ref="P420">_xlfn.XLOOKUP($D420&amp;$C420,PreparerInfo!A419:A431&amp;PreparerInfo!C419:C431,PreparerInfo!B419:B431,"",0,1)</f>
        <v/>
      </c>
      <c r="Q420" t="str">
        <f>_xlfn.XLOOKUP($E420,Source!A419:A427,Source!B419:B427,"",0,1)</f>
        <v/>
      </c>
    </row>
    <row r="421" spans="1:17" x14ac:dyDescent="0.3">
      <c r="A421" s="3">
        <v>2033729</v>
      </c>
      <c r="B421">
        <v>11845</v>
      </c>
      <c r="C421">
        <v>2</v>
      </c>
      <c r="D421" s="9">
        <v>102</v>
      </c>
      <c r="E421">
        <v>1002</v>
      </c>
      <c r="F421" s="1">
        <v>44009</v>
      </c>
      <c r="G421" t="s">
        <v>236</v>
      </c>
      <c r="H421" s="4" t="s">
        <v>16</v>
      </c>
      <c r="I421" s="4">
        <v>-170</v>
      </c>
      <c r="J421" s="4">
        <v>-170</v>
      </c>
      <c r="K421" t="str">
        <f>_xlfn.XLOOKUP($C421,Table1[BusinessUnitID],Table1[BusinessUnit],"",0)</f>
        <v>HOTEL</v>
      </c>
      <c r="L421" t="str" cm="1">
        <f t="array" ref="L421">_xlfn.XLOOKUP($C421,Table1[[#All],[BusinessUnitID]],Table1[[#All],[Description]],"",0,1)</f>
        <v xml:space="preserve">Transactions related to guest rooms and overall hotel operations. Includes payroll for administrative staff, clerks and interns. </v>
      </c>
      <c r="M421" t="str">
        <f>_xlfn.XLOOKUP($B421,ChartOfAccounts!A420:A505,ChartOfAccounts!B420:B505,"",0,1)</f>
        <v/>
      </c>
      <c r="N421">
        <f>_xlfn.XLOOKUP($B421,ChartOfAccounts!A420:A505,ChartOfAccounts!D420:D505,0,1)</f>
        <v>0</v>
      </c>
      <c r="O421" t="str">
        <f>_xlfn.XLOOKUP($B421,ChartOfAccounts!A420:A505,ChartOfAccounts!F420:F505,"",0,1)</f>
        <v/>
      </c>
      <c r="P421" t="str" cm="1">
        <f t="array" ref="P421">_xlfn.XLOOKUP($D421&amp;$C421,PreparerInfo!A420:A432&amp;PreparerInfo!C420:C432,PreparerInfo!B420:B432,"",0,1)</f>
        <v/>
      </c>
      <c r="Q421" t="str">
        <f>_xlfn.XLOOKUP($E421,Source!A420:A428,Source!B420:B428,"",0,1)</f>
        <v/>
      </c>
    </row>
    <row r="422" spans="1:17" x14ac:dyDescent="0.3">
      <c r="A422" s="3">
        <v>2033730</v>
      </c>
      <c r="B422">
        <v>11845</v>
      </c>
      <c r="C422">
        <v>1</v>
      </c>
      <c r="D422" s="9">
        <v>102</v>
      </c>
      <c r="E422">
        <v>1001</v>
      </c>
      <c r="F422" s="1">
        <v>44009</v>
      </c>
      <c r="G422" t="s">
        <v>41</v>
      </c>
      <c r="H422" s="4">
        <v>175.56</v>
      </c>
      <c r="I422" s="4" t="s">
        <v>16</v>
      </c>
      <c r="J422" s="4">
        <v>175.56</v>
      </c>
      <c r="K422" t="str">
        <f>_xlfn.XLOOKUP($C422,Table1[BusinessUnitID],Table1[BusinessUnit],"",0)</f>
        <v>FOOD SERVICE</v>
      </c>
      <c r="L422" t="str" cm="1">
        <f t="array" ref="L422">_xlfn.XLOOKUP($C422,Table1[[#All],[BusinessUnitID]],Table1[[#All],[Description]],"",0,1)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22" t="str">
        <f>_xlfn.XLOOKUP($B422,ChartOfAccounts!A421:A506,ChartOfAccounts!B421:B506,"",0,1)</f>
        <v/>
      </c>
      <c r="N422">
        <f>_xlfn.XLOOKUP($B422,ChartOfAccounts!A421:A506,ChartOfAccounts!D421:D506,0,1)</f>
        <v>0</v>
      </c>
      <c r="O422" t="str">
        <f>_xlfn.XLOOKUP($B422,ChartOfAccounts!A421:A506,ChartOfAccounts!F421:F506,"",0,1)</f>
        <v/>
      </c>
      <c r="P422" t="str" cm="1">
        <f t="array" ref="P422">_xlfn.XLOOKUP($D422&amp;$C422,PreparerInfo!A421:A433&amp;PreparerInfo!C421:C433,PreparerInfo!B421:B433,"",0,1)</f>
        <v/>
      </c>
      <c r="Q422" t="str">
        <f>_xlfn.XLOOKUP($E422,Source!A421:A429,Source!B421:B429,"",0,1)</f>
        <v/>
      </c>
    </row>
    <row r="423" spans="1:17" x14ac:dyDescent="0.3">
      <c r="A423" s="3">
        <v>2033730</v>
      </c>
      <c r="B423">
        <v>43310</v>
      </c>
      <c r="C423">
        <v>1</v>
      </c>
      <c r="D423" s="9">
        <v>102</v>
      </c>
      <c r="E423">
        <v>1001</v>
      </c>
      <c r="F423" s="1">
        <v>44009</v>
      </c>
      <c r="G423" t="s">
        <v>41</v>
      </c>
      <c r="H423" s="4" t="s">
        <v>16</v>
      </c>
      <c r="I423" s="4">
        <v>-175.56</v>
      </c>
      <c r="J423" s="4">
        <v>-175.56</v>
      </c>
      <c r="K423" t="str">
        <f>_xlfn.XLOOKUP($C423,Table1[BusinessUnitID],Table1[BusinessUnit],"",0)</f>
        <v>FOOD SERVICE</v>
      </c>
      <c r="L423" t="str" cm="1">
        <f t="array" ref="L423">_xlfn.XLOOKUP($C423,Table1[[#All],[BusinessUnitID]],Table1[[#All],[Description]],"",0,1)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23" t="str">
        <f>_xlfn.XLOOKUP($B423,ChartOfAccounts!A422:A507,ChartOfAccounts!B422:B507,"",0,1)</f>
        <v/>
      </c>
      <c r="N423">
        <f>_xlfn.XLOOKUP($B423,ChartOfAccounts!A422:A507,ChartOfAccounts!D422:D507,0,1)</f>
        <v>0</v>
      </c>
      <c r="O423" t="str">
        <f>_xlfn.XLOOKUP($B423,ChartOfAccounts!A422:A507,ChartOfAccounts!F422:F507,"",0,1)</f>
        <v/>
      </c>
      <c r="P423" t="str" cm="1">
        <f t="array" ref="P423">_xlfn.XLOOKUP($D423&amp;$C423,PreparerInfo!A422:A434&amp;PreparerInfo!C422:C434,PreparerInfo!B422:B434,"",0,1)</f>
        <v/>
      </c>
      <c r="Q423" t="str">
        <f>_xlfn.XLOOKUP($E423,Source!A422:A430,Source!B422:B430,"",0,1)</f>
        <v/>
      </c>
    </row>
    <row r="424" spans="1:17" x14ac:dyDescent="0.3">
      <c r="A424" s="3">
        <v>2033731</v>
      </c>
      <c r="B424">
        <v>14260</v>
      </c>
      <c r="C424">
        <v>1</v>
      </c>
      <c r="D424" s="9">
        <v>102</v>
      </c>
      <c r="E424">
        <v>1002</v>
      </c>
      <c r="F424" s="1">
        <v>44009</v>
      </c>
      <c r="G424" t="s">
        <v>47</v>
      </c>
      <c r="H424" s="4">
        <v>188.71</v>
      </c>
      <c r="I424" s="4" t="s">
        <v>16</v>
      </c>
      <c r="J424" s="4">
        <v>188.71</v>
      </c>
      <c r="K424" t="str">
        <f>_xlfn.XLOOKUP($C424,Table1[BusinessUnitID],Table1[BusinessUnit],"",0)</f>
        <v>FOOD SERVICE</v>
      </c>
      <c r="L424" t="str" cm="1">
        <f t="array" ref="L424">_xlfn.XLOOKUP($C424,Table1[[#All],[BusinessUnitID]],Table1[[#All],[Description]],"",0,1)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24" t="str">
        <f>_xlfn.XLOOKUP($B424,ChartOfAccounts!A423:A508,ChartOfAccounts!B423:B508,"",0,1)</f>
        <v/>
      </c>
      <c r="N424">
        <f>_xlfn.XLOOKUP($B424,ChartOfAccounts!A423:A508,ChartOfAccounts!D423:D508,0,1)</f>
        <v>0</v>
      </c>
      <c r="O424" t="str">
        <f>_xlfn.XLOOKUP($B424,ChartOfAccounts!A423:A508,ChartOfAccounts!F423:F508,"",0,1)</f>
        <v/>
      </c>
      <c r="P424" t="str" cm="1">
        <f t="array" ref="P424">_xlfn.XLOOKUP($D424&amp;$C424,PreparerInfo!A423:A435&amp;PreparerInfo!C423:C435,PreparerInfo!B423:B435,"",0,1)</f>
        <v/>
      </c>
      <c r="Q424" t="str">
        <f>_xlfn.XLOOKUP($E424,Source!A423:A431,Source!B423:B431,"",0,1)</f>
        <v/>
      </c>
    </row>
    <row r="425" spans="1:17" x14ac:dyDescent="0.3">
      <c r="A425" s="3">
        <v>2033731</v>
      </c>
      <c r="B425">
        <v>11845</v>
      </c>
      <c r="C425">
        <v>1</v>
      </c>
      <c r="D425" s="9">
        <v>102</v>
      </c>
      <c r="E425">
        <v>1002</v>
      </c>
      <c r="F425" s="1">
        <v>44009</v>
      </c>
      <c r="G425" t="s">
        <v>47</v>
      </c>
      <c r="H425" s="4" t="s">
        <v>16</v>
      </c>
      <c r="I425" s="4">
        <v>-188.71</v>
      </c>
      <c r="J425" s="4">
        <v>-188.71</v>
      </c>
      <c r="K425" t="str">
        <f>_xlfn.XLOOKUP($C425,Table1[BusinessUnitID],Table1[BusinessUnit],"",0)</f>
        <v>FOOD SERVICE</v>
      </c>
      <c r="L425" t="str" cm="1">
        <f t="array" ref="L425">_xlfn.XLOOKUP($C425,Table1[[#All],[BusinessUnitID]],Table1[[#All],[Description]],"",0,1)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25" t="str">
        <f>_xlfn.XLOOKUP($B425,ChartOfAccounts!A424:A509,ChartOfAccounts!B424:B509,"",0,1)</f>
        <v/>
      </c>
      <c r="N425">
        <f>_xlfn.XLOOKUP($B425,ChartOfAccounts!A424:A509,ChartOfAccounts!D424:D509,0,1)</f>
        <v>0</v>
      </c>
      <c r="O425" t="str">
        <f>_xlfn.XLOOKUP($B425,ChartOfAccounts!A424:A509,ChartOfAccounts!F424:F509,"",0,1)</f>
        <v/>
      </c>
      <c r="P425" t="str" cm="1">
        <f t="array" ref="P425">_xlfn.XLOOKUP($D425&amp;$C425,PreparerInfo!A424:A436&amp;PreparerInfo!C424:C436,PreparerInfo!B424:B436,"",0,1)</f>
        <v/>
      </c>
      <c r="Q425" t="str">
        <f>_xlfn.XLOOKUP($E425,Source!A424:A432,Source!B424:B432,"",0,1)</f>
        <v/>
      </c>
    </row>
    <row r="426" spans="1:17" x14ac:dyDescent="0.3">
      <c r="A426" s="3">
        <v>2033732</v>
      </c>
      <c r="B426">
        <v>71400</v>
      </c>
      <c r="C426">
        <v>1</v>
      </c>
      <c r="D426" s="9">
        <v>101</v>
      </c>
      <c r="E426">
        <v>1002</v>
      </c>
      <c r="F426" s="1">
        <v>44009</v>
      </c>
      <c r="G426" t="s">
        <v>172</v>
      </c>
      <c r="H426" s="4">
        <v>190</v>
      </c>
      <c r="I426" s="4" t="s">
        <v>16</v>
      </c>
      <c r="J426" s="4">
        <v>190</v>
      </c>
      <c r="K426" t="str">
        <f>_xlfn.XLOOKUP($C426,Table1[BusinessUnitID],Table1[BusinessUnit],"",0)</f>
        <v>FOOD SERVICE</v>
      </c>
      <c r="L426" t="str" cm="1">
        <f t="array" ref="L426">_xlfn.XLOOKUP($C426,Table1[[#All],[BusinessUnitID]],Table1[[#All],[Description]],"",0,1)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26" t="str">
        <f>_xlfn.XLOOKUP($B426,ChartOfAccounts!A425:A510,ChartOfAccounts!B425:B510,"",0,1)</f>
        <v/>
      </c>
      <c r="N426">
        <f>_xlfn.XLOOKUP($B426,ChartOfAccounts!A425:A510,ChartOfAccounts!D425:D510,0,1)</f>
        <v>0</v>
      </c>
      <c r="O426" t="str">
        <f>_xlfn.XLOOKUP($B426,ChartOfAccounts!A425:A510,ChartOfAccounts!F425:F510,"",0,1)</f>
        <v/>
      </c>
      <c r="P426" t="str" cm="1">
        <f t="array" ref="P426">_xlfn.XLOOKUP($D426&amp;$C426,PreparerInfo!A425:A437&amp;PreparerInfo!C425:C437,PreparerInfo!B425:B437,"",0,1)</f>
        <v/>
      </c>
      <c r="Q426" t="str">
        <f>_xlfn.XLOOKUP($E426,Source!A425:A433,Source!B425:B433,"",0,1)</f>
        <v/>
      </c>
    </row>
    <row r="427" spans="1:17" x14ac:dyDescent="0.3">
      <c r="A427" s="3">
        <v>2033732</v>
      </c>
      <c r="B427">
        <v>11845</v>
      </c>
      <c r="C427">
        <v>1</v>
      </c>
      <c r="D427" s="9">
        <v>101</v>
      </c>
      <c r="E427">
        <v>1002</v>
      </c>
      <c r="F427" s="1">
        <v>44009</v>
      </c>
      <c r="G427" t="s">
        <v>172</v>
      </c>
      <c r="H427" s="4" t="s">
        <v>16</v>
      </c>
      <c r="I427" s="4">
        <v>-190</v>
      </c>
      <c r="J427" s="4">
        <v>-190</v>
      </c>
      <c r="K427" t="str">
        <f>_xlfn.XLOOKUP($C427,Table1[BusinessUnitID],Table1[BusinessUnit],"",0)</f>
        <v>FOOD SERVICE</v>
      </c>
      <c r="L427" t="str" cm="1">
        <f t="array" ref="L427">_xlfn.XLOOKUP($C427,Table1[[#All],[BusinessUnitID]],Table1[[#All],[Description]],"",0,1)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27" t="str">
        <f>_xlfn.XLOOKUP($B427,ChartOfAccounts!A426:A511,ChartOfAccounts!B426:B511,"",0,1)</f>
        <v/>
      </c>
      <c r="N427">
        <f>_xlfn.XLOOKUP($B427,ChartOfAccounts!A426:A511,ChartOfAccounts!D426:D511,0,1)</f>
        <v>0</v>
      </c>
      <c r="O427" t="str">
        <f>_xlfn.XLOOKUP($B427,ChartOfAccounts!A426:A511,ChartOfAccounts!F426:F511,"",0,1)</f>
        <v/>
      </c>
      <c r="P427" t="str" cm="1">
        <f t="array" ref="P427">_xlfn.XLOOKUP($D427&amp;$C427,PreparerInfo!A426:A438&amp;PreparerInfo!C426:C438,PreparerInfo!B426:B438,"",0,1)</f>
        <v/>
      </c>
      <c r="Q427" t="str">
        <f>_xlfn.XLOOKUP($E427,Source!A426:A434,Source!B426:B434,"",0,1)</f>
        <v/>
      </c>
    </row>
    <row r="428" spans="1:17" x14ac:dyDescent="0.3">
      <c r="A428" s="3">
        <v>2033733</v>
      </c>
      <c r="B428">
        <v>11845</v>
      </c>
      <c r="C428">
        <v>2</v>
      </c>
      <c r="D428" s="9">
        <v>104</v>
      </c>
      <c r="E428">
        <v>1003</v>
      </c>
      <c r="F428" s="1">
        <v>44009</v>
      </c>
      <c r="G428" t="s">
        <v>237</v>
      </c>
      <c r="H428" s="4">
        <v>198</v>
      </c>
      <c r="I428" s="4" t="s">
        <v>16</v>
      </c>
      <c r="J428" s="4">
        <v>198</v>
      </c>
      <c r="K428" t="str">
        <f>_xlfn.XLOOKUP($C428,Table1[BusinessUnitID],Table1[BusinessUnit],"",0)</f>
        <v>HOTEL</v>
      </c>
      <c r="L428" t="str" cm="1">
        <f t="array" ref="L428">_xlfn.XLOOKUP($C428,Table1[[#All],[BusinessUnitID]],Table1[[#All],[Description]],"",0,1)</f>
        <v xml:space="preserve">Transactions related to guest rooms and overall hotel operations. Includes payroll for administrative staff, clerks and interns. </v>
      </c>
      <c r="M428" t="str">
        <f>_xlfn.XLOOKUP($B428,ChartOfAccounts!A427:A512,ChartOfAccounts!B427:B512,"",0,1)</f>
        <v/>
      </c>
      <c r="N428">
        <f>_xlfn.XLOOKUP($B428,ChartOfAccounts!A427:A512,ChartOfAccounts!D427:D512,0,1)</f>
        <v>0</v>
      </c>
      <c r="O428" t="str">
        <f>_xlfn.XLOOKUP($B428,ChartOfAccounts!A427:A512,ChartOfAccounts!F427:F512,"",0,1)</f>
        <v/>
      </c>
      <c r="P428" t="str" cm="1">
        <f t="array" ref="P428">_xlfn.XLOOKUP($D428&amp;$C428,PreparerInfo!A427:A439&amp;PreparerInfo!C427:C439,PreparerInfo!B427:B439,"",0,1)</f>
        <v/>
      </c>
      <c r="Q428" t="str">
        <f>_xlfn.XLOOKUP($E428,Source!A427:A435,Source!B427:B435,"",0,1)</f>
        <v/>
      </c>
    </row>
    <row r="429" spans="1:17" x14ac:dyDescent="0.3">
      <c r="A429" s="3">
        <v>2033733</v>
      </c>
      <c r="B429">
        <v>43180</v>
      </c>
      <c r="C429">
        <v>2</v>
      </c>
      <c r="D429" s="9">
        <v>104</v>
      </c>
      <c r="E429">
        <v>1003</v>
      </c>
      <c r="F429" s="1">
        <v>44009</v>
      </c>
      <c r="G429" t="s">
        <v>237</v>
      </c>
      <c r="H429" s="4" t="s">
        <v>16</v>
      </c>
      <c r="I429" s="4">
        <v>-198</v>
      </c>
      <c r="J429" s="4">
        <v>-198</v>
      </c>
      <c r="K429" t="str">
        <f>_xlfn.XLOOKUP($C429,Table1[BusinessUnitID],Table1[BusinessUnit],"",0)</f>
        <v>HOTEL</v>
      </c>
      <c r="L429" t="str" cm="1">
        <f t="array" ref="L429">_xlfn.XLOOKUP($C429,Table1[[#All],[BusinessUnitID]],Table1[[#All],[Description]],"",0,1)</f>
        <v xml:space="preserve">Transactions related to guest rooms and overall hotel operations. Includes payroll for administrative staff, clerks and interns. </v>
      </c>
      <c r="M429" t="str">
        <f>_xlfn.XLOOKUP($B429,ChartOfAccounts!A428:A513,ChartOfAccounts!B428:B513,"",0,1)</f>
        <v/>
      </c>
      <c r="N429">
        <f>_xlfn.XLOOKUP($B429,ChartOfAccounts!A428:A513,ChartOfAccounts!D428:D513,0,1)</f>
        <v>0</v>
      </c>
      <c r="O429" t="str">
        <f>_xlfn.XLOOKUP($B429,ChartOfAccounts!A428:A513,ChartOfAccounts!F428:F513,"",0,1)</f>
        <v/>
      </c>
      <c r="P429" t="str" cm="1">
        <f t="array" ref="P429">_xlfn.XLOOKUP($D429&amp;$C429,PreparerInfo!A428:A440&amp;PreparerInfo!C428:C440,PreparerInfo!B428:B440,"",0,1)</f>
        <v/>
      </c>
      <c r="Q429" t="str">
        <f>_xlfn.XLOOKUP($E429,Source!A428:A436,Source!B428:B436,"",0,1)</f>
        <v/>
      </c>
    </row>
    <row r="430" spans="1:17" x14ac:dyDescent="0.3">
      <c r="A430" s="3">
        <v>2033734</v>
      </c>
      <c r="B430">
        <v>74200</v>
      </c>
      <c r="C430">
        <v>2</v>
      </c>
      <c r="D430" s="9">
        <v>101</v>
      </c>
      <c r="E430">
        <v>1002</v>
      </c>
      <c r="F430" s="1">
        <v>44009</v>
      </c>
      <c r="G430" t="s">
        <v>172</v>
      </c>
      <c r="H430" s="4">
        <v>216</v>
      </c>
      <c r="I430" s="4" t="s">
        <v>16</v>
      </c>
      <c r="J430" s="4">
        <v>216</v>
      </c>
      <c r="K430" t="str">
        <f>_xlfn.XLOOKUP($C430,Table1[BusinessUnitID],Table1[BusinessUnit],"",0)</f>
        <v>HOTEL</v>
      </c>
      <c r="L430" t="str" cm="1">
        <f t="array" ref="L430">_xlfn.XLOOKUP($C430,Table1[[#All],[BusinessUnitID]],Table1[[#All],[Description]],"",0,1)</f>
        <v xml:space="preserve">Transactions related to guest rooms and overall hotel operations. Includes payroll for administrative staff, clerks and interns. </v>
      </c>
      <c r="M430" t="str">
        <f>_xlfn.XLOOKUP($B430,ChartOfAccounts!A429:A514,ChartOfAccounts!B429:B514,"",0,1)</f>
        <v/>
      </c>
      <c r="N430">
        <f>_xlfn.XLOOKUP($B430,ChartOfAccounts!A429:A514,ChartOfAccounts!D429:D514,0,1)</f>
        <v>0</v>
      </c>
      <c r="O430" t="str">
        <f>_xlfn.XLOOKUP($B430,ChartOfAccounts!A429:A514,ChartOfAccounts!F429:F514,"",0,1)</f>
        <v/>
      </c>
      <c r="P430" t="str" cm="1">
        <f t="array" ref="P430">_xlfn.XLOOKUP($D430&amp;$C430,PreparerInfo!A429:A441&amp;PreparerInfo!C429:C441,PreparerInfo!B429:B441,"",0,1)</f>
        <v/>
      </c>
      <c r="Q430" t="str">
        <f>_xlfn.XLOOKUP($E430,Source!A429:A437,Source!B429:B437,"",0,1)</f>
        <v/>
      </c>
    </row>
    <row r="431" spans="1:17" x14ac:dyDescent="0.3">
      <c r="A431" s="3">
        <v>2033734</v>
      </c>
      <c r="B431">
        <v>11845</v>
      </c>
      <c r="C431">
        <v>2</v>
      </c>
      <c r="D431" s="9">
        <v>101</v>
      </c>
      <c r="E431">
        <v>1002</v>
      </c>
      <c r="F431" s="1">
        <v>44009</v>
      </c>
      <c r="G431" t="s">
        <v>172</v>
      </c>
      <c r="H431" s="4" t="s">
        <v>16</v>
      </c>
      <c r="I431" s="4">
        <v>-216</v>
      </c>
      <c r="J431" s="4">
        <v>-216</v>
      </c>
      <c r="K431" t="str">
        <f>_xlfn.XLOOKUP($C431,Table1[BusinessUnitID],Table1[BusinessUnit],"",0)</f>
        <v>HOTEL</v>
      </c>
      <c r="L431" t="str" cm="1">
        <f t="array" ref="L431">_xlfn.XLOOKUP($C431,Table1[[#All],[BusinessUnitID]],Table1[[#All],[Description]],"",0,1)</f>
        <v xml:space="preserve">Transactions related to guest rooms and overall hotel operations. Includes payroll for administrative staff, clerks and interns. </v>
      </c>
      <c r="M431" t="str">
        <f>_xlfn.XLOOKUP($B431,ChartOfAccounts!A430:A515,ChartOfAccounts!B430:B515,"",0,1)</f>
        <v/>
      </c>
      <c r="N431">
        <f>_xlfn.XLOOKUP($B431,ChartOfAccounts!A430:A515,ChartOfAccounts!D430:D515,0,1)</f>
        <v>0</v>
      </c>
      <c r="O431" t="str">
        <f>_xlfn.XLOOKUP($B431,ChartOfAccounts!A430:A515,ChartOfAccounts!F430:F515,"",0,1)</f>
        <v/>
      </c>
      <c r="P431" t="str" cm="1">
        <f t="array" ref="P431">_xlfn.XLOOKUP($D431&amp;$C431,PreparerInfo!A430:A442&amp;PreparerInfo!C430:C442,PreparerInfo!B430:B442,"",0,1)</f>
        <v/>
      </c>
      <c r="Q431" t="str">
        <f>_xlfn.XLOOKUP($E431,Source!A430:A438,Source!B430:B438,"",0,1)</f>
        <v/>
      </c>
    </row>
    <row r="432" spans="1:17" x14ac:dyDescent="0.3">
      <c r="A432" s="3">
        <v>2033735</v>
      </c>
      <c r="B432">
        <v>14250</v>
      </c>
      <c r="C432">
        <v>3</v>
      </c>
      <c r="D432" s="9">
        <v>102</v>
      </c>
      <c r="E432">
        <v>1002</v>
      </c>
      <c r="F432" s="1">
        <v>44009</v>
      </c>
      <c r="G432" t="s">
        <v>47</v>
      </c>
      <c r="H432" s="4">
        <v>226.49</v>
      </c>
      <c r="I432" s="4" t="s">
        <v>16</v>
      </c>
      <c r="J432" s="4">
        <v>226.49</v>
      </c>
      <c r="K432" t="str">
        <f>_xlfn.XLOOKUP($C432,Table1[BusinessUnitID],Table1[BusinessUnit],"",0)</f>
        <v>HOTEL PANTRY</v>
      </c>
      <c r="L432" t="str" cm="1">
        <f t="array" ref="L432">_xlfn.XLOOKUP($C432,Table1[[#All],[BusinessUnitID]],Table1[[#All],[Description]],"",0,1)</f>
        <v>Transactions related to the hotel convenience store, including some food and beverage costs.</v>
      </c>
      <c r="M432" t="str">
        <f>_xlfn.XLOOKUP($B432,ChartOfAccounts!A431:A516,ChartOfAccounts!B431:B516,"",0,1)</f>
        <v/>
      </c>
      <c r="N432">
        <f>_xlfn.XLOOKUP($B432,ChartOfAccounts!A431:A516,ChartOfAccounts!D431:D516,0,1)</f>
        <v>0</v>
      </c>
      <c r="O432" t="str">
        <f>_xlfn.XLOOKUP($B432,ChartOfAccounts!A431:A516,ChartOfAccounts!F431:F516,"",0,1)</f>
        <v/>
      </c>
      <c r="P432" t="str" cm="1">
        <f t="array" ref="P432">_xlfn.XLOOKUP($D432&amp;$C432,PreparerInfo!A431:A443&amp;PreparerInfo!C431:C443,PreparerInfo!B431:B443,"",0,1)</f>
        <v/>
      </c>
      <c r="Q432" t="str">
        <f>_xlfn.XLOOKUP($E432,Source!A431:A439,Source!B431:B439,"",0,1)</f>
        <v/>
      </c>
    </row>
    <row r="433" spans="1:17" x14ac:dyDescent="0.3">
      <c r="A433" s="3">
        <v>2033735</v>
      </c>
      <c r="B433">
        <v>11845</v>
      </c>
      <c r="C433">
        <v>3</v>
      </c>
      <c r="D433" s="9">
        <v>102</v>
      </c>
      <c r="E433">
        <v>1002</v>
      </c>
      <c r="F433" s="1">
        <v>44009</v>
      </c>
      <c r="G433" t="s">
        <v>47</v>
      </c>
      <c r="H433" s="4" t="s">
        <v>16</v>
      </c>
      <c r="I433" s="4">
        <v>-226.49</v>
      </c>
      <c r="J433" s="4">
        <v>-226.49</v>
      </c>
      <c r="K433" t="str">
        <f>_xlfn.XLOOKUP($C433,Table1[BusinessUnitID],Table1[BusinessUnit],"",0)</f>
        <v>HOTEL PANTRY</v>
      </c>
      <c r="L433" t="str" cm="1">
        <f t="array" ref="L433">_xlfn.XLOOKUP($C433,Table1[[#All],[BusinessUnitID]],Table1[[#All],[Description]],"",0,1)</f>
        <v>Transactions related to the hotel convenience store, including some food and beverage costs.</v>
      </c>
      <c r="M433" t="str">
        <f>_xlfn.XLOOKUP($B433,ChartOfAccounts!A432:A517,ChartOfAccounts!B432:B517,"",0,1)</f>
        <v/>
      </c>
      <c r="N433">
        <f>_xlfn.XLOOKUP($B433,ChartOfAccounts!A432:A517,ChartOfAccounts!D432:D517,0,1)</f>
        <v>0</v>
      </c>
      <c r="O433" t="str">
        <f>_xlfn.XLOOKUP($B433,ChartOfAccounts!A432:A517,ChartOfAccounts!F432:F517,"",0,1)</f>
        <v/>
      </c>
      <c r="P433" t="str" cm="1">
        <f t="array" ref="P433">_xlfn.XLOOKUP($D433&amp;$C433,PreparerInfo!A432:A444&amp;PreparerInfo!C432:C444,PreparerInfo!B432:B444,"",0,1)</f>
        <v/>
      </c>
      <c r="Q433" t="str">
        <f>_xlfn.XLOOKUP($E433,Source!A432:A440,Source!B432:B440,"",0,1)</f>
        <v/>
      </c>
    </row>
    <row r="434" spans="1:17" x14ac:dyDescent="0.3">
      <c r="A434" s="3">
        <v>2033736</v>
      </c>
      <c r="B434">
        <v>11845</v>
      </c>
      <c r="C434">
        <v>2</v>
      </c>
      <c r="D434" s="9">
        <v>104</v>
      </c>
      <c r="E434">
        <v>1003</v>
      </c>
      <c r="F434" s="1">
        <v>44009</v>
      </c>
      <c r="G434" t="s">
        <v>41</v>
      </c>
      <c r="H434" s="4">
        <v>263</v>
      </c>
      <c r="I434" s="4" t="s">
        <v>16</v>
      </c>
      <c r="J434" s="4">
        <v>263</v>
      </c>
      <c r="K434" t="str">
        <f>_xlfn.XLOOKUP($C434,Table1[BusinessUnitID],Table1[BusinessUnit],"",0)</f>
        <v>HOTEL</v>
      </c>
      <c r="L434" t="str" cm="1">
        <f t="array" ref="L434">_xlfn.XLOOKUP($C434,Table1[[#All],[BusinessUnitID]],Table1[[#All],[Description]],"",0,1)</f>
        <v xml:space="preserve">Transactions related to guest rooms and overall hotel operations. Includes payroll for administrative staff, clerks and interns. </v>
      </c>
      <c r="M434" t="str">
        <f>_xlfn.XLOOKUP($B434,ChartOfAccounts!A433:A518,ChartOfAccounts!B433:B518,"",0,1)</f>
        <v/>
      </c>
      <c r="N434">
        <f>_xlfn.XLOOKUP($B434,ChartOfAccounts!A433:A518,ChartOfAccounts!D433:D518,0,1)</f>
        <v>0</v>
      </c>
      <c r="O434" t="str">
        <f>_xlfn.XLOOKUP($B434,ChartOfAccounts!A433:A518,ChartOfAccounts!F433:F518,"",0,1)</f>
        <v/>
      </c>
      <c r="P434" t="str" cm="1">
        <f t="array" ref="P434">_xlfn.XLOOKUP($D434&amp;$C434,PreparerInfo!A433:A445&amp;PreparerInfo!C433:C445,PreparerInfo!B433:B445,"",0,1)</f>
        <v/>
      </c>
      <c r="Q434" t="str">
        <f>_xlfn.XLOOKUP($E434,Source!A433:A441,Source!B433:B441,"",0,1)</f>
        <v/>
      </c>
    </row>
    <row r="435" spans="1:17" x14ac:dyDescent="0.3">
      <c r="A435" s="3">
        <v>2033736</v>
      </c>
      <c r="B435">
        <v>43180</v>
      </c>
      <c r="C435">
        <v>2</v>
      </c>
      <c r="D435" s="9">
        <v>104</v>
      </c>
      <c r="E435">
        <v>1003</v>
      </c>
      <c r="F435" s="1">
        <v>44009</v>
      </c>
      <c r="G435" t="s">
        <v>41</v>
      </c>
      <c r="H435" s="4" t="s">
        <v>16</v>
      </c>
      <c r="I435" s="4">
        <v>-263</v>
      </c>
      <c r="J435" s="4">
        <v>-263</v>
      </c>
      <c r="K435" t="str">
        <f>_xlfn.XLOOKUP($C435,Table1[BusinessUnitID],Table1[BusinessUnit],"",0)</f>
        <v>HOTEL</v>
      </c>
      <c r="L435" t="str" cm="1">
        <f t="array" ref="L435">_xlfn.XLOOKUP($C435,Table1[[#All],[BusinessUnitID]],Table1[[#All],[Description]],"",0,1)</f>
        <v xml:space="preserve">Transactions related to guest rooms and overall hotel operations. Includes payroll for administrative staff, clerks and interns. </v>
      </c>
      <c r="M435" t="str">
        <f>_xlfn.XLOOKUP($B435,ChartOfAccounts!A434:A519,ChartOfAccounts!B434:B519,"",0,1)</f>
        <v/>
      </c>
      <c r="N435">
        <f>_xlfn.XLOOKUP($B435,ChartOfAccounts!A434:A519,ChartOfAccounts!D434:D519,0,1)</f>
        <v>0</v>
      </c>
      <c r="O435" t="str">
        <f>_xlfn.XLOOKUP($B435,ChartOfAccounts!A434:A519,ChartOfAccounts!F434:F519,"",0,1)</f>
        <v/>
      </c>
      <c r="P435" t="str" cm="1">
        <f t="array" ref="P435">_xlfn.XLOOKUP($D435&amp;$C435,PreparerInfo!A434:A446&amp;PreparerInfo!C434:C446,PreparerInfo!B434:B446,"",0,1)</f>
        <v/>
      </c>
      <c r="Q435" t="str">
        <f>_xlfn.XLOOKUP($E435,Source!A434:A442,Source!B434:B442,"",0,1)</f>
        <v/>
      </c>
    </row>
    <row r="436" spans="1:17" x14ac:dyDescent="0.3">
      <c r="A436" s="3">
        <v>2033737</v>
      </c>
      <c r="B436">
        <v>14260</v>
      </c>
      <c r="C436">
        <v>1</v>
      </c>
      <c r="D436" s="9">
        <v>102</v>
      </c>
      <c r="E436">
        <v>1002</v>
      </c>
      <c r="F436" s="1">
        <v>44009</v>
      </c>
      <c r="G436" t="s">
        <v>210</v>
      </c>
      <c r="H436" s="4">
        <v>266.98</v>
      </c>
      <c r="I436" s="4" t="s">
        <v>16</v>
      </c>
      <c r="J436" s="4">
        <v>266.98</v>
      </c>
      <c r="K436" t="str">
        <f>_xlfn.XLOOKUP($C436,Table1[BusinessUnitID],Table1[BusinessUnit],"",0)</f>
        <v>FOOD SERVICE</v>
      </c>
      <c r="L436" t="str" cm="1">
        <f t="array" ref="L436">_xlfn.XLOOKUP($C436,Table1[[#All],[BusinessUnitID]],Table1[[#All],[Description]],"",0,1)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36" t="str">
        <f>_xlfn.XLOOKUP($B436,ChartOfAccounts!A435:A520,ChartOfAccounts!B435:B520,"",0,1)</f>
        <v/>
      </c>
      <c r="N436">
        <f>_xlfn.XLOOKUP($B436,ChartOfAccounts!A435:A520,ChartOfAccounts!D435:D520,0,1)</f>
        <v>0</v>
      </c>
      <c r="O436" t="str">
        <f>_xlfn.XLOOKUP($B436,ChartOfAccounts!A435:A520,ChartOfAccounts!F435:F520,"",0,1)</f>
        <v/>
      </c>
      <c r="P436" t="str" cm="1">
        <f t="array" ref="P436">_xlfn.XLOOKUP($D436&amp;$C436,PreparerInfo!A435:A447&amp;PreparerInfo!C435:C447,PreparerInfo!B435:B447,"",0,1)</f>
        <v/>
      </c>
      <c r="Q436" t="str">
        <f>_xlfn.XLOOKUP($E436,Source!A435:A443,Source!B435:B443,"",0,1)</f>
        <v/>
      </c>
    </row>
    <row r="437" spans="1:17" x14ac:dyDescent="0.3">
      <c r="A437" s="3">
        <v>2033737</v>
      </c>
      <c r="B437">
        <v>11845</v>
      </c>
      <c r="C437">
        <v>1</v>
      </c>
      <c r="D437" s="9">
        <v>102</v>
      </c>
      <c r="E437">
        <v>1002</v>
      </c>
      <c r="F437" s="1">
        <v>44009</v>
      </c>
      <c r="G437" t="s">
        <v>210</v>
      </c>
      <c r="H437" s="4" t="s">
        <v>16</v>
      </c>
      <c r="I437" s="4">
        <v>-266.98</v>
      </c>
      <c r="J437" s="4">
        <v>-266.98</v>
      </c>
      <c r="K437" t="str">
        <f>_xlfn.XLOOKUP($C437,Table1[BusinessUnitID],Table1[BusinessUnit],"",0)</f>
        <v>FOOD SERVICE</v>
      </c>
      <c r="L437" t="str" cm="1">
        <f t="array" ref="L437">_xlfn.XLOOKUP($C437,Table1[[#All],[BusinessUnitID]],Table1[[#All],[Description]],"",0,1)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37" t="str">
        <f>_xlfn.XLOOKUP($B437,ChartOfAccounts!A436:A521,ChartOfAccounts!B436:B521,"",0,1)</f>
        <v/>
      </c>
      <c r="N437">
        <f>_xlfn.XLOOKUP($B437,ChartOfAccounts!A436:A521,ChartOfAccounts!D436:D521,0,1)</f>
        <v>0</v>
      </c>
      <c r="O437" t="str">
        <f>_xlfn.XLOOKUP($B437,ChartOfAccounts!A436:A521,ChartOfAccounts!F436:F521,"",0,1)</f>
        <v/>
      </c>
      <c r="P437" t="str" cm="1">
        <f t="array" ref="P437">_xlfn.XLOOKUP($D437&amp;$C437,PreparerInfo!A436:A448&amp;PreparerInfo!C436:C448,PreparerInfo!B436:B448,"",0,1)</f>
        <v/>
      </c>
      <c r="Q437" t="str">
        <f>_xlfn.XLOOKUP($E437,Source!A436:A444,Source!B436:B444,"",0,1)</f>
        <v/>
      </c>
    </row>
    <row r="438" spans="1:17" x14ac:dyDescent="0.3">
      <c r="A438" s="3">
        <v>2033738</v>
      </c>
      <c r="B438">
        <v>14260</v>
      </c>
      <c r="C438">
        <v>1</v>
      </c>
      <c r="D438" s="9">
        <v>102</v>
      </c>
      <c r="E438">
        <v>1002</v>
      </c>
      <c r="F438" s="1">
        <v>44009</v>
      </c>
      <c r="G438" t="s">
        <v>214</v>
      </c>
      <c r="H438" s="4">
        <v>267.12</v>
      </c>
      <c r="I438" s="4" t="s">
        <v>16</v>
      </c>
      <c r="J438" s="4">
        <v>267.12</v>
      </c>
      <c r="K438" t="str">
        <f>_xlfn.XLOOKUP($C438,Table1[BusinessUnitID],Table1[BusinessUnit],"",0)</f>
        <v>FOOD SERVICE</v>
      </c>
      <c r="L438" t="str" cm="1">
        <f t="array" ref="L438">_xlfn.XLOOKUP($C438,Table1[[#All],[BusinessUnitID]],Table1[[#All],[Description]],"",0,1)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38" t="str">
        <f>_xlfn.XLOOKUP($B438,ChartOfAccounts!A437:A522,ChartOfAccounts!B437:B522,"",0,1)</f>
        <v/>
      </c>
      <c r="N438">
        <f>_xlfn.XLOOKUP($B438,ChartOfAccounts!A437:A522,ChartOfAccounts!D437:D522,0,1)</f>
        <v>0</v>
      </c>
      <c r="O438" t="str">
        <f>_xlfn.XLOOKUP($B438,ChartOfAccounts!A437:A522,ChartOfAccounts!F437:F522,"",0,1)</f>
        <v/>
      </c>
      <c r="P438" t="str" cm="1">
        <f t="array" ref="P438">_xlfn.XLOOKUP($D438&amp;$C438,PreparerInfo!A437:A449&amp;PreparerInfo!C437:C449,PreparerInfo!B437:B449,"",0,1)</f>
        <v/>
      </c>
      <c r="Q438" t="str">
        <f>_xlfn.XLOOKUP($E438,Source!A437:A445,Source!B437:B445,"",0,1)</f>
        <v/>
      </c>
    </row>
    <row r="439" spans="1:17" x14ac:dyDescent="0.3">
      <c r="A439" s="3">
        <v>2033738</v>
      </c>
      <c r="B439">
        <v>11845</v>
      </c>
      <c r="C439">
        <v>1</v>
      </c>
      <c r="D439" s="9">
        <v>102</v>
      </c>
      <c r="E439">
        <v>1002</v>
      </c>
      <c r="F439" s="1">
        <v>44009</v>
      </c>
      <c r="G439" t="s">
        <v>214</v>
      </c>
      <c r="H439" s="4" t="s">
        <v>16</v>
      </c>
      <c r="I439" s="4">
        <v>-267.12</v>
      </c>
      <c r="J439" s="4">
        <v>-267.12</v>
      </c>
      <c r="K439" t="str">
        <f>_xlfn.XLOOKUP($C439,Table1[BusinessUnitID],Table1[BusinessUnit],"",0)</f>
        <v>FOOD SERVICE</v>
      </c>
      <c r="L439" t="str" cm="1">
        <f t="array" ref="L439">_xlfn.XLOOKUP($C439,Table1[[#All],[BusinessUnitID]],Table1[[#All],[Description]],"",0,1)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39" t="str">
        <f>_xlfn.XLOOKUP($B439,ChartOfAccounts!A438:A523,ChartOfAccounts!B438:B523,"",0,1)</f>
        <v/>
      </c>
      <c r="N439">
        <f>_xlfn.XLOOKUP($B439,ChartOfAccounts!A438:A523,ChartOfAccounts!D438:D523,0,1)</f>
        <v>0</v>
      </c>
      <c r="O439" t="str">
        <f>_xlfn.XLOOKUP($B439,ChartOfAccounts!A438:A523,ChartOfAccounts!F438:F523,"",0,1)</f>
        <v/>
      </c>
      <c r="P439" t="str" cm="1">
        <f t="array" ref="P439">_xlfn.XLOOKUP($D439&amp;$C439,PreparerInfo!A438:A450&amp;PreparerInfo!C438:C450,PreparerInfo!B438:B450,"",0,1)</f>
        <v/>
      </c>
      <c r="Q439" t="str">
        <f>_xlfn.XLOOKUP($E439,Source!A438:A446,Source!B438:B446,"",0,1)</f>
        <v/>
      </c>
    </row>
    <row r="440" spans="1:17" x14ac:dyDescent="0.3">
      <c r="A440" s="3">
        <v>2033739</v>
      </c>
      <c r="B440">
        <v>43180</v>
      </c>
      <c r="C440">
        <v>2</v>
      </c>
      <c r="D440" s="9">
        <v>102</v>
      </c>
      <c r="E440">
        <v>1002</v>
      </c>
      <c r="F440" s="1">
        <v>44009</v>
      </c>
      <c r="G440" t="s">
        <v>211</v>
      </c>
      <c r="H440" s="4">
        <v>357</v>
      </c>
      <c r="I440" s="4" t="s">
        <v>16</v>
      </c>
      <c r="J440" s="4">
        <v>357</v>
      </c>
      <c r="K440" t="str">
        <f>_xlfn.XLOOKUP($C440,Table1[BusinessUnitID],Table1[BusinessUnit],"",0)</f>
        <v>HOTEL</v>
      </c>
      <c r="L440" t="str" cm="1">
        <f t="array" ref="L440">_xlfn.XLOOKUP($C440,Table1[[#All],[BusinessUnitID]],Table1[[#All],[Description]],"",0,1)</f>
        <v xml:space="preserve">Transactions related to guest rooms and overall hotel operations. Includes payroll for administrative staff, clerks and interns. </v>
      </c>
      <c r="M440" t="str">
        <f>_xlfn.XLOOKUP($B440,ChartOfAccounts!A439:A524,ChartOfAccounts!B439:B524,"",0,1)</f>
        <v/>
      </c>
      <c r="N440">
        <f>_xlfn.XLOOKUP($B440,ChartOfAccounts!A439:A524,ChartOfAccounts!D439:D524,0,1)</f>
        <v>0</v>
      </c>
      <c r="O440" t="str">
        <f>_xlfn.XLOOKUP($B440,ChartOfAccounts!A439:A524,ChartOfAccounts!F439:F524,"",0,1)</f>
        <v/>
      </c>
      <c r="P440" t="str" cm="1">
        <f t="array" ref="P440">_xlfn.XLOOKUP($D440&amp;$C440,PreparerInfo!A439:A451&amp;PreparerInfo!C439:C451,PreparerInfo!B439:B451,"",0,1)</f>
        <v/>
      </c>
      <c r="Q440" t="str">
        <f>_xlfn.XLOOKUP($E440,Source!A439:A447,Source!B439:B447,"",0,1)</f>
        <v/>
      </c>
    </row>
    <row r="441" spans="1:17" x14ac:dyDescent="0.3">
      <c r="A441" s="3">
        <v>2033739</v>
      </c>
      <c r="B441">
        <v>11845</v>
      </c>
      <c r="C441">
        <v>2</v>
      </c>
      <c r="D441" s="9">
        <v>102</v>
      </c>
      <c r="E441">
        <v>1002</v>
      </c>
      <c r="F441" s="1">
        <v>44009</v>
      </c>
      <c r="G441" t="s">
        <v>211</v>
      </c>
      <c r="H441" s="4" t="s">
        <v>16</v>
      </c>
      <c r="I441" s="4">
        <v>-357</v>
      </c>
      <c r="J441" s="4">
        <v>-357</v>
      </c>
      <c r="K441" t="str">
        <f>_xlfn.XLOOKUP($C441,Table1[BusinessUnitID],Table1[BusinessUnit],"",0)</f>
        <v>HOTEL</v>
      </c>
      <c r="L441" t="str" cm="1">
        <f t="array" ref="L441">_xlfn.XLOOKUP($C441,Table1[[#All],[BusinessUnitID]],Table1[[#All],[Description]],"",0,1)</f>
        <v xml:space="preserve">Transactions related to guest rooms and overall hotel operations. Includes payroll for administrative staff, clerks and interns. </v>
      </c>
      <c r="M441" t="str">
        <f>_xlfn.XLOOKUP($B441,ChartOfAccounts!A440:A525,ChartOfAccounts!B440:B525,"",0,1)</f>
        <v/>
      </c>
      <c r="N441">
        <f>_xlfn.XLOOKUP($B441,ChartOfAccounts!A440:A525,ChartOfAccounts!D440:D525,0,1)</f>
        <v>0</v>
      </c>
      <c r="O441" t="str">
        <f>_xlfn.XLOOKUP($B441,ChartOfAccounts!A440:A525,ChartOfAccounts!F440:F525,"",0,1)</f>
        <v/>
      </c>
      <c r="P441" t="str" cm="1">
        <f t="array" ref="P441">_xlfn.XLOOKUP($D441&amp;$C441,PreparerInfo!A440:A452&amp;PreparerInfo!C440:C452,PreparerInfo!B440:B452,"",0,1)</f>
        <v/>
      </c>
      <c r="Q441" t="str">
        <f>_xlfn.XLOOKUP($E441,Source!A440:A448,Source!B440:B448,"",0,1)</f>
        <v/>
      </c>
    </row>
    <row r="442" spans="1:17" x14ac:dyDescent="0.3">
      <c r="A442" s="3">
        <v>2033740</v>
      </c>
      <c r="B442">
        <v>11845</v>
      </c>
      <c r="C442">
        <v>1</v>
      </c>
      <c r="D442" s="9">
        <v>106</v>
      </c>
      <c r="E442">
        <v>1003</v>
      </c>
      <c r="F442" s="1">
        <v>44009</v>
      </c>
      <c r="G442" t="s">
        <v>80</v>
      </c>
      <c r="H442" s="4">
        <v>362.96</v>
      </c>
      <c r="I442" s="4" t="s">
        <v>16</v>
      </c>
      <c r="J442" s="4">
        <v>362.96</v>
      </c>
      <c r="K442" t="str">
        <f>_xlfn.XLOOKUP($C442,Table1[BusinessUnitID],Table1[BusinessUnit],"",0)</f>
        <v>FOOD SERVICE</v>
      </c>
      <c r="L442" t="str" cm="1">
        <f t="array" ref="L442">_xlfn.XLOOKUP($C442,Table1[[#All],[BusinessUnitID]],Table1[[#All],[Description]],"",0,1)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42" t="str">
        <f>_xlfn.XLOOKUP($B442,ChartOfAccounts!A441:A526,ChartOfAccounts!B441:B526,"",0,1)</f>
        <v/>
      </c>
      <c r="N442">
        <f>_xlfn.XLOOKUP($B442,ChartOfAccounts!A441:A526,ChartOfAccounts!D441:D526,0,1)</f>
        <v>0</v>
      </c>
      <c r="O442" t="str">
        <f>_xlfn.XLOOKUP($B442,ChartOfAccounts!A441:A526,ChartOfAccounts!F441:F526,"",0,1)</f>
        <v/>
      </c>
      <c r="P442" t="str" cm="1">
        <f t="array" ref="P442">_xlfn.XLOOKUP($D442&amp;$C442,PreparerInfo!A441:A453&amp;PreparerInfo!C441:C453,PreparerInfo!B441:B453,"",0,1)</f>
        <v/>
      </c>
      <c r="Q442" t="str">
        <f>_xlfn.XLOOKUP($E442,Source!A441:A449,Source!B441:B449,"",0,1)</f>
        <v/>
      </c>
    </row>
    <row r="443" spans="1:17" x14ac:dyDescent="0.3">
      <c r="A443" s="3">
        <v>2033740</v>
      </c>
      <c r="B443">
        <v>43310</v>
      </c>
      <c r="C443">
        <v>1</v>
      </c>
      <c r="D443" s="9">
        <v>106</v>
      </c>
      <c r="E443">
        <v>1003</v>
      </c>
      <c r="F443" s="1">
        <v>44009</v>
      </c>
      <c r="G443" t="s">
        <v>80</v>
      </c>
      <c r="H443" s="4" t="s">
        <v>16</v>
      </c>
      <c r="I443" s="4">
        <v>-362.96</v>
      </c>
      <c r="J443" s="4">
        <v>-362.96</v>
      </c>
      <c r="K443" t="str">
        <f>_xlfn.XLOOKUP($C443,Table1[BusinessUnitID],Table1[BusinessUnit],"",0)</f>
        <v>FOOD SERVICE</v>
      </c>
      <c r="L443" t="str" cm="1">
        <f t="array" ref="L443">_xlfn.XLOOKUP($C443,Table1[[#All],[BusinessUnitID]],Table1[[#All],[Description]],"",0,1)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43" t="str">
        <f>_xlfn.XLOOKUP($B443,ChartOfAccounts!A442:A527,ChartOfAccounts!B442:B527,"",0,1)</f>
        <v/>
      </c>
      <c r="N443">
        <f>_xlfn.XLOOKUP($B443,ChartOfAccounts!A442:A527,ChartOfAccounts!D442:D527,0,1)</f>
        <v>0</v>
      </c>
      <c r="O443" t="str">
        <f>_xlfn.XLOOKUP($B443,ChartOfAccounts!A442:A527,ChartOfAccounts!F442:F527,"",0,1)</f>
        <v/>
      </c>
      <c r="P443" t="str" cm="1">
        <f t="array" ref="P443">_xlfn.XLOOKUP($D443&amp;$C443,PreparerInfo!A442:A454&amp;PreparerInfo!C442:C454,PreparerInfo!B442:B454,"",0,1)</f>
        <v/>
      </c>
      <c r="Q443" t="str">
        <f>_xlfn.XLOOKUP($E443,Source!A442:A450,Source!B442:B450,"",0,1)</f>
        <v/>
      </c>
    </row>
    <row r="444" spans="1:17" x14ac:dyDescent="0.3">
      <c r="A444" s="3">
        <v>2033741</v>
      </c>
      <c r="B444">
        <v>14260</v>
      </c>
      <c r="C444">
        <v>1</v>
      </c>
      <c r="D444" s="9">
        <v>102</v>
      </c>
      <c r="E444">
        <v>1002</v>
      </c>
      <c r="F444" s="1">
        <v>44009</v>
      </c>
      <c r="G444" t="s">
        <v>214</v>
      </c>
      <c r="H444" s="4">
        <v>374.4</v>
      </c>
      <c r="I444" s="4" t="s">
        <v>16</v>
      </c>
      <c r="J444" s="4">
        <v>374.4</v>
      </c>
      <c r="K444" t="str">
        <f>_xlfn.XLOOKUP($C444,Table1[BusinessUnitID],Table1[BusinessUnit],"",0)</f>
        <v>FOOD SERVICE</v>
      </c>
      <c r="L444" t="str" cm="1">
        <f t="array" ref="L444">_xlfn.XLOOKUP($C444,Table1[[#All],[BusinessUnitID]],Table1[[#All],[Description]],"",0,1)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44" t="str">
        <f>_xlfn.XLOOKUP($B444,ChartOfAccounts!A443:A528,ChartOfAccounts!B443:B528,"",0,1)</f>
        <v/>
      </c>
      <c r="N444">
        <f>_xlfn.XLOOKUP($B444,ChartOfAccounts!A443:A528,ChartOfAccounts!D443:D528,0,1)</f>
        <v>0</v>
      </c>
      <c r="O444" t="str">
        <f>_xlfn.XLOOKUP($B444,ChartOfAccounts!A443:A528,ChartOfAccounts!F443:F528,"",0,1)</f>
        <v/>
      </c>
      <c r="P444" t="str" cm="1">
        <f t="array" ref="P444">_xlfn.XLOOKUP($D444&amp;$C444,PreparerInfo!A443:A455&amp;PreparerInfo!C443:C455,PreparerInfo!B443:B455,"",0,1)</f>
        <v/>
      </c>
      <c r="Q444" t="str">
        <f>_xlfn.XLOOKUP($E444,Source!A443:A451,Source!B443:B451,"",0,1)</f>
        <v/>
      </c>
    </row>
    <row r="445" spans="1:17" x14ac:dyDescent="0.3">
      <c r="A445" s="3">
        <v>2033741</v>
      </c>
      <c r="B445">
        <v>11845</v>
      </c>
      <c r="C445">
        <v>1</v>
      </c>
      <c r="D445" s="9">
        <v>102</v>
      </c>
      <c r="E445">
        <v>1002</v>
      </c>
      <c r="F445" s="1">
        <v>44009</v>
      </c>
      <c r="G445" t="s">
        <v>214</v>
      </c>
      <c r="H445" s="4" t="s">
        <v>16</v>
      </c>
      <c r="I445" s="4">
        <v>-374.4</v>
      </c>
      <c r="J445" s="4">
        <v>-374.4</v>
      </c>
      <c r="K445" t="str">
        <f>_xlfn.XLOOKUP($C445,Table1[BusinessUnitID],Table1[BusinessUnit],"",0)</f>
        <v>FOOD SERVICE</v>
      </c>
      <c r="L445" t="str" cm="1">
        <f t="array" ref="L445">_xlfn.XLOOKUP($C445,Table1[[#All],[BusinessUnitID]],Table1[[#All],[Description]],"",0,1)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45" t="str">
        <f>_xlfn.XLOOKUP($B445,ChartOfAccounts!A444:A529,ChartOfAccounts!B444:B529,"",0,1)</f>
        <v/>
      </c>
      <c r="N445">
        <f>_xlfn.XLOOKUP($B445,ChartOfAccounts!A444:A529,ChartOfAccounts!D444:D529,0,1)</f>
        <v>0</v>
      </c>
      <c r="O445" t="str">
        <f>_xlfn.XLOOKUP($B445,ChartOfAccounts!A444:A529,ChartOfAccounts!F444:F529,"",0,1)</f>
        <v/>
      </c>
      <c r="P445" t="str" cm="1">
        <f t="array" ref="P445">_xlfn.XLOOKUP($D445&amp;$C445,PreparerInfo!A444:A456&amp;PreparerInfo!C444:C456,PreparerInfo!B444:B456,"",0,1)</f>
        <v/>
      </c>
      <c r="Q445" t="str">
        <f>_xlfn.XLOOKUP($E445,Source!A444:A452,Source!B444:B452,"",0,1)</f>
        <v/>
      </c>
    </row>
    <row r="446" spans="1:17" x14ac:dyDescent="0.3">
      <c r="A446" s="3">
        <v>2033742</v>
      </c>
      <c r="B446">
        <v>11845</v>
      </c>
      <c r="C446">
        <v>2</v>
      </c>
      <c r="D446" s="9">
        <v>104</v>
      </c>
      <c r="E446">
        <v>1003</v>
      </c>
      <c r="F446" s="1">
        <v>44009</v>
      </c>
      <c r="G446" t="s">
        <v>41</v>
      </c>
      <c r="H446" s="4">
        <v>396</v>
      </c>
      <c r="I446" s="4" t="s">
        <v>16</v>
      </c>
      <c r="J446" s="4">
        <v>396</v>
      </c>
      <c r="K446" t="str">
        <f>_xlfn.XLOOKUP($C446,Table1[BusinessUnitID],Table1[BusinessUnit],"",0)</f>
        <v>HOTEL</v>
      </c>
      <c r="L446" t="str" cm="1">
        <f t="array" ref="L446">_xlfn.XLOOKUP($C446,Table1[[#All],[BusinessUnitID]],Table1[[#All],[Description]],"",0,1)</f>
        <v xml:space="preserve">Transactions related to guest rooms and overall hotel operations. Includes payroll for administrative staff, clerks and interns. </v>
      </c>
      <c r="M446" t="str">
        <f>_xlfn.XLOOKUP($B446,ChartOfAccounts!A445:A530,ChartOfAccounts!B445:B530,"",0,1)</f>
        <v/>
      </c>
      <c r="N446">
        <f>_xlfn.XLOOKUP($B446,ChartOfAccounts!A445:A530,ChartOfAccounts!D445:D530,0,1)</f>
        <v>0</v>
      </c>
      <c r="O446" t="str">
        <f>_xlfn.XLOOKUP($B446,ChartOfAccounts!A445:A530,ChartOfAccounts!F445:F530,"",0,1)</f>
        <v/>
      </c>
      <c r="P446" t="str" cm="1">
        <f t="array" ref="P446">_xlfn.XLOOKUP($D446&amp;$C446,PreparerInfo!A445:A457&amp;PreparerInfo!C445:C457,PreparerInfo!B445:B457,"",0,1)</f>
        <v/>
      </c>
      <c r="Q446" t="str">
        <f>_xlfn.XLOOKUP($E446,Source!A445:A453,Source!B445:B453,"",0,1)</f>
        <v/>
      </c>
    </row>
    <row r="447" spans="1:17" x14ac:dyDescent="0.3">
      <c r="A447" s="3">
        <v>2033742</v>
      </c>
      <c r="B447">
        <v>43180</v>
      </c>
      <c r="C447">
        <v>2</v>
      </c>
      <c r="D447" s="9">
        <v>104</v>
      </c>
      <c r="E447">
        <v>1003</v>
      </c>
      <c r="F447" s="1">
        <v>44009</v>
      </c>
      <c r="G447" t="s">
        <v>41</v>
      </c>
      <c r="H447" s="4" t="s">
        <v>16</v>
      </c>
      <c r="I447" s="4">
        <v>-396</v>
      </c>
      <c r="J447" s="4">
        <v>-396</v>
      </c>
      <c r="K447" t="str">
        <f>_xlfn.XLOOKUP($C447,Table1[BusinessUnitID],Table1[BusinessUnit],"",0)</f>
        <v>HOTEL</v>
      </c>
      <c r="L447" t="str" cm="1">
        <f t="array" ref="L447">_xlfn.XLOOKUP($C447,Table1[[#All],[BusinessUnitID]],Table1[[#All],[Description]],"",0,1)</f>
        <v xml:space="preserve">Transactions related to guest rooms and overall hotel operations. Includes payroll for administrative staff, clerks and interns. </v>
      </c>
      <c r="M447" t="str">
        <f>_xlfn.XLOOKUP($B447,ChartOfAccounts!A446:A531,ChartOfAccounts!B446:B531,"",0,1)</f>
        <v/>
      </c>
      <c r="N447">
        <f>_xlfn.XLOOKUP($B447,ChartOfAccounts!A446:A531,ChartOfAccounts!D446:D531,0,1)</f>
        <v>0</v>
      </c>
      <c r="O447" t="str">
        <f>_xlfn.XLOOKUP($B447,ChartOfAccounts!A446:A531,ChartOfAccounts!F446:F531,"",0,1)</f>
        <v/>
      </c>
      <c r="P447" t="str" cm="1">
        <f t="array" ref="P447">_xlfn.XLOOKUP($D447&amp;$C447,PreparerInfo!A446:A458&amp;PreparerInfo!C446:C458,PreparerInfo!B446:B458,"",0,1)</f>
        <v/>
      </c>
      <c r="Q447" t="str">
        <f>_xlfn.XLOOKUP($E447,Source!A446:A454,Source!B446:B454,"",0,1)</f>
        <v/>
      </c>
    </row>
    <row r="448" spans="1:17" x14ac:dyDescent="0.3">
      <c r="A448" s="3">
        <v>2033743</v>
      </c>
      <c r="B448">
        <v>14260</v>
      </c>
      <c r="C448">
        <v>1</v>
      </c>
      <c r="D448" s="9">
        <v>102</v>
      </c>
      <c r="E448">
        <v>1002</v>
      </c>
      <c r="F448" s="1">
        <v>44009</v>
      </c>
      <c r="G448" t="s">
        <v>47</v>
      </c>
      <c r="H448" s="4">
        <v>396.12</v>
      </c>
      <c r="I448" s="4" t="s">
        <v>16</v>
      </c>
      <c r="J448" s="4">
        <v>396.12</v>
      </c>
      <c r="K448" t="str">
        <f>_xlfn.XLOOKUP($C448,Table1[BusinessUnitID],Table1[BusinessUnit],"",0)</f>
        <v>FOOD SERVICE</v>
      </c>
      <c r="L448" t="str" cm="1">
        <f t="array" ref="L448">_xlfn.XLOOKUP($C448,Table1[[#All],[BusinessUnitID]],Table1[[#All],[Description]],"",0,1)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48" t="str">
        <f>_xlfn.XLOOKUP($B448,ChartOfAccounts!A447:A532,ChartOfAccounts!B447:B532,"",0,1)</f>
        <v/>
      </c>
      <c r="N448">
        <f>_xlfn.XLOOKUP($B448,ChartOfAccounts!A447:A532,ChartOfAccounts!D447:D532,0,1)</f>
        <v>0</v>
      </c>
      <c r="O448" t="str">
        <f>_xlfn.XLOOKUP($B448,ChartOfAccounts!A447:A532,ChartOfAccounts!F447:F532,"",0,1)</f>
        <v/>
      </c>
      <c r="P448" t="str" cm="1">
        <f t="array" ref="P448">_xlfn.XLOOKUP($D448&amp;$C448,PreparerInfo!A447:A459&amp;PreparerInfo!C447:C459,PreparerInfo!B447:B459,"",0,1)</f>
        <v/>
      </c>
      <c r="Q448" t="str">
        <f>_xlfn.XLOOKUP($E448,Source!A447:A455,Source!B447:B455,"",0,1)</f>
        <v/>
      </c>
    </row>
    <row r="449" spans="1:17" x14ac:dyDescent="0.3">
      <c r="A449" s="3">
        <v>2033743</v>
      </c>
      <c r="B449">
        <v>11845</v>
      </c>
      <c r="C449">
        <v>1</v>
      </c>
      <c r="D449" s="9">
        <v>102</v>
      </c>
      <c r="E449">
        <v>1002</v>
      </c>
      <c r="F449" s="1">
        <v>44009</v>
      </c>
      <c r="G449" t="s">
        <v>47</v>
      </c>
      <c r="H449" s="4" t="s">
        <v>16</v>
      </c>
      <c r="I449" s="4">
        <v>-396.12</v>
      </c>
      <c r="J449" s="4">
        <v>-396.12</v>
      </c>
      <c r="K449" t="str">
        <f>_xlfn.XLOOKUP($C449,Table1[BusinessUnitID],Table1[BusinessUnit],"",0)</f>
        <v>FOOD SERVICE</v>
      </c>
      <c r="L449" t="str" cm="1">
        <f t="array" ref="L449">_xlfn.XLOOKUP($C449,Table1[[#All],[BusinessUnitID]],Table1[[#All],[Description]],"",0,1)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49" t="str">
        <f>_xlfn.XLOOKUP($B449,ChartOfAccounts!A448:A533,ChartOfAccounts!B448:B533,"",0,1)</f>
        <v/>
      </c>
      <c r="N449">
        <f>_xlfn.XLOOKUP($B449,ChartOfAccounts!A448:A533,ChartOfAccounts!D448:D533,0,1)</f>
        <v>0</v>
      </c>
      <c r="O449" t="str">
        <f>_xlfn.XLOOKUP($B449,ChartOfAccounts!A448:A533,ChartOfAccounts!F448:F533,"",0,1)</f>
        <v/>
      </c>
      <c r="P449" t="str" cm="1">
        <f t="array" ref="P449">_xlfn.XLOOKUP($D449&amp;$C449,PreparerInfo!A448:A460&amp;PreparerInfo!C448:C460,PreparerInfo!B448:B460,"",0,1)</f>
        <v/>
      </c>
      <c r="Q449" t="str">
        <f>_xlfn.XLOOKUP($E449,Source!A448:A456,Source!B448:B456,"",0,1)</f>
        <v/>
      </c>
    </row>
    <row r="450" spans="1:17" x14ac:dyDescent="0.3">
      <c r="A450" s="3">
        <v>2033744</v>
      </c>
      <c r="B450">
        <v>14260</v>
      </c>
      <c r="C450">
        <v>1</v>
      </c>
      <c r="D450" s="9">
        <v>102</v>
      </c>
      <c r="E450">
        <v>1002</v>
      </c>
      <c r="F450" s="1">
        <v>44009</v>
      </c>
      <c r="G450" t="s">
        <v>43</v>
      </c>
      <c r="H450" s="4">
        <v>497.59</v>
      </c>
      <c r="I450" s="4" t="s">
        <v>16</v>
      </c>
      <c r="J450" s="4">
        <v>497.59</v>
      </c>
      <c r="K450" t="str">
        <f>_xlfn.XLOOKUP($C450,Table1[BusinessUnitID],Table1[BusinessUnit],"",0)</f>
        <v>FOOD SERVICE</v>
      </c>
      <c r="L450" t="str" cm="1">
        <f t="array" ref="L450">_xlfn.XLOOKUP($C450,Table1[[#All],[BusinessUnitID]],Table1[[#All],[Description]],"",0,1)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50" t="str">
        <f>_xlfn.XLOOKUP($B450,ChartOfAccounts!A449:A534,ChartOfAccounts!B449:B534,"",0,1)</f>
        <v/>
      </c>
      <c r="N450">
        <f>_xlfn.XLOOKUP($B450,ChartOfAccounts!A449:A534,ChartOfAccounts!D449:D534,0,1)</f>
        <v>0</v>
      </c>
      <c r="O450" t="str">
        <f>_xlfn.XLOOKUP($B450,ChartOfAccounts!A449:A534,ChartOfAccounts!F449:F534,"",0,1)</f>
        <v/>
      </c>
      <c r="P450" t="str" cm="1">
        <f t="array" ref="P450">_xlfn.XLOOKUP($D450&amp;$C450,PreparerInfo!A449:A461&amp;PreparerInfo!C449:C461,PreparerInfo!B449:B461,"",0,1)</f>
        <v/>
      </c>
      <c r="Q450" t="str">
        <f>_xlfn.XLOOKUP($E450,Source!A449:A457,Source!B449:B457,"",0,1)</f>
        <v/>
      </c>
    </row>
    <row r="451" spans="1:17" x14ac:dyDescent="0.3">
      <c r="A451" s="3">
        <v>2033744</v>
      </c>
      <c r="B451">
        <v>11845</v>
      </c>
      <c r="C451">
        <v>1</v>
      </c>
      <c r="D451" s="9">
        <v>102</v>
      </c>
      <c r="E451">
        <v>1002</v>
      </c>
      <c r="F451" s="1">
        <v>44009</v>
      </c>
      <c r="G451" t="s">
        <v>43</v>
      </c>
      <c r="H451" s="4" t="s">
        <v>16</v>
      </c>
      <c r="I451" s="4">
        <v>-497.59</v>
      </c>
      <c r="J451" s="4">
        <v>-497.59</v>
      </c>
      <c r="K451" t="str">
        <f>_xlfn.XLOOKUP($C451,Table1[BusinessUnitID],Table1[BusinessUnit],"",0)</f>
        <v>FOOD SERVICE</v>
      </c>
      <c r="L451" t="str" cm="1">
        <f t="array" ref="L451">_xlfn.XLOOKUP($C451,Table1[[#All],[BusinessUnitID]],Table1[[#All],[Description]],"",0,1)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51" t="str">
        <f>_xlfn.XLOOKUP($B451,ChartOfAccounts!A450:A535,ChartOfAccounts!B450:B535,"",0,1)</f>
        <v/>
      </c>
      <c r="N451">
        <f>_xlfn.XLOOKUP($B451,ChartOfAccounts!A450:A535,ChartOfAccounts!D450:D535,0,1)</f>
        <v>0</v>
      </c>
      <c r="O451" t="str">
        <f>_xlfn.XLOOKUP($B451,ChartOfAccounts!A450:A535,ChartOfAccounts!F450:F535,"",0,1)</f>
        <v/>
      </c>
      <c r="P451" t="str" cm="1">
        <f t="array" ref="P451">_xlfn.XLOOKUP($D451&amp;$C451,PreparerInfo!A450:A462&amp;PreparerInfo!C450:C462,PreparerInfo!B450:B462,"",0,1)</f>
        <v/>
      </c>
      <c r="Q451" t="str">
        <f>_xlfn.XLOOKUP($E451,Source!A450:A458,Source!B450:B458,"",0,1)</f>
        <v/>
      </c>
    </row>
    <row r="452" spans="1:17" x14ac:dyDescent="0.3">
      <c r="A452" s="3">
        <v>2033745</v>
      </c>
      <c r="B452">
        <v>14260</v>
      </c>
      <c r="C452">
        <v>1</v>
      </c>
      <c r="D452" s="9">
        <v>102</v>
      </c>
      <c r="E452">
        <v>1002</v>
      </c>
      <c r="F452" s="1">
        <v>44009</v>
      </c>
      <c r="G452" t="s">
        <v>39</v>
      </c>
      <c r="H452" s="4">
        <v>539.96</v>
      </c>
      <c r="I452" s="4" t="s">
        <v>16</v>
      </c>
      <c r="J452" s="4">
        <v>539.96</v>
      </c>
      <c r="K452" t="str">
        <f>_xlfn.XLOOKUP($C452,Table1[BusinessUnitID],Table1[BusinessUnit],"",0)</f>
        <v>FOOD SERVICE</v>
      </c>
      <c r="L452" t="str" cm="1">
        <f t="array" ref="L452">_xlfn.XLOOKUP($C452,Table1[[#All],[BusinessUnitID]],Table1[[#All],[Description]],"",0,1)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52" t="str">
        <f>_xlfn.XLOOKUP($B452,ChartOfAccounts!A451:A536,ChartOfAccounts!B451:B536,"",0,1)</f>
        <v/>
      </c>
      <c r="N452">
        <f>_xlfn.XLOOKUP($B452,ChartOfAccounts!A451:A536,ChartOfAccounts!D451:D536,0,1)</f>
        <v>0</v>
      </c>
      <c r="O452" t="str">
        <f>_xlfn.XLOOKUP($B452,ChartOfAccounts!A451:A536,ChartOfAccounts!F451:F536,"",0,1)</f>
        <v/>
      </c>
      <c r="P452" t="str" cm="1">
        <f t="array" ref="P452">_xlfn.XLOOKUP($D452&amp;$C452,PreparerInfo!A451:A463&amp;PreparerInfo!C451:C463,PreparerInfo!B451:B463,"",0,1)</f>
        <v/>
      </c>
      <c r="Q452" t="str">
        <f>_xlfn.XLOOKUP($E452,Source!A451:A459,Source!B451:B459,"",0,1)</f>
        <v/>
      </c>
    </row>
    <row r="453" spans="1:17" x14ac:dyDescent="0.3">
      <c r="A453" s="3">
        <v>2033745</v>
      </c>
      <c r="B453">
        <v>11845</v>
      </c>
      <c r="C453">
        <v>1</v>
      </c>
      <c r="D453" s="9">
        <v>102</v>
      </c>
      <c r="E453">
        <v>1002</v>
      </c>
      <c r="F453" s="1">
        <v>44009</v>
      </c>
      <c r="G453" t="s">
        <v>39</v>
      </c>
      <c r="H453" s="4" t="s">
        <v>16</v>
      </c>
      <c r="I453" s="4">
        <v>-539.96</v>
      </c>
      <c r="J453" s="4">
        <v>-539.96</v>
      </c>
      <c r="K453" t="str">
        <f>_xlfn.XLOOKUP($C453,Table1[BusinessUnitID],Table1[BusinessUnit],"",0)</f>
        <v>FOOD SERVICE</v>
      </c>
      <c r="L453" t="str" cm="1">
        <f t="array" ref="L453">_xlfn.XLOOKUP($C453,Table1[[#All],[BusinessUnitID]],Table1[[#All],[Description]],"",0,1)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53" t="str">
        <f>_xlfn.XLOOKUP($B453,ChartOfAccounts!A452:A537,ChartOfAccounts!B452:B537,"",0,1)</f>
        <v/>
      </c>
      <c r="N453">
        <f>_xlfn.XLOOKUP($B453,ChartOfAccounts!A452:A537,ChartOfAccounts!D452:D537,0,1)</f>
        <v>0</v>
      </c>
      <c r="O453" t="str">
        <f>_xlfn.XLOOKUP($B453,ChartOfAccounts!A452:A537,ChartOfAccounts!F452:F537,"",0,1)</f>
        <v/>
      </c>
      <c r="P453" t="str" cm="1">
        <f t="array" ref="P453">_xlfn.XLOOKUP($D453&amp;$C453,PreparerInfo!A452:A464&amp;PreparerInfo!C452:C464,PreparerInfo!B452:B464,"",0,1)</f>
        <v/>
      </c>
      <c r="Q453" t="str">
        <f>_xlfn.XLOOKUP($E453,Source!A452:A460,Source!B452:B460,"",0,1)</f>
        <v/>
      </c>
    </row>
    <row r="454" spans="1:17" x14ac:dyDescent="0.3">
      <c r="A454" s="3">
        <v>2033746</v>
      </c>
      <c r="B454">
        <v>72712</v>
      </c>
      <c r="C454">
        <v>2</v>
      </c>
      <c r="D454" s="9">
        <v>101</v>
      </c>
      <c r="E454">
        <v>1002</v>
      </c>
      <c r="F454" s="1">
        <v>44009</v>
      </c>
      <c r="G454" t="s">
        <v>238</v>
      </c>
      <c r="H454" s="4">
        <v>553.27</v>
      </c>
      <c r="I454" s="4" t="s">
        <v>16</v>
      </c>
      <c r="J454" s="4">
        <v>553.27</v>
      </c>
      <c r="K454" t="str">
        <f>_xlfn.XLOOKUP($C454,Table1[BusinessUnitID],Table1[BusinessUnit],"",0)</f>
        <v>HOTEL</v>
      </c>
      <c r="L454" t="str" cm="1">
        <f t="array" ref="L454">_xlfn.XLOOKUP($C454,Table1[[#All],[BusinessUnitID]],Table1[[#All],[Description]],"",0,1)</f>
        <v xml:space="preserve">Transactions related to guest rooms and overall hotel operations. Includes payroll for administrative staff, clerks and interns. </v>
      </c>
      <c r="M454" t="str">
        <f>_xlfn.XLOOKUP($B454,ChartOfAccounts!A453:A538,ChartOfAccounts!B453:B538,"",0,1)</f>
        <v/>
      </c>
      <c r="N454">
        <f>_xlfn.XLOOKUP($B454,ChartOfAccounts!A453:A538,ChartOfAccounts!D453:D538,0,1)</f>
        <v>0</v>
      </c>
      <c r="O454" t="str">
        <f>_xlfn.XLOOKUP($B454,ChartOfAccounts!A453:A538,ChartOfAccounts!F453:F538,"",0,1)</f>
        <v/>
      </c>
      <c r="P454" t="str" cm="1">
        <f t="array" ref="P454">_xlfn.XLOOKUP($D454&amp;$C454,PreparerInfo!A453:A465&amp;PreparerInfo!C453:C465,PreparerInfo!B453:B465,"",0,1)</f>
        <v/>
      </c>
      <c r="Q454" t="str">
        <f>_xlfn.XLOOKUP($E454,Source!A453:A461,Source!B453:B461,"",0,1)</f>
        <v/>
      </c>
    </row>
    <row r="455" spans="1:17" x14ac:dyDescent="0.3">
      <c r="A455" s="3">
        <v>2033746</v>
      </c>
      <c r="B455">
        <v>11845</v>
      </c>
      <c r="C455">
        <v>2</v>
      </c>
      <c r="D455" s="9">
        <v>101</v>
      </c>
      <c r="E455">
        <v>1002</v>
      </c>
      <c r="F455" s="1">
        <v>44009</v>
      </c>
      <c r="G455" t="s">
        <v>238</v>
      </c>
      <c r="H455" s="4" t="s">
        <v>16</v>
      </c>
      <c r="I455" s="4">
        <v>-553.27</v>
      </c>
      <c r="J455" s="4">
        <v>-553.27</v>
      </c>
      <c r="K455" t="str">
        <f>_xlfn.XLOOKUP($C455,Table1[BusinessUnitID],Table1[BusinessUnit],"",0)</f>
        <v>HOTEL</v>
      </c>
      <c r="L455" t="str" cm="1">
        <f t="array" ref="L455">_xlfn.XLOOKUP($C455,Table1[[#All],[BusinessUnitID]],Table1[[#All],[Description]],"",0,1)</f>
        <v xml:space="preserve">Transactions related to guest rooms and overall hotel operations. Includes payroll for administrative staff, clerks and interns. </v>
      </c>
      <c r="M455" t="str">
        <f>_xlfn.XLOOKUP($B455,ChartOfAccounts!A454:A539,ChartOfAccounts!B454:B539,"",0,1)</f>
        <v/>
      </c>
      <c r="N455">
        <f>_xlfn.XLOOKUP($B455,ChartOfAccounts!A454:A539,ChartOfAccounts!D454:D539,0,1)</f>
        <v>0</v>
      </c>
      <c r="O455" t="str">
        <f>_xlfn.XLOOKUP($B455,ChartOfAccounts!A454:A539,ChartOfAccounts!F454:F539,"",0,1)</f>
        <v/>
      </c>
      <c r="P455" t="str" cm="1">
        <f t="array" ref="P455">_xlfn.XLOOKUP($D455&amp;$C455,PreparerInfo!A454:A466&amp;PreparerInfo!C454:C466,PreparerInfo!B454:B466,"",0,1)</f>
        <v/>
      </c>
      <c r="Q455" t="str">
        <f>_xlfn.XLOOKUP($E455,Source!A454:A462,Source!B454:B462,"",0,1)</f>
        <v/>
      </c>
    </row>
    <row r="456" spans="1:17" x14ac:dyDescent="0.3">
      <c r="A456" s="3">
        <v>2033747</v>
      </c>
      <c r="B456">
        <v>71400</v>
      </c>
      <c r="C456">
        <v>2</v>
      </c>
      <c r="D456" s="9">
        <v>101</v>
      </c>
      <c r="E456">
        <v>1002</v>
      </c>
      <c r="F456" s="1">
        <v>44009</v>
      </c>
      <c r="G456" t="s">
        <v>172</v>
      </c>
      <c r="H456" s="4">
        <v>566.99</v>
      </c>
      <c r="I456" s="4" t="s">
        <v>16</v>
      </c>
      <c r="J456" s="4">
        <v>566.99</v>
      </c>
      <c r="K456" t="str">
        <f>_xlfn.XLOOKUP($C456,Table1[BusinessUnitID],Table1[BusinessUnit],"",0)</f>
        <v>HOTEL</v>
      </c>
      <c r="L456" t="str" cm="1">
        <f t="array" ref="L456">_xlfn.XLOOKUP($C456,Table1[[#All],[BusinessUnitID]],Table1[[#All],[Description]],"",0,1)</f>
        <v xml:space="preserve">Transactions related to guest rooms and overall hotel operations. Includes payroll for administrative staff, clerks and interns. </v>
      </c>
      <c r="M456" t="str">
        <f>_xlfn.XLOOKUP($B456,ChartOfAccounts!A455:A540,ChartOfAccounts!B455:B540,"",0,1)</f>
        <v/>
      </c>
      <c r="N456">
        <f>_xlfn.XLOOKUP($B456,ChartOfAccounts!A455:A540,ChartOfAccounts!D455:D540,0,1)</f>
        <v>0</v>
      </c>
      <c r="O456" t="str">
        <f>_xlfn.XLOOKUP($B456,ChartOfAccounts!A455:A540,ChartOfAccounts!F455:F540,"",0,1)</f>
        <v/>
      </c>
      <c r="P456" t="str" cm="1">
        <f t="array" ref="P456">_xlfn.XLOOKUP($D456&amp;$C456,PreparerInfo!A455:A467&amp;PreparerInfo!C455:C467,PreparerInfo!B455:B467,"",0,1)</f>
        <v/>
      </c>
      <c r="Q456" t="str">
        <f>_xlfn.XLOOKUP($E456,Source!A455:A463,Source!B455:B463,"",0,1)</f>
        <v/>
      </c>
    </row>
    <row r="457" spans="1:17" x14ac:dyDescent="0.3">
      <c r="A457" s="3">
        <v>2033747</v>
      </c>
      <c r="B457">
        <v>11845</v>
      </c>
      <c r="C457">
        <v>2</v>
      </c>
      <c r="D457" s="9">
        <v>101</v>
      </c>
      <c r="E457">
        <v>1002</v>
      </c>
      <c r="F457" s="1">
        <v>44009</v>
      </c>
      <c r="G457" t="s">
        <v>172</v>
      </c>
      <c r="H457" s="4" t="s">
        <v>16</v>
      </c>
      <c r="I457" s="4">
        <v>-566.99</v>
      </c>
      <c r="J457" s="4">
        <v>-566.99</v>
      </c>
      <c r="K457" t="str">
        <f>_xlfn.XLOOKUP($C457,Table1[BusinessUnitID],Table1[BusinessUnit],"",0)</f>
        <v>HOTEL</v>
      </c>
      <c r="L457" t="str" cm="1">
        <f t="array" ref="L457">_xlfn.XLOOKUP($C457,Table1[[#All],[BusinessUnitID]],Table1[[#All],[Description]],"",0,1)</f>
        <v xml:space="preserve">Transactions related to guest rooms and overall hotel operations. Includes payroll for administrative staff, clerks and interns. </v>
      </c>
      <c r="M457" t="str">
        <f>_xlfn.XLOOKUP($B457,ChartOfAccounts!A456:A541,ChartOfAccounts!B456:B541,"",0,1)</f>
        <v/>
      </c>
      <c r="N457">
        <f>_xlfn.XLOOKUP($B457,ChartOfAccounts!A456:A541,ChartOfAccounts!D456:D541,0,1)</f>
        <v>0</v>
      </c>
      <c r="O457" t="str">
        <f>_xlfn.XLOOKUP($B457,ChartOfAccounts!A456:A541,ChartOfAccounts!F456:F541,"",0,1)</f>
        <v/>
      </c>
      <c r="P457" t="str" cm="1">
        <f t="array" ref="P457">_xlfn.XLOOKUP($D457&amp;$C457,PreparerInfo!A456:A468&amp;PreparerInfo!C456:C468,PreparerInfo!B456:B468,"",0,1)</f>
        <v/>
      </c>
      <c r="Q457" t="str">
        <f>_xlfn.XLOOKUP($E457,Source!A456:A464,Source!B456:B464,"",0,1)</f>
        <v/>
      </c>
    </row>
    <row r="458" spans="1:17" x14ac:dyDescent="0.3">
      <c r="A458" s="3">
        <v>2033748</v>
      </c>
      <c r="B458">
        <v>14260</v>
      </c>
      <c r="C458">
        <v>1</v>
      </c>
      <c r="D458" s="9">
        <v>102</v>
      </c>
      <c r="E458">
        <v>1002</v>
      </c>
      <c r="F458" s="1">
        <v>44009</v>
      </c>
      <c r="G458" t="s">
        <v>39</v>
      </c>
      <c r="H458" s="4">
        <v>584.45000000000005</v>
      </c>
      <c r="I458" s="4" t="s">
        <v>16</v>
      </c>
      <c r="J458" s="4">
        <v>584.45000000000005</v>
      </c>
      <c r="K458" t="str">
        <f>_xlfn.XLOOKUP($C458,Table1[BusinessUnitID],Table1[BusinessUnit],"",0)</f>
        <v>FOOD SERVICE</v>
      </c>
      <c r="L458" t="str" cm="1">
        <f t="array" ref="L458">_xlfn.XLOOKUP($C458,Table1[[#All],[BusinessUnitID]],Table1[[#All],[Description]],"",0,1)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58" t="str">
        <f>_xlfn.XLOOKUP($B458,ChartOfAccounts!A457:A542,ChartOfAccounts!B457:B542,"",0,1)</f>
        <v/>
      </c>
      <c r="N458">
        <f>_xlfn.XLOOKUP($B458,ChartOfAccounts!A457:A542,ChartOfAccounts!D457:D542,0,1)</f>
        <v>0</v>
      </c>
      <c r="O458" t="str">
        <f>_xlfn.XLOOKUP($B458,ChartOfAccounts!A457:A542,ChartOfAccounts!F457:F542,"",0,1)</f>
        <v/>
      </c>
      <c r="P458" t="str" cm="1">
        <f t="array" ref="P458">_xlfn.XLOOKUP($D458&amp;$C458,PreparerInfo!A457:A469&amp;PreparerInfo!C457:C469,PreparerInfo!B457:B469,"",0,1)</f>
        <v/>
      </c>
      <c r="Q458" t="str">
        <f>_xlfn.XLOOKUP($E458,Source!A457:A465,Source!B457:B465,"",0,1)</f>
        <v/>
      </c>
    </row>
    <row r="459" spans="1:17" x14ac:dyDescent="0.3">
      <c r="A459" s="3">
        <v>2033748</v>
      </c>
      <c r="B459">
        <v>11845</v>
      </c>
      <c r="C459">
        <v>1</v>
      </c>
      <c r="D459" s="9">
        <v>102</v>
      </c>
      <c r="E459">
        <v>1002</v>
      </c>
      <c r="F459" s="1">
        <v>44009</v>
      </c>
      <c r="G459" t="s">
        <v>39</v>
      </c>
      <c r="H459" s="4" t="s">
        <v>16</v>
      </c>
      <c r="I459" s="4">
        <v>-584.45000000000005</v>
      </c>
      <c r="J459" s="4">
        <v>-584.45000000000005</v>
      </c>
      <c r="K459" t="str">
        <f>_xlfn.XLOOKUP($C459,Table1[BusinessUnitID],Table1[BusinessUnit],"",0)</f>
        <v>FOOD SERVICE</v>
      </c>
      <c r="L459" t="str" cm="1">
        <f t="array" ref="L459">_xlfn.XLOOKUP($C459,Table1[[#All],[BusinessUnitID]],Table1[[#All],[Description]],"",0,1)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59" t="str">
        <f>_xlfn.XLOOKUP($B459,ChartOfAccounts!A458:A543,ChartOfAccounts!B458:B543,"",0,1)</f>
        <v/>
      </c>
      <c r="N459">
        <f>_xlfn.XLOOKUP($B459,ChartOfAccounts!A458:A543,ChartOfAccounts!D458:D543,0,1)</f>
        <v>0</v>
      </c>
      <c r="O459" t="str">
        <f>_xlfn.XLOOKUP($B459,ChartOfAccounts!A458:A543,ChartOfAccounts!F458:F543,"",0,1)</f>
        <v/>
      </c>
      <c r="P459" t="str" cm="1">
        <f t="array" ref="P459">_xlfn.XLOOKUP($D459&amp;$C459,PreparerInfo!A458:A470&amp;PreparerInfo!C458:C470,PreparerInfo!B458:B470,"",0,1)</f>
        <v/>
      </c>
      <c r="Q459" t="str">
        <f>_xlfn.XLOOKUP($E459,Source!A458:A466,Source!B458:B466,"",0,1)</f>
        <v/>
      </c>
    </row>
    <row r="460" spans="1:17" x14ac:dyDescent="0.3">
      <c r="A460" s="3">
        <v>2033749</v>
      </c>
      <c r="B460">
        <v>14260</v>
      </c>
      <c r="C460">
        <v>1</v>
      </c>
      <c r="D460" s="9">
        <v>102</v>
      </c>
      <c r="E460">
        <v>1002</v>
      </c>
      <c r="F460" s="1">
        <v>44009</v>
      </c>
      <c r="G460" t="s">
        <v>126</v>
      </c>
      <c r="H460" s="4">
        <v>699.11</v>
      </c>
      <c r="I460" s="4" t="s">
        <v>16</v>
      </c>
      <c r="J460" s="4">
        <v>699.11</v>
      </c>
      <c r="K460" t="str">
        <f>_xlfn.XLOOKUP($C460,Table1[BusinessUnitID],Table1[BusinessUnit],"",0)</f>
        <v>FOOD SERVICE</v>
      </c>
      <c r="L460" t="str" cm="1">
        <f t="array" ref="L460">_xlfn.XLOOKUP($C460,Table1[[#All],[BusinessUnitID]],Table1[[#All],[Description]],"",0,1)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60" t="str">
        <f>_xlfn.XLOOKUP($B460,ChartOfAccounts!A459:A544,ChartOfAccounts!B459:B544,"",0,1)</f>
        <v/>
      </c>
      <c r="N460">
        <f>_xlfn.XLOOKUP($B460,ChartOfAccounts!A459:A544,ChartOfAccounts!D459:D544,0,1)</f>
        <v>0</v>
      </c>
      <c r="O460" t="str">
        <f>_xlfn.XLOOKUP($B460,ChartOfAccounts!A459:A544,ChartOfAccounts!F459:F544,"",0,1)</f>
        <v/>
      </c>
      <c r="P460" t="str" cm="1">
        <f t="array" ref="P460">_xlfn.XLOOKUP($D460&amp;$C460,PreparerInfo!A459:A471&amp;PreparerInfo!C459:C471,PreparerInfo!B459:B471,"",0,1)</f>
        <v/>
      </c>
      <c r="Q460" t="str">
        <f>_xlfn.XLOOKUP($E460,Source!A459:A467,Source!B459:B467,"",0,1)</f>
        <v/>
      </c>
    </row>
    <row r="461" spans="1:17" x14ac:dyDescent="0.3">
      <c r="A461" s="3">
        <v>2033749</v>
      </c>
      <c r="B461">
        <v>11845</v>
      </c>
      <c r="C461">
        <v>1</v>
      </c>
      <c r="D461" s="9">
        <v>102</v>
      </c>
      <c r="E461">
        <v>1002</v>
      </c>
      <c r="F461" s="1">
        <v>44009</v>
      </c>
      <c r="G461" t="s">
        <v>126</v>
      </c>
      <c r="H461" s="4" t="s">
        <v>16</v>
      </c>
      <c r="I461" s="4">
        <v>-699.11</v>
      </c>
      <c r="J461" s="4">
        <v>-699.11</v>
      </c>
      <c r="K461" t="str">
        <f>_xlfn.XLOOKUP($C461,Table1[BusinessUnitID],Table1[BusinessUnit],"",0)</f>
        <v>FOOD SERVICE</v>
      </c>
      <c r="L461" t="str" cm="1">
        <f t="array" ref="L461">_xlfn.XLOOKUP($C461,Table1[[#All],[BusinessUnitID]],Table1[[#All],[Description]],"",0,1)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61" t="str">
        <f>_xlfn.XLOOKUP($B461,ChartOfAccounts!A460:A545,ChartOfAccounts!B460:B545,"",0,1)</f>
        <v/>
      </c>
      <c r="N461">
        <f>_xlfn.XLOOKUP($B461,ChartOfAccounts!A460:A545,ChartOfAccounts!D460:D545,0,1)</f>
        <v>0</v>
      </c>
      <c r="O461" t="str">
        <f>_xlfn.XLOOKUP($B461,ChartOfAccounts!A460:A545,ChartOfAccounts!F460:F545,"",0,1)</f>
        <v/>
      </c>
      <c r="P461" t="str" cm="1">
        <f t="array" ref="P461">_xlfn.XLOOKUP($D461&amp;$C461,PreparerInfo!A460:A472&amp;PreparerInfo!C460:C472,PreparerInfo!B460:B472,"",0,1)</f>
        <v/>
      </c>
      <c r="Q461" t="str">
        <f>_xlfn.XLOOKUP($E461,Source!A460:A468,Source!B460:B468,"",0,1)</f>
        <v/>
      </c>
    </row>
    <row r="462" spans="1:17" x14ac:dyDescent="0.3">
      <c r="A462" s="3">
        <v>2033750</v>
      </c>
      <c r="B462">
        <v>11845</v>
      </c>
      <c r="C462">
        <v>1</v>
      </c>
      <c r="D462" s="9">
        <v>102</v>
      </c>
      <c r="E462">
        <v>1001</v>
      </c>
      <c r="F462" s="1">
        <v>44009</v>
      </c>
      <c r="G462" t="s">
        <v>41</v>
      </c>
      <c r="H462" s="4">
        <v>785.17</v>
      </c>
      <c r="I462" s="4" t="s">
        <v>16</v>
      </c>
      <c r="J462" s="4">
        <v>785.17</v>
      </c>
      <c r="K462" t="str">
        <f>_xlfn.XLOOKUP($C462,Table1[BusinessUnitID],Table1[BusinessUnit],"",0)</f>
        <v>FOOD SERVICE</v>
      </c>
      <c r="L462" t="str" cm="1">
        <f t="array" ref="L462">_xlfn.XLOOKUP($C462,Table1[[#All],[BusinessUnitID]],Table1[[#All],[Description]],"",0,1)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62" t="str">
        <f>_xlfn.XLOOKUP($B462,ChartOfAccounts!A461:A546,ChartOfAccounts!B461:B546,"",0,1)</f>
        <v/>
      </c>
      <c r="N462">
        <f>_xlfn.XLOOKUP($B462,ChartOfAccounts!A461:A546,ChartOfAccounts!D461:D546,0,1)</f>
        <v>0</v>
      </c>
      <c r="O462" t="str">
        <f>_xlfn.XLOOKUP($B462,ChartOfAccounts!A461:A546,ChartOfAccounts!F461:F546,"",0,1)</f>
        <v/>
      </c>
      <c r="P462" t="str" cm="1">
        <f t="array" ref="P462">_xlfn.XLOOKUP($D462&amp;$C462,PreparerInfo!A461:A473&amp;PreparerInfo!C461:C473,PreparerInfo!B461:B473,"",0,1)</f>
        <v/>
      </c>
      <c r="Q462" t="str">
        <f>_xlfn.XLOOKUP($E462,Source!A461:A469,Source!B461:B469,"",0,1)</f>
        <v/>
      </c>
    </row>
    <row r="463" spans="1:17" x14ac:dyDescent="0.3">
      <c r="A463" s="3">
        <v>2033750</v>
      </c>
      <c r="B463">
        <v>43310</v>
      </c>
      <c r="C463">
        <v>1</v>
      </c>
      <c r="D463" s="9">
        <v>102</v>
      </c>
      <c r="E463">
        <v>1001</v>
      </c>
      <c r="F463" s="1">
        <v>44009</v>
      </c>
      <c r="G463" t="s">
        <v>41</v>
      </c>
      <c r="H463" s="4" t="s">
        <v>16</v>
      </c>
      <c r="I463" s="4">
        <v>-785.17</v>
      </c>
      <c r="J463" s="4">
        <v>-785.17</v>
      </c>
      <c r="K463" t="str">
        <f>_xlfn.XLOOKUP($C463,Table1[BusinessUnitID],Table1[BusinessUnit],"",0)</f>
        <v>FOOD SERVICE</v>
      </c>
      <c r="L463" t="str" cm="1">
        <f t="array" ref="L463">_xlfn.XLOOKUP($C463,Table1[[#All],[BusinessUnitID]],Table1[[#All],[Description]],"",0,1)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63" t="str">
        <f>_xlfn.XLOOKUP($B463,ChartOfAccounts!A462:A547,ChartOfAccounts!B462:B547,"",0,1)</f>
        <v/>
      </c>
      <c r="N463">
        <f>_xlfn.XLOOKUP($B463,ChartOfAccounts!A462:A547,ChartOfAccounts!D462:D547,0,1)</f>
        <v>0</v>
      </c>
      <c r="O463" t="str">
        <f>_xlfn.XLOOKUP($B463,ChartOfAccounts!A462:A547,ChartOfAccounts!F462:F547,"",0,1)</f>
        <v/>
      </c>
      <c r="P463" t="str" cm="1">
        <f t="array" ref="P463">_xlfn.XLOOKUP($D463&amp;$C463,PreparerInfo!A462:A474&amp;PreparerInfo!C462:C474,PreparerInfo!B462:B474,"",0,1)</f>
        <v/>
      </c>
      <c r="Q463" t="str">
        <f>_xlfn.XLOOKUP($E463,Source!A462:A470,Source!B462:B470,"",0,1)</f>
        <v/>
      </c>
    </row>
    <row r="464" spans="1:17" x14ac:dyDescent="0.3">
      <c r="A464" s="3">
        <v>2033751</v>
      </c>
      <c r="B464">
        <v>11845</v>
      </c>
      <c r="C464">
        <v>1</v>
      </c>
      <c r="D464" s="9">
        <v>106</v>
      </c>
      <c r="E464">
        <v>1003</v>
      </c>
      <c r="F464" s="1">
        <v>44009</v>
      </c>
      <c r="G464" t="s">
        <v>80</v>
      </c>
      <c r="H464" s="4">
        <v>829.14</v>
      </c>
      <c r="I464" s="4" t="s">
        <v>16</v>
      </c>
      <c r="J464" s="4">
        <v>829.14</v>
      </c>
      <c r="K464" t="str">
        <f>_xlfn.XLOOKUP($C464,Table1[BusinessUnitID],Table1[BusinessUnit],"",0)</f>
        <v>FOOD SERVICE</v>
      </c>
      <c r="L464" t="str" cm="1">
        <f t="array" ref="L464">_xlfn.XLOOKUP($C464,Table1[[#All],[BusinessUnitID]],Table1[[#All],[Description]],"",0,1)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64" t="str">
        <f>_xlfn.XLOOKUP($B464,ChartOfAccounts!A463:A548,ChartOfAccounts!B463:B548,"",0,1)</f>
        <v/>
      </c>
      <c r="N464">
        <f>_xlfn.XLOOKUP($B464,ChartOfAccounts!A463:A548,ChartOfAccounts!D463:D548,0,1)</f>
        <v>0</v>
      </c>
      <c r="O464" t="str">
        <f>_xlfn.XLOOKUP($B464,ChartOfAccounts!A463:A548,ChartOfAccounts!F463:F548,"",0,1)</f>
        <v/>
      </c>
      <c r="P464" t="str" cm="1">
        <f t="array" ref="P464">_xlfn.XLOOKUP($D464&amp;$C464,PreparerInfo!A463:A475&amp;PreparerInfo!C463:C475,PreparerInfo!B463:B475,"",0,1)</f>
        <v/>
      </c>
      <c r="Q464" t="str">
        <f>_xlfn.XLOOKUP($E464,Source!A463:A471,Source!B463:B471,"",0,1)</f>
        <v/>
      </c>
    </row>
    <row r="465" spans="1:17" x14ac:dyDescent="0.3">
      <c r="A465" s="3">
        <v>2033751</v>
      </c>
      <c r="B465">
        <v>43310</v>
      </c>
      <c r="C465">
        <v>1</v>
      </c>
      <c r="D465" s="9">
        <v>106</v>
      </c>
      <c r="E465">
        <v>1003</v>
      </c>
      <c r="F465" s="1">
        <v>44009</v>
      </c>
      <c r="G465" t="s">
        <v>80</v>
      </c>
      <c r="H465" s="4" t="s">
        <v>16</v>
      </c>
      <c r="I465" s="4">
        <v>-829.14</v>
      </c>
      <c r="J465" s="4">
        <v>-829.14</v>
      </c>
      <c r="K465" t="str">
        <f>_xlfn.XLOOKUP($C465,Table1[BusinessUnitID],Table1[BusinessUnit],"",0)</f>
        <v>FOOD SERVICE</v>
      </c>
      <c r="L465" t="str" cm="1">
        <f t="array" ref="L465">_xlfn.XLOOKUP($C465,Table1[[#All],[BusinessUnitID]],Table1[[#All],[Description]],"",0,1)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65" t="str">
        <f>_xlfn.XLOOKUP($B465,ChartOfAccounts!A464:A549,ChartOfAccounts!B464:B549,"",0,1)</f>
        <v/>
      </c>
      <c r="N465">
        <f>_xlfn.XLOOKUP($B465,ChartOfAccounts!A464:A549,ChartOfAccounts!D464:D549,0,1)</f>
        <v>0</v>
      </c>
      <c r="O465" t="str">
        <f>_xlfn.XLOOKUP($B465,ChartOfAccounts!A464:A549,ChartOfAccounts!F464:F549,"",0,1)</f>
        <v/>
      </c>
      <c r="P465" t="str" cm="1">
        <f t="array" ref="P465">_xlfn.XLOOKUP($D465&amp;$C465,PreparerInfo!A464:A476&amp;PreparerInfo!C464:C476,PreparerInfo!B464:B476,"",0,1)</f>
        <v/>
      </c>
      <c r="Q465" t="str">
        <f>_xlfn.XLOOKUP($E465,Source!A464:A472,Source!B464:B472,"",0,1)</f>
        <v/>
      </c>
    </row>
    <row r="466" spans="1:17" x14ac:dyDescent="0.3">
      <c r="A466" s="3">
        <v>2033752</v>
      </c>
      <c r="B466">
        <v>14250</v>
      </c>
      <c r="C466">
        <v>3</v>
      </c>
      <c r="D466" s="9">
        <v>101</v>
      </c>
      <c r="E466">
        <v>1001</v>
      </c>
      <c r="F466" s="1">
        <v>44009</v>
      </c>
      <c r="G466" t="s">
        <v>172</v>
      </c>
      <c r="H466" s="4">
        <v>894.27</v>
      </c>
      <c r="I466" s="4" t="s">
        <v>16</v>
      </c>
      <c r="J466" s="4">
        <v>894.27</v>
      </c>
      <c r="K466" t="str">
        <f>_xlfn.XLOOKUP($C466,Table1[BusinessUnitID],Table1[BusinessUnit],"",0)</f>
        <v>HOTEL PANTRY</v>
      </c>
      <c r="L466" t="str" cm="1">
        <f t="array" ref="L466">_xlfn.XLOOKUP($C466,Table1[[#All],[BusinessUnitID]],Table1[[#All],[Description]],"",0,1)</f>
        <v>Transactions related to the hotel convenience store, including some food and beverage costs.</v>
      </c>
      <c r="M466" t="str">
        <f>_xlfn.XLOOKUP($B466,ChartOfAccounts!A465:A550,ChartOfAccounts!B465:B550,"",0,1)</f>
        <v/>
      </c>
      <c r="N466">
        <f>_xlfn.XLOOKUP($B466,ChartOfAccounts!A465:A550,ChartOfAccounts!D465:D550,0,1)</f>
        <v>0</v>
      </c>
      <c r="O466" t="str">
        <f>_xlfn.XLOOKUP($B466,ChartOfAccounts!A465:A550,ChartOfAccounts!F465:F550,"",0,1)</f>
        <v/>
      </c>
      <c r="P466" t="str" cm="1">
        <f t="array" ref="P466">_xlfn.XLOOKUP($D466&amp;$C466,PreparerInfo!A465:A477&amp;PreparerInfo!C465:C477,PreparerInfo!B465:B477,"",0,1)</f>
        <v/>
      </c>
      <c r="Q466" t="str">
        <f>_xlfn.XLOOKUP($E466,Source!A465:A473,Source!B465:B473,"",0,1)</f>
        <v/>
      </c>
    </row>
    <row r="467" spans="1:17" x14ac:dyDescent="0.3">
      <c r="A467" s="3">
        <v>2033752</v>
      </c>
      <c r="B467">
        <v>11845</v>
      </c>
      <c r="C467">
        <v>3</v>
      </c>
      <c r="D467" s="9">
        <v>101</v>
      </c>
      <c r="E467">
        <v>1001</v>
      </c>
      <c r="F467" s="1">
        <v>44009</v>
      </c>
      <c r="G467" t="s">
        <v>172</v>
      </c>
      <c r="H467" s="4" t="s">
        <v>16</v>
      </c>
      <c r="I467" s="4">
        <v>-894.27</v>
      </c>
      <c r="J467" s="4">
        <v>-894.27</v>
      </c>
      <c r="K467" t="str">
        <f>_xlfn.XLOOKUP($C467,Table1[BusinessUnitID],Table1[BusinessUnit],"",0)</f>
        <v>HOTEL PANTRY</v>
      </c>
      <c r="L467" t="str" cm="1">
        <f t="array" ref="L467">_xlfn.XLOOKUP($C467,Table1[[#All],[BusinessUnitID]],Table1[[#All],[Description]],"",0,1)</f>
        <v>Transactions related to the hotel convenience store, including some food and beverage costs.</v>
      </c>
      <c r="M467" t="str">
        <f>_xlfn.XLOOKUP($B467,ChartOfAccounts!A466:A551,ChartOfAccounts!B466:B551,"",0,1)</f>
        <v/>
      </c>
      <c r="N467">
        <f>_xlfn.XLOOKUP($B467,ChartOfAccounts!A466:A551,ChartOfAccounts!D466:D551,0,1)</f>
        <v>0</v>
      </c>
      <c r="O467" t="str">
        <f>_xlfn.XLOOKUP($B467,ChartOfAccounts!A466:A551,ChartOfAccounts!F466:F551,"",0,1)</f>
        <v/>
      </c>
      <c r="P467" t="str" cm="1">
        <f t="array" ref="P467">_xlfn.XLOOKUP($D467&amp;$C467,PreparerInfo!A466:A478&amp;PreparerInfo!C466:C478,PreparerInfo!B466:B478,"",0,1)</f>
        <v/>
      </c>
      <c r="Q467" t="str">
        <f>_xlfn.XLOOKUP($E467,Source!A466:A474,Source!B466:B474,"",0,1)</f>
        <v/>
      </c>
    </row>
    <row r="468" spans="1:17" x14ac:dyDescent="0.3">
      <c r="A468" s="3">
        <v>2033753</v>
      </c>
      <c r="B468">
        <v>11845</v>
      </c>
      <c r="C468">
        <v>1</v>
      </c>
      <c r="D468" s="9">
        <v>102</v>
      </c>
      <c r="E468">
        <v>1001</v>
      </c>
      <c r="F468" s="1">
        <v>44009</v>
      </c>
      <c r="G468" t="s">
        <v>41</v>
      </c>
      <c r="H468" s="4">
        <v>1162.6199999999999</v>
      </c>
      <c r="I468" s="4" t="s">
        <v>16</v>
      </c>
      <c r="J468" s="4">
        <v>1162.6199999999999</v>
      </c>
      <c r="K468" t="str">
        <f>_xlfn.XLOOKUP($C468,Table1[BusinessUnitID],Table1[BusinessUnit],"",0)</f>
        <v>FOOD SERVICE</v>
      </c>
      <c r="L468" t="str" cm="1">
        <f t="array" ref="L468">_xlfn.XLOOKUP($C468,Table1[[#All],[BusinessUnitID]],Table1[[#All],[Description]],"",0,1)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68" t="str">
        <f>_xlfn.XLOOKUP($B468,ChartOfAccounts!A467:A552,ChartOfAccounts!B467:B552,"",0,1)</f>
        <v/>
      </c>
      <c r="N468">
        <f>_xlfn.XLOOKUP($B468,ChartOfAccounts!A467:A552,ChartOfAccounts!D467:D552,0,1)</f>
        <v>0</v>
      </c>
      <c r="O468" t="str">
        <f>_xlfn.XLOOKUP($B468,ChartOfAccounts!A467:A552,ChartOfAccounts!F467:F552,"",0,1)</f>
        <v/>
      </c>
      <c r="P468" t="str" cm="1">
        <f t="array" ref="P468">_xlfn.XLOOKUP($D468&amp;$C468,PreparerInfo!A467:A479&amp;PreparerInfo!C467:C479,PreparerInfo!B467:B479,"",0,1)</f>
        <v/>
      </c>
      <c r="Q468" t="str">
        <f>_xlfn.XLOOKUP($E468,Source!A467:A475,Source!B467:B475,"",0,1)</f>
        <v/>
      </c>
    </row>
    <row r="469" spans="1:17" x14ac:dyDescent="0.3">
      <c r="A469" s="3">
        <v>2033753</v>
      </c>
      <c r="B469">
        <v>43310</v>
      </c>
      <c r="C469">
        <v>1</v>
      </c>
      <c r="D469" s="9">
        <v>102</v>
      </c>
      <c r="E469">
        <v>1001</v>
      </c>
      <c r="F469" s="1">
        <v>44009</v>
      </c>
      <c r="G469" t="s">
        <v>41</v>
      </c>
      <c r="H469" s="4" t="s">
        <v>16</v>
      </c>
      <c r="I469" s="4">
        <v>-1162.6199999999999</v>
      </c>
      <c r="J469" s="4">
        <v>-1162.6199999999999</v>
      </c>
      <c r="K469" t="str">
        <f>_xlfn.XLOOKUP($C469,Table1[BusinessUnitID],Table1[BusinessUnit],"",0)</f>
        <v>FOOD SERVICE</v>
      </c>
      <c r="L469" t="str" cm="1">
        <f t="array" ref="L469">_xlfn.XLOOKUP($C469,Table1[[#All],[BusinessUnitID]],Table1[[#All],[Description]],"",0,1)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69" t="str">
        <f>_xlfn.XLOOKUP($B469,ChartOfAccounts!A468:A553,ChartOfAccounts!B468:B553,"",0,1)</f>
        <v/>
      </c>
      <c r="N469">
        <f>_xlfn.XLOOKUP($B469,ChartOfAccounts!A468:A553,ChartOfAccounts!D468:D553,0,1)</f>
        <v>0</v>
      </c>
      <c r="O469" t="str">
        <f>_xlfn.XLOOKUP($B469,ChartOfAccounts!A468:A553,ChartOfAccounts!F468:F553,"",0,1)</f>
        <v/>
      </c>
      <c r="P469" t="str" cm="1">
        <f t="array" ref="P469">_xlfn.XLOOKUP($D469&amp;$C469,PreparerInfo!A468:A480&amp;PreparerInfo!C468:C480,PreparerInfo!B468:B480,"",0,1)</f>
        <v/>
      </c>
      <c r="Q469" t="str">
        <f>_xlfn.XLOOKUP($E469,Source!A468:A476,Source!B468:B476,"",0,1)</f>
        <v/>
      </c>
    </row>
    <row r="470" spans="1:17" x14ac:dyDescent="0.3">
      <c r="A470" s="3">
        <v>2033754</v>
      </c>
      <c r="B470">
        <v>43180</v>
      </c>
      <c r="C470">
        <v>2</v>
      </c>
      <c r="D470" s="9">
        <v>101</v>
      </c>
      <c r="E470">
        <v>1002</v>
      </c>
      <c r="F470" s="1">
        <v>44009</v>
      </c>
      <c r="G470" t="s">
        <v>239</v>
      </c>
      <c r="H470" s="4">
        <v>1220</v>
      </c>
      <c r="I470" s="4" t="s">
        <v>16</v>
      </c>
      <c r="J470" s="4">
        <v>1220</v>
      </c>
      <c r="K470" t="str">
        <f>_xlfn.XLOOKUP($C470,Table1[BusinessUnitID],Table1[BusinessUnit],"",0)</f>
        <v>HOTEL</v>
      </c>
      <c r="L470" t="str" cm="1">
        <f t="array" ref="L470">_xlfn.XLOOKUP($C470,Table1[[#All],[BusinessUnitID]],Table1[[#All],[Description]],"",0,1)</f>
        <v xml:space="preserve">Transactions related to guest rooms and overall hotel operations. Includes payroll for administrative staff, clerks and interns. </v>
      </c>
      <c r="M470" t="str">
        <f>_xlfn.XLOOKUP($B470,ChartOfAccounts!A469:A554,ChartOfAccounts!B469:B554,"",0,1)</f>
        <v/>
      </c>
      <c r="N470">
        <f>_xlfn.XLOOKUP($B470,ChartOfAccounts!A469:A554,ChartOfAccounts!D469:D554,0,1)</f>
        <v>0</v>
      </c>
      <c r="O470" t="str">
        <f>_xlfn.XLOOKUP($B470,ChartOfAccounts!A469:A554,ChartOfAccounts!F469:F554,"",0,1)</f>
        <v/>
      </c>
      <c r="P470" t="str" cm="1">
        <f t="array" ref="P470">_xlfn.XLOOKUP($D470&amp;$C470,PreparerInfo!A469:A481&amp;PreparerInfo!C469:C481,PreparerInfo!B469:B481,"",0,1)</f>
        <v/>
      </c>
      <c r="Q470" t="str">
        <f>_xlfn.XLOOKUP($E470,Source!A469:A477,Source!B469:B477,"",0,1)</f>
        <v/>
      </c>
    </row>
    <row r="471" spans="1:17" x14ac:dyDescent="0.3">
      <c r="A471" s="3">
        <v>2033754</v>
      </c>
      <c r="B471">
        <v>11845</v>
      </c>
      <c r="C471">
        <v>2</v>
      </c>
      <c r="D471" s="9">
        <v>101</v>
      </c>
      <c r="E471">
        <v>1002</v>
      </c>
      <c r="F471" s="1">
        <v>44009</v>
      </c>
      <c r="G471" t="s">
        <v>239</v>
      </c>
      <c r="H471" s="4" t="s">
        <v>16</v>
      </c>
      <c r="I471" s="4">
        <v>-1220</v>
      </c>
      <c r="J471" s="4">
        <v>-1220</v>
      </c>
      <c r="K471" t="str">
        <f>_xlfn.XLOOKUP($C471,Table1[BusinessUnitID],Table1[BusinessUnit],"",0)</f>
        <v>HOTEL</v>
      </c>
      <c r="L471" t="str" cm="1">
        <f t="array" ref="L471">_xlfn.XLOOKUP($C471,Table1[[#All],[BusinessUnitID]],Table1[[#All],[Description]],"",0,1)</f>
        <v xml:space="preserve">Transactions related to guest rooms and overall hotel operations. Includes payroll for administrative staff, clerks and interns. </v>
      </c>
      <c r="M471" t="str">
        <f>_xlfn.XLOOKUP($B471,ChartOfAccounts!A470:A555,ChartOfAccounts!B470:B555,"",0,1)</f>
        <v/>
      </c>
      <c r="N471">
        <f>_xlfn.XLOOKUP($B471,ChartOfAccounts!A470:A555,ChartOfAccounts!D470:D555,0,1)</f>
        <v>0</v>
      </c>
      <c r="O471" t="str">
        <f>_xlfn.XLOOKUP($B471,ChartOfAccounts!A470:A555,ChartOfAccounts!F470:F555,"",0,1)</f>
        <v/>
      </c>
      <c r="P471" t="str" cm="1">
        <f t="array" ref="P471">_xlfn.XLOOKUP($D471&amp;$C471,PreparerInfo!A470:A482&amp;PreparerInfo!C470:C482,PreparerInfo!B470:B482,"",0,1)</f>
        <v/>
      </c>
      <c r="Q471" t="str">
        <f>_xlfn.XLOOKUP($E471,Source!A470:A478,Source!B470:B478,"",0,1)</f>
        <v/>
      </c>
    </row>
    <row r="472" spans="1:17" x14ac:dyDescent="0.3">
      <c r="A472" s="3">
        <v>2033755</v>
      </c>
      <c r="B472">
        <v>43180</v>
      </c>
      <c r="C472">
        <v>2</v>
      </c>
      <c r="D472" s="9">
        <v>101</v>
      </c>
      <c r="E472">
        <v>1002</v>
      </c>
      <c r="F472" s="1">
        <v>44009</v>
      </c>
      <c r="G472" t="s">
        <v>239</v>
      </c>
      <c r="H472" s="4">
        <v>1490.8</v>
      </c>
      <c r="I472" s="4" t="s">
        <v>16</v>
      </c>
      <c r="J472" s="4">
        <v>1490.8</v>
      </c>
      <c r="K472" t="str">
        <f>_xlfn.XLOOKUP($C472,Table1[BusinessUnitID],Table1[BusinessUnit],"",0)</f>
        <v>HOTEL</v>
      </c>
      <c r="L472" t="str" cm="1">
        <f t="array" ref="L472">_xlfn.XLOOKUP($C472,Table1[[#All],[BusinessUnitID]],Table1[[#All],[Description]],"",0,1)</f>
        <v xml:space="preserve">Transactions related to guest rooms and overall hotel operations. Includes payroll for administrative staff, clerks and interns. </v>
      </c>
      <c r="M472" t="str">
        <f>_xlfn.XLOOKUP($B472,ChartOfAccounts!A471:A556,ChartOfAccounts!B471:B556,"",0,1)</f>
        <v/>
      </c>
      <c r="N472">
        <f>_xlfn.XLOOKUP($B472,ChartOfAccounts!A471:A556,ChartOfAccounts!D471:D556,0,1)</f>
        <v>0</v>
      </c>
      <c r="O472" t="str">
        <f>_xlfn.XLOOKUP($B472,ChartOfAccounts!A471:A556,ChartOfAccounts!F471:F556,"",0,1)</f>
        <v/>
      </c>
      <c r="P472" t="str" cm="1">
        <f t="array" ref="P472">_xlfn.XLOOKUP($D472&amp;$C472,PreparerInfo!A471:A483&amp;PreparerInfo!C471:C483,PreparerInfo!B471:B483,"",0,1)</f>
        <v/>
      </c>
      <c r="Q472" t="str">
        <f>_xlfn.XLOOKUP($E472,Source!A471:A479,Source!B471:B479,"",0,1)</f>
        <v/>
      </c>
    </row>
    <row r="473" spans="1:17" x14ac:dyDescent="0.3">
      <c r="A473" s="3">
        <v>2033755</v>
      </c>
      <c r="B473">
        <v>11845</v>
      </c>
      <c r="C473">
        <v>2</v>
      </c>
      <c r="D473" s="9">
        <v>101</v>
      </c>
      <c r="E473">
        <v>1002</v>
      </c>
      <c r="F473" s="1">
        <v>44009</v>
      </c>
      <c r="G473" t="s">
        <v>239</v>
      </c>
      <c r="H473" s="4" t="s">
        <v>16</v>
      </c>
      <c r="I473" s="4">
        <v>-1490.8</v>
      </c>
      <c r="J473" s="4">
        <v>-1490.8</v>
      </c>
      <c r="K473" t="str">
        <f>_xlfn.XLOOKUP($C473,Table1[BusinessUnitID],Table1[BusinessUnit],"",0)</f>
        <v>HOTEL</v>
      </c>
      <c r="L473" t="str" cm="1">
        <f t="array" ref="L473">_xlfn.XLOOKUP($C473,Table1[[#All],[BusinessUnitID]],Table1[[#All],[Description]],"",0,1)</f>
        <v xml:space="preserve">Transactions related to guest rooms and overall hotel operations. Includes payroll for administrative staff, clerks and interns. </v>
      </c>
      <c r="M473" t="str">
        <f>_xlfn.XLOOKUP($B473,ChartOfAccounts!A472:A557,ChartOfAccounts!B472:B557,"",0,1)</f>
        <v/>
      </c>
      <c r="N473">
        <f>_xlfn.XLOOKUP($B473,ChartOfAccounts!A472:A557,ChartOfAccounts!D472:D557,0,1)</f>
        <v>0</v>
      </c>
      <c r="O473" t="str">
        <f>_xlfn.XLOOKUP($B473,ChartOfAccounts!A472:A557,ChartOfAccounts!F472:F557,"",0,1)</f>
        <v/>
      </c>
      <c r="P473" t="str" cm="1">
        <f t="array" ref="P473">_xlfn.XLOOKUP($D473&amp;$C473,PreparerInfo!A472:A484&amp;PreparerInfo!C472:C484,PreparerInfo!B472:B484,"",0,1)</f>
        <v/>
      </c>
      <c r="Q473" t="str">
        <f>_xlfn.XLOOKUP($E473,Source!A472:A480,Source!B472:B480,"",0,1)</f>
        <v/>
      </c>
    </row>
    <row r="474" spans="1:17" x14ac:dyDescent="0.3">
      <c r="A474" s="3">
        <v>2033756</v>
      </c>
      <c r="B474">
        <v>11845</v>
      </c>
      <c r="C474">
        <v>1</v>
      </c>
      <c r="D474" s="9">
        <v>102</v>
      </c>
      <c r="E474">
        <v>1003</v>
      </c>
      <c r="F474" s="1">
        <v>44009</v>
      </c>
      <c r="G474" t="s">
        <v>15</v>
      </c>
      <c r="H474" s="4">
        <v>2195.11</v>
      </c>
      <c r="I474" s="4" t="s">
        <v>16</v>
      </c>
      <c r="J474" s="4">
        <v>2195.11</v>
      </c>
      <c r="K474" t="str">
        <f>_xlfn.XLOOKUP($C474,Table1[BusinessUnitID],Table1[BusinessUnit],"",0)</f>
        <v>FOOD SERVICE</v>
      </c>
      <c r="L474" t="str" cm="1">
        <f t="array" ref="L474">_xlfn.XLOOKUP($C474,Table1[[#All],[BusinessUnitID]],Table1[[#All],[Description]],"",0,1)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74" t="str">
        <f>_xlfn.XLOOKUP($B474,ChartOfAccounts!A473:A558,ChartOfAccounts!B473:B558,"",0,1)</f>
        <v/>
      </c>
      <c r="N474">
        <f>_xlfn.XLOOKUP($B474,ChartOfAccounts!A473:A558,ChartOfAccounts!D473:D558,0,1)</f>
        <v>0</v>
      </c>
      <c r="O474" t="str">
        <f>_xlfn.XLOOKUP($B474,ChartOfAccounts!A473:A558,ChartOfAccounts!F473:F558,"",0,1)</f>
        <v/>
      </c>
      <c r="P474" t="str" cm="1">
        <f t="array" ref="P474">_xlfn.XLOOKUP($D474&amp;$C474,PreparerInfo!A473:A485&amp;PreparerInfo!C473:C485,PreparerInfo!B473:B485,"",0,1)</f>
        <v/>
      </c>
      <c r="Q474" t="str">
        <f>_xlfn.XLOOKUP($E474,Source!A473:A481,Source!B473:B481,"",0,1)</f>
        <v/>
      </c>
    </row>
    <row r="475" spans="1:17" x14ac:dyDescent="0.3">
      <c r="A475" s="3">
        <v>2033756</v>
      </c>
      <c r="B475">
        <v>43310</v>
      </c>
      <c r="C475">
        <v>1</v>
      </c>
      <c r="D475" s="9">
        <v>102</v>
      </c>
      <c r="E475">
        <v>1003</v>
      </c>
      <c r="F475" s="1">
        <v>44009</v>
      </c>
      <c r="G475" t="s">
        <v>15</v>
      </c>
      <c r="H475" s="4" t="s">
        <v>16</v>
      </c>
      <c r="I475" s="4">
        <v>-2195.11</v>
      </c>
      <c r="J475" s="4">
        <v>-2195.11</v>
      </c>
      <c r="K475" t="str">
        <f>_xlfn.XLOOKUP($C475,Table1[BusinessUnitID],Table1[BusinessUnit],"",0)</f>
        <v>FOOD SERVICE</v>
      </c>
      <c r="L475" t="str" cm="1">
        <f t="array" ref="L475">_xlfn.XLOOKUP($C475,Table1[[#All],[BusinessUnitID]],Table1[[#All],[Description]],"",0,1)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75" t="str">
        <f>_xlfn.XLOOKUP($B475,ChartOfAccounts!A474:A559,ChartOfAccounts!B474:B559,"",0,1)</f>
        <v/>
      </c>
      <c r="N475">
        <f>_xlfn.XLOOKUP($B475,ChartOfAccounts!A474:A559,ChartOfAccounts!D474:D559,0,1)</f>
        <v>0</v>
      </c>
      <c r="O475" t="str">
        <f>_xlfn.XLOOKUP($B475,ChartOfAccounts!A474:A559,ChartOfAccounts!F474:F559,"",0,1)</f>
        <v/>
      </c>
      <c r="P475" t="str" cm="1">
        <f t="array" ref="P475">_xlfn.XLOOKUP($D475&amp;$C475,PreparerInfo!A474:A486&amp;PreparerInfo!C474:C486,PreparerInfo!B474:B486,"",0,1)</f>
        <v/>
      </c>
      <c r="Q475" t="str">
        <f>_xlfn.XLOOKUP($E475,Source!A474:A482,Source!B474:B482,"",0,1)</f>
        <v/>
      </c>
    </row>
    <row r="476" spans="1:17" x14ac:dyDescent="0.3">
      <c r="A476" s="3">
        <v>2033757</v>
      </c>
      <c r="B476">
        <v>74201</v>
      </c>
      <c r="C476">
        <v>2</v>
      </c>
      <c r="D476" s="9">
        <v>101</v>
      </c>
      <c r="E476">
        <v>1002</v>
      </c>
      <c r="F476" s="1">
        <v>44009</v>
      </c>
      <c r="G476" t="s">
        <v>182</v>
      </c>
      <c r="H476" s="4">
        <v>2800</v>
      </c>
      <c r="I476" s="4" t="s">
        <v>16</v>
      </c>
      <c r="J476" s="4">
        <v>2800</v>
      </c>
      <c r="K476" t="str">
        <f>_xlfn.XLOOKUP($C476,Table1[BusinessUnitID],Table1[BusinessUnit],"",0)</f>
        <v>HOTEL</v>
      </c>
      <c r="L476" t="str" cm="1">
        <f t="array" ref="L476">_xlfn.XLOOKUP($C476,Table1[[#All],[BusinessUnitID]],Table1[[#All],[Description]],"",0,1)</f>
        <v xml:space="preserve">Transactions related to guest rooms and overall hotel operations. Includes payroll for administrative staff, clerks and interns. </v>
      </c>
      <c r="M476" t="str">
        <f>_xlfn.XLOOKUP($B476,ChartOfAccounts!A475:A560,ChartOfAccounts!B475:B560,"",0,1)</f>
        <v/>
      </c>
      <c r="N476">
        <f>_xlfn.XLOOKUP($B476,ChartOfAccounts!A475:A560,ChartOfAccounts!D475:D560,0,1)</f>
        <v>0</v>
      </c>
      <c r="O476" t="str">
        <f>_xlfn.XLOOKUP($B476,ChartOfAccounts!A475:A560,ChartOfAccounts!F475:F560,"",0,1)</f>
        <v/>
      </c>
      <c r="P476" t="str" cm="1">
        <f t="array" ref="P476">_xlfn.XLOOKUP($D476&amp;$C476,PreparerInfo!A475:A487&amp;PreparerInfo!C475:C487,PreparerInfo!B475:B487,"",0,1)</f>
        <v/>
      </c>
      <c r="Q476" t="str">
        <f>_xlfn.XLOOKUP($E476,Source!A475:A483,Source!B475:B483,"",0,1)</f>
        <v/>
      </c>
    </row>
    <row r="477" spans="1:17" x14ac:dyDescent="0.3">
      <c r="A477" s="3">
        <v>2033757</v>
      </c>
      <c r="B477">
        <v>11845</v>
      </c>
      <c r="C477">
        <v>2</v>
      </c>
      <c r="D477" s="9">
        <v>101</v>
      </c>
      <c r="E477">
        <v>1002</v>
      </c>
      <c r="F477" s="1">
        <v>44009</v>
      </c>
      <c r="G477" t="s">
        <v>182</v>
      </c>
      <c r="H477" s="4" t="s">
        <v>16</v>
      </c>
      <c r="I477" s="4">
        <v>-2800</v>
      </c>
      <c r="J477" s="4">
        <v>-2800</v>
      </c>
      <c r="K477" t="str">
        <f>_xlfn.XLOOKUP($C477,Table1[BusinessUnitID],Table1[BusinessUnit],"",0)</f>
        <v>HOTEL</v>
      </c>
      <c r="L477" t="str" cm="1">
        <f t="array" ref="L477">_xlfn.XLOOKUP($C477,Table1[[#All],[BusinessUnitID]],Table1[[#All],[Description]],"",0,1)</f>
        <v xml:space="preserve">Transactions related to guest rooms and overall hotel operations. Includes payroll for administrative staff, clerks and interns. </v>
      </c>
      <c r="M477" t="str">
        <f>_xlfn.XLOOKUP($B477,ChartOfAccounts!A476:A561,ChartOfAccounts!B476:B561,"",0,1)</f>
        <v/>
      </c>
      <c r="N477">
        <f>_xlfn.XLOOKUP($B477,ChartOfAccounts!A476:A561,ChartOfAccounts!D476:D561,0,1)</f>
        <v>0</v>
      </c>
      <c r="O477" t="str">
        <f>_xlfn.XLOOKUP($B477,ChartOfAccounts!A476:A561,ChartOfAccounts!F476:F561,"",0,1)</f>
        <v/>
      </c>
      <c r="P477" t="str" cm="1">
        <f t="array" ref="P477">_xlfn.XLOOKUP($D477&amp;$C477,PreparerInfo!A476:A488&amp;PreparerInfo!C476:C488,PreparerInfo!B476:B488,"",0,1)</f>
        <v/>
      </c>
      <c r="Q477" t="str">
        <f>_xlfn.XLOOKUP($E477,Source!A476:A484,Source!B476:B484,"",0,1)</f>
        <v/>
      </c>
    </row>
    <row r="478" spans="1:17" x14ac:dyDescent="0.3">
      <c r="A478" s="3">
        <v>2033758</v>
      </c>
      <c r="B478">
        <v>14260</v>
      </c>
      <c r="C478">
        <v>1</v>
      </c>
      <c r="D478" s="9">
        <v>101</v>
      </c>
      <c r="E478">
        <v>1002</v>
      </c>
      <c r="F478" s="1">
        <v>44009</v>
      </c>
      <c r="G478" t="s">
        <v>38</v>
      </c>
      <c r="H478" s="4">
        <v>4003.54</v>
      </c>
      <c r="I478" s="4" t="s">
        <v>16</v>
      </c>
      <c r="J478" s="4">
        <v>4003.54</v>
      </c>
      <c r="K478" t="str">
        <f>_xlfn.XLOOKUP($C478,Table1[BusinessUnitID],Table1[BusinessUnit],"",0)</f>
        <v>FOOD SERVICE</v>
      </c>
      <c r="L478" t="str" cm="1">
        <f t="array" ref="L478">_xlfn.XLOOKUP($C478,Table1[[#All],[BusinessUnitID]],Table1[[#All],[Description]],"",0,1)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78" t="str">
        <f>_xlfn.XLOOKUP($B478,ChartOfAccounts!A477:A562,ChartOfAccounts!B477:B562,"",0,1)</f>
        <v/>
      </c>
      <c r="N478">
        <f>_xlfn.XLOOKUP($B478,ChartOfAccounts!A477:A562,ChartOfAccounts!D477:D562,0,1)</f>
        <v>0</v>
      </c>
      <c r="O478" t="str">
        <f>_xlfn.XLOOKUP($B478,ChartOfAccounts!A477:A562,ChartOfAccounts!F477:F562,"",0,1)</f>
        <v/>
      </c>
      <c r="P478" t="str" cm="1">
        <f t="array" ref="P478">_xlfn.XLOOKUP($D478&amp;$C478,PreparerInfo!A477:A489&amp;PreparerInfo!C477:C489,PreparerInfo!B477:B489,"",0,1)</f>
        <v/>
      </c>
      <c r="Q478" t="str">
        <f>_xlfn.XLOOKUP($E478,Source!A477:A485,Source!B477:B485,"",0,1)</f>
        <v/>
      </c>
    </row>
    <row r="479" spans="1:17" x14ac:dyDescent="0.3">
      <c r="A479" s="3">
        <v>2033758</v>
      </c>
      <c r="B479">
        <v>11845</v>
      </c>
      <c r="C479">
        <v>1</v>
      </c>
      <c r="D479" s="9">
        <v>101</v>
      </c>
      <c r="E479">
        <v>1002</v>
      </c>
      <c r="F479" s="1">
        <v>44009</v>
      </c>
      <c r="G479" t="s">
        <v>38</v>
      </c>
      <c r="H479" s="4" t="s">
        <v>16</v>
      </c>
      <c r="I479" s="4">
        <v>-4003.54</v>
      </c>
      <c r="J479" s="4">
        <v>-4003.54</v>
      </c>
      <c r="K479" t="str">
        <f>_xlfn.XLOOKUP($C479,Table1[BusinessUnitID],Table1[BusinessUnit],"",0)</f>
        <v>FOOD SERVICE</v>
      </c>
      <c r="L479" t="str" cm="1">
        <f t="array" ref="L479">_xlfn.XLOOKUP($C479,Table1[[#All],[BusinessUnitID]],Table1[[#All],[Description]],"",0,1)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79" t="str">
        <f>_xlfn.XLOOKUP($B479,ChartOfAccounts!A478:A563,ChartOfAccounts!B478:B563,"",0,1)</f>
        <v/>
      </c>
      <c r="N479">
        <f>_xlfn.XLOOKUP($B479,ChartOfAccounts!A478:A563,ChartOfAccounts!D478:D563,0,1)</f>
        <v>0</v>
      </c>
      <c r="O479" t="str">
        <f>_xlfn.XLOOKUP($B479,ChartOfAccounts!A478:A563,ChartOfAccounts!F478:F563,"",0,1)</f>
        <v/>
      </c>
      <c r="P479" t="str" cm="1">
        <f t="array" ref="P479">_xlfn.XLOOKUP($D479&amp;$C479,PreparerInfo!A478:A490&amp;PreparerInfo!C478:C490,PreparerInfo!B478:B490,"",0,1)</f>
        <v/>
      </c>
      <c r="Q479" t="str">
        <f>_xlfn.XLOOKUP($E479,Source!A478:A486,Source!B478:B486,"",0,1)</f>
        <v/>
      </c>
    </row>
    <row r="480" spans="1:17" x14ac:dyDescent="0.3">
      <c r="A480" s="3">
        <v>2033759</v>
      </c>
      <c r="B480">
        <v>11845</v>
      </c>
      <c r="C480">
        <v>1</v>
      </c>
      <c r="D480" s="9">
        <v>106</v>
      </c>
      <c r="E480">
        <v>1003</v>
      </c>
      <c r="F480" s="1">
        <v>44009</v>
      </c>
      <c r="G480" t="s">
        <v>80</v>
      </c>
      <c r="H480" s="4">
        <v>4349.0200000000004</v>
      </c>
      <c r="I480" s="4" t="s">
        <v>16</v>
      </c>
      <c r="J480" s="4">
        <v>4349.0200000000004</v>
      </c>
      <c r="K480" t="str">
        <f>_xlfn.XLOOKUP($C480,Table1[BusinessUnitID],Table1[BusinessUnit],"",0)</f>
        <v>FOOD SERVICE</v>
      </c>
      <c r="L480" t="str" cm="1">
        <f t="array" ref="L480">_xlfn.XLOOKUP($C480,Table1[[#All],[BusinessUnitID]],Table1[[#All],[Description]],"",0,1)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80" t="str">
        <f>_xlfn.XLOOKUP($B480,ChartOfAccounts!A479:A564,ChartOfAccounts!B479:B564,"",0,1)</f>
        <v/>
      </c>
      <c r="N480">
        <f>_xlfn.XLOOKUP($B480,ChartOfAccounts!A479:A564,ChartOfAccounts!D479:D564,0,1)</f>
        <v>0</v>
      </c>
      <c r="O480" t="str">
        <f>_xlfn.XLOOKUP($B480,ChartOfAccounts!A479:A564,ChartOfAccounts!F479:F564,"",0,1)</f>
        <v/>
      </c>
      <c r="P480" t="str" cm="1">
        <f t="array" ref="P480">_xlfn.XLOOKUP($D480&amp;$C480,PreparerInfo!A479:A491&amp;PreparerInfo!C479:C491,PreparerInfo!B479:B491,"",0,1)</f>
        <v/>
      </c>
      <c r="Q480" t="str">
        <f>_xlfn.XLOOKUP($E480,Source!A479:A487,Source!B479:B487,"",0,1)</f>
        <v/>
      </c>
    </row>
    <row r="481" spans="1:17" x14ac:dyDescent="0.3">
      <c r="A481" s="3">
        <v>2033759</v>
      </c>
      <c r="B481">
        <v>43310</v>
      </c>
      <c r="C481">
        <v>1</v>
      </c>
      <c r="D481" s="9">
        <v>106</v>
      </c>
      <c r="E481">
        <v>1003</v>
      </c>
      <c r="F481" s="1">
        <v>44009</v>
      </c>
      <c r="G481" t="s">
        <v>80</v>
      </c>
      <c r="H481" s="4" t="s">
        <v>16</v>
      </c>
      <c r="I481" s="4">
        <v>-4349.0200000000004</v>
      </c>
      <c r="J481" s="4">
        <v>-4349.0200000000004</v>
      </c>
      <c r="K481" t="str">
        <f>_xlfn.XLOOKUP($C481,Table1[BusinessUnitID],Table1[BusinessUnit],"",0)</f>
        <v>FOOD SERVICE</v>
      </c>
      <c r="L481" t="str" cm="1">
        <f t="array" ref="L481">_xlfn.XLOOKUP($C481,Table1[[#All],[BusinessUnitID]],Table1[[#All],[Description]],"",0,1)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81" t="str">
        <f>_xlfn.XLOOKUP($B481,ChartOfAccounts!A480:A565,ChartOfAccounts!B480:B565,"",0,1)</f>
        <v/>
      </c>
      <c r="N481">
        <f>_xlfn.XLOOKUP($B481,ChartOfAccounts!A480:A565,ChartOfAccounts!D480:D565,0,1)</f>
        <v>0</v>
      </c>
      <c r="O481" t="str">
        <f>_xlfn.XLOOKUP($B481,ChartOfAccounts!A480:A565,ChartOfAccounts!F480:F565,"",0,1)</f>
        <v/>
      </c>
      <c r="P481" t="str" cm="1">
        <f t="array" ref="P481">_xlfn.XLOOKUP($D481&amp;$C481,PreparerInfo!A480:A492&amp;PreparerInfo!C480:C492,PreparerInfo!B480:B492,"",0,1)</f>
        <v/>
      </c>
      <c r="Q481" t="str">
        <f>_xlfn.XLOOKUP($E481,Source!A480:A488,Source!B480:B488,"",0,1)</f>
        <v/>
      </c>
    </row>
    <row r="482" spans="1:17" x14ac:dyDescent="0.3">
      <c r="A482" s="3">
        <v>2033760</v>
      </c>
      <c r="B482">
        <v>11845</v>
      </c>
      <c r="C482">
        <v>1</v>
      </c>
      <c r="D482" s="9">
        <v>106</v>
      </c>
      <c r="E482">
        <v>1003</v>
      </c>
      <c r="F482" s="1">
        <v>44009</v>
      </c>
      <c r="G482" t="s">
        <v>80</v>
      </c>
      <c r="H482" s="4">
        <v>5062</v>
      </c>
      <c r="I482" s="4" t="s">
        <v>16</v>
      </c>
      <c r="J482" s="4">
        <v>5062</v>
      </c>
      <c r="K482" t="str">
        <f>_xlfn.XLOOKUP($C482,Table1[BusinessUnitID],Table1[BusinessUnit],"",0)</f>
        <v>FOOD SERVICE</v>
      </c>
      <c r="L482" t="str" cm="1">
        <f t="array" ref="L482">_xlfn.XLOOKUP($C482,Table1[[#All],[BusinessUnitID]],Table1[[#All],[Description]],"",0,1)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82" t="str">
        <f>_xlfn.XLOOKUP($B482,ChartOfAccounts!A481:A566,ChartOfAccounts!B481:B566,"",0,1)</f>
        <v/>
      </c>
      <c r="N482">
        <f>_xlfn.XLOOKUP($B482,ChartOfAccounts!A481:A566,ChartOfAccounts!D481:D566,0,1)</f>
        <v>0</v>
      </c>
      <c r="O482" t="str">
        <f>_xlfn.XLOOKUP($B482,ChartOfAccounts!A481:A566,ChartOfAccounts!F481:F566,"",0,1)</f>
        <v/>
      </c>
      <c r="P482" t="str" cm="1">
        <f t="array" ref="P482">_xlfn.XLOOKUP($D482&amp;$C482,PreparerInfo!A481:A493&amp;PreparerInfo!C481:C493,PreparerInfo!B481:B493,"",0,1)</f>
        <v/>
      </c>
      <c r="Q482" t="str">
        <f>_xlfn.XLOOKUP($E482,Source!A481:A489,Source!B481:B489,"",0,1)</f>
        <v/>
      </c>
    </row>
    <row r="483" spans="1:17" x14ac:dyDescent="0.3">
      <c r="A483" s="3">
        <v>2033760</v>
      </c>
      <c r="B483">
        <v>43310</v>
      </c>
      <c r="C483">
        <v>1</v>
      </c>
      <c r="D483" s="9">
        <v>106</v>
      </c>
      <c r="E483">
        <v>1003</v>
      </c>
      <c r="F483" s="1">
        <v>44009</v>
      </c>
      <c r="G483" t="s">
        <v>80</v>
      </c>
      <c r="H483" s="4" t="s">
        <v>16</v>
      </c>
      <c r="I483" s="4">
        <v>-5062</v>
      </c>
      <c r="J483" s="4">
        <v>-5062</v>
      </c>
      <c r="K483" t="str">
        <f>_xlfn.XLOOKUP($C483,Table1[BusinessUnitID],Table1[BusinessUnit],"",0)</f>
        <v>FOOD SERVICE</v>
      </c>
      <c r="L483" t="str" cm="1">
        <f t="array" ref="L483">_xlfn.XLOOKUP($C483,Table1[[#All],[BusinessUnitID]],Table1[[#All],[Description]],"",0,1)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83" t="str">
        <f>_xlfn.XLOOKUP($B483,ChartOfAccounts!A482:A567,ChartOfAccounts!B482:B567,"",0,1)</f>
        <v/>
      </c>
      <c r="N483">
        <f>_xlfn.XLOOKUP($B483,ChartOfAccounts!A482:A567,ChartOfAccounts!D482:D567,0,1)</f>
        <v>0</v>
      </c>
      <c r="O483" t="str">
        <f>_xlfn.XLOOKUP($B483,ChartOfAccounts!A482:A567,ChartOfAccounts!F482:F567,"",0,1)</f>
        <v/>
      </c>
      <c r="P483" t="str" cm="1">
        <f t="array" ref="P483">_xlfn.XLOOKUP($D483&amp;$C483,PreparerInfo!A482:A494&amp;PreparerInfo!C482:C494,PreparerInfo!B482:B494,"",0,1)</f>
        <v/>
      </c>
      <c r="Q483" t="str">
        <f>_xlfn.XLOOKUP($E483,Source!A482:A490,Source!B482:B490,"",0,1)</f>
        <v/>
      </c>
    </row>
    <row r="484" spans="1:17" x14ac:dyDescent="0.3">
      <c r="A484" s="3">
        <v>2033761</v>
      </c>
      <c r="B484">
        <v>11845</v>
      </c>
      <c r="C484">
        <v>2</v>
      </c>
      <c r="D484" s="9">
        <v>106</v>
      </c>
      <c r="E484">
        <v>1003</v>
      </c>
      <c r="F484" s="1">
        <v>44009</v>
      </c>
      <c r="G484" t="s">
        <v>81</v>
      </c>
      <c r="H484" s="4">
        <v>5346</v>
      </c>
      <c r="I484" s="4" t="s">
        <v>16</v>
      </c>
      <c r="J484" s="4">
        <v>5346</v>
      </c>
      <c r="K484" t="str">
        <f>_xlfn.XLOOKUP($C484,Table1[BusinessUnitID],Table1[BusinessUnit],"",0)</f>
        <v>HOTEL</v>
      </c>
      <c r="L484" t="str" cm="1">
        <f t="array" ref="L484">_xlfn.XLOOKUP($C484,Table1[[#All],[BusinessUnitID]],Table1[[#All],[Description]],"",0,1)</f>
        <v xml:space="preserve">Transactions related to guest rooms and overall hotel operations. Includes payroll for administrative staff, clerks and interns. </v>
      </c>
      <c r="M484" t="str">
        <f>_xlfn.XLOOKUP($B484,ChartOfAccounts!A483:A568,ChartOfAccounts!B483:B568,"",0,1)</f>
        <v/>
      </c>
      <c r="N484">
        <f>_xlfn.XLOOKUP($B484,ChartOfAccounts!A483:A568,ChartOfAccounts!D483:D568,0,1)</f>
        <v>0</v>
      </c>
      <c r="O484" t="str">
        <f>_xlfn.XLOOKUP($B484,ChartOfAccounts!A483:A568,ChartOfAccounts!F483:F568,"",0,1)</f>
        <v/>
      </c>
      <c r="P484" t="str" cm="1">
        <f t="array" ref="P484">_xlfn.XLOOKUP($D484&amp;$C484,PreparerInfo!A483:A495&amp;PreparerInfo!C483:C495,PreparerInfo!B483:B495,"",0,1)</f>
        <v/>
      </c>
      <c r="Q484" t="str">
        <f>_xlfn.XLOOKUP($E484,Source!A483:A491,Source!B483:B491,"",0,1)</f>
        <v/>
      </c>
    </row>
    <row r="485" spans="1:17" x14ac:dyDescent="0.3">
      <c r="A485" s="3">
        <v>2033761</v>
      </c>
      <c r="B485">
        <v>43180</v>
      </c>
      <c r="C485">
        <v>2</v>
      </c>
      <c r="D485" s="9">
        <v>106</v>
      </c>
      <c r="E485">
        <v>1003</v>
      </c>
      <c r="F485" s="1">
        <v>44009</v>
      </c>
      <c r="G485" t="s">
        <v>81</v>
      </c>
      <c r="H485" s="4" t="s">
        <v>16</v>
      </c>
      <c r="I485" s="4">
        <v>-5346</v>
      </c>
      <c r="J485" s="4">
        <v>-5346</v>
      </c>
      <c r="K485" t="str">
        <f>_xlfn.XLOOKUP($C485,Table1[BusinessUnitID],Table1[BusinessUnit],"",0)</f>
        <v>HOTEL</v>
      </c>
      <c r="L485" t="str" cm="1">
        <f t="array" ref="L485">_xlfn.XLOOKUP($C485,Table1[[#All],[BusinessUnitID]],Table1[[#All],[Description]],"",0,1)</f>
        <v xml:space="preserve">Transactions related to guest rooms and overall hotel operations. Includes payroll for administrative staff, clerks and interns. </v>
      </c>
      <c r="M485" t="str">
        <f>_xlfn.XLOOKUP($B485,ChartOfAccounts!A484:A569,ChartOfAccounts!B484:B569,"",0,1)</f>
        <v/>
      </c>
      <c r="N485">
        <f>_xlfn.XLOOKUP($B485,ChartOfAccounts!A484:A569,ChartOfAccounts!D484:D569,0,1)</f>
        <v>0</v>
      </c>
      <c r="O485" t="str">
        <f>_xlfn.XLOOKUP($B485,ChartOfAccounts!A484:A569,ChartOfAccounts!F484:F569,"",0,1)</f>
        <v/>
      </c>
      <c r="P485" t="str" cm="1">
        <f t="array" ref="P485">_xlfn.XLOOKUP($D485&amp;$C485,PreparerInfo!A484:A496&amp;PreparerInfo!C484:C496,PreparerInfo!B484:B496,"",0,1)</f>
        <v/>
      </c>
      <c r="Q485" t="str">
        <f>_xlfn.XLOOKUP($E485,Source!A484:A492,Source!B484:B492,"",0,1)</f>
        <v/>
      </c>
    </row>
    <row r="486" spans="1:17" x14ac:dyDescent="0.3">
      <c r="A486" s="3">
        <v>2033762</v>
      </c>
      <c r="B486">
        <v>11845</v>
      </c>
      <c r="C486">
        <v>2</v>
      </c>
      <c r="D486" s="9">
        <v>104</v>
      </c>
      <c r="E486">
        <v>1003</v>
      </c>
      <c r="F486" s="1">
        <v>44009</v>
      </c>
      <c r="G486" t="s">
        <v>15</v>
      </c>
      <c r="H486" s="4">
        <v>12300</v>
      </c>
      <c r="I486" s="4" t="s">
        <v>16</v>
      </c>
      <c r="J486" s="4">
        <v>12300</v>
      </c>
      <c r="K486" t="str">
        <f>_xlfn.XLOOKUP($C486,Table1[BusinessUnitID],Table1[BusinessUnit],"",0)</f>
        <v>HOTEL</v>
      </c>
      <c r="L486" t="str" cm="1">
        <f t="array" ref="L486">_xlfn.XLOOKUP($C486,Table1[[#All],[BusinessUnitID]],Table1[[#All],[Description]],"",0,1)</f>
        <v xml:space="preserve">Transactions related to guest rooms and overall hotel operations. Includes payroll for administrative staff, clerks and interns. </v>
      </c>
      <c r="M486" t="str">
        <f>_xlfn.XLOOKUP($B486,ChartOfAccounts!A485:A570,ChartOfAccounts!B485:B570,"",0,1)</f>
        <v/>
      </c>
      <c r="N486">
        <f>_xlfn.XLOOKUP($B486,ChartOfAccounts!A485:A570,ChartOfAccounts!D485:D570,0,1)</f>
        <v>0</v>
      </c>
      <c r="O486" t="str">
        <f>_xlfn.XLOOKUP($B486,ChartOfAccounts!A485:A570,ChartOfAccounts!F485:F570,"",0,1)</f>
        <v/>
      </c>
      <c r="P486" t="str" cm="1">
        <f t="array" ref="P486">_xlfn.XLOOKUP($D486&amp;$C486,PreparerInfo!A485:A497&amp;PreparerInfo!C485:C497,PreparerInfo!B485:B497,"",0,1)</f>
        <v/>
      </c>
      <c r="Q486" t="str">
        <f>_xlfn.XLOOKUP($E486,Source!A485:A493,Source!B485:B493,"",0,1)</f>
        <v/>
      </c>
    </row>
    <row r="487" spans="1:17" x14ac:dyDescent="0.3">
      <c r="A487" s="3">
        <v>2033762</v>
      </c>
      <c r="B487">
        <v>43180</v>
      </c>
      <c r="C487">
        <v>2</v>
      </c>
      <c r="D487" s="9">
        <v>104</v>
      </c>
      <c r="E487">
        <v>1003</v>
      </c>
      <c r="F487" s="1">
        <v>44009</v>
      </c>
      <c r="G487" t="s">
        <v>15</v>
      </c>
      <c r="H487" s="4" t="s">
        <v>16</v>
      </c>
      <c r="I487" s="4">
        <v>-12300</v>
      </c>
      <c r="J487" s="4">
        <v>-12300</v>
      </c>
      <c r="K487" t="str">
        <f>_xlfn.XLOOKUP($C487,Table1[BusinessUnitID],Table1[BusinessUnit],"",0)</f>
        <v>HOTEL</v>
      </c>
      <c r="L487" t="str" cm="1">
        <f t="array" ref="L487">_xlfn.XLOOKUP($C487,Table1[[#All],[BusinessUnitID]],Table1[[#All],[Description]],"",0,1)</f>
        <v xml:space="preserve">Transactions related to guest rooms and overall hotel operations. Includes payroll for administrative staff, clerks and interns. </v>
      </c>
      <c r="M487" t="str">
        <f>_xlfn.XLOOKUP($B487,ChartOfAccounts!A486:A571,ChartOfAccounts!B486:B571,"",0,1)</f>
        <v/>
      </c>
      <c r="N487">
        <f>_xlfn.XLOOKUP($B487,ChartOfAccounts!A486:A571,ChartOfAccounts!D486:D571,0,1)</f>
        <v>0</v>
      </c>
      <c r="O487" t="str">
        <f>_xlfn.XLOOKUP($B487,ChartOfAccounts!A486:A571,ChartOfAccounts!F486:F571,"",0,1)</f>
        <v/>
      </c>
      <c r="P487" t="str" cm="1">
        <f t="array" ref="P487">_xlfn.XLOOKUP($D487&amp;$C487,PreparerInfo!A486:A498&amp;PreparerInfo!C486:C498,PreparerInfo!B486:B498,"",0,1)</f>
        <v/>
      </c>
      <c r="Q487" t="str">
        <f>_xlfn.XLOOKUP($E487,Source!A486:A494,Source!B486:B494,"",0,1)</f>
        <v/>
      </c>
    </row>
    <row r="488" spans="1:17" x14ac:dyDescent="0.3">
      <c r="A488" s="3">
        <v>2033763</v>
      </c>
      <c r="B488">
        <v>11845</v>
      </c>
      <c r="C488">
        <v>1</v>
      </c>
      <c r="D488" s="9">
        <v>106</v>
      </c>
      <c r="E488">
        <v>1003</v>
      </c>
      <c r="F488" s="1">
        <v>44009</v>
      </c>
      <c r="G488" t="s">
        <v>80</v>
      </c>
      <c r="H488" s="4">
        <v>27320.65</v>
      </c>
      <c r="I488" s="4" t="s">
        <v>16</v>
      </c>
      <c r="J488" s="4">
        <v>27320.65</v>
      </c>
      <c r="K488" t="str">
        <f>_xlfn.XLOOKUP($C488,Table1[BusinessUnitID],Table1[BusinessUnit],"",0)</f>
        <v>FOOD SERVICE</v>
      </c>
      <c r="L488" t="str" cm="1">
        <f t="array" ref="L488">_xlfn.XLOOKUP($C488,Table1[[#All],[BusinessUnitID]],Table1[[#All],[Description]],"",0,1)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88" t="str">
        <f>_xlfn.XLOOKUP($B488,ChartOfAccounts!A487:A572,ChartOfAccounts!B487:B572,"",0,1)</f>
        <v/>
      </c>
      <c r="N488">
        <f>_xlfn.XLOOKUP($B488,ChartOfAccounts!A487:A572,ChartOfAccounts!D487:D572,0,1)</f>
        <v>0</v>
      </c>
      <c r="O488" t="str">
        <f>_xlfn.XLOOKUP($B488,ChartOfAccounts!A487:A572,ChartOfAccounts!F487:F572,"",0,1)</f>
        <v/>
      </c>
      <c r="P488" t="str" cm="1">
        <f t="array" ref="P488">_xlfn.XLOOKUP($D488&amp;$C488,PreparerInfo!A487:A499&amp;PreparerInfo!C487:C499,PreparerInfo!B487:B499,"",0,1)</f>
        <v/>
      </c>
      <c r="Q488" t="str">
        <f>_xlfn.XLOOKUP($E488,Source!A487:A495,Source!B487:B495,"",0,1)</f>
        <v/>
      </c>
    </row>
    <row r="489" spans="1:17" x14ac:dyDescent="0.3">
      <c r="A489" s="3">
        <v>2033763</v>
      </c>
      <c r="B489">
        <v>43310</v>
      </c>
      <c r="C489">
        <v>1</v>
      </c>
      <c r="D489" s="9">
        <v>106</v>
      </c>
      <c r="E489">
        <v>1003</v>
      </c>
      <c r="F489" s="1">
        <v>44009</v>
      </c>
      <c r="G489" t="s">
        <v>80</v>
      </c>
      <c r="H489" s="4" t="s">
        <v>16</v>
      </c>
      <c r="I489" s="4">
        <v>-27320.65</v>
      </c>
      <c r="J489" s="4">
        <v>-27320.65</v>
      </c>
      <c r="K489" t="str">
        <f>_xlfn.XLOOKUP($C489,Table1[BusinessUnitID],Table1[BusinessUnit],"",0)</f>
        <v>FOOD SERVICE</v>
      </c>
      <c r="L489" t="str" cm="1">
        <f t="array" ref="L489">_xlfn.XLOOKUP($C489,Table1[[#All],[BusinessUnitID]],Table1[[#All],[Description]],"",0,1)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89" t="str">
        <f>_xlfn.XLOOKUP($B489,ChartOfAccounts!A488:A573,ChartOfAccounts!B488:B573,"",0,1)</f>
        <v/>
      </c>
      <c r="N489">
        <f>_xlfn.XLOOKUP($B489,ChartOfAccounts!A488:A573,ChartOfAccounts!D488:D573,0,1)</f>
        <v>0</v>
      </c>
      <c r="O489" t="str">
        <f>_xlfn.XLOOKUP($B489,ChartOfAccounts!A488:A573,ChartOfAccounts!F488:F573,"",0,1)</f>
        <v/>
      </c>
      <c r="P489" t="str" cm="1">
        <f t="array" ref="P489">_xlfn.XLOOKUP($D489&amp;$C489,PreparerInfo!A488:A500&amp;PreparerInfo!C488:C500,PreparerInfo!B488:B500,"",0,1)</f>
        <v/>
      </c>
      <c r="Q489" t="str">
        <f>_xlfn.XLOOKUP($E489,Source!A488:A496,Source!B488:B496,"",0,1)</f>
        <v/>
      </c>
    </row>
    <row r="490" spans="1:17" x14ac:dyDescent="0.3">
      <c r="A490" s="3">
        <v>2033764</v>
      </c>
      <c r="B490">
        <v>51620</v>
      </c>
      <c r="C490">
        <v>6</v>
      </c>
      <c r="D490" s="9">
        <v>105</v>
      </c>
      <c r="E490">
        <v>1006</v>
      </c>
      <c r="F490" s="1">
        <v>44010</v>
      </c>
      <c r="G490" t="s">
        <v>91</v>
      </c>
      <c r="H490" s="4">
        <v>11.48</v>
      </c>
      <c r="I490" s="4" t="s">
        <v>16</v>
      </c>
      <c r="J490" s="4">
        <v>11.48</v>
      </c>
      <c r="K490" t="str">
        <f>_xlfn.XLOOKUP($C490,Table1[BusinessUnitID],Table1[BusinessUnit],"",0)</f>
        <v>MAINTENANCE</v>
      </c>
      <c r="L490" t="str" cm="1">
        <f t="array" ref="L490">_xlfn.XLOOKUP($C490,Table1[[#All],[BusinessUnitID]],Table1[[#All],[Description]],"",0,1)</f>
        <v>Transactions related to the hotel Maintenance Department. Primarily includes payroll for maintenance, grounds keepers and related supplies.</v>
      </c>
      <c r="M490" t="str">
        <f>_xlfn.XLOOKUP($B490,ChartOfAccounts!A489:A574,ChartOfAccounts!B489:B574,"",0,1)</f>
        <v/>
      </c>
      <c r="N490">
        <f>_xlfn.XLOOKUP($B490,ChartOfAccounts!A489:A574,ChartOfAccounts!D489:D574,0,1)</f>
        <v>0</v>
      </c>
      <c r="O490" t="str">
        <f>_xlfn.XLOOKUP($B490,ChartOfAccounts!A489:A574,ChartOfAccounts!F489:F574,"",0,1)</f>
        <v/>
      </c>
      <c r="P490" t="str" cm="1">
        <f t="array" ref="P490">_xlfn.XLOOKUP($D490&amp;$C490,PreparerInfo!A489:A501&amp;PreparerInfo!C489:C501,PreparerInfo!B489:B501,"",0,1)</f>
        <v/>
      </c>
      <c r="Q490" t="str">
        <f>_xlfn.XLOOKUP($E490,Source!A489:A497,Source!B489:B497,"",0,1)</f>
        <v/>
      </c>
    </row>
    <row r="491" spans="1:17" x14ac:dyDescent="0.3">
      <c r="A491" s="3">
        <v>2033764</v>
      </c>
      <c r="B491">
        <v>22110</v>
      </c>
      <c r="C491">
        <v>6</v>
      </c>
      <c r="D491" s="9">
        <v>105</v>
      </c>
      <c r="E491">
        <v>1006</v>
      </c>
      <c r="F491" s="1">
        <v>44010</v>
      </c>
      <c r="G491" t="s">
        <v>91</v>
      </c>
      <c r="H491" s="4" t="s">
        <v>16</v>
      </c>
      <c r="I491" s="4">
        <v>-11.48</v>
      </c>
      <c r="J491" s="4">
        <v>-11.48</v>
      </c>
      <c r="K491" t="str">
        <f>_xlfn.XLOOKUP($C491,Table1[BusinessUnitID],Table1[BusinessUnit],"",0)</f>
        <v>MAINTENANCE</v>
      </c>
      <c r="L491" t="str" cm="1">
        <f t="array" ref="L491">_xlfn.XLOOKUP($C491,Table1[[#All],[BusinessUnitID]],Table1[[#All],[Description]],"",0,1)</f>
        <v>Transactions related to the hotel Maintenance Department. Primarily includes payroll for maintenance, grounds keepers and related supplies.</v>
      </c>
      <c r="M491" t="str">
        <f>_xlfn.XLOOKUP($B491,ChartOfAccounts!A490:A575,ChartOfAccounts!B490:B575,"",0,1)</f>
        <v/>
      </c>
      <c r="N491">
        <f>_xlfn.XLOOKUP($B491,ChartOfAccounts!A490:A575,ChartOfAccounts!D490:D575,0,1)</f>
        <v>0</v>
      </c>
      <c r="O491" t="str">
        <f>_xlfn.XLOOKUP($B491,ChartOfAccounts!A490:A575,ChartOfAccounts!F490:F575,"",0,1)</f>
        <v/>
      </c>
      <c r="P491" t="str" cm="1">
        <f t="array" ref="P491">_xlfn.XLOOKUP($D491&amp;$C491,PreparerInfo!A490:A502&amp;PreparerInfo!C490:C502,PreparerInfo!B490:B502,"",0,1)</f>
        <v/>
      </c>
      <c r="Q491" t="str">
        <f>_xlfn.XLOOKUP($E491,Source!A490:A498,Source!B490:B498,"",0,1)</f>
        <v/>
      </c>
    </row>
    <row r="492" spans="1:17" x14ac:dyDescent="0.3">
      <c r="A492" s="3">
        <v>2033765</v>
      </c>
      <c r="B492">
        <v>51620</v>
      </c>
      <c r="C492">
        <v>4</v>
      </c>
      <c r="D492" s="9">
        <v>105</v>
      </c>
      <c r="E492">
        <v>1006</v>
      </c>
      <c r="F492" s="1">
        <v>44010</v>
      </c>
      <c r="G492" t="s">
        <v>91</v>
      </c>
      <c r="H492" s="4">
        <v>22.96</v>
      </c>
      <c r="I492" s="4" t="s">
        <v>16</v>
      </c>
      <c r="J492" s="4">
        <v>22.96</v>
      </c>
      <c r="K492" t="str">
        <f>_xlfn.XLOOKUP($C492,Table1[BusinessUnitID],Table1[BusinessUnit],"",0)</f>
        <v>HOUSEKEEPING</v>
      </c>
      <c r="L492" t="str" cm="1">
        <f t="array" ref="L492">_xlfn.XLOOKUP($C492,Table1[[#All],[BusinessUnitID]],Table1[[#All],[Description]],"",0,1)</f>
        <v xml:space="preserve">Transactions related to the Housekeeping Department. Primarily includes payroll for housekeepers and housekeeping supplies. </v>
      </c>
      <c r="M492" t="str">
        <f>_xlfn.XLOOKUP($B492,ChartOfAccounts!A491:A576,ChartOfAccounts!B491:B576,"",0,1)</f>
        <v/>
      </c>
      <c r="N492">
        <f>_xlfn.XLOOKUP($B492,ChartOfAccounts!A491:A576,ChartOfAccounts!D491:D576,0,1)</f>
        <v>0</v>
      </c>
      <c r="O492" t="str">
        <f>_xlfn.XLOOKUP($B492,ChartOfAccounts!A491:A576,ChartOfAccounts!F491:F576,"",0,1)</f>
        <v/>
      </c>
      <c r="P492" t="str" cm="1">
        <f t="array" ref="P492">_xlfn.XLOOKUP($D492&amp;$C492,PreparerInfo!A491:A503&amp;PreparerInfo!C491:C503,PreparerInfo!B491:B503,"",0,1)</f>
        <v/>
      </c>
      <c r="Q492" t="str">
        <f>_xlfn.XLOOKUP($E492,Source!A491:A499,Source!B491:B499,"",0,1)</f>
        <v/>
      </c>
    </row>
    <row r="493" spans="1:17" x14ac:dyDescent="0.3">
      <c r="A493" s="3">
        <v>2033765</v>
      </c>
      <c r="B493">
        <v>22110</v>
      </c>
      <c r="C493">
        <v>4</v>
      </c>
      <c r="D493" s="9">
        <v>105</v>
      </c>
      <c r="E493">
        <v>1006</v>
      </c>
      <c r="F493" s="1">
        <v>44010</v>
      </c>
      <c r="G493" t="s">
        <v>91</v>
      </c>
      <c r="H493" s="4" t="s">
        <v>16</v>
      </c>
      <c r="I493" s="4">
        <v>-22.96</v>
      </c>
      <c r="J493" s="4">
        <v>-22.96</v>
      </c>
      <c r="K493" t="str">
        <f>_xlfn.XLOOKUP($C493,Table1[BusinessUnitID],Table1[BusinessUnit],"",0)</f>
        <v>HOUSEKEEPING</v>
      </c>
      <c r="L493" t="str" cm="1">
        <f t="array" ref="L493">_xlfn.XLOOKUP($C493,Table1[[#All],[BusinessUnitID]],Table1[[#All],[Description]],"",0,1)</f>
        <v xml:space="preserve">Transactions related to the Housekeeping Department. Primarily includes payroll for housekeepers and housekeeping supplies. </v>
      </c>
      <c r="M493" t="str">
        <f>_xlfn.XLOOKUP($B493,ChartOfAccounts!A492:A577,ChartOfAccounts!B492:B577,"",0,1)</f>
        <v/>
      </c>
      <c r="N493">
        <f>_xlfn.XLOOKUP($B493,ChartOfAccounts!A492:A577,ChartOfAccounts!D492:D577,0,1)</f>
        <v>0</v>
      </c>
      <c r="O493" t="str">
        <f>_xlfn.XLOOKUP($B493,ChartOfAccounts!A492:A577,ChartOfAccounts!F492:F577,"",0,1)</f>
        <v/>
      </c>
      <c r="P493" t="str" cm="1">
        <f t="array" ref="P493">_xlfn.XLOOKUP($D493&amp;$C493,PreparerInfo!A492:A504&amp;PreparerInfo!C492:C504,PreparerInfo!B492:B504,"",0,1)</f>
        <v/>
      </c>
      <c r="Q493" t="str">
        <f>_xlfn.XLOOKUP($E493,Source!A492:A500,Source!B492:B500,"",0,1)</f>
        <v/>
      </c>
    </row>
    <row r="494" spans="1:17" x14ac:dyDescent="0.3">
      <c r="A494" s="3">
        <v>2033766</v>
      </c>
      <c r="B494">
        <v>14260</v>
      </c>
      <c r="C494">
        <v>1</v>
      </c>
      <c r="D494" s="9">
        <v>102</v>
      </c>
      <c r="E494">
        <v>1002</v>
      </c>
      <c r="F494" s="1">
        <v>44010</v>
      </c>
      <c r="G494" t="s">
        <v>39</v>
      </c>
      <c r="H494" s="4">
        <v>32.049999999999997</v>
      </c>
      <c r="I494" s="4" t="s">
        <v>16</v>
      </c>
      <c r="J494" s="4">
        <v>32.049999999999997</v>
      </c>
      <c r="K494" t="str">
        <f>_xlfn.XLOOKUP($C494,Table1[BusinessUnitID],Table1[BusinessUnit],"",0)</f>
        <v>FOOD SERVICE</v>
      </c>
      <c r="L494" t="str" cm="1">
        <f t="array" ref="L494">_xlfn.XLOOKUP($C494,Table1[[#All],[BusinessUnitID]],Table1[[#All],[Description]],"",0,1)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94" t="str">
        <f>_xlfn.XLOOKUP($B494,ChartOfAccounts!A493:A578,ChartOfAccounts!B493:B578,"",0,1)</f>
        <v/>
      </c>
      <c r="N494">
        <f>_xlfn.XLOOKUP($B494,ChartOfAccounts!A493:A578,ChartOfAccounts!D493:D578,0,1)</f>
        <v>0</v>
      </c>
      <c r="O494" t="str">
        <f>_xlfn.XLOOKUP($B494,ChartOfAccounts!A493:A578,ChartOfAccounts!F493:F578,"",0,1)</f>
        <v/>
      </c>
      <c r="P494" t="str" cm="1">
        <f t="array" ref="P494">_xlfn.XLOOKUP($D494&amp;$C494,PreparerInfo!A493:A505&amp;PreparerInfo!C493:C505,PreparerInfo!B493:B505,"",0,1)</f>
        <v/>
      </c>
      <c r="Q494" t="str">
        <f>_xlfn.XLOOKUP($E494,Source!A493:A501,Source!B493:B501,"",0,1)</f>
        <v/>
      </c>
    </row>
    <row r="495" spans="1:17" x14ac:dyDescent="0.3">
      <c r="A495" s="3">
        <v>2033766</v>
      </c>
      <c r="B495">
        <v>11845</v>
      </c>
      <c r="C495">
        <v>1</v>
      </c>
      <c r="D495" s="9">
        <v>102</v>
      </c>
      <c r="E495">
        <v>1002</v>
      </c>
      <c r="F495" s="1">
        <v>44010</v>
      </c>
      <c r="G495" t="s">
        <v>39</v>
      </c>
      <c r="H495" s="4" t="s">
        <v>16</v>
      </c>
      <c r="I495" s="4">
        <v>-32.049999999999997</v>
      </c>
      <c r="J495" s="4">
        <v>-32.049999999999997</v>
      </c>
      <c r="K495" t="str">
        <f>_xlfn.XLOOKUP($C495,Table1[BusinessUnitID],Table1[BusinessUnit],"",0)</f>
        <v>FOOD SERVICE</v>
      </c>
      <c r="L495" t="str" cm="1">
        <f t="array" ref="L495">_xlfn.XLOOKUP($C495,Table1[[#All],[BusinessUnitID]],Table1[[#All],[Description]],"",0,1)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95" t="str">
        <f>_xlfn.XLOOKUP($B495,ChartOfAccounts!A494:A579,ChartOfAccounts!B494:B579,"",0,1)</f>
        <v/>
      </c>
      <c r="N495">
        <f>_xlfn.XLOOKUP($B495,ChartOfAccounts!A494:A579,ChartOfAccounts!D494:D579,0,1)</f>
        <v>0</v>
      </c>
      <c r="O495" t="str">
        <f>_xlfn.XLOOKUP($B495,ChartOfAccounts!A494:A579,ChartOfAccounts!F494:F579,"",0,1)</f>
        <v/>
      </c>
      <c r="P495" t="str" cm="1">
        <f t="array" ref="P495">_xlfn.XLOOKUP($D495&amp;$C495,PreparerInfo!A494:A506&amp;PreparerInfo!C494:C506,PreparerInfo!B494:B506,"",0,1)</f>
        <v/>
      </c>
      <c r="Q495" t="str">
        <f>_xlfn.XLOOKUP($E495,Source!A494:A502,Source!B494:B502,"",0,1)</f>
        <v/>
      </c>
    </row>
    <row r="496" spans="1:17" x14ac:dyDescent="0.3">
      <c r="A496" s="3">
        <v>2033767</v>
      </c>
      <c r="B496">
        <v>51620</v>
      </c>
      <c r="C496">
        <v>2</v>
      </c>
      <c r="D496" s="9">
        <v>105</v>
      </c>
      <c r="E496">
        <v>1006</v>
      </c>
      <c r="F496" s="1">
        <v>44010</v>
      </c>
      <c r="G496" t="s">
        <v>91</v>
      </c>
      <c r="H496" s="4">
        <v>34.44</v>
      </c>
      <c r="I496" s="4" t="s">
        <v>16</v>
      </c>
      <c r="J496" s="4">
        <v>34.44</v>
      </c>
      <c r="K496" t="str">
        <f>_xlfn.XLOOKUP($C496,Table1[BusinessUnitID],Table1[BusinessUnit],"",0)</f>
        <v>HOTEL</v>
      </c>
      <c r="L496" t="str" cm="1">
        <f t="array" ref="L496">_xlfn.XLOOKUP($C496,Table1[[#All],[BusinessUnitID]],Table1[[#All],[Description]],"",0,1)</f>
        <v xml:space="preserve">Transactions related to guest rooms and overall hotel operations. Includes payroll for administrative staff, clerks and interns. </v>
      </c>
      <c r="M496" t="str">
        <f>_xlfn.XLOOKUP($B496,ChartOfAccounts!A495:A580,ChartOfAccounts!B495:B580,"",0,1)</f>
        <v/>
      </c>
      <c r="N496">
        <f>_xlfn.XLOOKUP($B496,ChartOfAccounts!A495:A580,ChartOfAccounts!D495:D580,0,1)</f>
        <v>0</v>
      </c>
      <c r="O496" t="str">
        <f>_xlfn.XLOOKUP($B496,ChartOfAccounts!A495:A580,ChartOfAccounts!F495:F580,"",0,1)</f>
        <v/>
      </c>
      <c r="P496" t="str" cm="1">
        <f t="array" ref="P496">_xlfn.XLOOKUP($D496&amp;$C496,PreparerInfo!A495:A507&amp;PreparerInfo!C495:C507,PreparerInfo!B495:B507,"",0,1)</f>
        <v/>
      </c>
      <c r="Q496" t="str">
        <f>_xlfn.XLOOKUP($E496,Source!A495:A503,Source!B495:B503,"",0,1)</f>
        <v/>
      </c>
    </row>
    <row r="497" spans="1:17" x14ac:dyDescent="0.3">
      <c r="A497" s="3">
        <v>2033767</v>
      </c>
      <c r="B497">
        <v>22110</v>
      </c>
      <c r="C497">
        <v>2</v>
      </c>
      <c r="D497" s="9">
        <v>105</v>
      </c>
      <c r="E497">
        <v>1006</v>
      </c>
      <c r="F497" s="1">
        <v>44010</v>
      </c>
      <c r="G497" t="s">
        <v>91</v>
      </c>
      <c r="H497" s="4" t="s">
        <v>16</v>
      </c>
      <c r="I497" s="4">
        <v>-34.44</v>
      </c>
      <c r="J497" s="4">
        <v>-34.44</v>
      </c>
      <c r="K497" t="str">
        <f>_xlfn.XLOOKUP($C497,Table1[BusinessUnitID],Table1[BusinessUnit],"",0)</f>
        <v>HOTEL</v>
      </c>
      <c r="L497" t="str" cm="1">
        <f t="array" ref="L497">_xlfn.XLOOKUP($C497,Table1[[#All],[BusinessUnitID]],Table1[[#All],[Description]],"",0,1)</f>
        <v xml:space="preserve">Transactions related to guest rooms and overall hotel operations. Includes payroll for administrative staff, clerks and interns. </v>
      </c>
      <c r="M497" t="str">
        <f>_xlfn.XLOOKUP($B497,ChartOfAccounts!A496:A581,ChartOfAccounts!B496:B581,"",0,1)</f>
        <v/>
      </c>
      <c r="N497">
        <f>_xlfn.XLOOKUP($B497,ChartOfAccounts!A496:A581,ChartOfAccounts!D496:D581,0,1)</f>
        <v>0</v>
      </c>
      <c r="O497" t="str">
        <f>_xlfn.XLOOKUP($B497,ChartOfAccounts!A496:A581,ChartOfAccounts!F496:F581,"",0,1)</f>
        <v/>
      </c>
      <c r="P497" t="str" cm="1">
        <f t="array" ref="P497">_xlfn.XLOOKUP($D497&amp;$C497,PreparerInfo!A496:A508&amp;PreparerInfo!C496:C508,PreparerInfo!B496:B508,"",0,1)</f>
        <v/>
      </c>
      <c r="Q497" t="str">
        <f>_xlfn.XLOOKUP($E497,Source!A496:A504,Source!B496:B504,"",0,1)</f>
        <v/>
      </c>
    </row>
    <row r="498" spans="1:17" x14ac:dyDescent="0.3">
      <c r="A498" s="3">
        <v>2033768</v>
      </c>
      <c r="B498">
        <v>14260</v>
      </c>
      <c r="C498">
        <v>1</v>
      </c>
      <c r="D498" s="9">
        <v>102</v>
      </c>
      <c r="E498">
        <v>1002</v>
      </c>
      <c r="F498" s="1">
        <v>44010</v>
      </c>
      <c r="G498" t="s">
        <v>26</v>
      </c>
      <c r="H498" s="4">
        <v>39.4</v>
      </c>
      <c r="I498" s="4" t="s">
        <v>16</v>
      </c>
      <c r="J498" s="4">
        <v>39.4</v>
      </c>
      <c r="K498" t="str">
        <f>_xlfn.XLOOKUP($C498,Table1[BusinessUnitID],Table1[BusinessUnit],"",0)</f>
        <v>FOOD SERVICE</v>
      </c>
      <c r="L498" t="str" cm="1">
        <f t="array" ref="L498">_xlfn.XLOOKUP($C498,Table1[[#All],[BusinessUnitID]],Table1[[#All],[Description]],"",0,1)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98" t="str">
        <f>_xlfn.XLOOKUP($B498,ChartOfAccounts!A497:A582,ChartOfAccounts!B497:B582,"",0,1)</f>
        <v/>
      </c>
      <c r="N498">
        <f>_xlfn.XLOOKUP($B498,ChartOfAccounts!A497:A582,ChartOfAccounts!D497:D582,0,1)</f>
        <v>0</v>
      </c>
      <c r="O498" t="str">
        <f>_xlfn.XLOOKUP($B498,ChartOfAccounts!A497:A582,ChartOfAccounts!F497:F582,"",0,1)</f>
        <v/>
      </c>
      <c r="P498" t="str" cm="1">
        <f t="array" ref="P498">_xlfn.XLOOKUP($D498&amp;$C498,PreparerInfo!A497:A509&amp;PreparerInfo!C497:C509,PreparerInfo!B497:B509,"",0,1)</f>
        <v/>
      </c>
      <c r="Q498" t="str">
        <f>_xlfn.XLOOKUP($E498,Source!A497:A505,Source!B497:B505,"",0,1)</f>
        <v/>
      </c>
    </row>
    <row r="499" spans="1:17" x14ac:dyDescent="0.3">
      <c r="A499" s="3">
        <v>2033768</v>
      </c>
      <c r="B499">
        <v>11845</v>
      </c>
      <c r="C499">
        <v>1</v>
      </c>
      <c r="D499" s="9">
        <v>102</v>
      </c>
      <c r="E499">
        <v>1002</v>
      </c>
      <c r="F499" s="1">
        <v>44010</v>
      </c>
      <c r="G499" t="s">
        <v>26</v>
      </c>
      <c r="H499" s="4" t="s">
        <v>16</v>
      </c>
      <c r="I499" s="4">
        <v>-39.4</v>
      </c>
      <c r="J499" s="4">
        <v>-39.4</v>
      </c>
      <c r="K499" t="str">
        <f>_xlfn.XLOOKUP($C499,Table1[BusinessUnitID],Table1[BusinessUnit],"",0)</f>
        <v>FOOD SERVICE</v>
      </c>
      <c r="L499" t="str" cm="1">
        <f t="array" ref="L499">_xlfn.XLOOKUP($C499,Table1[[#All],[BusinessUnitID]],Table1[[#All],[Description]],"",0,1)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499" t="str">
        <f>_xlfn.XLOOKUP($B499,ChartOfAccounts!A498:A583,ChartOfAccounts!B498:B583,"",0,1)</f>
        <v/>
      </c>
      <c r="N499">
        <f>_xlfn.XLOOKUP($B499,ChartOfAccounts!A498:A583,ChartOfAccounts!D498:D583,0,1)</f>
        <v>0</v>
      </c>
      <c r="O499" t="str">
        <f>_xlfn.XLOOKUP($B499,ChartOfAccounts!A498:A583,ChartOfAccounts!F498:F583,"",0,1)</f>
        <v/>
      </c>
      <c r="P499" t="str" cm="1">
        <f t="array" ref="P499">_xlfn.XLOOKUP($D499&amp;$C499,PreparerInfo!A498:A510&amp;PreparerInfo!C498:C510,PreparerInfo!B498:B510,"",0,1)</f>
        <v/>
      </c>
      <c r="Q499" t="str">
        <f>_xlfn.XLOOKUP($E499,Source!A498:A506,Source!B498:B506,"",0,1)</f>
        <v/>
      </c>
    </row>
    <row r="500" spans="1:17" x14ac:dyDescent="0.3">
      <c r="A500" s="3">
        <v>2033769</v>
      </c>
      <c r="B500">
        <v>43180</v>
      </c>
      <c r="C500">
        <v>2</v>
      </c>
      <c r="D500" s="9">
        <v>104</v>
      </c>
      <c r="E500">
        <v>1003</v>
      </c>
      <c r="F500" s="1">
        <v>44010</v>
      </c>
      <c r="G500" t="s">
        <v>240</v>
      </c>
      <c r="H500" s="4">
        <v>40</v>
      </c>
      <c r="I500" s="4" t="s">
        <v>16</v>
      </c>
      <c r="J500" s="4">
        <v>40</v>
      </c>
      <c r="K500" t="str">
        <f>_xlfn.XLOOKUP($C500,Table1[BusinessUnitID],Table1[BusinessUnit],"",0)</f>
        <v>HOTEL</v>
      </c>
      <c r="L500" t="str" cm="1">
        <f t="array" ref="L500">_xlfn.XLOOKUP($C500,Table1[[#All],[BusinessUnitID]],Table1[[#All],[Description]],"",0,1)</f>
        <v xml:space="preserve">Transactions related to guest rooms and overall hotel operations. Includes payroll for administrative staff, clerks and interns. </v>
      </c>
      <c r="M500" t="str">
        <f>_xlfn.XLOOKUP($B500,ChartOfAccounts!A499:A584,ChartOfAccounts!B499:B584,"",0,1)</f>
        <v/>
      </c>
      <c r="N500">
        <f>_xlfn.XLOOKUP($B500,ChartOfAccounts!A499:A584,ChartOfAccounts!D499:D584,0,1)</f>
        <v>0</v>
      </c>
      <c r="O500" t="str">
        <f>_xlfn.XLOOKUP($B500,ChartOfAccounts!A499:A584,ChartOfAccounts!F499:F584,"",0,1)</f>
        <v/>
      </c>
      <c r="P500" t="str" cm="1">
        <f t="array" ref="P500">_xlfn.XLOOKUP($D500&amp;$C500,PreparerInfo!A499:A511&amp;PreparerInfo!C499:C511,PreparerInfo!B499:B511,"",0,1)</f>
        <v/>
      </c>
      <c r="Q500" t="str">
        <f>_xlfn.XLOOKUP($E500,Source!A499:A507,Source!B499:B507,"",0,1)</f>
        <v/>
      </c>
    </row>
    <row r="501" spans="1:17" x14ac:dyDescent="0.3">
      <c r="A501" s="3">
        <v>2033769</v>
      </c>
      <c r="B501">
        <v>11845</v>
      </c>
      <c r="C501">
        <v>2</v>
      </c>
      <c r="D501" s="9">
        <v>104</v>
      </c>
      <c r="E501">
        <v>1003</v>
      </c>
      <c r="F501" s="1">
        <v>44010</v>
      </c>
      <c r="G501" t="s">
        <v>240</v>
      </c>
      <c r="H501" s="4" t="s">
        <v>16</v>
      </c>
      <c r="I501" s="4">
        <v>-40</v>
      </c>
      <c r="J501" s="4">
        <v>-40</v>
      </c>
      <c r="K501" t="str">
        <f>_xlfn.XLOOKUP($C501,Table1[BusinessUnitID],Table1[BusinessUnit],"",0)</f>
        <v>HOTEL</v>
      </c>
      <c r="L501" t="str" cm="1">
        <f t="array" ref="L501">_xlfn.XLOOKUP($C501,Table1[[#All],[BusinessUnitID]],Table1[[#All],[Description]],"",0,1)</f>
        <v xml:space="preserve">Transactions related to guest rooms and overall hotel operations. Includes payroll for administrative staff, clerks and interns. </v>
      </c>
      <c r="M501" t="str">
        <f>_xlfn.XLOOKUP($B501,ChartOfAccounts!A500:A585,ChartOfAccounts!B500:B585,"",0,1)</f>
        <v/>
      </c>
      <c r="N501">
        <f>_xlfn.XLOOKUP($B501,ChartOfAccounts!A500:A585,ChartOfAccounts!D500:D585,0,1)</f>
        <v>0</v>
      </c>
      <c r="O501" t="str">
        <f>_xlfn.XLOOKUP($B501,ChartOfAccounts!A500:A585,ChartOfAccounts!F500:F585,"",0,1)</f>
        <v/>
      </c>
      <c r="P501" t="str" cm="1">
        <f t="array" ref="P501">_xlfn.XLOOKUP($D501&amp;$C501,PreparerInfo!A500:A512&amp;PreparerInfo!C500:C512,PreparerInfo!B500:B512,"",0,1)</f>
        <v/>
      </c>
      <c r="Q501" t="str">
        <f>_xlfn.XLOOKUP($E501,Source!A500:A508,Source!B500:B508,"",0,1)</f>
        <v/>
      </c>
    </row>
    <row r="502" spans="1:17" x14ac:dyDescent="0.3">
      <c r="A502" s="3">
        <v>2033770</v>
      </c>
      <c r="B502">
        <v>14260</v>
      </c>
      <c r="C502">
        <v>1</v>
      </c>
      <c r="D502" s="9">
        <v>102</v>
      </c>
      <c r="E502">
        <v>1002</v>
      </c>
      <c r="F502" s="1">
        <v>44010</v>
      </c>
      <c r="G502" t="s">
        <v>26</v>
      </c>
      <c r="H502" s="4">
        <v>43.9</v>
      </c>
      <c r="I502" s="4" t="s">
        <v>16</v>
      </c>
      <c r="J502" s="4">
        <v>43.9</v>
      </c>
      <c r="K502" t="str">
        <f>_xlfn.XLOOKUP($C502,Table1[BusinessUnitID],Table1[BusinessUnit],"",0)</f>
        <v>FOOD SERVICE</v>
      </c>
      <c r="L502" t="str" cm="1">
        <f t="array" ref="L502">_xlfn.XLOOKUP($C502,Table1[[#All],[BusinessUnitID]],Table1[[#All],[Description]],"",0,1)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02" t="str">
        <f>_xlfn.XLOOKUP($B502,ChartOfAccounts!A501:A586,ChartOfAccounts!B501:B586,"",0,1)</f>
        <v/>
      </c>
      <c r="N502">
        <f>_xlfn.XLOOKUP($B502,ChartOfAccounts!A501:A586,ChartOfAccounts!D501:D586,0,1)</f>
        <v>0</v>
      </c>
      <c r="O502" t="str">
        <f>_xlfn.XLOOKUP($B502,ChartOfAccounts!A501:A586,ChartOfAccounts!F501:F586,"",0,1)</f>
        <v/>
      </c>
      <c r="P502" t="str" cm="1">
        <f t="array" ref="P502">_xlfn.XLOOKUP($D502&amp;$C502,PreparerInfo!A501:A513&amp;PreparerInfo!C501:C513,PreparerInfo!B501:B513,"",0,1)</f>
        <v/>
      </c>
      <c r="Q502" t="str">
        <f>_xlfn.XLOOKUP($E502,Source!A501:A509,Source!B501:B509,"",0,1)</f>
        <v/>
      </c>
    </row>
    <row r="503" spans="1:17" x14ac:dyDescent="0.3">
      <c r="A503" s="3">
        <v>2033770</v>
      </c>
      <c r="B503">
        <v>11845</v>
      </c>
      <c r="C503">
        <v>1</v>
      </c>
      <c r="D503" s="9">
        <v>102</v>
      </c>
      <c r="E503">
        <v>1002</v>
      </c>
      <c r="F503" s="1">
        <v>44010</v>
      </c>
      <c r="G503" t="s">
        <v>26</v>
      </c>
      <c r="H503" s="4" t="s">
        <v>16</v>
      </c>
      <c r="I503" s="4">
        <v>-43.9</v>
      </c>
      <c r="J503" s="4">
        <v>-43.9</v>
      </c>
      <c r="K503" t="str">
        <f>_xlfn.XLOOKUP($C503,Table1[BusinessUnitID],Table1[BusinessUnit],"",0)</f>
        <v>FOOD SERVICE</v>
      </c>
      <c r="L503" t="str" cm="1">
        <f t="array" ref="L503">_xlfn.XLOOKUP($C503,Table1[[#All],[BusinessUnitID]],Table1[[#All],[Description]],"",0,1)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03" t="str">
        <f>_xlfn.XLOOKUP($B503,ChartOfAccounts!A502:A587,ChartOfAccounts!B502:B587,"",0,1)</f>
        <v/>
      </c>
      <c r="N503">
        <f>_xlfn.XLOOKUP($B503,ChartOfAccounts!A502:A587,ChartOfAccounts!D502:D587,0,1)</f>
        <v>0</v>
      </c>
      <c r="O503" t="str">
        <f>_xlfn.XLOOKUP($B503,ChartOfAccounts!A502:A587,ChartOfAccounts!F502:F587,"",0,1)</f>
        <v/>
      </c>
      <c r="P503" t="str" cm="1">
        <f t="array" ref="P503">_xlfn.XLOOKUP($D503&amp;$C503,PreparerInfo!A502:A514&amp;PreparerInfo!C502:C514,PreparerInfo!B502:B514,"",0,1)</f>
        <v/>
      </c>
      <c r="Q503" t="str">
        <f>_xlfn.XLOOKUP($E503,Source!A502:A510,Source!B502:B510,"",0,1)</f>
        <v/>
      </c>
    </row>
    <row r="504" spans="1:17" x14ac:dyDescent="0.3">
      <c r="A504" s="3">
        <v>2033771</v>
      </c>
      <c r="B504">
        <v>51402</v>
      </c>
      <c r="C504">
        <v>6</v>
      </c>
      <c r="D504" s="9">
        <v>105</v>
      </c>
      <c r="E504">
        <v>1006</v>
      </c>
      <c r="F504" s="1">
        <v>44010</v>
      </c>
      <c r="G504" t="s">
        <v>93</v>
      </c>
      <c r="H504" s="4">
        <v>47.82</v>
      </c>
      <c r="I504" s="4" t="s">
        <v>16</v>
      </c>
      <c r="J504" s="4">
        <v>47.82</v>
      </c>
      <c r="K504" t="str">
        <f>_xlfn.XLOOKUP($C504,Table1[BusinessUnitID],Table1[BusinessUnit],"",0)</f>
        <v>MAINTENANCE</v>
      </c>
      <c r="L504" t="str" cm="1">
        <f t="array" ref="L504">_xlfn.XLOOKUP($C504,Table1[[#All],[BusinessUnitID]],Table1[[#All],[Description]],"",0,1)</f>
        <v>Transactions related to the hotel Maintenance Department. Primarily includes payroll for maintenance, grounds keepers and related supplies.</v>
      </c>
      <c r="M504" t="str">
        <f>_xlfn.XLOOKUP($B504,ChartOfAccounts!A503:A588,ChartOfAccounts!B503:B588,"",0,1)</f>
        <v/>
      </c>
      <c r="N504">
        <f>_xlfn.XLOOKUP($B504,ChartOfAccounts!A503:A588,ChartOfAccounts!D503:D588,0,1)</f>
        <v>0</v>
      </c>
      <c r="O504" t="str">
        <f>_xlfn.XLOOKUP($B504,ChartOfAccounts!A503:A588,ChartOfAccounts!F503:F588,"",0,1)</f>
        <v/>
      </c>
      <c r="P504" t="str" cm="1">
        <f t="array" ref="P504">_xlfn.XLOOKUP($D504&amp;$C504,PreparerInfo!A503:A515&amp;PreparerInfo!C503:C515,PreparerInfo!B503:B515,"",0,1)</f>
        <v/>
      </c>
      <c r="Q504" t="str">
        <f>_xlfn.XLOOKUP($E504,Source!A503:A511,Source!B503:B511,"",0,1)</f>
        <v/>
      </c>
    </row>
    <row r="505" spans="1:17" x14ac:dyDescent="0.3">
      <c r="A505" s="3">
        <v>2033771</v>
      </c>
      <c r="B505">
        <v>22110</v>
      </c>
      <c r="C505">
        <v>6</v>
      </c>
      <c r="D505" s="9">
        <v>105</v>
      </c>
      <c r="E505">
        <v>1006</v>
      </c>
      <c r="F505" s="1">
        <v>44010</v>
      </c>
      <c r="G505" t="s">
        <v>93</v>
      </c>
      <c r="H505" s="4" t="s">
        <v>16</v>
      </c>
      <c r="I505" s="4">
        <v>-47.82</v>
      </c>
      <c r="J505" s="4">
        <v>-47.82</v>
      </c>
      <c r="K505" t="str">
        <f>_xlfn.XLOOKUP($C505,Table1[BusinessUnitID],Table1[BusinessUnit],"",0)</f>
        <v>MAINTENANCE</v>
      </c>
      <c r="L505" t="str" cm="1">
        <f t="array" ref="L505">_xlfn.XLOOKUP($C505,Table1[[#All],[BusinessUnitID]],Table1[[#All],[Description]],"",0,1)</f>
        <v>Transactions related to the hotel Maintenance Department. Primarily includes payroll for maintenance, grounds keepers and related supplies.</v>
      </c>
      <c r="M505" t="str">
        <f>_xlfn.XLOOKUP($B505,ChartOfAccounts!A504:A589,ChartOfAccounts!B504:B589,"",0,1)</f>
        <v/>
      </c>
      <c r="N505">
        <f>_xlfn.XLOOKUP($B505,ChartOfAccounts!A504:A589,ChartOfAccounts!D504:D589,0,1)</f>
        <v>0</v>
      </c>
      <c r="O505" t="str">
        <f>_xlfn.XLOOKUP($B505,ChartOfAccounts!A504:A589,ChartOfAccounts!F504:F589,"",0,1)</f>
        <v/>
      </c>
      <c r="P505" t="str" cm="1">
        <f t="array" ref="P505">_xlfn.XLOOKUP($D505&amp;$C505,PreparerInfo!A504:A516&amp;PreparerInfo!C504:C516,PreparerInfo!B504:B516,"",0,1)</f>
        <v/>
      </c>
      <c r="Q505" t="str">
        <f>_xlfn.XLOOKUP($E505,Source!A504:A512,Source!B504:B512,"",0,1)</f>
        <v/>
      </c>
    </row>
    <row r="506" spans="1:17" x14ac:dyDescent="0.3">
      <c r="A506" s="3">
        <v>2033772</v>
      </c>
      <c r="B506">
        <v>11845</v>
      </c>
      <c r="C506">
        <v>3</v>
      </c>
      <c r="D506" s="9">
        <v>102</v>
      </c>
      <c r="E506">
        <v>1003</v>
      </c>
      <c r="F506" s="1">
        <v>44010</v>
      </c>
      <c r="G506" t="s">
        <v>15</v>
      </c>
      <c r="H506" s="4">
        <v>48.78</v>
      </c>
      <c r="I506" s="4" t="s">
        <v>16</v>
      </c>
      <c r="J506" s="4">
        <v>48.78</v>
      </c>
      <c r="K506" t="str">
        <f>_xlfn.XLOOKUP($C506,Table1[BusinessUnitID],Table1[BusinessUnit],"",0)</f>
        <v>HOTEL PANTRY</v>
      </c>
      <c r="L506" t="str" cm="1">
        <f t="array" ref="L506">_xlfn.XLOOKUP($C506,Table1[[#All],[BusinessUnitID]],Table1[[#All],[Description]],"",0,1)</f>
        <v>Transactions related to the hotel convenience store, including some food and beverage costs.</v>
      </c>
      <c r="M506" t="str">
        <f>_xlfn.XLOOKUP($B506,ChartOfAccounts!A505:A590,ChartOfAccounts!B505:B590,"",0,1)</f>
        <v/>
      </c>
      <c r="N506">
        <f>_xlfn.XLOOKUP($B506,ChartOfAccounts!A505:A590,ChartOfAccounts!D505:D590,0,1)</f>
        <v>0</v>
      </c>
      <c r="O506" t="str">
        <f>_xlfn.XLOOKUP($B506,ChartOfAccounts!A505:A590,ChartOfAccounts!F505:F590,"",0,1)</f>
        <v/>
      </c>
      <c r="P506" t="str" cm="1">
        <f t="array" ref="P506">_xlfn.XLOOKUP($D506&amp;$C506,PreparerInfo!A505:A517&amp;PreparerInfo!C505:C517,PreparerInfo!B505:B517,"",0,1)</f>
        <v/>
      </c>
      <c r="Q506" t="str">
        <f>_xlfn.XLOOKUP($E506,Source!A505:A513,Source!B505:B513,"",0,1)</f>
        <v/>
      </c>
    </row>
    <row r="507" spans="1:17" x14ac:dyDescent="0.3">
      <c r="A507" s="3">
        <v>2033772</v>
      </c>
      <c r="B507">
        <v>43440</v>
      </c>
      <c r="C507">
        <v>3</v>
      </c>
      <c r="D507" s="9">
        <v>102</v>
      </c>
      <c r="E507">
        <v>1003</v>
      </c>
      <c r="F507" s="1">
        <v>44010</v>
      </c>
      <c r="G507" t="s">
        <v>15</v>
      </c>
      <c r="H507" s="4" t="s">
        <v>16</v>
      </c>
      <c r="I507" s="4">
        <v>-48.78</v>
      </c>
      <c r="J507" s="4">
        <v>-48.78</v>
      </c>
      <c r="K507" t="str">
        <f>_xlfn.XLOOKUP($C507,Table1[BusinessUnitID],Table1[BusinessUnit],"",0)</f>
        <v>HOTEL PANTRY</v>
      </c>
      <c r="L507" t="str" cm="1">
        <f t="array" ref="L507">_xlfn.XLOOKUP($C507,Table1[[#All],[BusinessUnitID]],Table1[[#All],[Description]],"",0,1)</f>
        <v>Transactions related to the hotel convenience store, including some food and beverage costs.</v>
      </c>
      <c r="M507" t="str">
        <f>_xlfn.XLOOKUP($B507,ChartOfAccounts!A506:A591,ChartOfAccounts!B506:B591,"",0,1)</f>
        <v/>
      </c>
      <c r="N507">
        <f>_xlfn.XLOOKUP($B507,ChartOfAccounts!A506:A591,ChartOfAccounts!D506:D591,0,1)</f>
        <v>0</v>
      </c>
      <c r="O507" t="str">
        <f>_xlfn.XLOOKUP($B507,ChartOfAccounts!A506:A591,ChartOfAccounts!F506:F591,"",0,1)</f>
        <v/>
      </c>
      <c r="P507" t="str" cm="1">
        <f t="array" ref="P507">_xlfn.XLOOKUP($D507&amp;$C507,PreparerInfo!A506:A518&amp;PreparerInfo!C506:C518,PreparerInfo!B506:B518,"",0,1)</f>
        <v/>
      </c>
      <c r="Q507" t="str">
        <f>_xlfn.XLOOKUP($E507,Source!A506:A514,Source!B506:B514,"",0,1)</f>
        <v/>
      </c>
    </row>
    <row r="508" spans="1:17" x14ac:dyDescent="0.3">
      <c r="A508" s="3">
        <v>2033773</v>
      </c>
      <c r="B508">
        <v>14260</v>
      </c>
      <c r="C508">
        <v>1</v>
      </c>
      <c r="D508" s="9">
        <v>102</v>
      </c>
      <c r="E508">
        <v>1002</v>
      </c>
      <c r="F508" s="1">
        <v>44010</v>
      </c>
      <c r="G508" t="s">
        <v>39</v>
      </c>
      <c r="H508" s="4">
        <v>48.9</v>
      </c>
      <c r="I508" s="4" t="s">
        <v>16</v>
      </c>
      <c r="J508" s="4">
        <v>48.9</v>
      </c>
      <c r="K508" t="str">
        <f>_xlfn.XLOOKUP($C508,Table1[BusinessUnitID],Table1[BusinessUnit],"",0)</f>
        <v>FOOD SERVICE</v>
      </c>
      <c r="L508" t="str" cm="1">
        <f t="array" ref="L508">_xlfn.XLOOKUP($C508,Table1[[#All],[BusinessUnitID]],Table1[[#All],[Description]],"",0,1)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08" t="str">
        <f>_xlfn.XLOOKUP($B508,ChartOfAccounts!A507:A592,ChartOfAccounts!B507:B592,"",0,1)</f>
        <v/>
      </c>
      <c r="N508">
        <f>_xlfn.XLOOKUP($B508,ChartOfAccounts!A507:A592,ChartOfAccounts!D507:D592,0,1)</f>
        <v>0</v>
      </c>
      <c r="O508" t="str">
        <f>_xlfn.XLOOKUP($B508,ChartOfAccounts!A507:A592,ChartOfAccounts!F507:F592,"",0,1)</f>
        <v/>
      </c>
      <c r="P508" t="str" cm="1">
        <f t="array" ref="P508">_xlfn.XLOOKUP($D508&amp;$C508,PreparerInfo!A507:A519&amp;PreparerInfo!C507:C519,PreparerInfo!B507:B519,"",0,1)</f>
        <v/>
      </c>
      <c r="Q508" t="str">
        <f>_xlfn.XLOOKUP($E508,Source!A507:A515,Source!B507:B515,"",0,1)</f>
        <v/>
      </c>
    </row>
    <row r="509" spans="1:17" x14ac:dyDescent="0.3">
      <c r="A509" s="3">
        <v>2033773</v>
      </c>
      <c r="B509">
        <v>11845</v>
      </c>
      <c r="C509">
        <v>1</v>
      </c>
      <c r="D509" s="9">
        <v>102</v>
      </c>
      <c r="E509">
        <v>1002</v>
      </c>
      <c r="F509" s="1">
        <v>44010</v>
      </c>
      <c r="G509" t="s">
        <v>39</v>
      </c>
      <c r="H509" s="4" t="s">
        <v>16</v>
      </c>
      <c r="I509" s="4">
        <v>-48.9</v>
      </c>
      <c r="J509" s="4">
        <v>-48.9</v>
      </c>
      <c r="K509" t="str">
        <f>_xlfn.XLOOKUP($C509,Table1[BusinessUnitID],Table1[BusinessUnit],"",0)</f>
        <v>FOOD SERVICE</v>
      </c>
      <c r="L509" t="str" cm="1">
        <f t="array" ref="L509">_xlfn.XLOOKUP($C509,Table1[[#All],[BusinessUnitID]],Table1[[#All],[Description]],"",0,1)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09" t="str">
        <f>_xlfn.XLOOKUP($B509,ChartOfAccounts!A508:A593,ChartOfAccounts!B508:B593,"",0,1)</f>
        <v/>
      </c>
      <c r="N509">
        <f>_xlfn.XLOOKUP($B509,ChartOfAccounts!A508:A593,ChartOfAccounts!D508:D593,0,1)</f>
        <v>0</v>
      </c>
      <c r="O509" t="str">
        <f>_xlfn.XLOOKUP($B509,ChartOfAccounts!A508:A593,ChartOfAccounts!F508:F593,"",0,1)</f>
        <v/>
      </c>
      <c r="P509" t="str" cm="1">
        <f t="array" ref="P509">_xlfn.XLOOKUP($D509&amp;$C509,PreparerInfo!A508:A520&amp;PreparerInfo!C508:C520,PreparerInfo!B508:B520,"",0,1)</f>
        <v/>
      </c>
      <c r="Q509" t="str">
        <f>_xlfn.XLOOKUP($E509,Source!A508:A516,Source!B508:B516,"",0,1)</f>
        <v/>
      </c>
    </row>
    <row r="510" spans="1:17" x14ac:dyDescent="0.3">
      <c r="A510" s="3">
        <v>2033774</v>
      </c>
      <c r="B510">
        <v>14260</v>
      </c>
      <c r="C510">
        <v>1</v>
      </c>
      <c r="D510" s="9">
        <v>102</v>
      </c>
      <c r="E510">
        <v>1002</v>
      </c>
      <c r="F510" s="1">
        <v>44010</v>
      </c>
      <c r="G510" t="s">
        <v>26</v>
      </c>
      <c r="H510" s="4">
        <v>63.55</v>
      </c>
      <c r="I510" s="4" t="s">
        <v>16</v>
      </c>
      <c r="J510" s="4">
        <v>63.55</v>
      </c>
      <c r="K510" t="str">
        <f>_xlfn.XLOOKUP($C510,Table1[BusinessUnitID],Table1[BusinessUnit],"",0)</f>
        <v>FOOD SERVICE</v>
      </c>
      <c r="L510" t="str" cm="1">
        <f t="array" ref="L510">_xlfn.XLOOKUP($C510,Table1[[#All],[BusinessUnitID]],Table1[[#All],[Description]],"",0,1)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10" t="str">
        <f>_xlfn.XLOOKUP($B510,ChartOfAccounts!A509:A594,ChartOfAccounts!B509:B594,"",0,1)</f>
        <v/>
      </c>
      <c r="N510">
        <f>_xlfn.XLOOKUP($B510,ChartOfAccounts!A509:A594,ChartOfAccounts!D509:D594,0,1)</f>
        <v>0</v>
      </c>
      <c r="O510" t="str">
        <f>_xlfn.XLOOKUP($B510,ChartOfAccounts!A509:A594,ChartOfAccounts!F509:F594,"",0,1)</f>
        <v/>
      </c>
      <c r="P510" t="str" cm="1">
        <f t="array" ref="P510">_xlfn.XLOOKUP($D510&amp;$C510,PreparerInfo!A509:A521&amp;PreparerInfo!C509:C521,PreparerInfo!B509:B521,"",0,1)</f>
        <v/>
      </c>
      <c r="Q510" t="str">
        <f>_xlfn.XLOOKUP($E510,Source!A509:A517,Source!B509:B517,"",0,1)</f>
        <v/>
      </c>
    </row>
    <row r="511" spans="1:17" x14ac:dyDescent="0.3">
      <c r="A511" s="3">
        <v>2033774</v>
      </c>
      <c r="B511">
        <v>11845</v>
      </c>
      <c r="C511">
        <v>1</v>
      </c>
      <c r="D511" s="9">
        <v>102</v>
      </c>
      <c r="E511">
        <v>1002</v>
      </c>
      <c r="F511" s="1">
        <v>44010</v>
      </c>
      <c r="G511" t="s">
        <v>26</v>
      </c>
      <c r="H511" s="4" t="s">
        <v>16</v>
      </c>
      <c r="I511" s="4">
        <v>-63.55</v>
      </c>
      <c r="J511" s="4">
        <v>-63.55</v>
      </c>
      <c r="K511" t="str">
        <f>_xlfn.XLOOKUP($C511,Table1[BusinessUnitID],Table1[BusinessUnit],"",0)</f>
        <v>FOOD SERVICE</v>
      </c>
      <c r="L511" t="str" cm="1">
        <f t="array" ref="L511">_xlfn.XLOOKUP($C511,Table1[[#All],[BusinessUnitID]],Table1[[#All],[Description]],"",0,1)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11" t="str">
        <f>_xlfn.XLOOKUP($B511,ChartOfAccounts!A510:A595,ChartOfAccounts!B510:B595,"",0,1)</f>
        <v/>
      </c>
      <c r="N511">
        <f>_xlfn.XLOOKUP($B511,ChartOfAccounts!A510:A595,ChartOfAccounts!D510:D595,0,1)</f>
        <v>0</v>
      </c>
      <c r="O511" t="str">
        <f>_xlfn.XLOOKUP($B511,ChartOfAccounts!A510:A595,ChartOfAccounts!F510:F595,"",0,1)</f>
        <v/>
      </c>
      <c r="P511" t="str" cm="1">
        <f t="array" ref="P511">_xlfn.XLOOKUP($D511&amp;$C511,PreparerInfo!A510:A522&amp;PreparerInfo!C510:C522,PreparerInfo!B510:B522,"",0,1)</f>
        <v/>
      </c>
      <c r="Q511" t="str">
        <f>_xlfn.XLOOKUP($E511,Source!A510:A518,Source!B510:B518,"",0,1)</f>
        <v/>
      </c>
    </row>
    <row r="512" spans="1:17" x14ac:dyDescent="0.3">
      <c r="A512" s="3">
        <v>2033775</v>
      </c>
      <c r="B512">
        <v>11845</v>
      </c>
      <c r="C512">
        <v>1</v>
      </c>
      <c r="D512" s="9">
        <v>102</v>
      </c>
      <c r="E512">
        <v>1003</v>
      </c>
      <c r="F512" s="1">
        <v>44010</v>
      </c>
      <c r="G512" t="s">
        <v>87</v>
      </c>
      <c r="H512" s="4">
        <v>75.52</v>
      </c>
      <c r="I512" s="4" t="s">
        <v>16</v>
      </c>
      <c r="J512" s="4">
        <v>75.52</v>
      </c>
      <c r="K512" t="str">
        <f>_xlfn.XLOOKUP($C512,Table1[BusinessUnitID],Table1[BusinessUnit],"",0)</f>
        <v>FOOD SERVICE</v>
      </c>
      <c r="L512" t="str" cm="1">
        <f t="array" ref="L512">_xlfn.XLOOKUP($C512,Table1[[#All],[BusinessUnitID]],Table1[[#All],[Description]],"",0,1)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12" t="str">
        <f>_xlfn.XLOOKUP($B512,ChartOfAccounts!A511:A596,ChartOfAccounts!B511:B596,"",0,1)</f>
        <v/>
      </c>
      <c r="N512">
        <f>_xlfn.XLOOKUP($B512,ChartOfAccounts!A511:A596,ChartOfAccounts!D511:D596,0,1)</f>
        <v>0</v>
      </c>
      <c r="O512" t="str">
        <f>_xlfn.XLOOKUP($B512,ChartOfAccounts!A511:A596,ChartOfAccounts!F511:F596,"",0,1)</f>
        <v/>
      </c>
      <c r="P512" t="str" cm="1">
        <f t="array" ref="P512">_xlfn.XLOOKUP($D512&amp;$C512,PreparerInfo!A511:A523&amp;PreparerInfo!C511:C523,PreparerInfo!B511:B523,"",0,1)</f>
        <v/>
      </c>
      <c r="Q512" t="str">
        <f>_xlfn.XLOOKUP($E512,Source!A511:A519,Source!B511:B519,"",0,1)</f>
        <v/>
      </c>
    </row>
    <row r="513" spans="1:17" x14ac:dyDescent="0.3">
      <c r="A513" s="3">
        <v>2033775</v>
      </c>
      <c r="B513">
        <v>43310</v>
      </c>
      <c r="C513">
        <v>1</v>
      </c>
      <c r="D513" s="9">
        <v>102</v>
      </c>
      <c r="E513">
        <v>1003</v>
      </c>
      <c r="F513" s="1">
        <v>44010</v>
      </c>
      <c r="G513" t="s">
        <v>87</v>
      </c>
      <c r="H513" s="4" t="s">
        <v>16</v>
      </c>
      <c r="I513" s="4">
        <v>-75.52</v>
      </c>
      <c r="J513" s="4">
        <v>-75.52</v>
      </c>
      <c r="K513" t="str">
        <f>_xlfn.XLOOKUP($C513,Table1[BusinessUnitID],Table1[BusinessUnit],"",0)</f>
        <v>FOOD SERVICE</v>
      </c>
      <c r="L513" t="str" cm="1">
        <f t="array" ref="L513">_xlfn.XLOOKUP($C513,Table1[[#All],[BusinessUnitID]],Table1[[#All],[Description]],"",0,1)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13" t="str">
        <f>_xlfn.XLOOKUP($B513,ChartOfAccounts!A512:A597,ChartOfAccounts!B512:B597,"",0,1)</f>
        <v/>
      </c>
      <c r="N513">
        <f>_xlfn.XLOOKUP($B513,ChartOfAccounts!A512:A597,ChartOfAccounts!D512:D597,0,1)</f>
        <v>0</v>
      </c>
      <c r="O513" t="str">
        <f>_xlfn.XLOOKUP($B513,ChartOfAccounts!A512:A597,ChartOfAccounts!F512:F597,"",0,1)</f>
        <v/>
      </c>
      <c r="P513" t="str" cm="1">
        <f t="array" ref="P513">_xlfn.XLOOKUP($D513&amp;$C513,PreparerInfo!A512:A524&amp;PreparerInfo!C512:C524,PreparerInfo!B512:B524,"",0,1)</f>
        <v/>
      </c>
      <c r="Q513" t="str">
        <f>_xlfn.XLOOKUP($E513,Source!A512:A520,Source!B512:B520,"",0,1)</f>
        <v/>
      </c>
    </row>
    <row r="514" spans="1:17" x14ac:dyDescent="0.3">
      <c r="A514" s="3">
        <v>2033776</v>
      </c>
      <c r="B514">
        <v>51402</v>
      </c>
      <c r="C514">
        <v>4</v>
      </c>
      <c r="D514" s="9">
        <v>105</v>
      </c>
      <c r="E514">
        <v>1006</v>
      </c>
      <c r="F514" s="1">
        <v>44010</v>
      </c>
      <c r="G514" t="s">
        <v>93</v>
      </c>
      <c r="H514" s="4">
        <v>87.37</v>
      </c>
      <c r="I514" s="4" t="s">
        <v>16</v>
      </c>
      <c r="J514" s="4">
        <v>87.37</v>
      </c>
      <c r="K514" t="str">
        <f>_xlfn.XLOOKUP($C514,Table1[BusinessUnitID],Table1[BusinessUnit],"",0)</f>
        <v>HOUSEKEEPING</v>
      </c>
      <c r="L514" t="str" cm="1">
        <f t="array" ref="L514">_xlfn.XLOOKUP($C514,Table1[[#All],[BusinessUnitID]],Table1[[#All],[Description]],"",0,1)</f>
        <v xml:space="preserve">Transactions related to the Housekeeping Department. Primarily includes payroll for housekeepers and housekeeping supplies. </v>
      </c>
      <c r="M514" t="str">
        <f>_xlfn.XLOOKUP($B514,ChartOfAccounts!A513:A598,ChartOfAccounts!B513:B598,"",0,1)</f>
        <v/>
      </c>
      <c r="N514">
        <f>_xlfn.XLOOKUP($B514,ChartOfAccounts!A513:A598,ChartOfAccounts!D513:D598,0,1)</f>
        <v>0</v>
      </c>
      <c r="O514" t="str">
        <f>_xlfn.XLOOKUP($B514,ChartOfAccounts!A513:A598,ChartOfAccounts!F513:F598,"",0,1)</f>
        <v/>
      </c>
      <c r="P514" t="str" cm="1">
        <f t="array" ref="P514">_xlfn.XLOOKUP($D514&amp;$C514,PreparerInfo!A513:A525&amp;PreparerInfo!C513:C525,PreparerInfo!B513:B525,"",0,1)</f>
        <v/>
      </c>
      <c r="Q514" t="str">
        <f>_xlfn.XLOOKUP($E514,Source!A513:A521,Source!B513:B521,"",0,1)</f>
        <v/>
      </c>
    </row>
    <row r="515" spans="1:17" x14ac:dyDescent="0.3">
      <c r="A515" s="3">
        <v>2033776</v>
      </c>
      <c r="B515">
        <v>22110</v>
      </c>
      <c r="C515">
        <v>4</v>
      </c>
      <c r="D515" s="9">
        <v>105</v>
      </c>
      <c r="E515">
        <v>1006</v>
      </c>
      <c r="F515" s="1">
        <v>44010</v>
      </c>
      <c r="G515" t="s">
        <v>93</v>
      </c>
      <c r="H515" s="4" t="s">
        <v>16</v>
      </c>
      <c r="I515" s="4">
        <v>-87.37</v>
      </c>
      <c r="J515" s="4">
        <v>-87.37</v>
      </c>
      <c r="K515" t="str">
        <f>_xlfn.XLOOKUP($C515,Table1[BusinessUnitID],Table1[BusinessUnit],"",0)</f>
        <v>HOUSEKEEPING</v>
      </c>
      <c r="L515" t="str" cm="1">
        <f t="array" ref="L515">_xlfn.XLOOKUP($C515,Table1[[#All],[BusinessUnitID]],Table1[[#All],[Description]],"",0,1)</f>
        <v xml:space="preserve">Transactions related to the Housekeeping Department. Primarily includes payroll for housekeepers and housekeeping supplies. </v>
      </c>
      <c r="M515" t="str">
        <f>_xlfn.XLOOKUP($B515,ChartOfAccounts!A514:A599,ChartOfAccounts!B514:B599,"",0,1)</f>
        <v/>
      </c>
      <c r="N515">
        <f>_xlfn.XLOOKUP($B515,ChartOfAccounts!A514:A599,ChartOfAccounts!D514:D599,0,1)</f>
        <v>0</v>
      </c>
      <c r="O515" t="str">
        <f>_xlfn.XLOOKUP($B515,ChartOfAccounts!A514:A599,ChartOfAccounts!F514:F599,"",0,1)</f>
        <v/>
      </c>
      <c r="P515" t="str" cm="1">
        <f t="array" ref="P515">_xlfn.XLOOKUP($D515&amp;$C515,PreparerInfo!A514:A526&amp;PreparerInfo!C514:C526,PreparerInfo!B514:B526,"",0,1)</f>
        <v/>
      </c>
      <c r="Q515" t="str">
        <f>_xlfn.XLOOKUP($E515,Source!A514:A522,Source!B514:B522,"",0,1)</f>
        <v/>
      </c>
    </row>
    <row r="516" spans="1:17" x14ac:dyDescent="0.3">
      <c r="A516" s="3">
        <v>2033777</v>
      </c>
      <c r="B516">
        <v>11845</v>
      </c>
      <c r="C516">
        <v>3</v>
      </c>
      <c r="D516" s="9">
        <v>102</v>
      </c>
      <c r="E516">
        <v>1001</v>
      </c>
      <c r="F516" s="1">
        <v>44010</v>
      </c>
      <c r="G516" t="s">
        <v>41</v>
      </c>
      <c r="H516" s="4">
        <v>90.33</v>
      </c>
      <c r="I516" s="4" t="s">
        <v>16</v>
      </c>
      <c r="J516" s="4">
        <v>90.33</v>
      </c>
      <c r="K516" t="str">
        <f>_xlfn.XLOOKUP($C516,Table1[BusinessUnitID],Table1[BusinessUnit],"",0)</f>
        <v>HOTEL PANTRY</v>
      </c>
      <c r="L516" t="str" cm="1">
        <f t="array" ref="L516">_xlfn.XLOOKUP($C516,Table1[[#All],[BusinessUnitID]],Table1[[#All],[Description]],"",0,1)</f>
        <v>Transactions related to the hotel convenience store, including some food and beverage costs.</v>
      </c>
      <c r="M516" t="str">
        <f>_xlfn.XLOOKUP($B516,ChartOfAccounts!A515:A600,ChartOfAccounts!B515:B600,"",0,1)</f>
        <v/>
      </c>
      <c r="N516">
        <f>_xlfn.XLOOKUP($B516,ChartOfAccounts!A515:A600,ChartOfAccounts!D515:D600,0,1)</f>
        <v>0</v>
      </c>
      <c r="O516" t="str">
        <f>_xlfn.XLOOKUP($B516,ChartOfAccounts!A515:A600,ChartOfAccounts!F515:F600,"",0,1)</f>
        <v/>
      </c>
      <c r="P516" t="str" cm="1">
        <f t="array" ref="P516">_xlfn.XLOOKUP($D516&amp;$C516,PreparerInfo!A515:A527&amp;PreparerInfo!C515:C527,PreparerInfo!B515:B527,"",0,1)</f>
        <v/>
      </c>
      <c r="Q516" t="str">
        <f>_xlfn.XLOOKUP($E516,Source!A515:A523,Source!B515:B523,"",0,1)</f>
        <v/>
      </c>
    </row>
    <row r="517" spans="1:17" x14ac:dyDescent="0.3">
      <c r="A517" s="3">
        <v>2033777</v>
      </c>
      <c r="B517">
        <v>43440</v>
      </c>
      <c r="C517">
        <v>3</v>
      </c>
      <c r="D517" s="9">
        <v>102</v>
      </c>
      <c r="E517">
        <v>1001</v>
      </c>
      <c r="F517" s="1">
        <v>44010</v>
      </c>
      <c r="G517" t="s">
        <v>41</v>
      </c>
      <c r="H517" s="4" t="s">
        <v>16</v>
      </c>
      <c r="I517" s="4">
        <v>-90.33</v>
      </c>
      <c r="J517" s="4">
        <v>-90.33</v>
      </c>
      <c r="K517" t="str">
        <f>_xlfn.XLOOKUP($C517,Table1[BusinessUnitID],Table1[BusinessUnit],"",0)</f>
        <v>HOTEL PANTRY</v>
      </c>
      <c r="L517" t="str" cm="1">
        <f t="array" ref="L517">_xlfn.XLOOKUP($C517,Table1[[#All],[BusinessUnitID]],Table1[[#All],[Description]],"",0,1)</f>
        <v>Transactions related to the hotel convenience store, including some food and beverage costs.</v>
      </c>
      <c r="M517" t="str">
        <f>_xlfn.XLOOKUP($B517,ChartOfAccounts!A516:A601,ChartOfAccounts!B516:B601,"",0,1)</f>
        <v/>
      </c>
      <c r="N517">
        <f>_xlfn.XLOOKUP($B517,ChartOfAccounts!A516:A601,ChartOfAccounts!D516:D601,0,1)</f>
        <v>0</v>
      </c>
      <c r="O517" t="str">
        <f>_xlfn.XLOOKUP($B517,ChartOfAccounts!A516:A601,ChartOfAccounts!F516:F601,"",0,1)</f>
        <v/>
      </c>
      <c r="P517" t="str" cm="1">
        <f t="array" ref="P517">_xlfn.XLOOKUP($D517&amp;$C517,PreparerInfo!A516:A528&amp;PreparerInfo!C516:C528,PreparerInfo!B516:B528,"",0,1)</f>
        <v/>
      </c>
      <c r="Q517" t="str">
        <f>_xlfn.XLOOKUP($E517,Source!A516:A524,Source!B516:B524,"",0,1)</f>
        <v/>
      </c>
    </row>
    <row r="518" spans="1:17" x14ac:dyDescent="0.3">
      <c r="A518" s="3">
        <v>2033778</v>
      </c>
      <c r="B518">
        <v>14260</v>
      </c>
      <c r="C518">
        <v>1</v>
      </c>
      <c r="D518" s="9">
        <v>102</v>
      </c>
      <c r="E518">
        <v>1002</v>
      </c>
      <c r="F518" s="1">
        <v>44010</v>
      </c>
      <c r="G518" t="s">
        <v>39</v>
      </c>
      <c r="H518" s="4">
        <v>106</v>
      </c>
      <c r="I518" s="4" t="s">
        <v>16</v>
      </c>
      <c r="J518" s="4">
        <v>106</v>
      </c>
      <c r="K518" t="str">
        <f>_xlfn.XLOOKUP($C518,Table1[BusinessUnitID],Table1[BusinessUnit],"",0)</f>
        <v>FOOD SERVICE</v>
      </c>
      <c r="L518" t="str" cm="1">
        <f t="array" ref="L518">_xlfn.XLOOKUP($C518,Table1[[#All],[BusinessUnitID]],Table1[[#All],[Description]],"",0,1)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18" t="str">
        <f>_xlfn.XLOOKUP($B518,ChartOfAccounts!A517:A602,ChartOfAccounts!B517:B602,"",0,1)</f>
        <v/>
      </c>
      <c r="N518">
        <f>_xlfn.XLOOKUP($B518,ChartOfAccounts!A517:A602,ChartOfAccounts!D517:D602,0,1)</f>
        <v>0</v>
      </c>
      <c r="O518" t="str">
        <f>_xlfn.XLOOKUP($B518,ChartOfAccounts!A517:A602,ChartOfAccounts!F517:F602,"",0,1)</f>
        <v/>
      </c>
      <c r="P518" t="str" cm="1">
        <f t="array" ref="P518">_xlfn.XLOOKUP($D518&amp;$C518,PreparerInfo!A517:A529&amp;PreparerInfo!C517:C529,PreparerInfo!B517:B529,"",0,1)</f>
        <v/>
      </c>
      <c r="Q518" t="str">
        <f>_xlfn.XLOOKUP($E518,Source!A517:A525,Source!B517:B525,"",0,1)</f>
        <v/>
      </c>
    </row>
    <row r="519" spans="1:17" x14ac:dyDescent="0.3">
      <c r="A519" s="3">
        <v>2033778</v>
      </c>
      <c r="B519">
        <v>11845</v>
      </c>
      <c r="C519">
        <v>1</v>
      </c>
      <c r="D519" s="9">
        <v>102</v>
      </c>
      <c r="E519">
        <v>1002</v>
      </c>
      <c r="F519" s="1">
        <v>44010</v>
      </c>
      <c r="G519" t="s">
        <v>39</v>
      </c>
      <c r="H519" s="4" t="s">
        <v>16</v>
      </c>
      <c r="I519" s="4">
        <v>-106</v>
      </c>
      <c r="J519" s="4">
        <v>-106</v>
      </c>
      <c r="K519" t="str">
        <f>_xlfn.XLOOKUP($C519,Table1[BusinessUnitID],Table1[BusinessUnit],"",0)</f>
        <v>FOOD SERVICE</v>
      </c>
      <c r="L519" t="str" cm="1">
        <f t="array" ref="L519">_xlfn.XLOOKUP($C519,Table1[[#All],[BusinessUnitID]],Table1[[#All],[Description]],"",0,1)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19" t="str">
        <f>_xlfn.XLOOKUP($B519,ChartOfAccounts!A518:A603,ChartOfAccounts!B518:B603,"",0,1)</f>
        <v/>
      </c>
      <c r="N519">
        <f>_xlfn.XLOOKUP($B519,ChartOfAccounts!A518:A603,ChartOfAccounts!D518:D603,0,1)</f>
        <v>0</v>
      </c>
      <c r="O519" t="str">
        <f>_xlfn.XLOOKUP($B519,ChartOfAccounts!A518:A603,ChartOfAccounts!F518:F603,"",0,1)</f>
        <v/>
      </c>
      <c r="P519" t="str" cm="1">
        <f t="array" ref="P519">_xlfn.XLOOKUP($D519&amp;$C519,PreparerInfo!A518:A530&amp;PreparerInfo!C518:C530,PreparerInfo!B518:B530,"",0,1)</f>
        <v/>
      </c>
      <c r="Q519" t="str">
        <f>_xlfn.XLOOKUP($E519,Source!A518:A526,Source!B518:B526,"",0,1)</f>
        <v/>
      </c>
    </row>
    <row r="520" spans="1:17" x14ac:dyDescent="0.3">
      <c r="A520" s="3">
        <v>2033779</v>
      </c>
      <c r="B520">
        <v>14260</v>
      </c>
      <c r="C520">
        <v>1</v>
      </c>
      <c r="D520" s="9">
        <v>102</v>
      </c>
      <c r="E520">
        <v>1002</v>
      </c>
      <c r="F520" s="1">
        <v>44010</v>
      </c>
      <c r="G520" t="s">
        <v>39</v>
      </c>
      <c r="H520" s="4">
        <v>108.25</v>
      </c>
      <c r="I520" s="4" t="s">
        <v>16</v>
      </c>
      <c r="J520" s="4">
        <v>108.25</v>
      </c>
      <c r="K520" t="str">
        <f>_xlfn.XLOOKUP($C520,Table1[BusinessUnitID],Table1[BusinessUnit],"",0)</f>
        <v>FOOD SERVICE</v>
      </c>
      <c r="L520" t="str" cm="1">
        <f t="array" ref="L520">_xlfn.XLOOKUP($C520,Table1[[#All],[BusinessUnitID]],Table1[[#All],[Description]],"",0,1)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20" t="str">
        <f>_xlfn.XLOOKUP($B520,ChartOfAccounts!A519:A604,ChartOfAccounts!B519:B604,"",0,1)</f>
        <v/>
      </c>
      <c r="N520">
        <f>_xlfn.XLOOKUP($B520,ChartOfAccounts!A519:A604,ChartOfAccounts!D519:D604,0,1)</f>
        <v>0</v>
      </c>
      <c r="O520" t="str">
        <f>_xlfn.XLOOKUP($B520,ChartOfAccounts!A519:A604,ChartOfAccounts!F519:F604,"",0,1)</f>
        <v/>
      </c>
      <c r="P520" t="str" cm="1">
        <f t="array" ref="P520">_xlfn.XLOOKUP($D520&amp;$C520,PreparerInfo!A519:A531&amp;PreparerInfo!C519:C531,PreparerInfo!B519:B531,"",0,1)</f>
        <v/>
      </c>
      <c r="Q520" t="str">
        <f>_xlfn.XLOOKUP($E520,Source!A519:A527,Source!B519:B527,"",0,1)</f>
        <v/>
      </c>
    </row>
    <row r="521" spans="1:17" x14ac:dyDescent="0.3">
      <c r="A521" s="3">
        <v>2033779</v>
      </c>
      <c r="B521">
        <v>11845</v>
      </c>
      <c r="C521">
        <v>1</v>
      </c>
      <c r="D521" s="9">
        <v>102</v>
      </c>
      <c r="E521">
        <v>1002</v>
      </c>
      <c r="F521" s="1">
        <v>44010</v>
      </c>
      <c r="G521" t="s">
        <v>39</v>
      </c>
      <c r="H521" s="4" t="s">
        <v>16</v>
      </c>
      <c r="I521" s="4">
        <v>-108.25</v>
      </c>
      <c r="J521" s="4">
        <v>-108.25</v>
      </c>
      <c r="K521" t="str">
        <f>_xlfn.XLOOKUP($C521,Table1[BusinessUnitID],Table1[BusinessUnit],"",0)</f>
        <v>FOOD SERVICE</v>
      </c>
      <c r="L521" t="str" cm="1">
        <f t="array" ref="L521">_xlfn.XLOOKUP($C521,Table1[[#All],[BusinessUnitID]],Table1[[#All],[Description]],"",0,1)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21" t="str">
        <f>_xlfn.XLOOKUP($B521,ChartOfAccounts!A520:A605,ChartOfAccounts!B520:B605,"",0,1)</f>
        <v/>
      </c>
      <c r="N521">
        <f>_xlfn.XLOOKUP($B521,ChartOfAccounts!A520:A605,ChartOfAccounts!D520:D605,0,1)</f>
        <v>0</v>
      </c>
      <c r="O521" t="str">
        <f>_xlfn.XLOOKUP($B521,ChartOfAccounts!A520:A605,ChartOfAccounts!F520:F605,"",0,1)</f>
        <v/>
      </c>
      <c r="P521" t="str" cm="1">
        <f t="array" ref="P521">_xlfn.XLOOKUP($D521&amp;$C521,PreparerInfo!A520:A532&amp;PreparerInfo!C520:C532,PreparerInfo!B520:B532,"",0,1)</f>
        <v/>
      </c>
      <c r="Q521" t="str">
        <f>_xlfn.XLOOKUP($E521,Source!A520:A528,Source!B520:B528,"",0,1)</f>
        <v/>
      </c>
    </row>
    <row r="522" spans="1:17" x14ac:dyDescent="0.3">
      <c r="A522" s="3">
        <v>2033780</v>
      </c>
      <c r="B522">
        <v>14260</v>
      </c>
      <c r="C522">
        <v>1</v>
      </c>
      <c r="D522" s="9">
        <v>102</v>
      </c>
      <c r="E522">
        <v>1002</v>
      </c>
      <c r="F522" s="1">
        <v>44010</v>
      </c>
      <c r="G522" t="s">
        <v>39</v>
      </c>
      <c r="H522" s="4">
        <v>115.11</v>
      </c>
      <c r="I522" s="4" t="s">
        <v>16</v>
      </c>
      <c r="J522" s="4">
        <v>115.11</v>
      </c>
      <c r="K522" t="str">
        <f>_xlfn.XLOOKUP($C522,Table1[BusinessUnitID],Table1[BusinessUnit],"",0)</f>
        <v>FOOD SERVICE</v>
      </c>
      <c r="L522" t="str" cm="1">
        <f t="array" ref="L522">_xlfn.XLOOKUP($C522,Table1[[#All],[BusinessUnitID]],Table1[[#All],[Description]],"",0,1)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22" t="str">
        <f>_xlfn.XLOOKUP($B522,ChartOfAccounts!A521:A606,ChartOfAccounts!B521:B606,"",0,1)</f>
        <v/>
      </c>
      <c r="N522">
        <f>_xlfn.XLOOKUP($B522,ChartOfAccounts!A521:A606,ChartOfAccounts!D521:D606,0,1)</f>
        <v>0</v>
      </c>
      <c r="O522" t="str">
        <f>_xlfn.XLOOKUP($B522,ChartOfAccounts!A521:A606,ChartOfAccounts!F521:F606,"",0,1)</f>
        <v/>
      </c>
      <c r="P522" t="str" cm="1">
        <f t="array" ref="P522">_xlfn.XLOOKUP($D522&amp;$C522,PreparerInfo!A521:A533&amp;PreparerInfo!C521:C533,PreparerInfo!B521:B533,"",0,1)</f>
        <v/>
      </c>
      <c r="Q522" t="str">
        <f>_xlfn.XLOOKUP($E522,Source!A521:A529,Source!B521:B529,"",0,1)</f>
        <v/>
      </c>
    </row>
    <row r="523" spans="1:17" x14ac:dyDescent="0.3">
      <c r="A523" s="3">
        <v>2033780</v>
      </c>
      <c r="B523">
        <v>11845</v>
      </c>
      <c r="C523">
        <v>1</v>
      </c>
      <c r="D523" s="9">
        <v>102</v>
      </c>
      <c r="E523">
        <v>1002</v>
      </c>
      <c r="F523" s="1">
        <v>44010</v>
      </c>
      <c r="G523" t="s">
        <v>39</v>
      </c>
      <c r="H523" s="4" t="s">
        <v>16</v>
      </c>
      <c r="I523" s="4">
        <v>-115.11</v>
      </c>
      <c r="J523" s="4">
        <v>-115.11</v>
      </c>
      <c r="K523" t="str">
        <f>_xlfn.XLOOKUP($C523,Table1[BusinessUnitID],Table1[BusinessUnit],"",0)</f>
        <v>FOOD SERVICE</v>
      </c>
      <c r="L523" t="str" cm="1">
        <f t="array" ref="L523">_xlfn.XLOOKUP($C523,Table1[[#All],[BusinessUnitID]],Table1[[#All],[Description]],"",0,1)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23" t="str">
        <f>_xlfn.XLOOKUP($B523,ChartOfAccounts!A522:A607,ChartOfAccounts!B522:B607,"",0,1)</f>
        <v/>
      </c>
      <c r="N523">
        <f>_xlfn.XLOOKUP($B523,ChartOfAccounts!A522:A607,ChartOfAccounts!D522:D607,0,1)</f>
        <v>0</v>
      </c>
      <c r="O523" t="str">
        <f>_xlfn.XLOOKUP($B523,ChartOfAccounts!A522:A607,ChartOfAccounts!F522:F607,"",0,1)</f>
        <v/>
      </c>
      <c r="P523" t="str" cm="1">
        <f t="array" ref="P523">_xlfn.XLOOKUP($D523&amp;$C523,PreparerInfo!A522:A534&amp;PreparerInfo!C522:C534,PreparerInfo!B522:B534,"",0,1)</f>
        <v/>
      </c>
      <c r="Q523" t="str">
        <f>_xlfn.XLOOKUP($E523,Source!A522:A530,Source!B522:B530,"",0,1)</f>
        <v/>
      </c>
    </row>
    <row r="524" spans="1:17" x14ac:dyDescent="0.3">
      <c r="A524" s="3">
        <v>2033781</v>
      </c>
      <c r="B524">
        <v>11845</v>
      </c>
      <c r="C524">
        <v>2</v>
      </c>
      <c r="D524" s="9">
        <v>104</v>
      </c>
      <c r="E524">
        <v>1003</v>
      </c>
      <c r="F524" s="1">
        <v>44010</v>
      </c>
      <c r="G524" t="s">
        <v>241</v>
      </c>
      <c r="H524" s="4">
        <v>129</v>
      </c>
      <c r="I524" s="4" t="s">
        <v>16</v>
      </c>
      <c r="J524" s="4">
        <v>129</v>
      </c>
      <c r="K524" t="str">
        <f>_xlfn.XLOOKUP($C524,Table1[BusinessUnitID],Table1[BusinessUnit],"",0)</f>
        <v>HOTEL</v>
      </c>
      <c r="L524" t="str" cm="1">
        <f t="array" ref="L524">_xlfn.XLOOKUP($C524,Table1[[#All],[BusinessUnitID]],Table1[[#All],[Description]],"",0,1)</f>
        <v xml:space="preserve">Transactions related to guest rooms and overall hotel operations. Includes payroll for administrative staff, clerks and interns. </v>
      </c>
      <c r="M524" t="str">
        <f>_xlfn.XLOOKUP($B524,ChartOfAccounts!A523:A608,ChartOfAccounts!B523:B608,"",0,1)</f>
        <v/>
      </c>
      <c r="N524">
        <f>_xlfn.XLOOKUP($B524,ChartOfAccounts!A523:A608,ChartOfAccounts!D523:D608,0,1)</f>
        <v>0</v>
      </c>
      <c r="O524" t="str">
        <f>_xlfn.XLOOKUP($B524,ChartOfAccounts!A523:A608,ChartOfAccounts!F523:F608,"",0,1)</f>
        <v/>
      </c>
      <c r="P524" t="str" cm="1">
        <f t="array" ref="P524">_xlfn.XLOOKUP($D524&amp;$C524,PreparerInfo!A523:A535&amp;PreparerInfo!C523:C535,PreparerInfo!B523:B535,"",0,1)</f>
        <v/>
      </c>
      <c r="Q524" t="str">
        <f>_xlfn.XLOOKUP($E524,Source!A523:A531,Source!B523:B531,"",0,1)</f>
        <v/>
      </c>
    </row>
    <row r="525" spans="1:17" x14ac:dyDescent="0.3">
      <c r="A525" s="3">
        <v>2033781</v>
      </c>
      <c r="B525">
        <v>43180</v>
      </c>
      <c r="C525">
        <v>2</v>
      </c>
      <c r="D525" s="9">
        <v>104</v>
      </c>
      <c r="E525">
        <v>1003</v>
      </c>
      <c r="F525" s="1">
        <v>44010</v>
      </c>
      <c r="G525" t="s">
        <v>241</v>
      </c>
      <c r="H525" s="4" t="s">
        <v>16</v>
      </c>
      <c r="I525" s="4">
        <v>-129</v>
      </c>
      <c r="J525" s="4">
        <v>-129</v>
      </c>
      <c r="K525" t="str">
        <f>_xlfn.XLOOKUP($C525,Table1[BusinessUnitID],Table1[BusinessUnit],"",0)</f>
        <v>HOTEL</v>
      </c>
      <c r="L525" t="str" cm="1">
        <f t="array" ref="L525">_xlfn.XLOOKUP($C525,Table1[[#All],[BusinessUnitID]],Table1[[#All],[Description]],"",0,1)</f>
        <v xml:space="preserve">Transactions related to guest rooms and overall hotel operations. Includes payroll for administrative staff, clerks and interns. </v>
      </c>
      <c r="M525" t="str">
        <f>_xlfn.XLOOKUP($B525,ChartOfAccounts!A524:A609,ChartOfAccounts!B524:B609,"",0,1)</f>
        <v/>
      </c>
      <c r="N525">
        <f>_xlfn.XLOOKUP($B525,ChartOfAccounts!A524:A609,ChartOfAccounts!D524:D609,0,1)</f>
        <v>0</v>
      </c>
      <c r="O525" t="str">
        <f>_xlfn.XLOOKUP($B525,ChartOfAccounts!A524:A609,ChartOfAccounts!F524:F609,"",0,1)</f>
        <v/>
      </c>
      <c r="P525" t="str" cm="1">
        <f t="array" ref="P525">_xlfn.XLOOKUP($D525&amp;$C525,PreparerInfo!A524:A536&amp;PreparerInfo!C524:C536,PreparerInfo!B524:B536,"",0,1)</f>
        <v/>
      </c>
      <c r="Q525" t="str">
        <f>_xlfn.XLOOKUP($E525,Source!A524:A532,Source!B524:B532,"",0,1)</f>
        <v/>
      </c>
    </row>
    <row r="526" spans="1:17" x14ac:dyDescent="0.3">
      <c r="A526" s="3">
        <v>2033782</v>
      </c>
      <c r="B526">
        <v>51402</v>
      </c>
      <c r="C526">
        <v>2</v>
      </c>
      <c r="D526" s="9">
        <v>105</v>
      </c>
      <c r="E526">
        <v>1006</v>
      </c>
      <c r="F526" s="1">
        <v>44010</v>
      </c>
      <c r="G526" t="s">
        <v>93</v>
      </c>
      <c r="H526" s="4">
        <v>167.08</v>
      </c>
      <c r="I526" s="4" t="s">
        <v>16</v>
      </c>
      <c r="J526" s="4">
        <v>167.08</v>
      </c>
      <c r="K526" t="str">
        <f>_xlfn.XLOOKUP($C526,Table1[BusinessUnitID],Table1[BusinessUnit],"",0)</f>
        <v>HOTEL</v>
      </c>
      <c r="L526" t="str" cm="1">
        <f t="array" ref="L526">_xlfn.XLOOKUP($C526,Table1[[#All],[BusinessUnitID]],Table1[[#All],[Description]],"",0,1)</f>
        <v xml:space="preserve">Transactions related to guest rooms and overall hotel operations. Includes payroll for administrative staff, clerks and interns. </v>
      </c>
      <c r="M526" t="str">
        <f>_xlfn.XLOOKUP($B526,ChartOfAccounts!A525:A610,ChartOfAccounts!B525:B610,"",0,1)</f>
        <v/>
      </c>
      <c r="N526">
        <f>_xlfn.XLOOKUP($B526,ChartOfAccounts!A525:A610,ChartOfAccounts!D525:D610,0,1)</f>
        <v>0</v>
      </c>
      <c r="O526" t="str">
        <f>_xlfn.XLOOKUP($B526,ChartOfAccounts!A525:A610,ChartOfAccounts!F525:F610,"",0,1)</f>
        <v/>
      </c>
      <c r="P526" t="str" cm="1">
        <f t="array" ref="P526">_xlfn.XLOOKUP($D526&amp;$C526,PreparerInfo!A525:A537&amp;PreparerInfo!C525:C537,PreparerInfo!B525:B537,"",0,1)</f>
        <v/>
      </c>
      <c r="Q526" t="str">
        <f>_xlfn.XLOOKUP($E526,Source!A525:A533,Source!B525:B533,"",0,1)</f>
        <v/>
      </c>
    </row>
    <row r="527" spans="1:17" x14ac:dyDescent="0.3">
      <c r="A527" s="3">
        <v>2033782</v>
      </c>
      <c r="B527">
        <v>22110</v>
      </c>
      <c r="C527">
        <v>2</v>
      </c>
      <c r="D527" s="9">
        <v>105</v>
      </c>
      <c r="E527">
        <v>1006</v>
      </c>
      <c r="F527" s="1">
        <v>44010</v>
      </c>
      <c r="G527" t="s">
        <v>93</v>
      </c>
      <c r="H527" s="4" t="s">
        <v>16</v>
      </c>
      <c r="I527" s="4">
        <v>-167.08</v>
      </c>
      <c r="J527" s="4">
        <v>-167.08</v>
      </c>
      <c r="K527" t="str">
        <f>_xlfn.XLOOKUP($C527,Table1[BusinessUnitID],Table1[BusinessUnit],"",0)</f>
        <v>HOTEL</v>
      </c>
      <c r="L527" t="str" cm="1">
        <f t="array" ref="L527">_xlfn.XLOOKUP($C527,Table1[[#All],[BusinessUnitID]],Table1[[#All],[Description]],"",0,1)</f>
        <v xml:space="preserve">Transactions related to guest rooms and overall hotel operations. Includes payroll for administrative staff, clerks and interns. </v>
      </c>
      <c r="M527" t="str">
        <f>_xlfn.XLOOKUP($B527,ChartOfAccounts!A526:A611,ChartOfAccounts!B526:B611,"",0,1)</f>
        <v/>
      </c>
      <c r="N527">
        <f>_xlfn.XLOOKUP($B527,ChartOfAccounts!A526:A611,ChartOfAccounts!D526:D611,0,1)</f>
        <v>0</v>
      </c>
      <c r="O527" t="str">
        <f>_xlfn.XLOOKUP($B527,ChartOfAccounts!A526:A611,ChartOfAccounts!F526:F611,"",0,1)</f>
        <v/>
      </c>
      <c r="P527" t="str" cm="1">
        <f t="array" ref="P527">_xlfn.XLOOKUP($D527&amp;$C527,PreparerInfo!A526:A538&amp;PreparerInfo!C526:C538,PreparerInfo!B526:B538,"",0,1)</f>
        <v/>
      </c>
      <c r="Q527" t="str">
        <f>_xlfn.XLOOKUP($E527,Source!A526:A534,Source!B526:B534,"",0,1)</f>
        <v/>
      </c>
    </row>
    <row r="528" spans="1:17" x14ac:dyDescent="0.3">
      <c r="A528" s="3">
        <v>2033783</v>
      </c>
      <c r="B528">
        <v>11845</v>
      </c>
      <c r="C528">
        <v>1</v>
      </c>
      <c r="D528" s="9">
        <v>106</v>
      </c>
      <c r="E528">
        <v>1003</v>
      </c>
      <c r="F528" s="1">
        <v>44010</v>
      </c>
      <c r="G528" t="s">
        <v>80</v>
      </c>
      <c r="H528" s="4">
        <v>172.08</v>
      </c>
      <c r="I528" s="4" t="s">
        <v>16</v>
      </c>
      <c r="J528" s="4">
        <v>172.08</v>
      </c>
      <c r="K528" t="str">
        <f>_xlfn.XLOOKUP($C528,Table1[BusinessUnitID],Table1[BusinessUnit],"",0)</f>
        <v>FOOD SERVICE</v>
      </c>
      <c r="L528" t="str" cm="1">
        <f t="array" ref="L528">_xlfn.XLOOKUP($C528,Table1[[#All],[BusinessUnitID]],Table1[[#All],[Description]],"",0,1)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28" t="str">
        <f>_xlfn.XLOOKUP($B528,ChartOfAccounts!A527:A612,ChartOfAccounts!B527:B612,"",0,1)</f>
        <v/>
      </c>
      <c r="N528">
        <f>_xlfn.XLOOKUP($B528,ChartOfAccounts!A527:A612,ChartOfAccounts!D527:D612,0,1)</f>
        <v>0</v>
      </c>
      <c r="O528" t="str">
        <f>_xlfn.XLOOKUP($B528,ChartOfAccounts!A527:A612,ChartOfAccounts!F527:F612,"",0,1)</f>
        <v/>
      </c>
      <c r="P528" t="str" cm="1">
        <f t="array" ref="P528">_xlfn.XLOOKUP($D528&amp;$C528,PreparerInfo!A527:A539&amp;PreparerInfo!C527:C539,PreparerInfo!B527:B539,"",0,1)</f>
        <v/>
      </c>
      <c r="Q528" t="str">
        <f>_xlfn.XLOOKUP($E528,Source!A527:A535,Source!B527:B535,"",0,1)</f>
        <v/>
      </c>
    </row>
    <row r="529" spans="1:17" x14ac:dyDescent="0.3">
      <c r="A529" s="3">
        <v>2033783</v>
      </c>
      <c r="B529">
        <v>43310</v>
      </c>
      <c r="C529">
        <v>1</v>
      </c>
      <c r="D529" s="9">
        <v>106</v>
      </c>
      <c r="E529">
        <v>1003</v>
      </c>
      <c r="F529" s="1">
        <v>44010</v>
      </c>
      <c r="G529" t="s">
        <v>80</v>
      </c>
      <c r="H529" s="4" t="s">
        <v>16</v>
      </c>
      <c r="I529" s="4">
        <v>-172.08</v>
      </c>
      <c r="J529" s="4">
        <v>-172.08</v>
      </c>
      <c r="K529" t="str">
        <f>_xlfn.XLOOKUP($C529,Table1[BusinessUnitID],Table1[BusinessUnit],"",0)</f>
        <v>FOOD SERVICE</v>
      </c>
      <c r="L529" t="str" cm="1">
        <f t="array" ref="L529">_xlfn.XLOOKUP($C529,Table1[[#All],[BusinessUnitID]],Table1[[#All],[Description]],"",0,1)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29" t="str">
        <f>_xlfn.XLOOKUP($B529,ChartOfAccounts!A528:A613,ChartOfAccounts!B528:B613,"",0,1)</f>
        <v/>
      </c>
      <c r="N529">
        <f>_xlfn.XLOOKUP($B529,ChartOfAccounts!A528:A613,ChartOfAccounts!D528:D613,0,1)</f>
        <v>0</v>
      </c>
      <c r="O529" t="str">
        <f>_xlfn.XLOOKUP($B529,ChartOfAccounts!A528:A613,ChartOfAccounts!F528:F613,"",0,1)</f>
        <v/>
      </c>
      <c r="P529" t="str" cm="1">
        <f t="array" ref="P529">_xlfn.XLOOKUP($D529&amp;$C529,PreparerInfo!A528:A540&amp;PreparerInfo!C528:C540,PreparerInfo!B528:B540,"",0,1)</f>
        <v/>
      </c>
      <c r="Q529" t="str">
        <f>_xlfn.XLOOKUP($E529,Source!A528:A536,Source!B528:B536,"",0,1)</f>
        <v/>
      </c>
    </row>
    <row r="530" spans="1:17" x14ac:dyDescent="0.3">
      <c r="A530" s="3">
        <v>2033784</v>
      </c>
      <c r="B530">
        <v>14260</v>
      </c>
      <c r="C530">
        <v>1</v>
      </c>
      <c r="D530" s="9">
        <v>102</v>
      </c>
      <c r="E530">
        <v>1002</v>
      </c>
      <c r="F530" s="1">
        <v>44010</v>
      </c>
      <c r="G530" t="s">
        <v>47</v>
      </c>
      <c r="H530" s="4">
        <v>185.97</v>
      </c>
      <c r="I530" s="4" t="s">
        <v>16</v>
      </c>
      <c r="J530" s="4">
        <v>185.97</v>
      </c>
      <c r="K530" t="str">
        <f>_xlfn.XLOOKUP($C530,Table1[BusinessUnitID],Table1[BusinessUnit],"",0)</f>
        <v>FOOD SERVICE</v>
      </c>
      <c r="L530" t="str" cm="1">
        <f t="array" ref="L530">_xlfn.XLOOKUP($C530,Table1[[#All],[BusinessUnitID]],Table1[[#All],[Description]],"",0,1)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30" t="str">
        <f>_xlfn.XLOOKUP($B530,ChartOfAccounts!A529:A614,ChartOfAccounts!B529:B614,"",0,1)</f>
        <v/>
      </c>
      <c r="N530">
        <f>_xlfn.XLOOKUP($B530,ChartOfAccounts!A529:A614,ChartOfAccounts!D529:D614,0,1)</f>
        <v>0</v>
      </c>
      <c r="O530" t="str">
        <f>_xlfn.XLOOKUP($B530,ChartOfAccounts!A529:A614,ChartOfAccounts!F529:F614,"",0,1)</f>
        <v/>
      </c>
      <c r="P530" t="str" cm="1">
        <f t="array" ref="P530">_xlfn.XLOOKUP($D530&amp;$C530,PreparerInfo!A529:A541&amp;PreparerInfo!C529:C541,PreparerInfo!B529:B541,"",0,1)</f>
        <v/>
      </c>
      <c r="Q530" t="str">
        <f>_xlfn.XLOOKUP($E530,Source!A529:A537,Source!B529:B537,"",0,1)</f>
        <v/>
      </c>
    </row>
    <row r="531" spans="1:17" x14ac:dyDescent="0.3">
      <c r="A531" s="3">
        <v>2033784</v>
      </c>
      <c r="B531">
        <v>11845</v>
      </c>
      <c r="C531">
        <v>1</v>
      </c>
      <c r="D531" s="9">
        <v>102</v>
      </c>
      <c r="E531">
        <v>1002</v>
      </c>
      <c r="F531" s="1">
        <v>44010</v>
      </c>
      <c r="G531" t="s">
        <v>47</v>
      </c>
      <c r="H531" s="4" t="s">
        <v>16</v>
      </c>
      <c r="I531" s="4">
        <v>-185.97</v>
      </c>
      <c r="J531" s="4">
        <v>-185.97</v>
      </c>
      <c r="K531" t="str">
        <f>_xlfn.XLOOKUP($C531,Table1[BusinessUnitID],Table1[BusinessUnit],"",0)</f>
        <v>FOOD SERVICE</v>
      </c>
      <c r="L531" t="str" cm="1">
        <f t="array" ref="L531">_xlfn.XLOOKUP($C531,Table1[[#All],[BusinessUnitID]],Table1[[#All],[Description]],"",0,1)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31" t="str">
        <f>_xlfn.XLOOKUP($B531,ChartOfAccounts!A530:A615,ChartOfAccounts!B530:B615,"",0,1)</f>
        <v/>
      </c>
      <c r="N531">
        <f>_xlfn.XLOOKUP($B531,ChartOfAccounts!A530:A615,ChartOfAccounts!D530:D615,0,1)</f>
        <v>0</v>
      </c>
      <c r="O531" t="str">
        <f>_xlfn.XLOOKUP($B531,ChartOfAccounts!A530:A615,ChartOfAccounts!F530:F615,"",0,1)</f>
        <v/>
      </c>
      <c r="P531" t="str" cm="1">
        <f t="array" ref="P531">_xlfn.XLOOKUP($D531&amp;$C531,PreparerInfo!A530:A542&amp;PreparerInfo!C530:C542,PreparerInfo!B530:B542,"",0,1)</f>
        <v/>
      </c>
      <c r="Q531" t="str">
        <f>_xlfn.XLOOKUP($E531,Source!A530:A538,Source!B530:B538,"",0,1)</f>
        <v/>
      </c>
    </row>
    <row r="532" spans="1:17" x14ac:dyDescent="0.3">
      <c r="A532" s="3">
        <v>2033785</v>
      </c>
      <c r="B532">
        <v>51620</v>
      </c>
      <c r="C532">
        <v>1</v>
      </c>
      <c r="D532" s="9">
        <v>105</v>
      </c>
      <c r="E532">
        <v>1006</v>
      </c>
      <c r="F532" s="1">
        <v>44010</v>
      </c>
      <c r="G532" t="s">
        <v>91</v>
      </c>
      <c r="H532" s="4">
        <v>195.16</v>
      </c>
      <c r="I532" s="4" t="s">
        <v>16</v>
      </c>
      <c r="J532" s="4">
        <v>195.16</v>
      </c>
      <c r="K532" t="str">
        <f>_xlfn.XLOOKUP($C532,Table1[BusinessUnitID],Table1[BusinessUnit],"",0)</f>
        <v>FOOD SERVICE</v>
      </c>
      <c r="L532" t="str" cm="1">
        <f t="array" ref="L532">_xlfn.XLOOKUP($C532,Table1[[#All],[BusinessUnitID]],Table1[[#All],[Description]],"",0,1)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32" t="str">
        <f>_xlfn.XLOOKUP($B532,ChartOfAccounts!A531:A616,ChartOfAccounts!B531:B616,"",0,1)</f>
        <v/>
      </c>
      <c r="N532">
        <f>_xlfn.XLOOKUP($B532,ChartOfAccounts!A531:A616,ChartOfAccounts!D531:D616,0,1)</f>
        <v>0</v>
      </c>
      <c r="O532" t="str">
        <f>_xlfn.XLOOKUP($B532,ChartOfAccounts!A531:A616,ChartOfAccounts!F531:F616,"",0,1)</f>
        <v/>
      </c>
      <c r="P532" t="str" cm="1">
        <f t="array" ref="P532">_xlfn.XLOOKUP($D532&amp;$C532,PreparerInfo!A531:A543&amp;PreparerInfo!C531:C543,PreparerInfo!B531:B543,"",0,1)</f>
        <v/>
      </c>
      <c r="Q532" t="str">
        <f>_xlfn.XLOOKUP($E532,Source!A531:A539,Source!B531:B539,"",0,1)</f>
        <v/>
      </c>
    </row>
    <row r="533" spans="1:17" x14ac:dyDescent="0.3">
      <c r="A533" s="3">
        <v>2033785</v>
      </c>
      <c r="B533">
        <v>22110</v>
      </c>
      <c r="C533">
        <v>1</v>
      </c>
      <c r="D533" s="9">
        <v>105</v>
      </c>
      <c r="E533">
        <v>1006</v>
      </c>
      <c r="F533" s="1">
        <v>44010</v>
      </c>
      <c r="G533" t="s">
        <v>91</v>
      </c>
      <c r="H533" s="4" t="s">
        <v>16</v>
      </c>
      <c r="I533" s="4">
        <v>-195.16</v>
      </c>
      <c r="J533" s="4">
        <v>-195.16</v>
      </c>
      <c r="K533" t="str">
        <f>_xlfn.XLOOKUP($C533,Table1[BusinessUnitID],Table1[BusinessUnit],"",0)</f>
        <v>FOOD SERVICE</v>
      </c>
      <c r="L533" t="str" cm="1">
        <f t="array" ref="L533">_xlfn.XLOOKUP($C533,Table1[[#All],[BusinessUnitID]],Table1[[#All],[Description]],"",0,1)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33" t="str">
        <f>_xlfn.XLOOKUP($B533,ChartOfAccounts!A532:A617,ChartOfAccounts!B532:B617,"",0,1)</f>
        <v/>
      </c>
      <c r="N533">
        <f>_xlfn.XLOOKUP($B533,ChartOfAccounts!A532:A617,ChartOfAccounts!D532:D617,0,1)</f>
        <v>0</v>
      </c>
      <c r="O533" t="str">
        <f>_xlfn.XLOOKUP($B533,ChartOfAccounts!A532:A617,ChartOfAccounts!F532:F617,"",0,1)</f>
        <v/>
      </c>
      <c r="P533" t="str" cm="1">
        <f t="array" ref="P533">_xlfn.XLOOKUP($D533&amp;$C533,PreparerInfo!A532:A544&amp;PreparerInfo!C532:C544,PreparerInfo!B532:B544,"",0,1)</f>
        <v/>
      </c>
      <c r="Q533" t="str">
        <f>_xlfn.XLOOKUP($E533,Source!A532:A540,Source!B532:B540,"",0,1)</f>
        <v/>
      </c>
    </row>
    <row r="534" spans="1:17" x14ac:dyDescent="0.3">
      <c r="A534" s="3">
        <v>2033786</v>
      </c>
      <c r="B534">
        <v>11845</v>
      </c>
      <c r="C534">
        <v>2</v>
      </c>
      <c r="D534" s="9">
        <v>104</v>
      </c>
      <c r="E534">
        <v>1003</v>
      </c>
      <c r="F534" s="1">
        <v>44010</v>
      </c>
      <c r="G534" t="s">
        <v>242</v>
      </c>
      <c r="H534" s="4">
        <v>198</v>
      </c>
      <c r="I534" s="4" t="s">
        <v>16</v>
      </c>
      <c r="J534" s="4">
        <v>198</v>
      </c>
      <c r="K534" t="str">
        <f>_xlfn.XLOOKUP($C534,Table1[BusinessUnitID],Table1[BusinessUnit],"",0)</f>
        <v>HOTEL</v>
      </c>
      <c r="L534" t="str" cm="1">
        <f t="array" ref="L534">_xlfn.XLOOKUP($C534,Table1[[#All],[BusinessUnitID]],Table1[[#All],[Description]],"",0,1)</f>
        <v xml:space="preserve">Transactions related to guest rooms and overall hotel operations. Includes payroll for administrative staff, clerks and interns. </v>
      </c>
      <c r="M534" t="str">
        <f>_xlfn.XLOOKUP($B534,ChartOfAccounts!A533:A618,ChartOfAccounts!B533:B618,"",0,1)</f>
        <v/>
      </c>
      <c r="N534">
        <f>_xlfn.XLOOKUP($B534,ChartOfAccounts!A533:A618,ChartOfAccounts!D533:D618,0,1)</f>
        <v>0</v>
      </c>
      <c r="O534" t="str">
        <f>_xlfn.XLOOKUP($B534,ChartOfAccounts!A533:A618,ChartOfAccounts!F533:F618,"",0,1)</f>
        <v/>
      </c>
      <c r="P534" t="str" cm="1">
        <f t="array" ref="P534">_xlfn.XLOOKUP($D534&amp;$C534,PreparerInfo!A533:A545&amp;PreparerInfo!C533:C545,PreparerInfo!B533:B545,"",0,1)</f>
        <v/>
      </c>
      <c r="Q534" t="str">
        <f>_xlfn.XLOOKUP($E534,Source!A533:A541,Source!B533:B541,"",0,1)</f>
        <v/>
      </c>
    </row>
    <row r="535" spans="1:17" x14ac:dyDescent="0.3">
      <c r="A535" s="3">
        <v>2033786</v>
      </c>
      <c r="B535">
        <v>43180</v>
      </c>
      <c r="C535">
        <v>2</v>
      </c>
      <c r="D535" s="9">
        <v>104</v>
      </c>
      <c r="E535">
        <v>1003</v>
      </c>
      <c r="F535" s="1">
        <v>44010</v>
      </c>
      <c r="G535" t="s">
        <v>242</v>
      </c>
      <c r="H535" s="4" t="s">
        <v>16</v>
      </c>
      <c r="I535" s="4">
        <v>-198</v>
      </c>
      <c r="J535" s="4">
        <v>-198</v>
      </c>
      <c r="K535" t="str">
        <f>_xlfn.XLOOKUP($C535,Table1[BusinessUnitID],Table1[BusinessUnit],"",0)</f>
        <v>HOTEL</v>
      </c>
      <c r="L535" t="str" cm="1">
        <f t="array" ref="L535">_xlfn.XLOOKUP($C535,Table1[[#All],[BusinessUnitID]],Table1[[#All],[Description]],"",0,1)</f>
        <v xml:space="preserve">Transactions related to guest rooms and overall hotel operations. Includes payroll for administrative staff, clerks and interns. </v>
      </c>
      <c r="M535" t="str">
        <f>_xlfn.XLOOKUP($B535,ChartOfAccounts!A534:A619,ChartOfAccounts!B534:B619,"",0,1)</f>
        <v/>
      </c>
      <c r="N535">
        <f>_xlfn.XLOOKUP($B535,ChartOfAccounts!A534:A619,ChartOfAccounts!D534:D619,0,1)</f>
        <v>0</v>
      </c>
      <c r="O535" t="str">
        <f>_xlfn.XLOOKUP($B535,ChartOfAccounts!A534:A619,ChartOfAccounts!F534:F619,"",0,1)</f>
        <v/>
      </c>
      <c r="P535" t="str" cm="1">
        <f t="array" ref="P535">_xlfn.XLOOKUP($D535&amp;$C535,PreparerInfo!A534:A546&amp;PreparerInfo!C534:C546,PreparerInfo!B534:B546,"",0,1)</f>
        <v/>
      </c>
      <c r="Q535" t="str">
        <f>_xlfn.XLOOKUP($E535,Source!A534:A542,Source!B534:B542,"",0,1)</f>
        <v/>
      </c>
    </row>
    <row r="536" spans="1:17" x14ac:dyDescent="0.3">
      <c r="A536" s="3">
        <v>2033787</v>
      </c>
      <c r="B536">
        <v>14260</v>
      </c>
      <c r="C536">
        <v>1</v>
      </c>
      <c r="D536" s="9">
        <v>102</v>
      </c>
      <c r="E536">
        <v>1002</v>
      </c>
      <c r="F536" s="1">
        <v>44010</v>
      </c>
      <c r="G536" t="s">
        <v>47</v>
      </c>
      <c r="H536" s="4">
        <v>198</v>
      </c>
      <c r="I536" s="4" t="s">
        <v>16</v>
      </c>
      <c r="J536" s="4">
        <v>198</v>
      </c>
      <c r="K536" t="str">
        <f>_xlfn.XLOOKUP($C536,Table1[BusinessUnitID],Table1[BusinessUnit],"",0)</f>
        <v>FOOD SERVICE</v>
      </c>
      <c r="L536" t="str" cm="1">
        <f t="array" ref="L536">_xlfn.XLOOKUP($C536,Table1[[#All],[BusinessUnitID]],Table1[[#All],[Description]],"",0,1)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36" t="str">
        <f>_xlfn.XLOOKUP($B536,ChartOfAccounts!A535:A620,ChartOfAccounts!B535:B620,"",0,1)</f>
        <v/>
      </c>
      <c r="N536">
        <f>_xlfn.XLOOKUP($B536,ChartOfAccounts!A535:A620,ChartOfAccounts!D535:D620,0,1)</f>
        <v>0</v>
      </c>
      <c r="O536" t="str">
        <f>_xlfn.XLOOKUP($B536,ChartOfAccounts!A535:A620,ChartOfAccounts!F535:F620,"",0,1)</f>
        <v/>
      </c>
      <c r="P536" t="str" cm="1">
        <f t="array" ref="P536">_xlfn.XLOOKUP($D536&amp;$C536,PreparerInfo!A535:A547&amp;PreparerInfo!C535:C547,PreparerInfo!B535:B547,"",0,1)</f>
        <v/>
      </c>
      <c r="Q536" t="str">
        <f>_xlfn.XLOOKUP($E536,Source!A535:A543,Source!B535:B543,"",0,1)</f>
        <v/>
      </c>
    </row>
    <row r="537" spans="1:17" x14ac:dyDescent="0.3">
      <c r="A537" s="3">
        <v>2033787</v>
      </c>
      <c r="B537">
        <v>11845</v>
      </c>
      <c r="C537">
        <v>1</v>
      </c>
      <c r="D537" s="9">
        <v>102</v>
      </c>
      <c r="E537">
        <v>1002</v>
      </c>
      <c r="F537" s="1">
        <v>44010</v>
      </c>
      <c r="G537" t="s">
        <v>47</v>
      </c>
      <c r="H537" s="4" t="s">
        <v>16</v>
      </c>
      <c r="I537" s="4">
        <v>-198</v>
      </c>
      <c r="J537" s="4">
        <v>-198</v>
      </c>
      <c r="K537" t="str">
        <f>_xlfn.XLOOKUP($C537,Table1[BusinessUnitID],Table1[BusinessUnit],"",0)</f>
        <v>FOOD SERVICE</v>
      </c>
      <c r="L537" t="str" cm="1">
        <f t="array" ref="L537">_xlfn.XLOOKUP($C537,Table1[[#All],[BusinessUnitID]],Table1[[#All],[Description]],"",0,1)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37" t="str">
        <f>_xlfn.XLOOKUP($B537,ChartOfAccounts!A536:A621,ChartOfAccounts!B536:B621,"",0,1)</f>
        <v/>
      </c>
      <c r="N537">
        <f>_xlfn.XLOOKUP($B537,ChartOfAccounts!A536:A621,ChartOfAccounts!D536:D621,0,1)</f>
        <v>0</v>
      </c>
      <c r="O537" t="str">
        <f>_xlfn.XLOOKUP($B537,ChartOfAccounts!A536:A621,ChartOfAccounts!F536:F621,"",0,1)</f>
        <v/>
      </c>
      <c r="P537" t="str" cm="1">
        <f t="array" ref="P537">_xlfn.XLOOKUP($D537&amp;$C537,PreparerInfo!A536:A548&amp;PreparerInfo!C536:C548,PreparerInfo!B536:B548,"",0,1)</f>
        <v/>
      </c>
      <c r="Q537" t="str">
        <f>_xlfn.XLOOKUP($E537,Source!A536:A544,Source!B536:B544,"",0,1)</f>
        <v/>
      </c>
    </row>
    <row r="538" spans="1:17" x14ac:dyDescent="0.3">
      <c r="A538" s="3">
        <v>2033788</v>
      </c>
      <c r="B538">
        <v>51400</v>
      </c>
      <c r="C538">
        <v>6</v>
      </c>
      <c r="D538" s="9">
        <v>105</v>
      </c>
      <c r="E538">
        <v>1006</v>
      </c>
      <c r="F538" s="1">
        <v>44010</v>
      </c>
      <c r="G538" t="s">
        <v>93</v>
      </c>
      <c r="H538" s="4">
        <v>204.48</v>
      </c>
      <c r="I538" s="4" t="s">
        <v>16</v>
      </c>
      <c r="J538" s="4">
        <v>204.48</v>
      </c>
      <c r="K538" t="str">
        <f>_xlfn.XLOOKUP($C538,Table1[BusinessUnitID],Table1[BusinessUnit],"",0)</f>
        <v>MAINTENANCE</v>
      </c>
      <c r="L538" t="str" cm="1">
        <f t="array" ref="L538">_xlfn.XLOOKUP($C538,Table1[[#All],[BusinessUnitID]],Table1[[#All],[Description]],"",0,1)</f>
        <v>Transactions related to the hotel Maintenance Department. Primarily includes payroll for maintenance, grounds keepers and related supplies.</v>
      </c>
      <c r="M538" t="str">
        <f>_xlfn.XLOOKUP($B538,ChartOfAccounts!A537:A622,ChartOfAccounts!B537:B622,"",0,1)</f>
        <v/>
      </c>
      <c r="N538">
        <f>_xlfn.XLOOKUP($B538,ChartOfAccounts!A537:A622,ChartOfAccounts!D537:D622,0,1)</f>
        <v>0</v>
      </c>
      <c r="O538" t="str">
        <f>_xlfn.XLOOKUP($B538,ChartOfAccounts!A537:A622,ChartOfAccounts!F537:F622,"",0,1)</f>
        <v/>
      </c>
      <c r="P538" t="str" cm="1">
        <f t="array" ref="P538">_xlfn.XLOOKUP($D538&amp;$C538,PreparerInfo!A537:A549&amp;PreparerInfo!C537:C549,PreparerInfo!B537:B549,"",0,1)</f>
        <v/>
      </c>
      <c r="Q538" t="str">
        <f>_xlfn.XLOOKUP($E538,Source!A537:A545,Source!B537:B545,"",0,1)</f>
        <v/>
      </c>
    </row>
    <row r="539" spans="1:17" x14ac:dyDescent="0.3">
      <c r="A539" s="3">
        <v>2033788</v>
      </c>
      <c r="B539">
        <v>22110</v>
      </c>
      <c r="C539">
        <v>6</v>
      </c>
      <c r="D539" s="9">
        <v>105</v>
      </c>
      <c r="E539">
        <v>1006</v>
      </c>
      <c r="F539" s="1">
        <v>44010</v>
      </c>
      <c r="G539" t="s">
        <v>93</v>
      </c>
      <c r="H539" s="4" t="s">
        <v>16</v>
      </c>
      <c r="I539" s="4">
        <v>-204.48</v>
      </c>
      <c r="J539" s="4">
        <v>-204.48</v>
      </c>
      <c r="K539" t="str">
        <f>_xlfn.XLOOKUP($C539,Table1[BusinessUnitID],Table1[BusinessUnit],"",0)</f>
        <v>MAINTENANCE</v>
      </c>
      <c r="L539" t="str" cm="1">
        <f t="array" ref="L539">_xlfn.XLOOKUP($C539,Table1[[#All],[BusinessUnitID]],Table1[[#All],[Description]],"",0,1)</f>
        <v>Transactions related to the hotel Maintenance Department. Primarily includes payroll for maintenance, grounds keepers and related supplies.</v>
      </c>
      <c r="M539" t="str">
        <f>_xlfn.XLOOKUP($B539,ChartOfAccounts!A538:A623,ChartOfAccounts!B538:B623,"",0,1)</f>
        <v/>
      </c>
      <c r="N539">
        <f>_xlfn.XLOOKUP($B539,ChartOfAccounts!A538:A623,ChartOfAccounts!D538:D623,0,1)</f>
        <v>0</v>
      </c>
      <c r="O539" t="str">
        <f>_xlfn.XLOOKUP($B539,ChartOfAccounts!A538:A623,ChartOfAccounts!F538:F623,"",0,1)</f>
        <v/>
      </c>
      <c r="P539" t="str" cm="1">
        <f t="array" ref="P539">_xlfn.XLOOKUP($D539&amp;$C539,PreparerInfo!A538:A550&amp;PreparerInfo!C538:C550,PreparerInfo!B538:B550,"",0,1)</f>
        <v/>
      </c>
      <c r="Q539" t="str">
        <f>_xlfn.XLOOKUP($E539,Source!A538:A546,Source!B538:B546,"",0,1)</f>
        <v/>
      </c>
    </row>
    <row r="540" spans="1:17" x14ac:dyDescent="0.3">
      <c r="A540" s="3">
        <v>2033789</v>
      </c>
      <c r="B540">
        <v>14260</v>
      </c>
      <c r="C540">
        <v>1</v>
      </c>
      <c r="D540" s="9">
        <v>102</v>
      </c>
      <c r="E540">
        <v>1002</v>
      </c>
      <c r="F540" s="1">
        <v>44010</v>
      </c>
      <c r="G540" t="s">
        <v>47</v>
      </c>
      <c r="H540" s="4">
        <v>215.09</v>
      </c>
      <c r="I540" s="4" t="s">
        <v>16</v>
      </c>
      <c r="J540" s="4">
        <v>215.09</v>
      </c>
      <c r="K540" t="str">
        <f>_xlfn.XLOOKUP($C540,Table1[BusinessUnitID],Table1[BusinessUnit],"",0)</f>
        <v>FOOD SERVICE</v>
      </c>
      <c r="L540" t="str" cm="1">
        <f t="array" ref="L540">_xlfn.XLOOKUP($C540,Table1[[#All],[BusinessUnitID]],Table1[[#All],[Description]],"",0,1)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40" t="str">
        <f>_xlfn.XLOOKUP($B540,ChartOfAccounts!A539:A624,ChartOfAccounts!B539:B624,"",0,1)</f>
        <v/>
      </c>
      <c r="N540">
        <f>_xlfn.XLOOKUP($B540,ChartOfAccounts!A539:A624,ChartOfAccounts!D539:D624,0,1)</f>
        <v>0</v>
      </c>
      <c r="O540" t="str">
        <f>_xlfn.XLOOKUP($B540,ChartOfAccounts!A539:A624,ChartOfAccounts!F539:F624,"",0,1)</f>
        <v/>
      </c>
      <c r="P540" t="str" cm="1">
        <f t="array" ref="P540">_xlfn.XLOOKUP($D540&amp;$C540,PreparerInfo!A539:A551&amp;PreparerInfo!C539:C551,PreparerInfo!B539:B551,"",0,1)</f>
        <v/>
      </c>
      <c r="Q540" t="str">
        <f>_xlfn.XLOOKUP($E540,Source!A539:A547,Source!B539:B547,"",0,1)</f>
        <v/>
      </c>
    </row>
    <row r="541" spans="1:17" x14ac:dyDescent="0.3">
      <c r="A541" s="3">
        <v>2033789</v>
      </c>
      <c r="B541">
        <v>11845</v>
      </c>
      <c r="C541">
        <v>1</v>
      </c>
      <c r="D541" s="9">
        <v>102</v>
      </c>
      <c r="E541">
        <v>1002</v>
      </c>
      <c r="F541" s="1">
        <v>44010</v>
      </c>
      <c r="G541" t="s">
        <v>47</v>
      </c>
      <c r="H541" s="4" t="s">
        <v>16</v>
      </c>
      <c r="I541" s="4">
        <v>-215.09</v>
      </c>
      <c r="J541" s="4">
        <v>-215.09</v>
      </c>
      <c r="K541" t="str">
        <f>_xlfn.XLOOKUP($C541,Table1[BusinessUnitID],Table1[BusinessUnit],"",0)</f>
        <v>FOOD SERVICE</v>
      </c>
      <c r="L541" t="str" cm="1">
        <f t="array" ref="L541">_xlfn.XLOOKUP($C541,Table1[[#All],[BusinessUnitID]],Table1[[#All],[Description]],"",0,1)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41" t="str">
        <f>_xlfn.XLOOKUP($B541,ChartOfAccounts!A540:A625,ChartOfAccounts!B540:B625,"",0,1)</f>
        <v/>
      </c>
      <c r="N541">
        <f>_xlfn.XLOOKUP($B541,ChartOfAccounts!A540:A625,ChartOfAccounts!D540:D625,0,1)</f>
        <v>0</v>
      </c>
      <c r="O541" t="str">
        <f>_xlfn.XLOOKUP($B541,ChartOfAccounts!A540:A625,ChartOfAccounts!F540:F625,"",0,1)</f>
        <v/>
      </c>
      <c r="P541" t="str" cm="1">
        <f t="array" ref="P541">_xlfn.XLOOKUP($D541&amp;$C541,PreparerInfo!A540:A552&amp;PreparerInfo!C540:C552,PreparerInfo!B540:B552,"",0,1)</f>
        <v/>
      </c>
      <c r="Q541" t="str">
        <f>_xlfn.XLOOKUP($E541,Source!A540:A548,Source!B540:B548,"",0,1)</f>
        <v/>
      </c>
    </row>
    <row r="542" spans="1:17" x14ac:dyDescent="0.3">
      <c r="A542" s="3">
        <v>2033790</v>
      </c>
      <c r="B542">
        <v>71900</v>
      </c>
      <c r="C542">
        <v>1</v>
      </c>
      <c r="D542" s="9">
        <v>102</v>
      </c>
      <c r="E542">
        <v>1002</v>
      </c>
      <c r="F542" s="1">
        <v>44010</v>
      </c>
      <c r="G542" t="s">
        <v>36</v>
      </c>
      <c r="H542" s="4">
        <v>229.45</v>
      </c>
      <c r="I542" s="4" t="s">
        <v>16</v>
      </c>
      <c r="J542" s="4">
        <v>229.45</v>
      </c>
      <c r="K542" t="str">
        <f>_xlfn.XLOOKUP($C542,Table1[BusinessUnitID],Table1[BusinessUnit],"",0)</f>
        <v>FOOD SERVICE</v>
      </c>
      <c r="L542" t="str" cm="1">
        <f t="array" ref="L542">_xlfn.XLOOKUP($C542,Table1[[#All],[BusinessUnitID]],Table1[[#All],[Description]],"",0,1)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42" t="str">
        <f>_xlfn.XLOOKUP($B542,ChartOfAccounts!A541:A626,ChartOfAccounts!B541:B626,"",0,1)</f>
        <v/>
      </c>
      <c r="N542">
        <f>_xlfn.XLOOKUP($B542,ChartOfAccounts!A541:A626,ChartOfAccounts!D541:D626,0,1)</f>
        <v>0</v>
      </c>
      <c r="O542" t="str">
        <f>_xlfn.XLOOKUP($B542,ChartOfAccounts!A541:A626,ChartOfAccounts!F541:F626,"",0,1)</f>
        <v/>
      </c>
      <c r="P542" t="str" cm="1">
        <f t="array" ref="P542">_xlfn.XLOOKUP($D542&amp;$C542,PreparerInfo!A541:A553&amp;PreparerInfo!C541:C553,PreparerInfo!B541:B553,"",0,1)</f>
        <v/>
      </c>
      <c r="Q542" t="str">
        <f>_xlfn.XLOOKUP($E542,Source!A541:A549,Source!B541:B549,"",0,1)</f>
        <v/>
      </c>
    </row>
    <row r="543" spans="1:17" x14ac:dyDescent="0.3">
      <c r="A543" s="3">
        <v>2033790</v>
      </c>
      <c r="B543">
        <v>11845</v>
      </c>
      <c r="C543">
        <v>1</v>
      </c>
      <c r="D543" s="9">
        <v>102</v>
      </c>
      <c r="E543">
        <v>1002</v>
      </c>
      <c r="F543" s="1">
        <v>44010</v>
      </c>
      <c r="G543" t="s">
        <v>36</v>
      </c>
      <c r="H543" s="4" t="s">
        <v>16</v>
      </c>
      <c r="I543" s="4">
        <v>-229.45</v>
      </c>
      <c r="J543" s="4">
        <v>-229.45</v>
      </c>
      <c r="K543" t="str">
        <f>_xlfn.XLOOKUP($C543,Table1[BusinessUnitID],Table1[BusinessUnit],"",0)</f>
        <v>FOOD SERVICE</v>
      </c>
      <c r="L543" t="str" cm="1">
        <f t="array" ref="L543">_xlfn.XLOOKUP($C543,Table1[[#All],[BusinessUnitID]],Table1[[#All],[Description]],"",0,1)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43" t="str">
        <f>_xlfn.XLOOKUP($B543,ChartOfAccounts!A542:A627,ChartOfAccounts!B542:B627,"",0,1)</f>
        <v/>
      </c>
      <c r="N543">
        <f>_xlfn.XLOOKUP($B543,ChartOfAccounts!A542:A627,ChartOfAccounts!D542:D627,0,1)</f>
        <v>0</v>
      </c>
      <c r="O543" t="str">
        <f>_xlfn.XLOOKUP($B543,ChartOfAccounts!A542:A627,ChartOfAccounts!F542:F627,"",0,1)</f>
        <v/>
      </c>
      <c r="P543" t="str" cm="1">
        <f t="array" ref="P543">_xlfn.XLOOKUP($D543&amp;$C543,PreparerInfo!A542:A554&amp;PreparerInfo!C542:C554,PreparerInfo!B542:B554,"",0,1)</f>
        <v/>
      </c>
      <c r="Q543" t="str">
        <f>_xlfn.XLOOKUP($E543,Source!A542:A550,Source!B542:B550,"",0,1)</f>
        <v/>
      </c>
    </row>
    <row r="544" spans="1:17" x14ac:dyDescent="0.3">
      <c r="A544" s="3">
        <v>2033791</v>
      </c>
      <c r="B544">
        <v>72760</v>
      </c>
      <c r="C544">
        <v>6</v>
      </c>
      <c r="D544" s="9">
        <v>101</v>
      </c>
      <c r="E544">
        <v>1002</v>
      </c>
      <c r="F544" s="1">
        <v>44010</v>
      </c>
      <c r="G544" t="s">
        <v>135</v>
      </c>
      <c r="H544" s="4">
        <v>236.32</v>
      </c>
      <c r="I544" s="4" t="s">
        <v>16</v>
      </c>
      <c r="J544" s="4">
        <v>236.32</v>
      </c>
      <c r="K544" t="str">
        <f>_xlfn.XLOOKUP($C544,Table1[BusinessUnitID],Table1[BusinessUnit],"",0)</f>
        <v>MAINTENANCE</v>
      </c>
      <c r="L544" t="str" cm="1">
        <f t="array" ref="L544">_xlfn.XLOOKUP($C544,Table1[[#All],[BusinessUnitID]],Table1[[#All],[Description]],"",0,1)</f>
        <v>Transactions related to the hotel Maintenance Department. Primarily includes payroll for maintenance, grounds keepers and related supplies.</v>
      </c>
      <c r="M544" t="str">
        <f>_xlfn.XLOOKUP($B544,ChartOfAccounts!A543:A628,ChartOfAccounts!B543:B628,"",0,1)</f>
        <v/>
      </c>
      <c r="N544">
        <f>_xlfn.XLOOKUP($B544,ChartOfAccounts!A543:A628,ChartOfAccounts!D543:D628,0,1)</f>
        <v>0</v>
      </c>
      <c r="O544" t="str">
        <f>_xlfn.XLOOKUP($B544,ChartOfAccounts!A543:A628,ChartOfAccounts!F543:F628,"",0,1)</f>
        <v/>
      </c>
      <c r="P544" t="str" cm="1">
        <f t="array" ref="P544">_xlfn.XLOOKUP($D544&amp;$C544,PreparerInfo!A543:A555&amp;PreparerInfo!C543:C555,PreparerInfo!B543:B555,"",0,1)</f>
        <v/>
      </c>
      <c r="Q544" t="str">
        <f>_xlfn.XLOOKUP($E544,Source!A543:A551,Source!B543:B551,"",0,1)</f>
        <v/>
      </c>
    </row>
    <row r="545" spans="1:17" x14ac:dyDescent="0.3">
      <c r="A545" s="3">
        <v>2033791</v>
      </c>
      <c r="B545">
        <v>11845</v>
      </c>
      <c r="C545">
        <v>6</v>
      </c>
      <c r="D545" s="9">
        <v>101</v>
      </c>
      <c r="E545">
        <v>1002</v>
      </c>
      <c r="F545" s="1">
        <v>44010</v>
      </c>
      <c r="G545" t="s">
        <v>135</v>
      </c>
      <c r="H545" s="4" t="s">
        <v>16</v>
      </c>
      <c r="I545" s="4">
        <v>-236.32</v>
      </c>
      <c r="J545" s="4">
        <v>-236.32</v>
      </c>
      <c r="K545" t="str">
        <f>_xlfn.XLOOKUP($C545,Table1[BusinessUnitID],Table1[BusinessUnit],"",0)</f>
        <v>MAINTENANCE</v>
      </c>
      <c r="L545" t="str" cm="1">
        <f t="array" ref="L545">_xlfn.XLOOKUP($C545,Table1[[#All],[BusinessUnitID]],Table1[[#All],[Description]],"",0,1)</f>
        <v>Transactions related to the hotel Maintenance Department. Primarily includes payroll for maintenance, grounds keepers and related supplies.</v>
      </c>
      <c r="M545" t="str">
        <f>_xlfn.XLOOKUP($B545,ChartOfAccounts!A544:A629,ChartOfAccounts!B544:B629,"",0,1)</f>
        <v/>
      </c>
      <c r="N545">
        <f>_xlfn.XLOOKUP($B545,ChartOfAccounts!A544:A629,ChartOfAccounts!D544:D629,0,1)</f>
        <v>0</v>
      </c>
      <c r="O545" t="str">
        <f>_xlfn.XLOOKUP($B545,ChartOfAccounts!A544:A629,ChartOfAccounts!F544:F629,"",0,1)</f>
        <v/>
      </c>
      <c r="P545" t="str" cm="1">
        <f t="array" ref="P545">_xlfn.XLOOKUP($D545&amp;$C545,PreparerInfo!A544:A556&amp;PreparerInfo!C544:C556,PreparerInfo!B544:B556,"",0,1)</f>
        <v/>
      </c>
      <c r="Q545" t="str">
        <f>_xlfn.XLOOKUP($E545,Source!A544:A552,Source!B544:B552,"",0,1)</f>
        <v/>
      </c>
    </row>
    <row r="546" spans="1:17" x14ac:dyDescent="0.3">
      <c r="A546" s="3">
        <v>2033792</v>
      </c>
      <c r="B546">
        <v>11845</v>
      </c>
      <c r="C546">
        <v>2</v>
      </c>
      <c r="D546" s="9">
        <v>106</v>
      </c>
      <c r="E546">
        <v>1003</v>
      </c>
      <c r="F546" s="1">
        <v>44010</v>
      </c>
      <c r="G546" t="s">
        <v>81</v>
      </c>
      <c r="H546" s="4">
        <v>258</v>
      </c>
      <c r="I546" s="4" t="s">
        <v>16</v>
      </c>
      <c r="J546" s="4">
        <v>258</v>
      </c>
      <c r="K546" t="str">
        <f>_xlfn.XLOOKUP($C546,Table1[BusinessUnitID],Table1[BusinessUnit],"",0)</f>
        <v>HOTEL</v>
      </c>
      <c r="L546" t="str" cm="1">
        <f t="array" ref="L546">_xlfn.XLOOKUP($C546,Table1[[#All],[BusinessUnitID]],Table1[[#All],[Description]],"",0,1)</f>
        <v xml:space="preserve">Transactions related to guest rooms and overall hotel operations. Includes payroll for administrative staff, clerks and interns. </v>
      </c>
      <c r="M546" t="str">
        <f>_xlfn.XLOOKUP($B546,ChartOfAccounts!A545:A630,ChartOfAccounts!B545:B630,"",0,1)</f>
        <v/>
      </c>
      <c r="N546">
        <f>_xlfn.XLOOKUP($B546,ChartOfAccounts!A545:A630,ChartOfAccounts!D545:D630,0,1)</f>
        <v>0</v>
      </c>
      <c r="O546" t="str">
        <f>_xlfn.XLOOKUP($B546,ChartOfAccounts!A545:A630,ChartOfAccounts!F545:F630,"",0,1)</f>
        <v/>
      </c>
      <c r="P546" t="str" cm="1">
        <f t="array" ref="P546">_xlfn.XLOOKUP($D546&amp;$C546,PreparerInfo!A545:A557&amp;PreparerInfo!C545:C557,PreparerInfo!B545:B557,"",0,1)</f>
        <v/>
      </c>
      <c r="Q546" t="str">
        <f>_xlfn.XLOOKUP($E546,Source!A545:A553,Source!B545:B553,"",0,1)</f>
        <v/>
      </c>
    </row>
    <row r="547" spans="1:17" x14ac:dyDescent="0.3">
      <c r="A547" s="3">
        <v>2033792</v>
      </c>
      <c r="B547">
        <v>43180</v>
      </c>
      <c r="C547">
        <v>2</v>
      </c>
      <c r="D547" s="9">
        <v>106</v>
      </c>
      <c r="E547">
        <v>1003</v>
      </c>
      <c r="F547" s="1">
        <v>44010</v>
      </c>
      <c r="G547" t="s">
        <v>81</v>
      </c>
      <c r="H547" s="4" t="s">
        <v>16</v>
      </c>
      <c r="I547" s="4">
        <v>-258</v>
      </c>
      <c r="J547" s="4">
        <v>-258</v>
      </c>
      <c r="K547" t="str">
        <f>_xlfn.XLOOKUP($C547,Table1[BusinessUnitID],Table1[BusinessUnit],"",0)</f>
        <v>HOTEL</v>
      </c>
      <c r="L547" t="str" cm="1">
        <f t="array" ref="L547">_xlfn.XLOOKUP($C547,Table1[[#All],[BusinessUnitID]],Table1[[#All],[Description]],"",0,1)</f>
        <v xml:space="preserve">Transactions related to guest rooms and overall hotel operations. Includes payroll for administrative staff, clerks and interns. </v>
      </c>
      <c r="M547" t="str">
        <f>_xlfn.XLOOKUP($B547,ChartOfAccounts!A546:A631,ChartOfAccounts!B546:B631,"",0,1)</f>
        <v/>
      </c>
      <c r="N547">
        <f>_xlfn.XLOOKUP($B547,ChartOfAccounts!A546:A631,ChartOfAccounts!D546:D631,0,1)</f>
        <v>0</v>
      </c>
      <c r="O547" t="str">
        <f>_xlfn.XLOOKUP($B547,ChartOfAccounts!A546:A631,ChartOfAccounts!F546:F631,"",0,1)</f>
        <v/>
      </c>
      <c r="P547" t="str" cm="1">
        <f t="array" ref="P547">_xlfn.XLOOKUP($D547&amp;$C547,PreparerInfo!A546:A558&amp;PreparerInfo!C546:C558,PreparerInfo!B546:B558,"",0,1)</f>
        <v/>
      </c>
      <c r="Q547" t="str">
        <f>_xlfn.XLOOKUP($E547,Source!A546:A554,Source!B546:B554,"",0,1)</f>
        <v/>
      </c>
    </row>
    <row r="548" spans="1:17" x14ac:dyDescent="0.3">
      <c r="A548" s="3">
        <v>2033793</v>
      </c>
      <c r="B548">
        <v>14260</v>
      </c>
      <c r="C548">
        <v>1</v>
      </c>
      <c r="D548" s="9">
        <v>102</v>
      </c>
      <c r="E548">
        <v>1002</v>
      </c>
      <c r="F548" s="1">
        <v>44010</v>
      </c>
      <c r="G548" t="s">
        <v>47</v>
      </c>
      <c r="H548" s="4">
        <v>288.74</v>
      </c>
      <c r="I548" s="4" t="s">
        <v>16</v>
      </c>
      <c r="J548" s="4">
        <v>288.74</v>
      </c>
      <c r="K548" t="str">
        <f>_xlfn.XLOOKUP($C548,Table1[BusinessUnitID],Table1[BusinessUnit],"",0)</f>
        <v>FOOD SERVICE</v>
      </c>
      <c r="L548" t="str" cm="1">
        <f t="array" ref="L548">_xlfn.XLOOKUP($C548,Table1[[#All],[BusinessUnitID]],Table1[[#All],[Description]],"",0,1)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48" t="str">
        <f>_xlfn.XLOOKUP($B548,ChartOfAccounts!A547:A632,ChartOfAccounts!B547:B632,"",0,1)</f>
        <v/>
      </c>
      <c r="N548">
        <f>_xlfn.XLOOKUP($B548,ChartOfAccounts!A547:A632,ChartOfAccounts!D547:D632,0,1)</f>
        <v>0</v>
      </c>
      <c r="O548" t="str">
        <f>_xlfn.XLOOKUP($B548,ChartOfAccounts!A547:A632,ChartOfAccounts!F547:F632,"",0,1)</f>
        <v/>
      </c>
      <c r="P548" t="str" cm="1">
        <f t="array" ref="P548">_xlfn.XLOOKUP($D548&amp;$C548,PreparerInfo!A547:A559&amp;PreparerInfo!C547:C559,PreparerInfo!B547:B559,"",0,1)</f>
        <v/>
      </c>
      <c r="Q548" t="str">
        <f>_xlfn.XLOOKUP($E548,Source!A547:A555,Source!B547:B555,"",0,1)</f>
        <v/>
      </c>
    </row>
    <row r="549" spans="1:17" x14ac:dyDescent="0.3">
      <c r="A549" s="3">
        <v>2033793</v>
      </c>
      <c r="B549">
        <v>11845</v>
      </c>
      <c r="C549">
        <v>1</v>
      </c>
      <c r="D549" s="9">
        <v>102</v>
      </c>
      <c r="E549">
        <v>1002</v>
      </c>
      <c r="F549" s="1">
        <v>44010</v>
      </c>
      <c r="G549" t="s">
        <v>47</v>
      </c>
      <c r="H549" s="4" t="s">
        <v>16</v>
      </c>
      <c r="I549" s="4">
        <v>-288.74</v>
      </c>
      <c r="J549" s="4">
        <v>-288.74</v>
      </c>
      <c r="K549" t="str">
        <f>_xlfn.XLOOKUP($C549,Table1[BusinessUnitID],Table1[BusinessUnit],"",0)</f>
        <v>FOOD SERVICE</v>
      </c>
      <c r="L549" t="str" cm="1">
        <f t="array" ref="L549">_xlfn.XLOOKUP($C549,Table1[[#All],[BusinessUnitID]],Table1[[#All],[Description]],"",0,1)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49" t="str">
        <f>_xlfn.XLOOKUP($B549,ChartOfAccounts!A548:A633,ChartOfAccounts!B548:B633,"",0,1)</f>
        <v/>
      </c>
      <c r="N549">
        <f>_xlfn.XLOOKUP($B549,ChartOfAccounts!A548:A633,ChartOfAccounts!D548:D633,0,1)</f>
        <v>0</v>
      </c>
      <c r="O549" t="str">
        <f>_xlfn.XLOOKUP($B549,ChartOfAccounts!A548:A633,ChartOfAccounts!F548:F633,"",0,1)</f>
        <v/>
      </c>
      <c r="P549" t="str" cm="1">
        <f t="array" ref="P549">_xlfn.XLOOKUP($D549&amp;$C549,PreparerInfo!A548:A560&amp;PreparerInfo!C548:C560,PreparerInfo!B548:B560,"",0,1)</f>
        <v/>
      </c>
      <c r="Q549" t="str">
        <f>_xlfn.XLOOKUP($E549,Source!A548:A556,Source!B548:B556,"",0,1)</f>
        <v/>
      </c>
    </row>
    <row r="550" spans="1:17" x14ac:dyDescent="0.3">
      <c r="A550" s="3">
        <v>2033794</v>
      </c>
      <c r="B550">
        <v>51400</v>
      </c>
      <c r="C550">
        <v>4</v>
      </c>
      <c r="D550" s="9">
        <v>105</v>
      </c>
      <c r="E550">
        <v>1006</v>
      </c>
      <c r="F550" s="1">
        <v>44010</v>
      </c>
      <c r="G550" t="s">
        <v>93</v>
      </c>
      <c r="H550" s="4">
        <v>373.6</v>
      </c>
      <c r="I550" s="4" t="s">
        <v>16</v>
      </c>
      <c r="J550" s="4">
        <v>373.6</v>
      </c>
      <c r="K550" t="str">
        <f>_xlfn.XLOOKUP($C550,Table1[BusinessUnitID],Table1[BusinessUnit],"",0)</f>
        <v>HOUSEKEEPING</v>
      </c>
      <c r="L550" t="str" cm="1">
        <f t="array" ref="L550">_xlfn.XLOOKUP($C550,Table1[[#All],[BusinessUnitID]],Table1[[#All],[Description]],"",0,1)</f>
        <v xml:space="preserve">Transactions related to the Housekeeping Department. Primarily includes payroll for housekeepers and housekeeping supplies. </v>
      </c>
      <c r="M550" t="str">
        <f>_xlfn.XLOOKUP($B550,ChartOfAccounts!A549:A634,ChartOfAccounts!B549:B634,"",0,1)</f>
        <v/>
      </c>
      <c r="N550">
        <f>_xlfn.XLOOKUP($B550,ChartOfAccounts!A549:A634,ChartOfAccounts!D549:D634,0,1)</f>
        <v>0</v>
      </c>
      <c r="O550" t="str">
        <f>_xlfn.XLOOKUP($B550,ChartOfAccounts!A549:A634,ChartOfAccounts!F549:F634,"",0,1)</f>
        <v/>
      </c>
      <c r="P550" t="str" cm="1">
        <f t="array" ref="P550">_xlfn.XLOOKUP($D550&amp;$C550,PreparerInfo!A549:A561&amp;PreparerInfo!C549:C561,PreparerInfo!B549:B561,"",0,1)</f>
        <v/>
      </c>
      <c r="Q550" t="str">
        <f>_xlfn.XLOOKUP($E550,Source!A549:A557,Source!B549:B557,"",0,1)</f>
        <v/>
      </c>
    </row>
    <row r="551" spans="1:17" x14ac:dyDescent="0.3">
      <c r="A551" s="3">
        <v>2033794</v>
      </c>
      <c r="B551">
        <v>22110</v>
      </c>
      <c r="C551">
        <v>4</v>
      </c>
      <c r="D551" s="9">
        <v>105</v>
      </c>
      <c r="E551">
        <v>1006</v>
      </c>
      <c r="F551" s="1">
        <v>44010</v>
      </c>
      <c r="G551" t="s">
        <v>93</v>
      </c>
      <c r="H551" s="4" t="s">
        <v>16</v>
      </c>
      <c r="I551" s="4">
        <v>-373.6</v>
      </c>
      <c r="J551" s="4">
        <v>-373.6</v>
      </c>
      <c r="K551" t="str">
        <f>_xlfn.XLOOKUP($C551,Table1[BusinessUnitID],Table1[BusinessUnit],"",0)</f>
        <v>HOUSEKEEPING</v>
      </c>
      <c r="L551" t="str" cm="1">
        <f t="array" ref="L551">_xlfn.XLOOKUP($C551,Table1[[#All],[BusinessUnitID]],Table1[[#All],[Description]],"",0,1)</f>
        <v xml:space="preserve">Transactions related to the Housekeeping Department. Primarily includes payroll for housekeepers and housekeeping supplies. </v>
      </c>
      <c r="M551" t="str">
        <f>_xlfn.XLOOKUP($B551,ChartOfAccounts!A550:A635,ChartOfAccounts!B550:B635,"",0,1)</f>
        <v/>
      </c>
      <c r="N551">
        <f>_xlfn.XLOOKUP($B551,ChartOfAccounts!A550:A635,ChartOfAccounts!D550:D635,0,1)</f>
        <v>0</v>
      </c>
      <c r="O551" t="str">
        <f>_xlfn.XLOOKUP($B551,ChartOfAccounts!A550:A635,ChartOfAccounts!F550:F635,"",0,1)</f>
        <v/>
      </c>
      <c r="P551" t="str" cm="1">
        <f t="array" ref="P551">_xlfn.XLOOKUP($D551&amp;$C551,PreparerInfo!A550:A562&amp;PreparerInfo!C550:C562,PreparerInfo!B550:B562,"",0,1)</f>
        <v/>
      </c>
      <c r="Q551" t="str">
        <f>_xlfn.XLOOKUP($E551,Source!A550:A558,Source!B550:B558,"",0,1)</f>
        <v/>
      </c>
    </row>
    <row r="552" spans="1:17" x14ac:dyDescent="0.3">
      <c r="A552" s="3">
        <v>2033795</v>
      </c>
      <c r="B552">
        <v>51610</v>
      </c>
      <c r="C552">
        <v>6</v>
      </c>
      <c r="D552" s="9">
        <v>105</v>
      </c>
      <c r="E552">
        <v>1006</v>
      </c>
      <c r="F552" s="1">
        <v>44010</v>
      </c>
      <c r="G552" t="s">
        <v>131</v>
      </c>
      <c r="H552" s="4">
        <v>391</v>
      </c>
      <c r="I552" s="4" t="s">
        <v>16</v>
      </c>
      <c r="J552" s="4">
        <v>391</v>
      </c>
      <c r="K552" t="str">
        <f>_xlfn.XLOOKUP($C552,Table1[BusinessUnitID],Table1[BusinessUnit],"",0)</f>
        <v>MAINTENANCE</v>
      </c>
      <c r="L552" t="str" cm="1">
        <f t="array" ref="L552">_xlfn.XLOOKUP($C552,Table1[[#All],[BusinessUnitID]],Table1[[#All],[Description]],"",0,1)</f>
        <v>Transactions related to the hotel Maintenance Department. Primarily includes payroll for maintenance, grounds keepers and related supplies.</v>
      </c>
      <c r="M552" t="str">
        <f>_xlfn.XLOOKUP($B552,ChartOfAccounts!A551:A636,ChartOfAccounts!B551:B636,"",0,1)</f>
        <v/>
      </c>
      <c r="N552">
        <f>_xlfn.XLOOKUP($B552,ChartOfAccounts!A551:A636,ChartOfAccounts!D551:D636,0,1)</f>
        <v>0</v>
      </c>
      <c r="O552" t="str">
        <f>_xlfn.XLOOKUP($B552,ChartOfAccounts!A551:A636,ChartOfAccounts!F551:F636,"",0,1)</f>
        <v/>
      </c>
      <c r="P552" t="str" cm="1">
        <f t="array" ref="P552">_xlfn.XLOOKUP($D552&amp;$C552,PreparerInfo!A551:A563&amp;PreparerInfo!C551:C563,PreparerInfo!B551:B563,"",0,1)</f>
        <v/>
      </c>
      <c r="Q552" t="str">
        <f>_xlfn.XLOOKUP($E552,Source!A551:A559,Source!B551:B559,"",0,1)</f>
        <v/>
      </c>
    </row>
    <row r="553" spans="1:17" x14ac:dyDescent="0.3">
      <c r="A553" s="3">
        <v>2033795</v>
      </c>
      <c r="B553">
        <v>22110</v>
      </c>
      <c r="C553">
        <v>6</v>
      </c>
      <c r="D553" s="9">
        <v>105</v>
      </c>
      <c r="E553">
        <v>1006</v>
      </c>
      <c r="F553" s="1">
        <v>44010</v>
      </c>
      <c r="G553" t="s">
        <v>131</v>
      </c>
      <c r="H553" s="4" t="s">
        <v>16</v>
      </c>
      <c r="I553" s="4">
        <v>-391</v>
      </c>
      <c r="J553" s="4">
        <v>-391</v>
      </c>
      <c r="K553" t="str">
        <f>_xlfn.XLOOKUP($C553,Table1[BusinessUnitID],Table1[BusinessUnit],"",0)</f>
        <v>MAINTENANCE</v>
      </c>
      <c r="L553" t="str" cm="1">
        <f t="array" ref="L553">_xlfn.XLOOKUP($C553,Table1[[#All],[BusinessUnitID]],Table1[[#All],[Description]],"",0,1)</f>
        <v>Transactions related to the hotel Maintenance Department. Primarily includes payroll for maintenance, grounds keepers and related supplies.</v>
      </c>
      <c r="M553" t="str">
        <f>_xlfn.XLOOKUP($B553,ChartOfAccounts!A552:A637,ChartOfAccounts!B552:B637,"",0,1)</f>
        <v/>
      </c>
      <c r="N553">
        <f>_xlfn.XLOOKUP($B553,ChartOfAccounts!A552:A637,ChartOfAccounts!D552:D637,0,1)</f>
        <v>0</v>
      </c>
      <c r="O553" t="str">
        <f>_xlfn.XLOOKUP($B553,ChartOfAccounts!A552:A637,ChartOfAccounts!F552:F637,"",0,1)</f>
        <v/>
      </c>
      <c r="P553" t="str" cm="1">
        <f t="array" ref="P553">_xlfn.XLOOKUP($D553&amp;$C553,PreparerInfo!A552:A564&amp;PreparerInfo!C552:C564,PreparerInfo!B552:B564,"",0,1)</f>
        <v/>
      </c>
      <c r="Q553" t="str">
        <f>_xlfn.XLOOKUP($E553,Source!A552:A560,Source!B552:B560,"",0,1)</f>
        <v/>
      </c>
    </row>
    <row r="554" spans="1:17" x14ac:dyDescent="0.3">
      <c r="A554" s="3">
        <v>2033796</v>
      </c>
      <c r="B554">
        <v>51610</v>
      </c>
      <c r="C554">
        <v>1</v>
      </c>
      <c r="D554" s="9">
        <v>105</v>
      </c>
      <c r="E554">
        <v>1006</v>
      </c>
      <c r="F554" s="1">
        <v>44010</v>
      </c>
      <c r="G554" t="s">
        <v>94</v>
      </c>
      <c r="H554" s="4">
        <v>447.87</v>
      </c>
      <c r="I554" s="4" t="s">
        <v>16</v>
      </c>
      <c r="J554" s="4">
        <v>447.87</v>
      </c>
      <c r="K554" t="str">
        <f>_xlfn.XLOOKUP($C554,Table1[BusinessUnitID],Table1[BusinessUnit],"",0)</f>
        <v>FOOD SERVICE</v>
      </c>
      <c r="L554" t="str" cm="1">
        <f t="array" ref="L554">_xlfn.XLOOKUP($C554,Table1[[#All],[BusinessUnitID]],Table1[[#All],[Description]],"",0,1)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54" t="str">
        <f>_xlfn.XLOOKUP($B554,ChartOfAccounts!A553:A638,ChartOfAccounts!B553:B638,"",0,1)</f>
        <v/>
      </c>
      <c r="N554">
        <f>_xlfn.XLOOKUP($B554,ChartOfAccounts!A553:A638,ChartOfAccounts!D553:D638,0,1)</f>
        <v>0</v>
      </c>
      <c r="O554" t="str">
        <f>_xlfn.XLOOKUP($B554,ChartOfAccounts!A553:A638,ChartOfAccounts!F553:F638,"",0,1)</f>
        <v/>
      </c>
      <c r="P554" t="str" cm="1">
        <f t="array" ref="P554">_xlfn.XLOOKUP($D554&amp;$C554,PreparerInfo!A553:A565&amp;PreparerInfo!C553:C565,PreparerInfo!B553:B565,"",0,1)</f>
        <v/>
      </c>
      <c r="Q554" t="str">
        <f>_xlfn.XLOOKUP($E554,Source!A553:A561,Source!B553:B561,"",0,1)</f>
        <v/>
      </c>
    </row>
    <row r="555" spans="1:17" x14ac:dyDescent="0.3">
      <c r="A555" s="3">
        <v>2033796</v>
      </c>
      <c r="B555">
        <v>22110</v>
      </c>
      <c r="C555">
        <v>1</v>
      </c>
      <c r="D555" s="9">
        <v>105</v>
      </c>
      <c r="E555">
        <v>1006</v>
      </c>
      <c r="F555" s="1">
        <v>44010</v>
      </c>
      <c r="G555" t="s">
        <v>94</v>
      </c>
      <c r="H555" s="4" t="s">
        <v>16</v>
      </c>
      <c r="I555" s="4">
        <v>-447.87</v>
      </c>
      <c r="J555" s="4">
        <v>-447.87</v>
      </c>
      <c r="K555" t="str">
        <f>_xlfn.XLOOKUP($C555,Table1[BusinessUnitID],Table1[BusinessUnit],"",0)</f>
        <v>FOOD SERVICE</v>
      </c>
      <c r="L555" t="str" cm="1">
        <f t="array" ref="L555">_xlfn.XLOOKUP($C555,Table1[[#All],[BusinessUnitID]],Table1[[#All],[Description]],"",0,1)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55" t="str">
        <f>_xlfn.XLOOKUP($B555,ChartOfAccounts!A554:A639,ChartOfAccounts!B554:B639,"",0,1)</f>
        <v/>
      </c>
      <c r="N555">
        <f>_xlfn.XLOOKUP($B555,ChartOfAccounts!A554:A639,ChartOfAccounts!D554:D639,0,1)</f>
        <v>0</v>
      </c>
      <c r="O555" t="str">
        <f>_xlfn.XLOOKUP($B555,ChartOfAccounts!A554:A639,ChartOfAccounts!F554:F639,"",0,1)</f>
        <v/>
      </c>
      <c r="P555" t="str" cm="1">
        <f t="array" ref="P555">_xlfn.XLOOKUP($D555&amp;$C555,PreparerInfo!A554:A566&amp;PreparerInfo!C554:C566,PreparerInfo!B554:B566,"",0,1)</f>
        <v/>
      </c>
      <c r="Q555" t="str">
        <f>_xlfn.XLOOKUP($E555,Source!A554:A562,Source!B554:B562,"",0,1)</f>
        <v/>
      </c>
    </row>
    <row r="556" spans="1:17" x14ac:dyDescent="0.3">
      <c r="A556" s="3">
        <v>2033797</v>
      </c>
      <c r="B556">
        <v>14260</v>
      </c>
      <c r="C556">
        <v>1</v>
      </c>
      <c r="D556" s="9">
        <v>102</v>
      </c>
      <c r="E556">
        <v>1002</v>
      </c>
      <c r="F556" s="1">
        <v>44010</v>
      </c>
      <c r="G556" t="s">
        <v>47</v>
      </c>
      <c r="H556" s="4">
        <v>451.29</v>
      </c>
      <c r="I556" s="4" t="s">
        <v>16</v>
      </c>
      <c r="J556" s="4">
        <v>451.29</v>
      </c>
      <c r="K556" t="str">
        <f>_xlfn.XLOOKUP($C556,Table1[BusinessUnitID],Table1[BusinessUnit],"",0)</f>
        <v>FOOD SERVICE</v>
      </c>
      <c r="L556" t="str" cm="1">
        <f t="array" ref="L556">_xlfn.XLOOKUP($C556,Table1[[#All],[BusinessUnitID]],Table1[[#All],[Description]],"",0,1)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56" t="str">
        <f>_xlfn.XLOOKUP($B556,ChartOfAccounts!A555:A640,ChartOfAccounts!B555:B640,"",0,1)</f>
        <v/>
      </c>
      <c r="N556">
        <f>_xlfn.XLOOKUP($B556,ChartOfAccounts!A555:A640,ChartOfAccounts!D555:D640,0,1)</f>
        <v>0</v>
      </c>
      <c r="O556" t="str">
        <f>_xlfn.XLOOKUP($B556,ChartOfAccounts!A555:A640,ChartOfAccounts!F555:F640,"",0,1)</f>
        <v/>
      </c>
      <c r="P556" t="str" cm="1">
        <f t="array" ref="P556">_xlfn.XLOOKUP($D556&amp;$C556,PreparerInfo!A555:A567&amp;PreparerInfo!C555:C567,PreparerInfo!B555:B567,"",0,1)</f>
        <v/>
      </c>
      <c r="Q556" t="str">
        <f>_xlfn.XLOOKUP($E556,Source!A555:A563,Source!B555:B563,"",0,1)</f>
        <v/>
      </c>
    </row>
    <row r="557" spans="1:17" x14ac:dyDescent="0.3">
      <c r="A557" s="3">
        <v>2033797</v>
      </c>
      <c r="B557">
        <v>11845</v>
      </c>
      <c r="C557">
        <v>1</v>
      </c>
      <c r="D557" s="9">
        <v>102</v>
      </c>
      <c r="E557">
        <v>1002</v>
      </c>
      <c r="F557" s="1">
        <v>44010</v>
      </c>
      <c r="G557" t="s">
        <v>47</v>
      </c>
      <c r="H557" s="4" t="s">
        <v>16</v>
      </c>
      <c r="I557" s="4">
        <v>-451.29</v>
      </c>
      <c r="J557" s="4">
        <v>-451.29</v>
      </c>
      <c r="K557" t="str">
        <f>_xlfn.XLOOKUP($C557,Table1[BusinessUnitID],Table1[BusinessUnit],"",0)</f>
        <v>FOOD SERVICE</v>
      </c>
      <c r="L557" t="str" cm="1">
        <f t="array" ref="L557">_xlfn.XLOOKUP($C557,Table1[[#All],[BusinessUnitID]],Table1[[#All],[Description]],"",0,1)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57" t="str">
        <f>_xlfn.XLOOKUP($B557,ChartOfAccounts!A556:A641,ChartOfAccounts!B556:B641,"",0,1)</f>
        <v/>
      </c>
      <c r="N557">
        <f>_xlfn.XLOOKUP($B557,ChartOfAccounts!A556:A641,ChartOfAccounts!D556:D641,0,1)</f>
        <v>0</v>
      </c>
      <c r="O557" t="str">
        <f>_xlfn.XLOOKUP($B557,ChartOfAccounts!A556:A641,ChartOfAccounts!F556:F641,"",0,1)</f>
        <v/>
      </c>
      <c r="P557" t="str" cm="1">
        <f t="array" ref="P557">_xlfn.XLOOKUP($D557&amp;$C557,PreparerInfo!A556:A568&amp;PreparerInfo!C556:C568,PreparerInfo!B556:B568,"",0,1)</f>
        <v/>
      </c>
      <c r="Q557" t="str">
        <f>_xlfn.XLOOKUP($E557,Source!A556:A564,Source!B556:B564,"",0,1)</f>
        <v/>
      </c>
    </row>
    <row r="558" spans="1:17" x14ac:dyDescent="0.3">
      <c r="A558" s="3">
        <v>2033798</v>
      </c>
      <c r="B558">
        <v>51510</v>
      </c>
      <c r="C558">
        <v>6</v>
      </c>
      <c r="D558" s="9">
        <v>105</v>
      </c>
      <c r="E558">
        <v>1006</v>
      </c>
      <c r="F558" s="1">
        <v>44010</v>
      </c>
      <c r="G558" t="s">
        <v>96</v>
      </c>
      <c r="H558" s="4">
        <v>499.6</v>
      </c>
      <c r="I558" s="4" t="s">
        <v>16</v>
      </c>
      <c r="J558" s="4">
        <v>499.6</v>
      </c>
      <c r="K558" t="str">
        <f>_xlfn.XLOOKUP($C558,Table1[BusinessUnitID],Table1[BusinessUnit],"",0)</f>
        <v>MAINTENANCE</v>
      </c>
      <c r="L558" t="str" cm="1">
        <f t="array" ref="L558">_xlfn.XLOOKUP($C558,Table1[[#All],[BusinessUnitID]],Table1[[#All],[Description]],"",0,1)</f>
        <v>Transactions related to the hotel Maintenance Department. Primarily includes payroll for maintenance, grounds keepers and related supplies.</v>
      </c>
      <c r="M558" t="str">
        <f>_xlfn.XLOOKUP($B558,ChartOfAccounts!A557:A642,ChartOfAccounts!B557:B642,"",0,1)</f>
        <v/>
      </c>
      <c r="N558">
        <f>_xlfn.XLOOKUP($B558,ChartOfAccounts!A557:A642,ChartOfAccounts!D557:D642,0,1)</f>
        <v>0</v>
      </c>
      <c r="O558" t="str">
        <f>_xlfn.XLOOKUP($B558,ChartOfAccounts!A557:A642,ChartOfAccounts!F557:F642,"",0,1)</f>
        <v/>
      </c>
      <c r="P558" t="str" cm="1">
        <f t="array" ref="P558">_xlfn.XLOOKUP($D558&amp;$C558,PreparerInfo!A557:A569&amp;PreparerInfo!C557:C569,PreparerInfo!B557:B569,"",0,1)</f>
        <v/>
      </c>
      <c r="Q558" t="str">
        <f>_xlfn.XLOOKUP($E558,Source!A557:A565,Source!B557:B565,"",0,1)</f>
        <v/>
      </c>
    </row>
    <row r="559" spans="1:17" x14ac:dyDescent="0.3">
      <c r="A559" s="3">
        <v>2033798</v>
      </c>
      <c r="B559">
        <v>22110</v>
      </c>
      <c r="C559">
        <v>6</v>
      </c>
      <c r="D559" s="9">
        <v>105</v>
      </c>
      <c r="E559">
        <v>1006</v>
      </c>
      <c r="F559" s="1">
        <v>44010</v>
      </c>
      <c r="G559" t="s">
        <v>96</v>
      </c>
      <c r="H559" s="4" t="s">
        <v>16</v>
      </c>
      <c r="I559" s="4">
        <v>-499.6</v>
      </c>
      <c r="J559" s="4">
        <v>-499.6</v>
      </c>
      <c r="K559" t="str">
        <f>_xlfn.XLOOKUP($C559,Table1[BusinessUnitID],Table1[BusinessUnit],"",0)</f>
        <v>MAINTENANCE</v>
      </c>
      <c r="L559" t="str" cm="1">
        <f t="array" ref="L559">_xlfn.XLOOKUP($C559,Table1[[#All],[BusinessUnitID]],Table1[[#All],[Description]],"",0,1)</f>
        <v>Transactions related to the hotel Maintenance Department. Primarily includes payroll for maintenance, grounds keepers and related supplies.</v>
      </c>
      <c r="M559" t="str">
        <f>_xlfn.XLOOKUP($B559,ChartOfAccounts!A558:A643,ChartOfAccounts!B558:B643,"",0,1)</f>
        <v/>
      </c>
      <c r="N559">
        <f>_xlfn.XLOOKUP($B559,ChartOfAccounts!A558:A643,ChartOfAccounts!D558:D643,0,1)</f>
        <v>0</v>
      </c>
      <c r="O559" t="str">
        <f>_xlfn.XLOOKUP($B559,ChartOfAccounts!A558:A643,ChartOfAccounts!F558:F643,"",0,1)</f>
        <v/>
      </c>
      <c r="P559" t="str" cm="1">
        <f t="array" ref="P559">_xlfn.XLOOKUP($D559&amp;$C559,PreparerInfo!A558:A570&amp;PreparerInfo!C558:C570,PreparerInfo!B558:B570,"",0,1)</f>
        <v/>
      </c>
      <c r="Q559" t="str">
        <f>_xlfn.XLOOKUP($E559,Source!A558:A566,Source!B558:B566,"",0,1)</f>
        <v/>
      </c>
    </row>
    <row r="560" spans="1:17" x14ac:dyDescent="0.3">
      <c r="A560" s="3">
        <v>2033799</v>
      </c>
      <c r="B560">
        <v>14260</v>
      </c>
      <c r="C560">
        <v>1</v>
      </c>
      <c r="D560" s="9">
        <v>102</v>
      </c>
      <c r="E560">
        <v>1002</v>
      </c>
      <c r="F560" s="1">
        <v>44010</v>
      </c>
      <c r="G560" t="s">
        <v>47</v>
      </c>
      <c r="H560" s="4">
        <v>507.93</v>
      </c>
      <c r="I560" s="4" t="s">
        <v>16</v>
      </c>
      <c r="J560" s="4">
        <v>507.93</v>
      </c>
      <c r="K560" t="str">
        <f>_xlfn.XLOOKUP($C560,Table1[BusinessUnitID],Table1[BusinessUnit],"",0)</f>
        <v>FOOD SERVICE</v>
      </c>
      <c r="L560" t="str" cm="1">
        <f t="array" ref="L560">_xlfn.XLOOKUP($C560,Table1[[#All],[BusinessUnitID]],Table1[[#All],[Description]],"",0,1)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60" t="str">
        <f>_xlfn.XLOOKUP($B560,ChartOfAccounts!A559:A644,ChartOfAccounts!B559:B644,"",0,1)</f>
        <v/>
      </c>
      <c r="N560">
        <f>_xlfn.XLOOKUP($B560,ChartOfAccounts!A559:A644,ChartOfAccounts!D559:D644,0,1)</f>
        <v>0</v>
      </c>
      <c r="O560" t="str">
        <f>_xlfn.XLOOKUP($B560,ChartOfAccounts!A559:A644,ChartOfAccounts!F559:F644,"",0,1)</f>
        <v/>
      </c>
      <c r="P560" t="str" cm="1">
        <f t="array" ref="P560">_xlfn.XLOOKUP($D560&amp;$C560,PreparerInfo!A559:A571&amp;PreparerInfo!C559:C571,PreparerInfo!B559:B571,"",0,1)</f>
        <v/>
      </c>
      <c r="Q560" t="str">
        <f>_xlfn.XLOOKUP($E560,Source!A559:A567,Source!B559:B567,"",0,1)</f>
        <v/>
      </c>
    </row>
    <row r="561" spans="1:17" x14ac:dyDescent="0.3">
      <c r="A561" s="3">
        <v>2033799</v>
      </c>
      <c r="B561">
        <v>11845</v>
      </c>
      <c r="C561">
        <v>1</v>
      </c>
      <c r="D561" s="9">
        <v>102</v>
      </c>
      <c r="E561">
        <v>1002</v>
      </c>
      <c r="F561" s="1">
        <v>44010</v>
      </c>
      <c r="G561" t="s">
        <v>47</v>
      </c>
      <c r="H561" s="4" t="s">
        <v>16</v>
      </c>
      <c r="I561" s="4">
        <v>-507.93</v>
      </c>
      <c r="J561" s="4">
        <v>-507.93</v>
      </c>
      <c r="K561" t="str">
        <f>_xlfn.XLOOKUP($C561,Table1[BusinessUnitID],Table1[BusinessUnit],"",0)</f>
        <v>FOOD SERVICE</v>
      </c>
      <c r="L561" t="str" cm="1">
        <f t="array" ref="L561">_xlfn.XLOOKUP($C561,Table1[[#All],[BusinessUnitID]],Table1[[#All],[Description]],"",0,1)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61" t="str">
        <f>_xlfn.XLOOKUP($B561,ChartOfAccounts!A560:A645,ChartOfAccounts!B560:B645,"",0,1)</f>
        <v/>
      </c>
      <c r="N561">
        <f>_xlfn.XLOOKUP($B561,ChartOfAccounts!A560:A645,ChartOfAccounts!D560:D645,0,1)</f>
        <v>0</v>
      </c>
      <c r="O561" t="str">
        <f>_xlfn.XLOOKUP($B561,ChartOfAccounts!A560:A645,ChartOfAccounts!F560:F645,"",0,1)</f>
        <v/>
      </c>
      <c r="P561" t="str" cm="1">
        <f t="array" ref="P561">_xlfn.XLOOKUP($D561&amp;$C561,PreparerInfo!A560:A572&amp;PreparerInfo!C560:C572,PreparerInfo!B560:B572,"",0,1)</f>
        <v/>
      </c>
      <c r="Q561" t="str">
        <f>_xlfn.XLOOKUP($E561,Source!A560:A568,Source!B560:B568,"",0,1)</f>
        <v/>
      </c>
    </row>
    <row r="562" spans="1:17" x14ac:dyDescent="0.3">
      <c r="A562" s="3">
        <v>2033800</v>
      </c>
      <c r="B562">
        <v>14260</v>
      </c>
      <c r="C562">
        <v>1</v>
      </c>
      <c r="D562" s="9">
        <v>102</v>
      </c>
      <c r="E562">
        <v>1002</v>
      </c>
      <c r="F562" s="1">
        <v>44010</v>
      </c>
      <c r="G562" t="s">
        <v>39</v>
      </c>
      <c r="H562" s="4">
        <v>510.91</v>
      </c>
      <c r="I562" s="4" t="s">
        <v>16</v>
      </c>
      <c r="J562" s="4">
        <v>510.91</v>
      </c>
      <c r="K562" t="str">
        <f>_xlfn.XLOOKUP($C562,Table1[BusinessUnitID],Table1[BusinessUnit],"",0)</f>
        <v>FOOD SERVICE</v>
      </c>
      <c r="L562" t="str" cm="1">
        <f t="array" ref="L562">_xlfn.XLOOKUP($C562,Table1[[#All],[BusinessUnitID]],Table1[[#All],[Description]],"",0,1)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62" t="str">
        <f>_xlfn.XLOOKUP($B562,ChartOfAccounts!A561:A646,ChartOfAccounts!B561:B646,"",0,1)</f>
        <v/>
      </c>
      <c r="N562">
        <f>_xlfn.XLOOKUP($B562,ChartOfAccounts!A561:A646,ChartOfAccounts!D561:D646,0,1)</f>
        <v>0</v>
      </c>
      <c r="O562" t="str">
        <f>_xlfn.XLOOKUP($B562,ChartOfAccounts!A561:A646,ChartOfAccounts!F561:F646,"",0,1)</f>
        <v/>
      </c>
      <c r="P562" t="str" cm="1">
        <f t="array" ref="P562">_xlfn.XLOOKUP($D562&amp;$C562,PreparerInfo!A561:A573&amp;PreparerInfo!C561:C573,PreparerInfo!B561:B573,"",0,1)</f>
        <v/>
      </c>
      <c r="Q562" t="str">
        <f>_xlfn.XLOOKUP($E562,Source!A561:A569,Source!B561:B569,"",0,1)</f>
        <v/>
      </c>
    </row>
    <row r="563" spans="1:17" x14ac:dyDescent="0.3">
      <c r="A563" s="3">
        <v>2033800</v>
      </c>
      <c r="B563">
        <v>11845</v>
      </c>
      <c r="C563">
        <v>1</v>
      </c>
      <c r="D563" s="9">
        <v>102</v>
      </c>
      <c r="E563">
        <v>1002</v>
      </c>
      <c r="F563" s="1">
        <v>44010</v>
      </c>
      <c r="G563" t="s">
        <v>39</v>
      </c>
      <c r="H563" s="4" t="s">
        <v>16</v>
      </c>
      <c r="I563" s="4">
        <v>-510.91</v>
      </c>
      <c r="J563" s="4">
        <v>-510.91</v>
      </c>
      <c r="K563" t="str">
        <f>_xlfn.XLOOKUP($C563,Table1[BusinessUnitID],Table1[BusinessUnit],"",0)</f>
        <v>FOOD SERVICE</v>
      </c>
      <c r="L563" t="str" cm="1">
        <f t="array" ref="L563">_xlfn.XLOOKUP($C563,Table1[[#All],[BusinessUnitID]],Table1[[#All],[Description]],"",0,1)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63" t="str">
        <f>_xlfn.XLOOKUP($B563,ChartOfAccounts!A562:A647,ChartOfAccounts!B562:B647,"",0,1)</f>
        <v/>
      </c>
      <c r="N563">
        <f>_xlfn.XLOOKUP($B563,ChartOfAccounts!A562:A647,ChartOfAccounts!D562:D647,0,1)</f>
        <v>0</v>
      </c>
      <c r="O563" t="str">
        <f>_xlfn.XLOOKUP($B563,ChartOfAccounts!A562:A647,ChartOfAccounts!F562:F647,"",0,1)</f>
        <v/>
      </c>
      <c r="P563" t="str" cm="1">
        <f t="array" ref="P563">_xlfn.XLOOKUP($D563&amp;$C563,PreparerInfo!A562:A574&amp;PreparerInfo!C562:C574,PreparerInfo!B562:B574,"",0,1)</f>
        <v/>
      </c>
      <c r="Q563" t="str">
        <f>_xlfn.XLOOKUP($E563,Source!A562:A570,Source!B562:B570,"",0,1)</f>
        <v/>
      </c>
    </row>
    <row r="564" spans="1:17" x14ac:dyDescent="0.3">
      <c r="A564" s="3">
        <v>2033801</v>
      </c>
      <c r="B564">
        <v>14260</v>
      </c>
      <c r="C564">
        <v>1</v>
      </c>
      <c r="D564" s="9">
        <v>102</v>
      </c>
      <c r="E564">
        <v>1002</v>
      </c>
      <c r="F564" s="1">
        <v>44010</v>
      </c>
      <c r="G564" t="s">
        <v>39</v>
      </c>
      <c r="H564" s="4">
        <v>552.67999999999995</v>
      </c>
      <c r="I564" s="4" t="s">
        <v>16</v>
      </c>
      <c r="J564" s="4">
        <v>552.67999999999995</v>
      </c>
      <c r="K564" t="str">
        <f>_xlfn.XLOOKUP($C564,Table1[BusinessUnitID],Table1[BusinessUnit],"",0)</f>
        <v>FOOD SERVICE</v>
      </c>
      <c r="L564" t="str" cm="1">
        <f t="array" ref="L564">_xlfn.XLOOKUP($C564,Table1[[#All],[BusinessUnitID]],Table1[[#All],[Description]],"",0,1)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64" t="str">
        <f>_xlfn.XLOOKUP($B564,ChartOfAccounts!A563:A648,ChartOfAccounts!B563:B648,"",0,1)</f>
        <v/>
      </c>
      <c r="N564">
        <f>_xlfn.XLOOKUP($B564,ChartOfAccounts!A563:A648,ChartOfAccounts!D563:D648,0,1)</f>
        <v>0</v>
      </c>
      <c r="O564" t="str">
        <f>_xlfn.XLOOKUP($B564,ChartOfAccounts!A563:A648,ChartOfAccounts!F563:F648,"",0,1)</f>
        <v/>
      </c>
      <c r="P564" t="str" cm="1">
        <f t="array" ref="P564">_xlfn.XLOOKUP($D564&amp;$C564,PreparerInfo!A563:A575&amp;PreparerInfo!C563:C575,PreparerInfo!B563:B575,"",0,1)</f>
        <v/>
      </c>
      <c r="Q564" t="str">
        <f>_xlfn.XLOOKUP($E564,Source!A563:A571,Source!B563:B571,"",0,1)</f>
        <v/>
      </c>
    </row>
    <row r="565" spans="1:17" x14ac:dyDescent="0.3">
      <c r="A565" s="3">
        <v>2033801</v>
      </c>
      <c r="B565">
        <v>11845</v>
      </c>
      <c r="C565">
        <v>1</v>
      </c>
      <c r="D565" s="9">
        <v>102</v>
      </c>
      <c r="E565">
        <v>1002</v>
      </c>
      <c r="F565" s="1">
        <v>44010</v>
      </c>
      <c r="G565" t="s">
        <v>39</v>
      </c>
      <c r="H565" s="4" t="s">
        <v>16</v>
      </c>
      <c r="I565" s="4">
        <v>-552.67999999999995</v>
      </c>
      <c r="J565" s="4">
        <v>-552.67999999999995</v>
      </c>
      <c r="K565" t="str">
        <f>_xlfn.XLOOKUP($C565,Table1[BusinessUnitID],Table1[BusinessUnit],"",0)</f>
        <v>FOOD SERVICE</v>
      </c>
      <c r="L565" t="str" cm="1">
        <f t="array" ref="L565">_xlfn.XLOOKUP($C565,Table1[[#All],[BusinessUnitID]],Table1[[#All],[Description]],"",0,1)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65" t="str">
        <f>_xlfn.XLOOKUP($B565,ChartOfAccounts!A564:A649,ChartOfAccounts!B564:B649,"",0,1)</f>
        <v/>
      </c>
      <c r="N565">
        <f>_xlfn.XLOOKUP($B565,ChartOfAccounts!A564:A649,ChartOfAccounts!D564:D649,0,1)</f>
        <v>0</v>
      </c>
      <c r="O565" t="str">
        <f>_xlfn.XLOOKUP($B565,ChartOfAccounts!A564:A649,ChartOfAccounts!F564:F649,"",0,1)</f>
        <v/>
      </c>
      <c r="P565" t="str" cm="1">
        <f t="array" ref="P565">_xlfn.XLOOKUP($D565&amp;$C565,PreparerInfo!A564:A576&amp;PreparerInfo!C564:C576,PreparerInfo!B564:B576,"",0,1)</f>
        <v/>
      </c>
      <c r="Q565" t="str">
        <f>_xlfn.XLOOKUP($E565,Source!A564:A572,Source!B564:B572,"",0,1)</f>
        <v/>
      </c>
    </row>
    <row r="566" spans="1:17" x14ac:dyDescent="0.3">
      <c r="A566" s="3">
        <v>2033802</v>
      </c>
      <c r="B566">
        <v>14260</v>
      </c>
      <c r="C566">
        <v>1</v>
      </c>
      <c r="D566" s="9">
        <v>102</v>
      </c>
      <c r="E566">
        <v>1002</v>
      </c>
      <c r="F566" s="1">
        <v>44010</v>
      </c>
      <c r="G566" t="s">
        <v>39</v>
      </c>
      <c r="H566" s="4">
        <v>670.46</v>
      </c>
      <c r="I566" s="4" t="s">
        <v>16</v>
      </c>
      <c r="J566" s="4">
        <v>670.46</v>
      </c>
      <c r="K566" t="str">
        <f>_xlfn.XLOOKUP($C566,Table1[BusinessUnitID],Table1[BusinessUnit],"",0)</f>
        <v>FOOD SERVICE</v>
      </c>
      <c r="L566" t="str" cm="1">
        <f t="array" ref="L566">_xlfn.XLOOKUP($C566,Table1[[#All],[BusinessUnitID]],Table1[[#All],[Description]],"",0,1)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66" t="str">
        <f>_xlfn.XLOOKUP($B566,ChartOfAccounts!A565:A650,ChartOfAccounts!B565:B650,"",0,1)</f>
        <v/>
      </c>
      <c r="N566">
        <f>_xlfn.XLOOKUP($B566,ChartOfAccounts!A565:A650,ChartOfAccounts!D565:D650,0,1)</f>
        <v>0</v>
      </c>
      <c r="O566" t="str">
        <f>_xlfn.XLOOKUP($B566,ChartOfAccounts!A565:A650,ChartOfAccounts!F565:F650,"",0,1)</f>
        <v/>
      </c>
      <c r="P566" t="str" cm="1">
        <f t="array" ref="P566">_xlfn.XLOOKUP($D566&amp;$C566,PreparerInfo!A565:A577&amp;PreparerInfo!C565:C577,PreparerInfo!B565:B577,"",0,1)</f>
        <v/>
      </c>
      <c r="Q566" t="str">
        <f>_xlfn.XLOOKUP($E566,Source!A565:A573,Source!B565:B573,"",0,1)</f>
        <v/>
      </c>
    </row>
    <row r="567" spans="1:17" x14ac:dyDescent="0.3">
      <c r="A567" s="3">
        <v>2033802</v>
      </c>
      <c r="B567">
        <v>11845</v>
      </c>
      <c r="C567">
        <v>1</v>
      </c>
      <c r="D567" s="9">
        <v>102</v>
      </c>
      <c r="E567">
        <v>1002</v>
      </c>
      <c r="F567" s="1">
        <v>44010</v>
      </c>
      <c r="G567" t="s">
        <v>39</v>
      </c>
      <c r="H567" s="4" t="s">
        <v>16</v>
      </c>
      <c r="I567" s="4">
        <v>-670.46</v>
      </c>
      <c r="J567" s="4">
        <v>-670.46</v>
      </c>
      <c r="K567" t="str">
        <f>_xlfn.XLOOKUP($C567,Table1[BusinessUnitID],Table1[BusinessUnit],"",0)</f>
        <v>FOOD SERVICE</v>
      </c>
      <c r="L567" t="str" cm="1">
        <f t="array" ref="L567">_xlfn.XLOOKUP($C567,Table1[[#All],[BusinessUnitID]],Table1[[#All],[Description]],"",0,1)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67" t="str">
        <f>_xlfn.XLOOKUP($B567,ChartOfAccounts!A566:A651,ChartOfAccounts!B566:B651,"",0,1)</f>
        <v/>
      </c>
      <c r="N567">
        <f>_xlfn.XLOOKUP($B567,ChartOfAccounts!A566:A651,ChartOfAccounts!D566:D651,0,1)</f>
        <v>0</v>
      </c>
      <c r="O567" t="str">
        <f>_xlfn.XLOOKUP($B567,ChartOfAccounts!A566:A651,ChartOfAccounts!F566:F651,"",0,1)</f>
        <v/>
      </c>
      <c r="P567" t="str" cm="1">
        <f t="array" ref="P567">_xlfn.XLOOKUP($D567&amp;$C567,PreparerInfo!A566:A578&amp;PreparerInfo!C566:C578,PreparerInfo!B566:B578,"",0,1)</f>
        <v/>
      </c>
      <c r="Q567" t="str">
        <f>_xlfn.XLOOKUP($E567,Source!A566:A574,Source!B566:B574,"",0,1)</f>
        <v/>
      </c>
    </row>
    <row r="568" spans="1:17" x14ac:dyDescent="0.3">
      <c r="A568" s="3">
        <v>2033803</v>
      </c>
      <c r="B568">
        <v>51610</v>
      </c>
      <c r="C568">
        <v>2</v>
      </c>
      <c r="D568" s="9">
        <v>105</v>
      </c>
      <c r="E568">
        <v>1006</v>
      </c>
      <c r="F568" s="1">
        <v>44010</v>
      </c>
      <c r="G568" t="s">
        <v>118</v>
      </c>
      <c r="H568" s="4">
        <v>685.1</v>
      </c>
      <c r="I568" s="4" t="s">
        <v>16</v>
      </c>
      <c r="J568" s="4">
        <v>685.1</v>
      </c>
      <c r="K568" t="str">
        <f>_xlfn.XLOOKUP($C568,Table1[BusinessUnitID],Table1[BusinessUnit],"",0)</f>
        <v>HOTEL</v>
      </c>
      <c r="L568" t="str" cm="1">
        <f t="array" ref="L568">_xlfn.XLOOKUP($C568,Table1[[#All],[BusinessUnitID]],Table1[[#All],[Description]],"",0,1)</f>
        <v xml:space="preserve">Transactions related to guest rooms and overall hotel operations. Includes payroll for administrative staff, clerks and interns. </v>
      </c>
      <c r="M568" t="str">
        <f>_xlfn.XLOOKUP($B568,ChartOfAccounts!A567:A652,ChartOfAccounts!B567:B652,"",0,1)</f>
        <v/>
      </c>
      <c r="N568">
        <f>_xlfn.XLOOKUP($B568,ChartOfAccounts!A567:A652,ChartOfAccounts!D567:D652,0,1)</f>
        <v>0</v>
      </c>
      <c r="O568" t="str">
        <f>_xlfn.XLOOKUP($B568,ChartOfAccounts!A567:A652,ChartOfAccounts!F567:F652,"",0,1)</f>
        <v/>
      </c>
      <c r="P568" t="str" cm="1">
        <f t="array" ref="P568">_xlfn.XLOOKUP($D568&amp;$C568,PreparerInfo!A567:A579&amp;PreparerInfo!C567:C579,PreparerInfo!B567:B579,"",0,1)</f>
        <v/>
      </c>
      <c r="Q568" t="str">
        <f>_xlfn.XLOOKUP($E568,Source!A567:A575,Source!B567:B575,"",0,1)</f>
        <v/>
      </c>
    </row>
    <row r="569" spans="1:17" x14ac:dyDescent="0.3">
      <c r="A569" s="3">
        <v>2033803</v>
      </c>
      <c r="B569">
        <v>22110</v>
      </c>
      <c r="C569">
        <v>2</v>
      </c>
      <c r="D569" s="9">
        <v>105</v>
      </c>
      <c r="E569">
        <v>1006</v>
      </c>
      <c r="F569" s="1">
        <v>44010</v>
      </c>
      <c r="G569" t="s">
        <v>118</v>
      </c>
      <c r="H569" s="4" t="s">
        <v>16</v>
      </c>
      <c r="I569" s="4">
        <v>-685.1</v>
      </c>
      <c r="J569" s="4">
        <v>-685.1</v>
      </c>
      <c r="K569" t="str">
        <f>_xlfn.XLOOKUP($C569,Table1[BusinessUnitID],Table1[BusinessUnit],"",0)</f>
        <v>HOTEL</v>
      </c>
      <c r="L569" t="str" cm="1">
        <f t="array" ref="L569">_xlfn.XLOOKUP($C569,Table1[[#All],[BusinessUnitID]],Table1[[#All],[Description]],"",0,1)</f>
        <v xml:space="preserve">Transactions related to guest rooms and overall hotel operations. Includes payroll for administrative staff, clerks and interns. </v>
      </c>
      <c r="M569" t="str">
        <f>_xlfn.XLOOKUP($B569,ChartOfAccounts!A568:A653,ChartOfAccounts!B568:B653,"",0,1)</f>
        <v/>
      </c>
      <c r="N569">
        <f>_xlfn.XLOOKUP($B569,ChartOfAccounts!A568:A653,ChartOfAccounts!D568:D653,0,1)</f>
        <v>0</v>
      </c>
      <c r="O569" t="str">
        <f>_xlfn.XLOOKUP($B569,ChartOfAccounts!A568:A653,ChartOfAccounts!F568:F653,"",0,1)</f>
        <v/>
      </c>
      <c r="P569" t="str" cm="1">
        <f t="array" ref="P569">_xlfn.XLOOKUP($D569&amp;$C569,PreparerInfo!A568:A580&amp;PreparerInfo!C568:C580,PreparerInfo!B568:B580,"",0,1)</f>
        <v/>
      </c>
      <c r="Q569" t="str">
        <f>_xlfn.XLOOKUP($E569,Source!A568:A576,Source!B568:B576,"",0,1)</f>
        <v/>
      </c>
    </row>
    <row r="570" spans="1:17" x14ac:dyDescent="0.3">
      <c r="A570" s="3">
        <v>2033804</v>
      </c>
      <c r="B570">
        <v>51400</v>
      </c>
      <c r="C570">
        <v>2</v>
      </c>
      <c r="D570" s="9">
        <v>105</v>
      </c>
      <c r="E570">
        <v>1006</v>
      </c>
      <c r="F570" s="1">
        <v>44010</v>
      </c>
      <c r="G570" t="s">
        <v>93</v>
      </c>
      <c r="H570" s="4">
        <v>714.39</v>
      </c>
      <c r="I570" s="4" t="s">
        <v>16</v>
      </c>
      <c r="J570" s="4">
        <v>714.39</v>
      </c>
      <c r="K570" t="str">
        <f>_xlfn.XLOOKUP($C570,Table1[BusinessUnitID],Table1[BusinessUnit],"",0)</f>
        <v>HOTEL</v>
      </c>
      <c r="L570" t="str" cm="1">
        <f t="array" ref="L570">_xlfn.XLOOKUP($C570,Table1[[#All],[BusinessUnitID]],Table1[[#All],[Description]],"",0,1)</f>
        <v xml:space="preserve">Transactions related to guest rooms and overall hotel operations. Includes payroll for administrative staff, clerks and interns. </v>
      </c>
      <c r="M570" t="str">
        <f>_xlfn.XLOOKUP($B570,ChartOfAccounts!A569:A654,ChartOfAccounts!B569:B654,"",0,1)</f>
        <v/>
      </c>
      <c r="N570">
        <f>_xlfn.XLOOKUP($B570,ChartOfAccounts!A569:A654,ChartOfAccounts!D569:D654,0,1)</f>
        <v>0</v>
      </c>
      <c r="O570" t="str">
        <f>_xlfn.XLOOKUP($B570,ChartOfAccounts!A569:A654,ChartOfAccounts!F569:F654,"",0,1)</f>
        <v/>
      </c>
      <c r="P570" t="str" cm="1">
        <f t="array" ref="P570">_xlfn.XLOOKUP($D570&amp;$C570,PreparerInfo!A569:A581&amp;PreparerInfo!C569:C581,PreparerInfo!B569:B581,"",0,1)</f>
        <v/>
      </c>
      <c r="Q570" t="str">
        <f>_xlfn.XLOOKUP($E570,Source!A569:A577,Source!B569:B577,"",0,1)</f>
        <v/>
      </c>
    </row>
    <row r="571" spans="1:17" x14ac:dyDescent="0.3">
      <c r="A571" s="3">
        <v>2033804</v>
      </c>
      <c r="B571">
        <v>22110</v>
      </c>
      <c r="C571">
        <v>2</v>
      </c>
      <c r="D571" s="9">
        <v>105</v>
      </c>
      <c r="E571">
        <v>1006</v>
      </c>
      <c r="F571" s="1">
        <v>44010</v>
      </c>
      <c r="G571" t="s">
        <v>93</v>
      </c>
      <c r="H571" s="4" t="s">
        <v>16</v>
      </c>
      <c r="I571" s="4">
        <v>-714.39</v>
      </c>
      <c r="J571" s="4">
        <v>-714.39</v>
      </c>
      <c r="K571" t="str">
        <f>_xlfn.XLOOKUP($C571,Table1[BusinessUnitID],Table1[BusinessUnit],"",0)</f>
        <v>HOTEL</v>
      </c>
      <c r="L571" t="str" cm="1">
        <f t="array" ref="L571">_xlfn.XLOOKUP($C571,Table1[[#All],[BusinessUnitID]],Table1[[#All],[Description]],"",0,1)</f>
        <v xml:space="preserve">Transactions related to guest rooms and overall hotel operations. Includes payroll for administrative staff, clerks and interns. </v>
      </c>
      <c r="M571" t="str">
        <f>_xlfn.XLOOKUP($B571,ChartOfAccounts!A570:A655,ChartOfAccounts!B570:B655,"",0,1)</f>
        <v/>
      </c>
      <c r="N571">
        <f>_xlfn.XLOOKUP($B571,ChartOfAccounts!A570:A655,ChartOfAccounts!D570:D655,0,1)</f>
        <v>0</v>
      </c>
      <c r="O571" t="str">
        <f>_xlfn.XLOOKUP($B571,ChartOfAccounts!A570:A655,ChartOfAccounts!F570:F655,"",0,1)</f>
        <v/>
      </c>
      <c r="P571" t="str" cm="1">
        <f t="array" ref="P571">_xlfn.XLOOKUP($D571&amp;$C571,PreparerInfo!A570:A582&amp;PreparerInfo!C570:C582,PreparerInfo!B570:B582,"",0,1)</f>
        <v/>
      </c>
      <c r="Q571" t="str">
        <f>_xlfn.XLOOKUP($E571,Source!A570:A578,Source!B570:B578,"",0,1)</f>
        <v/>
      </c>
    </row>
    <row r="572" spans="1:17" x14ac:dyDescent="0.3">
      <c r="A572" s="3">
        <v>2033805</v>
      </c>
      <c r="B572">
        <v>51610</v>
      </c>
      <c r="C572">
        <v>2</v>
      </c>
      <c r="D572" s="9">
        <v>105</v>
      </c>
      <c r="E572">
        <v>1006</v>
      </c>
      <c r="F572" s="1">
        <v>44010</v>
      </c>
      <c r="G572" t="s">
        <v>99</v>
      </c>
      <c r="H572" s="4">
        <v>792</v>
      </c>
      <c r="I572" s="4" t="s">
        <v>16</v>
      </c>
      <c r="J572" s="4">
        <v>792</v>
      </c>
      <c r="K572" t="str">
        <f>_xlfn.XLOOKUP($C572,Table1[BusinessUnitID],Table1[BusinessUnit],"",0)</f>
        <v>HOTEL</v>
      </c>
      <c r="L572" t="str" cm="1">
        <f t="array" ref="L572">_xlfn.XLOOKUP($C572,Table1[[#All],[BusinessUnitID]],Table1[[#All],[Description]],"",0,1)</f>
        <v xml:space="preserve">Transactions related to guest rooms and overall hotel operations. Includes payroll for administrative staff, clerks and interns. </v>
      </c>
      <c r="M572" t="str">
        <f>_xlfn.XLOOKUP($B572,ChartOfAccounts!A571:A656,ChartOfAccounts!B571:B656,"",0,1)</f>
        <v/>
      </c>
      <c r="N572">
        <f>_xlfn.XLOOKUP($B572,ChartOfAccounts!A571:A656,ChartOfAccounts!D571:D656,0,1)</f>
        <v>0</v>
      </c>
      <c r="O572" t="str">
        <f>_xlfn.XLOOKUP($B572,ChartOfAccounts!A571:A656,ChartOfAccounts!F571:F656,"",0,1)</f>
        <v/>
      </c>
      <c r="P572" t="str" cm="1">
        <f t="array" ref="P572">_xlfn.XLOOKUP($D572&amp;$C572,PreparerInfo!A571:A583&amp;PreparerInfo!C571:C583,PreparerInfo!B571:B583,"",0,1)</f>
        <v/>
      </c>
      <c r="Q572" t="str">
        <f>_xlfn.XLOOKUP($E572,Source!A571:A579,Source!B571:B579,"",0,1)</f>
        <v/>
      </c>
    </row>
    <row r="573" spans="1:17" x14ac:dyDescent="0.3">
      <c r="A573" s="3">
        <v>2033805</v>
      </c>
      <c r="B573">
        <v>22110</v>
      </c>
      <c r="C573">
        <v>2</v>
      </c>
      <c r="D573" s="9">
        <v>105</v>
      </c>
      <c r="E573">
        <v>1006</v>
      </c>
      <c r="F573" s="1">
        <v>44010</v>
      </c>
      <c r="G573" t="s">
        <v>99</v>
      </c>
      <c r="H573" s="4" t="s">
        <v>16</v>
      </c>
      <c r="I573" s="4">
        <v>-792</v>
      </c>
      <c r="J573" s="4">
        <v>-792</v>
      </c>
      <c r="K573" t="str">
        <f>_xlfn.XLOOKUP($C573,Table1[BusinessUnitID],Table1[BusinessUnit],"",0)</f>
        <v>HOTEL</v>
      </c>
      <c r="L573" t="str" cm="1">
        <f t="array" ref="L573">_xlfn.XLOOKUP($C573,Table1[[#All],[BusinessUnitID]],Table1[[#All],[Description]],"",0,1)</f>
        <v xml:space="preserve">Transactions related to guest rooms and overall hotel operations. Includes payroll for administrative staff, clerks and interns. </v>
      </c>
      <c r="M573" t="str">
        <f>_xlfn.XLOOKUP($B573,ChartOfAccounts!A572:A657,ChartOfAccounts!B572:B657,"",0,1)</f>
        <v/>
      </c>
      <c r="N573">
        <f>_xlfn.XLOOKUP($B573,ChartOfAccounts!A572:A657,ChartOfAccounts!D572:D657,0,1)</f>
        <v>0</v>
      </c>
      <c r="O573" t="str">
        <f>_xlfn.XLOOKUP($B573,ChartOfAccounts!A572:A657,ChartOfAccounts!F572:F657,"",0,1)</f>
        <v/>
      </c>
      <c r="P573" t="str" cm="1">
        <f t="array" ref="P573">_xlfn.XLOOKUP($D573&amp;$C573,PreparerInfo!A572:A584&amp;PreparerInfo!C572:C584,PreparerInfo!B572:B584,"",0,1)</f>
        <v/>
      </c>
      <c r="Q573" t="str">
        <f>_xlfn.XLOOKUP($E573,Source!A572:A580,Source!B572:B580,"",0,1)</f>
        <v/>
      </c>
    </row>
    <row r="574" spans="1:17" x14ac:dyDescent="0.3">
      <c r="A574" s="3">
        <v>2033806</v>
      </c>
      <c r="B574">
        <v>11845</v>
      </c>
      <c r="C574">
        <v>1</v>
      </c>
      <c r="D574" s="9">
        <v>102</v>
      </c>
      <c r="E574">
        <v>1001</v>
      </c>
      <c r="F574" s="1">
        <v>44010</v>
      </c>
      <c r="G574" t="s">
        <v>41</v>
      </c>
      <c r="H574" s="4">
        <v>806.19</v>
      </c>
      <c r="I574" s="4" t="s">
        <v>16</v>
      </c>
      <c r="J574" s="4">
        <v>806.19</v>
      </c>
      <c r="K574" t="str">
        <f>_xlfn.XLOOKUP($C574,Table1[BusinessUnitID],Table1[BusinessUnit],"",0)</f>
        <v>FOOD SERVICE</v>
      </c>
      <c r="L574" t="str" cm="1">
        <f t="array" ref="L574">_xlfn.XLOOKUP($C574,Table1[[#All],[BusinessUnitID]],Table1[[#All],[Description]],"",0,1)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74" t="str">
        <f>_xlfn.XLOOKUP($B574,ChartOfAccounts!A573:A658,ChartOfAccounts!B573:B658,"",0,1)</f>
        <v/>
      </c>
      <c r="N574">
        <f>_xlfn.XLOOKUP($B574,ChartOfAccounts!A573:A658,ChartOfAccounts!D573:D658,0,1)</f>
        <v>0</v>
      </c>
      <c r="O574" t="str">
        <f>_xlfn.XLOOKUP($B574,ChartOfAccounts!A573:A658,ChartOfAccounts!F573:F658,"",0,1)</f>
        <v/>
      </c>
      <c r="P574" t="str" cm="1">
        <f t="array" ref="P574">_xlfn.XLOOKUP($D574&amp;$C574,PreparerInfo!A573:A585&amp;PreparerInfo!C573:C585,PreparerInfo!B573:B585,"",0,1)</f>
        <v/>
      </c>
      <c r="Q574" t="str">
        <f>_xlfn.XLOOKUP($E574,Source!A573:A581,Source!B573:B581,"",0,1)</f>
        <v/>
      </c>
    </row>
    <row r="575" spans="1:17" x14ac:dyDescent="0.3">
      <c r="A575" s="3">
        <v>2033806</v>
      </c>
      <c r="B575">
        <v>43310</v>
      </c>
      <c r="C575">
        <v>1</v>
      </c>
      <c r="D575" s="9">
        <v>102</v>
      </c>
      <c r="E575">
        <v>1001</v>
      </c>
      <c r="F575" s="1">
        <v>44010</v>
      </c>
      <c r="G575" t="s">
        <v>41</v>
      </c>
      <c r="H575" s="4" t="s">
        <v>16</v>
      </c>
      <c r="I575" s="4">
        <v>-806.19</v>
      </c>
      <c r="J575" s="4">
        <v>-806.19</v>
      </c>
      <c r="K575" t="str">
        <f>_xlfn.XLOOKUP($C575,Table1[BusinessUnitID],Table1[BusinessUnit],"",0)</f>
        <v>FOOD SERVICE</v>
      </c>
      <c r="L575" t="str" cm="1">
        <f t="array" ref="L575">_xlfn.XLOOKUP($C575,Table1[[#All],[BusinessUnitID]],Table1[[#All],[Description]],"",0,1)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75" t="str">
        <f>_xlfn.XLOOKUP($B575,ChartOfAccounts!A574:A659,ChartOfAccounts!B574:B659,"",0,1)</f>
        <v/>
      </c>
      <c r="N575">
        <f>_xlfn.XLOOKUP($B575,ChartOfAccounts!A574:A659,ChartOfAccounts!D574:D659,0,1)</f>
        <v>0</v>
      </c>
      <c r="O575" t="str">
        <f>_xlfn.XLOOKUP($B575,ChartOfAccounts!A574:A659,ChartOfAccounts!F574:F659,"",0,1)</f>
        <v/>
      </c>
      <c r="P575" t="str" cm="1">
        <f t="array" ref="P575">_xlfn.XLOOKUP($D575&amp;$C575,PreparerInfo!A574:A586&amp;PreparerInfo!C574:C586,PreparerInfo!B574:B586,"",0,1)</f>
        <v/>
      </c>
      <c r="Q575" t="str">
        <f>_xlfn.XLOOKUP($E575,Source!A574:A582,Source!B574:B582,"",0,1)</f>
        <v/>
      </c>
    </row>
    <row r="576" spans="1:17" x14ac:dyDescent="0.3">
      <c r="A576" s="3">
        <v>2033807</v>
      </c>
      <c r="B576">
        <v>72760</v>
      </c>
      <c r="C576">
        <v>1</v>
      </c>
      <c r="D576" s="9">
        <v>101</v>
      </c>
      <c r="E576">
        <v>1002</v>
      </c>
      <c r="F576" s="1">
        <v>44010</v>
      </c>
      <c r="G576" t="s">
        <v>164</v>
      </c>
      <c r="H576" s="4">
        <v>843.75</v>
      </c>
      <c r="I576" s="4" t="s">
        <v>16</v>
      </c>
      <c r="J576" s="4">
        <v>843.75</v>
      </c>
      <c r="K576" t="str">
        <f>_xlfn.XLOOKUP($C576,Table1[BusinessUnitID],Table1[BusinessUnit],"",0)</f>
        <v>FOOD SERVICE</v>
      </c>
      <c r="L576" t="str" cm="1">
        <f t="array" ref="L576">_xlfn.XLOOKUP($C576,Table1[[#All],[BusinessUnitID]],Table1[[#All],[Description]],"",0,1)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76" t="str">
        <f>_xlfn.XLOOKUP($B576,ChartOfAccounts!A575:A660,ChartOfAccounts!B575:B660,"",0,1)</f>
        <v/>
      </c>
      <c r="N576">
        <f>_xlfn.XLOOKUP($B576,ChartOfAccounts!A575:A660,ChartOfAccounts!D575:D660,0,1)</f>
        <v>0</v>
      </c>
      <c r="O576" t="str">
        <f>_xlfn.XLOOKUP($B576,ChartOfAccounts!A575:A660,ChartOfAccounts!F575:F660,"",0,1)</f>
        <v/>
      </c>
      <c r="P576" t="str" cm="1">
        <f t="array" ref="P576">_xlfn.XLOOKUP($D576&amp;$C576,PreparerInfo!A575:A587&amp;PreparerInfo!C575:C587,PreparerInfo!B575:B587,"",0,1)</f>
        <v/>
      </c>
      <c r="Q576" t="str">
        <f>_xlfn.XLOOKUP($E576,Source!A575:A583,Source!B575:B583,"",0,1)</f>
        <v/>
      </c>
    </row>
    <row r="577" spans="1:17" x14ac:dyDescent="0.3">
      <c r="A577" s="3">
        <v>2033807</v>
      </c>
      <c r="B577">
        <v>11845</v>
      </c>
      <c r="C577">
        <v>1</v>
      </c>
      <c r="D577" s="9">
        <v>101</v>
      </c>
      <c r="E577">
        <v>1002</v>
      </c>
      <c r="F577" s="1">
        <v>44010</v>
      </c>
      <c r="G577" t="s">
        <v>164</v>
      </c>
      <c r="H577" s="4" t="s">
        <v>16</v>
      </c>
      <c r="I577" s="4">
        <v>-843.75</v>
      </c>
      <c r="J577" s="4">
        <v>-843.75</v>
      </c>
      <c r="K577" t="str">
        <f>_xlfn.XLOOKUP($C577,Table1[BusinessUnitID],Table1[BusinessUnit],"",0)</f>
        <v>FOOD SERVICE</v>
      </c>
      <c r="L577" t="str" cm="1">
        <f t="array" ref="L577">_xlfn.XLOOKUP($C577,Table1[[#All],[BusinessUnitID]],Table1[[#All],[Description]],"",0,1)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77" t="str">
        <f>_xlfn.XLOOKUP($B577,ChartOfAccounts!A576:A661,ChartOfAccounts!B576:B661,"",0,1)</f>
        <v/>
      </c>
      <c r="N577">
        <f>_xlfn.XLOOKUP($B577,ChartOfAccounts!A576:A661,ChartOfAccounts!D576:D661,0,1)</f>
        <v>0</v>
      </c>
      <c r="O577" t="str">
        <f>_xlfn.XLOOKUP($B577,ChartOfAccounts!A576:A661,ChartOfAccounts!F576:F661,"",0,1)</f>
        <v/>
      </c>
      <c r="P577" t="str" cm="1">
        <f t="array" ref="P577">_xlfn.XLOOKUP($D577&amp;$C577,PreparerInfo!A576:A588&amp;PreparerInfo!C576:C588,PreparerInfo!B576:B588,"",0,1)</f>
        <v/>
      </c>
      <c r="Q577" t="str">
        <f>_xlfn.XLOOKUP($E577,Source!A576:A584,Source!B576:B584,"",0,1)</f>
        <v/>
      </c>
    </row>
    <row r="578" spans="1:17" x14ac:dyDescent="0.3">
      <c r="A578" s="3">
        <v>2033808</v>
      </c>
      <c r="B578">
        <v>51402</v>
      </c>
      <c r="C578">
        <v>1</v>
      </c>
      <c r="D578" s="9">
        <v>105</v>
      </c>
      <c r="E578">
        <v>1006</v>
      </c>
      <c r="F578" s="1">
        <v>44010</v>
      </c>
      <c r="G578" t="s">
        <v>93</v>
      </c>
      <c r="H578" s="4">
        <v>849.76</v>
      </c>
      <c r="I578" s="4" t="s">
        <v>16</v>
      </c>
      <c r="J578" s="4">
        <v>849.76</v>
      </c>
      <c r="K578" t="str">
        <f>_xlfn.XLOOKUP($C578,Table1[BusinessUnitID],Table1[BusinessUnit],"",0)</f>
        <v>FOOD SERVICE</v>
      </c>
      <c r="L578" t="str" cm="1">
        <f t="array" ref="L578">_xlfn.XLOOKUP($C578,Table1[[#All],[BusinessUnitID]],Table1[[#All],[Description]],"",0,1)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78" t="str">
        <f>_xlfn.XLOOKUP($B578,ChartOfAccounts!A577:A662,ChartOfAccounts!B577:B662,"",0,1)</f>
        <v/>
      </c>
      <c r="N578">
        <f>_xlfn.XLOOKUP($B578,ChartOfAccounts!A577:A662,ChartOfAccounts!D577:D662,0,1)</f>
        <v>0</v>
      </c>
      <c r="O578" t="str">
        <f>_xlfn.XLOOKUP($B578,ChartOfAccounts!A577:A662,ChartOfAccounts!F577:F662,"",0,1)</f>
        <v/>
      </c>
      <c r="P578" t="str" cm="1">
        <f t="array" ref="P578">_xlfn.XLOOKUP($D578&amp;$C578,PreparerInfo!A577:A589&amp;PreparerInfo!C577:C589,PreparerInfo!B577:B589,"",0,1)</f>
        <v/>
      </c>
      <c r="Q578" t="str">
        <f>_xlfn.XLOOKUP($E578,Source!A577:A585,Source!B577:B585,"",0,1)</f>
        <v/>
      </c>
    </row>
    <row r="579" spans="1:17" x14ac:dyDescent="0.3">
      <c r="A579" s="3">
        <v>2033808</v>
      </c>
      <c r="B579">
        <v>22110</v>
      </c>
      <c r="C579">
        <v>1</v>
      </c>
      <c r="D579" s="9">
        <v>105</v>
      </c>
      <c r="E579">
        <v>1006</v>
      </c>
      <c r="F579" s="1">
        <v>44010</v>
      </c>
      <c r="G579" t="s">
        <v>93</v>
      </c>
      <c r="H579" s="4" t="s">
        <v>16</v>
      </c>
      <c r="I579" s="4">
        <v>-849.76</v>
      </c>
      <c r="J579" s="4">
        <v>-849.76</v>
      </c>
      <c r="K579" t="str">
        <f>_xlfn.XLOOKUP($C579,Table1[BusinessUnitID],Table1[BusinessUnit],"",0)</f>
        <v>FOOD SERVICE</v>
      </c>
      <c r="L579" t="str" cm="1">
        <f t="array" ref="L579">_xlfn.XLOOKUP($C579,Table1[[#All],[BusinessUnitID]],Table1[[#All],[Description]],"",0,1)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79" t="str">
        <f>_xlfn.XLOOKUP($B579,ChartOfAccounts!A578:A663,ChartOfAccounts!B578:B663,"",0,1)</f>
        <v/>
      </c>
      <c r="N579">
        <f>_xlfn.XLOOKUP($B579,ChartOfAccounts!A578:A663,ChartOfAccounts!D578:D663,0,1)</f>
        <v>0</v>
      </c>
      <c r="O579" t="str">
        <f>_xlfn.XLOOKUP($B579,ChartOfAccounts!A578:A663,ChartOfAccounts!F578:F663,"",0,1)</f>
        <v/>
      </c>
      <c r="P579" t="str" cm="1">
        <f t="array" ref="P579">_xlfn.XLOOKUP($D579&amp;$C579,PreparerInfo!A578:A590&amp;PreparerInfo!C578:C590,PreparerInfo!B578:B590,"",0,1)</f>
        <v/>
      </c>
      <c r="Q579" t="str">
        <f>_xlfn.XLOOKUP($E579,Source!A578:A586,Source!B578:B586,"",0,1)</f>
        <v/>
      </c>
    </row>
    <row r="580" spans="1:17" x14ac:dyDescent="0.3">
      <c r="A580" s="3">
        <v>2033809</v>
      </c>
      <c r="B580">
        <v>43180</v>
      </c>
      <c r="C580">
        <v>2</v>
      </c>
      <c r="D580" s="9">
        <v>104</v>
      </c>
      <c r="E580">
        <v>1003</v>
      </c>
      <c r="F580" s="1">
        <v>44010</v>
      </c>
      <c r="G580" t="s">
        <v>240</v>
      </c>
      <c r="H580" s="4">
        <v>945</v>
      </c>
      <c r="I580" s="4" t="s">
        <v>16</v>
      </c>
      <c r="J580" s="4">
        <v>945</v>
      </c>
      <c r="K580" t="str">
        <f>_xlfn.XLOOKUP($C580,Table1[BusinessUnitID],Table1[BusinessUnit],"",0)</f>
        <v>HOTEL</v>
      </c>
      <c r="L580" t="str" cm="1">
        <f t="array" ref="L580">_xlfn.XLOOKUP($C580,Table1[[#All],[BusinessUnitID]],Table1[[#All],[Description]],"",0,1)</f>
        <v xml:space="preserve">Transactions related to guest rooms and overall hotel operations. Includes payroll for administrative staff, clerks and interns. </v>
      </c>
      <c r="M580" t="str">
        <f>_xlfn.XLOOKUP($B580,ChartOfAccounts!A579:A664,ChartOfAccounts!B579:B664,"",0,1)</f>
        <v/>
      </c>
      <c r="N580">
        <f>_xlfn.XLOOKUP($B580,ChartOfAccounts!A579:A664,ChartOfAccounts!D579:D664,0,1)</f>
        <v>0</v>
      </c>
      <c r="O580" t="str">
        <f>_xlfn.XLOOKUP($B580,ChartOfAccounts!A579:A664,ChartOfAccounts!F579:F664,"",0,1)</f>
        <v/>
      </c>
      <c r="P580" t="str" cm="1">
        <f t="array" ref="P580">_xlfn.XLOOKUP($D580&amp;$C580,PreparerInfo!A579:A591&amp;PreparerInfo!C579:C591,PreparerInfo!B579:B591,"",0,1)</f>
        <v/>
      </c>
      <c r="Q580" t="str">
        <f>_xlfn.XLOOKUP($E580,Source!A579:A587,Source!B579:B587,"",0,1)</f>
        <v/>
      </c>
    </row>
    <row r="581" spans="1:17" x14ac:dyDescent="0.3">
      <c r="A581" s="3">
        <v>2033809</v>
      </c>
      <c r="B581">
        <v>11845</v>
      </c>
      <c r="C581">
        <v>2</v>
      </c>
      <c r="D581" s="9">
        <v>104</v>
      </c>
      <c r="E581">
        <v>1003</v>
      </c>
      <c r="F581" s="1">
        <v>44010</v>
      </c>
      <c r="G581" t="s">
        <v>240</v>
      </c>
      <c r="H581" s="4" t="s">
        <v>16</v>
      </c>
      <c r="I581" s="4">
        <v>-945</v>
      </c>
      <c r="J581" s="4">
        <v>-945</v>
      </c>
      <c r="K581" t="str">
        <f>_xlfn.XLOOKUP($C581,Table1[BusinessUnitID],Table1[BusinessUnit],"",0)</f>
        <v>HOTEL</v>
      </c>
      <c r="L581" t="str" cm="1">
        <f t="array" ref="L581">_xlfn.XLOOKUP($C581,Table1[[#All],[BusinessUnitID]],Table1[[#All],[Description]],"",0,1)</f>
        <v xml:space="preserve">Transactions related to guest rooms and overall hotel operations. Includes payroll for administrative staff, clerks and interns. </v>
      </c>
      <c r="M581" t="str">
        <f>_xlfn.XLOOKUP($B581,ChartOfAccounts!A580:A665,ChartOfAccounts!B580:B665,"",0,1)</f>
        <v/>
      </c>
      <c r="N581">
        <f>_xlfn.XLOOKUP($B581,ChartOfAccounts!A580:A665,ChartOfAccounts!D580:D665,0,1)</f>
        <v>0</v>
      </c>
      <c r="O581" t="str">
        <f>_xlfn.XLOOKUP($B581,ChartOfAccounts!A580:A665,ChartOfAccounts!F580:F665,"",0,1)</f>
        <v/>
      </c>
      <c r="P581" t="str" cm="1">
        <f t="array" ref="P581">_xlfn.XLOOKUP($D581&amp;$C581,PreparerInfo!A580:A592&amp;PreparerInfo!C580:C592,PreparerInfo!B580:B592,"",0,1)</f>
        <v/>
      </c>
      <c r="Q581" t="str">
        <f>_xlfn.XLOOKUP($E581,Source!A580:A588,Source!B580:B588,"",0,1)</f>
        <v/>
      </c>
    </row>
    <row r="582" spans="1:17" x14ac:dyDescent="0.3">
      <c r="A582" s="3">
        <v>2033810</v>
      </c>
      <c r="B582">
        <v>51510</v>
      </c>
      <c r="C582">
        <v>4</v>
      </c>
      <c r="D582" s="9">
        <v>105</v>
      </c>
      <c r="E582">
        <v>1006</v>
      </c>
      <c r="F582" s="1">
        <v>44010</v>
      </c>
      <c r="G582" t="s">
        <v>96</v>
      </c>
      <c r="H582" s="4">
        <v>1024.42</v>
      </c>
      <c r="I582" s="4" t="s">
        <v>16</v>
      </c>
      <c r="J582" s="4">
        <v>1024.42</v>
      </c>
      <c r="K582" t="str">
        <f>_xlfn.XLOOKUP($C582,Table1[BusinessUnitID],Table1[BusinessUnit],"",0)</f>
        <v>HOUSEKEEPING</v>
      </c>
      <c r="L582" t="str" cm="1">
        <f t="array" ref="L582">_xlfn.XLOOKUP($C582,Table1[[#All],[BusinessUnitID]],Table1[[#All],[Description]],"",0,1)</f>
        <v xml:space="preserve">Transactions related to the Housekeeping Department. Primarily includes payroll for housekeepers and housekeeping supplies. </v>
      </c>
      <c r="M582" t="str">
        <f>_xlfn.XLOOKUP($B582,ChartOfAccounts!A581:A666,ChartOfAccounts!B581:B666,"",0,1)</f>
        <v/>
      </c>
      <c r="N582">
        <f>_xlfn.XLOOKUP($B582,ChartOfAccounts!A581:A666,ChartOfAccounts!D581:D666,0,1)</f>
        <v>0</v>
      </c>
      <c r="O582" t="str">
        <f>_xlfn.XLOOKUP($B582,ChartOfAccounts!A581:A666,ChartOfAccounts!F581:F666,"",0,1)</f>
        <v/>
      </c>
      <c r="P582" t="str" cm="1">
        <f t="array" ref="P582">_xlfn.XLOOKUP($D582&amp;$C582,PreparerInfo!A581:A593&amp;PreparerInfo!C581:C593,PreparerInfo!B581:B593,"",0,1)</f>
        <v/>
      </c>
      <c r="Q582" t="str">
        <f>_xlfn.XLOOKUP($E582,Source!A581:A589,Source!B581:B589,"",0,1)</f>
        <v/>
      </c>
    </row>
    <row r="583" spans="1:17" x14ac:dyDescent="0.3">
      <c r="A583" s="3">
        <v>2033810</v>
      </c>
      <c r="B583">
        <v>22110</v>
      </c>
      <c r="C583">
        <v>4</v>
      </c>
      <c r="D583" s="9">
        <v>105</v>
      </c>
      <c r="E583">
        <v>1006</v>
      </c>
      <c r="F583" s="1">
        <v>44010</v>
      </c>
      <c r="G583" t="s">
        <v>96</v>
      </c>
      <c r="H583" s="4" t="s">
        <v>16</v>
      </c>
      <c r="I583" s="4">
        <v>-1024.42</v>
      </c>
      <c r="J583" s="4">
        <v>-1024.42</v>
      </c>
      <c r="K583" t="str">
        <f>_xlfn.XLOOKUP($C583,Table1[BusinessUnitID],Table1[BusinessUnit],"",0)</f>
        <v>HOUSEKEEPING</v>
      </c>
      <c r="L583" t="str" cm="1">
        <f t="array" ref="L583">_xlfn.XLOOKUP($C583,Table1[[#All],[BusinessUnitID]],Table1[[#All],[Description]],"",0,1)</f>
        <v xml:space="preserve">Transactions related to the Housekeeping Department. Primarily includes payroll for housekeepers and housekeeping supplies. </v>
      </c>
      <c r="M583" t="str">
        <f>_xlfn.XLOOKUP($B583,ChartOfAccounts!A582:A667,ChartOfAccounts!B582:B667,"",0,1)</f>
        <v/>
      </c>
      <c r="N583">
        <f>_xlfn.XLOOKUP($B583,ChartOfAccounts!A582:A667,ChartOfAccounts!D582:D667,0,1)</f>
        <v>0</v>
      </c>
      <c r="O583" t="str">
        <f>_xlfn.XLOOKUP($B583,ChartOfAccounts!A582:A667,ChartOfAccounts!F582:F667,"",0,1)</f>
        <v/>
      </c>
      <c r="P583" t="str" cm="1">
        <f t="array" ref="P583">_xlfn.XLOOKUP($D583&amp;$C583,PreparerInfo!A582:A594&amp;PreparerInfo!C582:C594,PreparerInfo!B582:B594,"",0,1)</f>
        <v/>
      </c>
      <c r="Q583" t="str">
        <f>_xlfn.XLOOKUP($E583,Source!A582:A590,Source!B582:B590,"",0,1)</f>
        <v/>
      </c>
    </row>
    <row r="584" spans="1:17" x14ac:dyDescent="0.3">
      <c r="A584" s="3">
        <v>2033811</v>
      </c>
      <c r="B584">
        <v>14260</v>
      </c>
      <c r="C584">
        <v>1</v>
      </c>
      <c r="D584" s="9">
        <v>101</v>
      </c>
      <c r="E584">
        <v>1002</v>
      </c>
      <c r="F584" s="1">
        <v>44010</v>
      </c>
      <c r="G584" t="s">
        <v>85</v>
      </c>
      <c r="H584" s="4">
        <v>1093.45</v>
      </c>
      <c r="I584" s="4" t="s">
        <v>16</v>
      </c>
      <c r="J584" s="4">
        <v>1093.45</v>
      </c>
      <c r="K584" t="str">
        <f>_xlfn.XLOOKUP($C584,Table1[BusinessUnitID],Table1[BusinessUnit],"",0)</f>
        <v>FOOD SERVICE</v>
      </c>
      <c r="L584" t="str" cm="1">
        <f t="array" ref="L584">_xlfn.XLOOKUP($C584,Table1[[#All],[BusinessUnitID]],Table1[[#All],[Description]],"",0,1)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84" t="str">
        <f>_xlfn.XLOOKUP($B584,ChartOfAccounts!A583:A668,ChartOfAccounts!B583:B668,"",0,1)</f>
        <v/>
      </c>
      <c r="N584">
        <f>_xlfn.XLOOKUP($B584,ChartOfAccounts!A583:A668,ChartOfAccounts!D583:D668,0,1)</f>
        <v>0</v>
      </c>
      <c r="O584" t="str">
        <f>_xlfn.XLOOKUP($B584,ChartOfAccounts!A583:A668,ChartOfAccounts!F583:F668,"",0,1)</f>
        <v/>
      </c>
      <c r="P584" t="str" cm="1">
        <f t="array" ref="P584">_xlfn.XLOOKUP($D584&amp;$C584,PreparerInfo!A583:A595&amp;PreparerInfo!C583:C595,PreparerInfo!B583:B595,"",0,1)</f>
        <v/>
      </c>
      <c r="Q584" t="str">
        <f>_xlfn.XLOOKUP($E584,Source!A583:A591,Source!B583:B591,"",0,1)</f>
        <v/>
      </c>
    </row>
    <row r="585" spans="1:17" x14ac:dyDescent="0.3">
      <c r="A585" s="3">
        <v>2033811</v>
      </c>
      <c r="B585">
        <v>11845</v>
      </c>
      <c r="C585">
        <v>1</v>
      </c>
      <c r="D585" s="9">
        <v>101</v>
      </c>
      <c r="E585">
        <v>1002</v>
      </c>
      <c r="F585" s="1">
        <v>44010</v>
      </c>
      <c r="G585" t="s">
        <v>85</v>
      </c>
      <c r="H585" s="4" t="s">
        <v>16</v>
      </c>
      <c r="I585" s="4">
        <v>-1093.45</v>
      </c>
      <c r="J585" s="4">
        <v>-1093.45</v>
      </c>
      <c r="K585" t="str">
        <f>_xlfn.XLOOKUP($C585,Table1[BusinessUnitID],Table1[BusinessUnit],"",0)</f>
        <v>FOOD SERVICE</v>
      </c>
      <c r="L585" t="str" cm="1">
        <f t="array" ref="L585">_xlfn.XLOOKUP($C585,Table1[[#All],[BusinessUnitID]],Table1[[#All],[Description]],"",0,1)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85" t="str">
        <f>_xlfn.XLOOKUP($B585,ChartOfAccounts!A584:A669,ChartOfAccounts!B584:B669,"",0,1)</f>
        <v/>
      </c>
      <c r="N585">
        <f>_xlfn.XLOOKUP($B585,ChartOfAccounts!A584:A669,ChartOfAccounts!D584:D669,0,1)</f>
        <v>0</v>
      </c>
      <c r="O585" t="str">
        <f>_xlfn.XLOOKUP($B585,ChartOfAccounts!A584:A669,ChartOfAccounts!F584:F669,"",0,1)</f>
        <v/>
      </c>
      <c r="P585" t="str" cm="1">
        <f t="array" ref="P585">_xlfn.XLOOKUP($D585&amp;$C585,PreparerInfo!A584:A596&amp;PreparerInfo!C584:C596,PreparerInfo!B584:B596,"",0,1)</f>
        <v/>
      </c>
      <c r="Q585" t="str">
        <f>_xlfn.XLOOKUP($E585,Source!A584:A592,Source!B584:B592,"",0,1)</f>
        <v/>
      </c>
    </row>
    <row r="586" spans="1:17" x14ac:dyDescent="0.3">
      <c r="A586" s="3">
        <v>2033812</v>
      </c>
      <c r="B586">
        <v>14260</v>
      </c>
      <c r="C586">
        <v>1</v>
      </c>
      <c r="D586" s="9">
        <v>102</v>
      </c>
      <c r="E586">
        <v>1002</v>
      </c>
      <c r="F586" s="1">
        <v>44010</v>
      </c>
      <c r="G586" t="s">
        <v>126</v>
      </c>
      <c r="H586" s="4">
        <v>1426.85</v>
      </c>
      <c r="I586" s="4" t="s">
        <v>16</v>
      </c>
      <c r="J586" s="4">
        <v>1426.85</v>
      </c>
      <c r="K586" t="str">
        <f>_xlfn.XLOOKUP($C586,Table1[BusinessUnitID],Table1[BusinessUnit],"",0)</f>
        <v>FOOD SERVICE</v>
      </c>
      <c r="L586" t="str" cm="1">
        <f t="array" ref="L586">_xlfn.XLOOKUP($C586,Table1[[#All],[BusinessUnitID]],Table1[[#All],[Description]],"",0,1)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86" t="str">
        <f>_xlfn.XLOOKUP($B586,ChartOfAccounts!A585:A670,ChartOfAccounts!B585:B670,"",0,1)</f>
        <v/>
      </c>
      <c r="N586">
        <f>_xlfn.XLOOKUP($B586,ChartOfAccounts!A585:A670,ChartOfAccounts!D585:D670,0,1)</f>
        <v>0</v>
      </c>
      <c r="O586" t="str">
        <f>_xlfn.XLOOKUP($B586,ChartOfAccounts!A585:A670,ChartOfAccounts!F585:F670,"",0,1)</f>
        <v/>
      </c>
      <c r="P586" t="str" cm="1">
        <f t="array" ref="P586">_xlfn.XLOOKUP($D586&amp;$C586,PreparerInfo!A585:A597&amp;PreparerInfo!C585:C597,PreparerInfo!B585:B597,"",0,1)</f>
        <v/>
      </c>
      <c r="Q586" t="str">
        <f>_xlfn.XLOOKUP($E586,Source!A585:A593,Source!B585:B593,"",0,1)</f>
        <v/>
      </c>
    </row>
    <row r="587" spans="1:17" x14ac:dyDescent="0.3">
      <c r="A587" s="3">
        <v>2033812</v>
      </c>
      <c r="B587">
        <v>11845</v>
      </c>
      <c r="C587">
        <v>1</v>
      </c>
      <c r="D587" s="9">
        <v>102</v>
      </c>
      <c r="E587">
        <v>1002</v>
      </c>
      <c r="F587" s="1">
        <v>44010</v>
      </c>
      <c r="G587" t="s">
        <v>126</v>
      </c>
      <c r="H587" s="4" t="s">
        <v>16</v>
      </c>
      <c r="I587" s="4">
        <v>-1426.85</v>
      </c>
      <c r="J587" s="4">
        <v>-1426.85</v>
      </c>
      <c r="K587" t="str">
        <f>_xlfn.XLOOKUP($C587,Table1[BusinessUnitID],Table1[BusinessUnit],"",0)</f>
        <v>FOOD SERVICE</v>
      </c>
      <c r="L587" t="str" cm="1">
        <f t="array" ref="L587">_xlfn.XLOOKUP($C587,Table1[[#All],[BusinessUnitID]],Table1[[#All],[Description]],"",0,1)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87" t="str">
        <f>_xlfn.XLOOKUP($B587,ChartOfAccounts!A586:A671,ChartOfAccounts!B586:B671,"",0,1)</f>
        <v/>
      </c>
      <c r="N587">
        <f>_xlfn.XLOOKUP($B587,ChartOfAccounts!A586:A671,ChartOfAccounts!D586:D671,0,1)</f>
        <v>0</v>
      </c>
      <c r="O587" t="str">
        <f>_xlfn.XLOOKUP($B587,ChartOfAccounts!A586:A671,ChartOfAccounts!F586:F671,"",0,1)</f>
        <v/>
      </c>
      <c r="P587" t="str" cm="1">
        <f t="array" ref="P587">_xlfn.XLOOKUP($D587&amp;$C587,PreparerInfo!A586:A598&amp;PreparerInfo!C586:C598,PreparerInfo!B586:B598,"",0,1)</f>
        <v/>
      </c>
      <c r="Q587" t="str">
        <f>_xlfn.XLOOKUP($E587,Source!A586:A594,Source!B586:B594,"",0,1)</f>
        <v/>
      </c>
    </row>
    <row r="588" spans="1:17" x14ac:dyDescent="0.3">
      <c r="A588" s="3">
        <v>2033813</v>
      </c>
      <c r="B588">
        <v>11845</v>
      </c>
      <c r="C588">
        <v>1</v>
      </c>
      <c r="D588" s="9">
        <v>102</v>
      </c>
      <c r="E588">
        <v>1003</v>
      </c>
      <c r="F588" s="1">
        <v>44010</v>
      </c>
      <c r="G588" t="s">
        <v>15</v>
      </c>
      <c r="H588" s="4">
        <v>1806.46</v>
      </c>
      <c r="I588" s="4" t="s">
        <v>16</v>
      </c>
      <c r="J588" s="4">
        <v>1806.46</v>
      </c>
      <c r="K588" t="str">
        <f>_xlfn.XLOOKUP($C588,Table1[BusinessUnitID],Table1[BusinessUnit],"",0)</f>
        <v>FOOD SERVICE</v>
      </c>
      <c r="L588" t="str" cm="1">
        <f t="array" ref="L588">_xlfn.XLOOKUP($C588,Table1[[#All],[BusinessUnitID]],Table1[[#All],[Description]],"",0,1)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88" t="str">
        <f>_xlfn.XLOOKUP($B588,ChartOfAccounts!A587:A672,ChartOfAccounts!B587:B672,"",0,1)</f>
        <v/>
      </c>
      <c r="N588">
        <f>_xlfn.XLOOKUP($B588,ChartOfAccounts!A587:A672,ChartOfAccounts!D587:D672,0,1)</f>
        <v>0</v>
      </c>
      <c r="O588" t="str">
        <f>_xlfn.XLOOKUP($B588,ChartOfAccounts!A587:A672,ChartOfAccounts!F587:F672,"",0,1)</f>
        <v/>
      </c>
      <c r="P588" t="str" cm="1">
        <f t="array" ref="P588">_xlfn.XLOOKUP($D588&amp;$C588,PreparerInfo!A587:A599&amp;PreparerInfo!C587:C599,PreparerInfo!B587:B599,"",0,1)</f>
        <v/>
      </c>
      <c r="Q588" t="str">
        <f>_xlfn.XLOOKUP($E588,Source!A587:A595,Source!B587:B595,"",0,1)</f>
        <v/>
      </c>
    </row>
    <row r="589" spans="1:17" x14ac:dyDescent="0.3">
      <c r="A589" s="3">
        <v>2033813</v>
      </c>
      <c r="B589">
        <v>43310</v>
      </c>
      <c r="C589">
        <v>1</v>
      </c>
      <c r="D589" s="9">
        <v>102</v>
      </c>
      <c r="E589">
        <v>1003</v>
      </c>
      <c r="F589" s="1">
        <v>44010</v>
      </c>
      <c r="G589" t="s">
        <v>15</v>
      </c>
      <c r="H589" s="4" t="s">
        <v>16</v>
      </c>
      <c r="I589" s="4">
        <v>-1806.46</v>
      </c>
      <c r="J589" s="4">
        <v>-1806.46</v>
      </c>
      <c r="K589" t="str">
        <f>_xlfn.XLOOKUP($C589,Table1[BusinessUnitID],Table1[BusinessUnit],"",0)</f>
        <v>FOOD SERVICE</v>
      </c>
      <c r="L589" t="str" cm="1">
        <f t="array" ref="L589">_xlfn.XLOOKUP($C589,Table1[[#All],[BusinessUnitID]],Table1[[#All],[Description]],"",0,1)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89" t="str">
        <f>_xlfn.XLOOKUP($B589,ChartOfAccounts!A588:A673,ChartOfAccounts!B588:B673,"",0,1)</f>
        <v/>
      </c>
      <c r="N589">
        <f>_xlfn.XLOOKUP($B589,ChartOfAccounts!A588:A673,ChartOfAccounts!D588:D673,0,1)</f>
        <v>0</v>
      </c>
      <c r="O589" t="str">
        <f>_xlfn.XLOOKUP($B589,ChartOfAccounts!A588:A673,ChartOfAccounts!F588:F673,"",0,1)</f>
        <v/>
      </c>
      <c r="P589" t="str" cm="1">
        <f t="array" ref="P589">_xlfn.XLOOKUP($D589&amp;$C589,PreparerInfo!A588:A600&amp;PreparerInfo!C588:C600,PreparerInfo!B588:B600,"",0,1)</f>
        <v/>
      </c>
      <c r="Q589" t="str">
        <f>_xlfn.XLOOKUP($E589,Source!A588:A596,Source!B588:B596,"",0,1)</f>
        <v/>
      </c>
    </row>
    <row r="590" spans="1:17" x14ac:dyDescent="0.3">
      <c r="A590" s="3">
        <v>2033814</v>
      </c>
      <c r="B590">
        <v>51510</v>
      </c>
      <c r="C590">
        <v>2</v>
      </c>
      <c r="D590" s="9">
        <v>105</v>
      </c>
      <c r="E590">
        <v>1006</v>
      </c>
      <c r="F590" s="1">
        <v>44010</v>
      </c>
      <c r="G590" t="s">
        <v>96</v>
      </c>
      <c r="H590" s="4">
        <v>1808.54</v>
      </c>
      <c r="I590" s="4" t="s">
        <v>16</v>
      </c>
      <c r="J590" s="4">
        <v>1808.54</v>
      </c>
      <c r="K590" t="str">
        <f>_xlfn.XLOOKUP($C590,Table1[BusinessUnitID],Table1[BusinessUnit],"",0)</f>
        <v>HOTEL</v>
      </c>
      <c r="L590" t="str" cm="1">
        <f t="array" ref="L590">_xlfn.XLOOKUP($C590,Table1[[#All],[BusinessUnitID]],Table1[[#All],[Description]],"",0,1)</f>
        <v xml:space="preserve">Transactions related to guest rooms and overall hotel operations. Includes payroll for administrative staff, clerks and interns. </v>
      </c>
      <c r="M590" t="str">
        <f>_xlfn.XLOOKUP($B590,ChartOfAccounts!A589:A674,ChartOfAccounts!B589:B674,"",0,1)</f>
        <v/>
      </c>
      <c r="N590">
        <f>_xlfn.XLOOKUP($B590,ChartOfAccounts!A589:A674,ChartOfAccounts!D589:D674,0,1)</f>
        <v>0</v>
      </c>
      <c r="O590" t="str">
        <f>_xlfn.XLOOKUP($B590,ChartOfAccounts!A589:A674,ChartOfAccounts!F589:F674,"",0,1)</f>
        <v/>
      </c>
      <c r="P590" t="str" cm="1">
        <f t="array" ref="P590">_xlfn.XLOOKUP($D590&amp;$C590,PreparerInfo!A589:A601&amp;PreparerInfo!C589:C601,PreparerInfo!B589:B601,"",0,1)</f>
        <v/>
      </c>
      <c r="Q590" t="str">
        <f>_xlfn.XLOOKUP($E590,Source!A589:A597,Source!B589:B597,"",0,1)</f>
        <v/>
      </c>
    </row>
    <row r="591" spans="1:17" x14ac:dyDescent="0.3">
      <c r="A591" s="3">
        <v>2033814</v>
      </c>
      <c r="B591">
        <v>22110</v>
      </c>
      <c r="C591">
        <v>2</v>
      </c>
      <c r="D591" s="9">
        <v>105</v>
      </c>
      <c r="E591">
        <v>1006</v>
      </c>
      <c r="F591" s="1">
        <v>44010</v>
      </c>
      <c r="G591" t="s">
        <v>96</v>
      </c>
      <c r="H591" s="4" t="s">
        <v>16</v>
      </c>
      <c r="I591" s="4">
        <v>-1808.54</v>
      </c>
      <c r="J591" s="4">
        <v>-1808.54</v>
      </c>
      <c r="K591" t="str">
        <f>_xlfn.XLOOKUP($C591,Table1[BusinessUnitID],Table1[BusinessUnit],"",0)</f>
        <v>HOTEL</v>
      </c>
      <c r="L591" t="str" cm="1">
        <f t="array" ref="L591">_xlfn.XLOOKUP($C591,Table1[[#All],[BusinessUnitID]],Table1[[#All],[Description]],"",0,1)</f>
        <v xml:space="preserve">Transactions related to guest rooms and overall hotel operations. Includes payroll for administrative staff, clerks and interns. </v>
      </c>
      <c r="M591" t="str">
        <f>_xlfn.XLOOKUP($B591,ChartOfAccounts!A590:A675,ChartOfAccounts!B590:B675,"",0,1)</f>
        <v/>
      </c>
      <c r="N591">
        <f>_xlfn.XLOOKUP($B591,ChartOfAccounts!A590:A675,ChartOfAccounts!D590:D675,0,1)</f>
        <v>0</v>
      </c>
      <c r="O591" t="str">
        <f>_xlfn.XLOOKUP($B591,ChartOfAccounts!A590:A675,ChartOfAccounts!F590:F675,"",0,1)</f>
        <v/>
      </c>
      <c r="P591" t="str" cm="1">
        <f t="array" ref="P591">_xlfn.XLOOKUP($D591&amp;$C591,PreparerInfo!A590:A602&amp;PreparerInfo!C590:C602,PreparerInfo!B590:B602,"",0,1)</f>
        <v/>
      </c>
      <c r="Q591" t="str">
        <f>_xlfn.XLOOKUP($E591,Source!A590:A598,Source!B590:B598,"",0,1)</f>
        <v/>
      </c>
    </row>
    <row r="592" spans="1:17" x14ac:dyDescent="0.3">
      <c r="A592" s="3">
        <v>2033815</v>
      </c>
      <c r="B592">
        <v>51610</v>
      </c>
      <c r="C592">
        <v>4</v>
      </c>
      <c r="D592" s="9">
        <v>105</v>
      </c>
      <c r="E592">
        <v>1006</v>
      </c>
      <c r="F592" s="1">
        <v>44010</v>
      </c>
      <c r="G592" t="s">
        <v>99</v>
      </c>
      <c r="H592" s="4">
        <v>1983</v>
      </c>
      <c r="I592" s="4" t="s">
        <v>16</v>
      </c>
      <c r="J592" s="4">
        <v>1983</v>
      </c>
      <c r="K592" t="str">
        <f>_xlfn.XLOOKUP($C592,Table1[BusinessUnitID],Table1[BusinessUnit],"",0)</f>
        <v>HOUSEKEEPING</v>
      </c>
      <c r="L592" t="str" cm="1">
        <f t="array" ref="L592">_xlfn.XLOOKUP($C592,Table1[[#All],[BusinessUnitID]],Table1[[#All],[Description]],"",0,1)</f>
        <v xml:space="preserve">Transactions related to the Housekeeping Department. Primarily includes payroll for housekeepers and housekeeping supplies. </v>
      </c>
      <c r="M592" t="str">
        <f>_xlfn.XLOOKUP($B592,ChartOfAccounts!A591:A676,ChartOfAccounts!B591:B676,"",0,1)</f>
        <v/>
      </c>
      <c r="N592">
        <f>_xlfn.XLOOKUP($B592,ChartOfAccounts!A591:A676,ChartOfAccounts!D591:D676,0,1)</f>
        <v>0</v>
      </c>
      <c r="O592" t="str">
        <f>_xlfn.XLOOKUP($B592,ChartOfAccounts!A591:A676,ChartOfAccounts!F591:F676,"",0,1)</f>
        <v/>
      </c>
      <c r="P592" t="str" cm="1">
        <f t="array" ref="P592">_xlfn.XLOOKUP($D592&amp;$C592,PreparerInfo!A591:A603&amp;PreparerInfo!C591:C603,PreparerInfo!B591:B603,"",0,1)</f>
        <v/>
      </c>
      <c r="Q592" t="str">
        <f>_xlfn.XLOOKUP($E592,Source!A591:A599,Source!B591:B599,"",0,1)</f>
        <v/>
      </c>
    </row>
    <row r="593" spans="1:17" x14ac:dyDescent="0.3">
      <c r="A593" s="3">
        <v>2033815</v>
      </c>
      <c r="B593">
        <v>22110</v>
      </c>
      <c r="C593">
        <v>4</v>
      </c>
      <c r="D593" s="9">
        <v>105</v>
      </c>
      <c r="E593">
        <v>1006</v>
      </c>
      <c r="F593" s="1">
        <v>44010</v>
      </c>
      <c r="G593" t="s">
        <v>99</v>
      </c>
      <c r="H593" s="4" t="s">
        <v>16</v>
      </c>
      <c r="I593" s="4">
        <v>-1983</v>
      </c>
      <c r="J593" s="4">
        <v>-1983</v>
      </c>
      <c r="K593" t="str">
        <f>_xlfn.XLOOKUP($C593,Table1[BusinessUnitID],Table1[BusinessUnit],"",0)</f>
        <v>HOUSEKEEPING</v>
      </c>
      <c r="L593" t="str" cm="1">
        <f t="array" ref="L593">_xlfn.XLOOKUP($C593,Table1[[#All],[BusinessUnitID]],Table1[[#All],[Description]],"",0,1)</f>
        <v xml:space="preserve">Transactions related to the Housekeeping Department. Primarily includes payroll for housekeepers and housekeeping supplies. </v>
      </c>
      <c r="M593" t="str">
        <f>_xlfn.XLOOKUP($B593,ChartOfAccounts!A592:A677,ChartOfAccounts!B592:B677,"",0,1)</f>
        <v/>
      </c>
      <c r="N593">
        <f>_xlfn.XLOOKUP($B593,ChartOfAccounts!A592:A677,ChartOfAccounts!D592:D677,0,1)</f>
        <v>0</v>
      </c>
      <c r="O593" t="str">
        <f>_xlfn.XLOOKUP($B593,ChartOfAccounts!A592:A677,ChartOfAccounts!F592:F677,"",0,1)</f>
        <v/>
      </c>
      <c r="P593" t="str" cm="1">
        <f t="array" ref="P593">_xlfn.XLOOKUP($D593&amp;$C593,PreparerInfo!A592:A604&amp;PreparerInfo!C592:C604,PreparerInfo!B592:B604,"",0,1)</f>
        <v/>
      </c>
      <c r="Q593" t="str">
        <f>_xlfn.XLOOKUP($E593,Source!A592:A600,Source!B592:B600,"",0,1)</f>
        <v/>
      </c>
    </row>
    <row r="594" spans="1:17" x14ac:dyDescent="0.3">
      <c r="A594" s="3">
        <v>2033816</v>
      </c>
      <c r="B594">
        <v>14260</v>
      </c>
      <c r="C594">
        <v>1</v>
      </c>
      <c r="D594" s="9">
        <v>101</v>
      </c>
      <c r="E594">
        <v>1002</v>
      </c>
      <c r="F594" s="1">
        <v>44010</v>
      </c>
      <c r="G594" t="s">
        <v>38</v>
      </c>
      <c r="H594" s="4">
        <v>2753.74</v>
      </c>
      <c r="I594" s="4" t="s">
        <v>16</v>
      </c>
      <c r="J594" s="4">
        <v>2753.74</v>
      </c>
      <c r="K594" t="str">
        <f>_xlfn.XLOOKUP($C594,Table1[BusinessUnitID],Table1[BusinessUnit],"",0)</f>
        <v>FOOD SERVICE</v>
      </c>
      <c r="L594" t="str" cm="1">
        <f t="array" ref="L594">_xlfn.XLOOKUP($C594,Table1[[#All],[BusinessUnitID]],Table1[[#All],[Description]],"",0,1)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94" t="str">
        <f>_xlfn.XLOOKUP($B594,ChartOfAccounts!A593:A678,ChartOfAccounts!B593:B678,"",0,1)</f>
        <v/>
      </c>
      <c r="N594">
        <f>_xlfn.XLOOKUP($B594,ChartOfAccounts!A593:A678,ChartOfAccounts!D593:D678,0,1)</f>
        <v>0</v>
      </c>
      <c r="O594" t="str">
        <f>_xlfn.XLOOKUP($B594,ChartOfAccounts!A593:A678,ChartOfAccounts!F593:F678,"",0,1)</f>
        <v/>
      </c>
      <c r="P594" t="str" cm="1">
        <f t="array" ref="P594">_xlfn.XLOOKUP($D594&amp;$C594,PreparerInfo!A593:A605&amp;PreparerInfo!C593:C605,PreparerInfo!B593:B605,"",0,1)</f>
        <v/>
      </c>
      <c r="Q594" t="str">
        <f>_xlfn.XLOOKUP($E594,Source!A593:A601,Source!B593:B601,"",0,1)</f>
        <v/>
      </c>
    </row>
    <row r="595" spans="1:17" x14ac:dyDescent="0.3">
      <c r="A595" s="3">
        <v>2033816</v>
      </c>
      <c r="B595">
        <v>11845</v>
      </c>
      <c r="C595">
        <v>1</v>
      </c>
      <c r="D595" s="9">
        <v>101</v>
      </c>
      <c r="E595">
        <v>1002</v>
      </c>
      <c r="F595" s="1">
        <v>44010</v>
      </c>
      <c r="G595" t="s">
        <v>38</v>
      </c>
      <c r="H595" s="4" t="s">
        <v>16</v>
      </c>
      <c r="I595" s="4">
        <v>-2753.74</v>
      </c>
      <c r="J595" s="4">
        <v>-2753.74</v>
      </c>
      <c r="K595" t="str">
        <f>_xlfn.XLOOKUP($C595,Table1[BusinessUnitID],Table1[BusinessUnit],"",0)</f>
        <v>FOOD SERVICE</v>
      </c>
      <c r="L595" t="str" cm="1">
        <f t="array" ref="L595">_xlfn.XLOOKUP($C595,Table1[[#All],[BusinessUnitID]],Table1[[#All],[Description]],"",0,1)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95" t="str">
        <f>_xlfn.XLOOKUP($B595,ChartOfAccounts!A594:A679,ChartOfAccounts!B594:B679,"",0,1)</f>
        <v/>
      </c>
      <c r="N595">
        <f>_xlfn.XLOOKUP($B595,ChartOfAccounts!A594:A679,ChartOfAccounts!D594:D679,0,1)</f>
        <v>0</v>
      </c>
      <c r="O595" t="str">
        <f>_xlfn.XLOOKUP($B595,ChartOfAccounts!A594:A679,ChartOfAccounts!F594:F679,"",0,1)</f>
        <v/>
      </c>
      <c r="P595" t="str" cm="1">
        <f t="array" ref="P595">_xlfn.XLOOKUP($D595&amp;$C595,PreparerInfo!A594:A606&amp;PreparerInfo!C594:C606,PreparerInfo!B594:B606,"",0,1)</f>
        <v/>
      </c>
      <c r="Q595" t="str">
        <f>_xlfn.XLOOKUP($E595,Source!A594:A602,Source!B594:B602,"",0,1)</f>
        <v/>
      </c>
    </row>
    <row r="596" spans="1:17" x14ac:dyDescent="0.3">
      <c r="A596" s="3">
        <v>2033817</v>
      </c>
      <c r="B596">
        <v>11845</v>
      </c>
      <c r="C596">
        <v>1</v>
      </c>
      <c r="D596" s="9">
        <v>106</v>
      </c>
      <c r="E596">
        <v>1003</v>
      </c>
      <c r="F596" s="1">
        <v>44010</v>
      </c>
      <c r="G596" t="s">
        <v>80</v>
      </c>
      <c r="H596" s="4">
        <v>2761.78</v>
      </c>
      <c r="I596" s="4" t="s">
        <v>16</v>
      </c>
      <c r="J596" s="4">
        <v>2761.78</v>
      </c>
      <c r="K596" t="str">
        <f>_xlfn.XLOOKUP($C596,Table1[BusinessUnitID],Table1[BusinessUnit],"",0)</f>
        <v>FOOD SERVICE</v>
      </c>
      <c r="L596" t="str" cm="1">
        <f t="array" ref="L596">_xlfn.XLOOKUP($C596,Table1[[#All],[BusinessUnitID]],Table1[[#All],[Description]],"",0,1)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96" t="str">
        <f>_xlfn.XLOOKUP($B596,ChartOfAccounts!A595:A680,ChartOfAccounts!B595:B680,"",0,1)</f>
        <v/>
      </c>
      <c r="N596">
        <f>_xlfn.XLOOKUP($B596,ChartOfAccounts!A595:A680,ChartOfAccounts!D595:D680,0,1)</f>
        <v>0</v>
      </c>
      <c r="O596" t="str">
        <f>_xlfn.XLOOKUP($B596,ChartOfAccounts!A595:A680,ChartOfAccounts!F595:F680,"",0,1)</f>
        <v/>
      </c>
      <c r="P596" t="str" cm="1">
        <f t="array" ref="P596">_xlfn.XLOOKUP($D596&amp;$C596,PreparerInfo!A595:A607&amp;PreparerInfo!C595:C607,PreparerInfo!B595:B607,"",0,1)</f>
        <v/>
      </c>
      <c r="Q596" t="str">
        <f>_xlfn.XLOOKUP($E596,Source!A595:A603,Source!B595:B603,"",0,1)</f>
        <v/>
      </c>
    </row>
    <row r="597" spans="1:17" x14ac:dyDescent="0.3">
      <c r="A597" s="3">
        <v>2033817</v>
      </c>
      <c r="B597">
        <v>43310</v>
      </c>
      <c r="C597">
        <v>1</v>
      </c>
      <c r="D597" s="9">
        <v>106</v>
      </c>
      <c r="E597">
        <v>1003</v>
      </c>
      <c r="F597" s="1">
        <v>44010</v>
      </c>
      <c r="G597" t="s">
        <v>80</v>
      </c>
      <c r="H597" s="4" t="s">
        <v>16</v>
      </c>
      <c r="I597" s="4">
        <v>-2761.78</v>
      </c>
      <c r="J597" s="4">
        <v>-2761.78</v>
      </c>
      <c r="K597" t="str">
        <f>_xlfn.XLOOKUP($C597,Table1[BusinessUnitID],Table1[BusinessUnit],"",0)</f>
        <v>FOOD SERVICE</v>
      </c>
      <c r="L597" t="str" cm="1">
        <f t="array" ref="L597">_xlfn.XLOOKUP($C597,Table1[[#All],[BusinessUnitID]],Table1[[#All],[Description]],"",0,1)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97" t="str">
        <f>_xlfn.XLOOKUP($B597,ChartOfAccounts!A596:A681,ChartOfAccounts!B596:B681,"",0,1)</f>
        <v/>
      </c>
      <c r="N597">
        <f>_xlfn.XLOOKUP($B597,ChartOfAccounts!A596:A681,ChartOfAccounts!D596:D681,0,1)</f>
        <v>0</v>
      </c>
      <c r="O597" t="str">
        <f>_xlfn.XLOOKUP($B597,ChartOfAccounts!A596:A681,ChartOfAccounts!F596:F681,"",0,1)</f>
        <v/>
      </c>
      <c r="P597" t="str" cm="1">
        <f t="array" ref="P597">_xlfn.XLOOKUP($D597&amp;$C597,PreparerInfo!A596:A608&amp;PreparerInfo!C596:C608,PreparerInfo!B596:B608,"",0,1)</f>
        <v/>
      </c>
      <c r="Q597" t="str">
        <f>_xlfn.XLOOKUP($E597,Source!A596:A604,Source!B596:B604,"",0,1)</f>
        <v/>
      </c>
    </row>
    <row r="598" spans="1:17" x14ac:dyDescent="0.3">
      <c r="A598" s="3">
        <v>2033818</v>
      </c>
      <c r="B598">
        <v>14260</v>
      </c>
      <c r="C598">
        <v>1</v>
      </c>
      <c r="D598" s="9">
        <v>101</v>
      </c>
      <c r="E598">
        <v>1002</v>
      </c>
      <c r="F598" s="1">
        <v>44010</v>
      </c>
      <c r="G598" t="s">
        <v>38</v>
      </c>
      <c r="H598" s="4">
        <v>3051.25</v>
      </c>
      <c r="I598" s="4" t="s">
        <v>16</v>
      </c>
      <c r="J598" s="4">
        <v>3051.25</v>
      </c>
      <c r="K598" t="str">
        <f>_xlfn.XLOOKUP($C598,Table1[BusinessUnitID],Table1[BusinessUnit],"",0)</f>
        <v>FOOD SERVICE</v>
      </c>
      <c r="L598" t="str" cm="1">
        <f t="array" ref="L598">_xlfn.XLOOKUP($C598,Table1[[#All],[BusinessUnitID]],Table1[[#All],[Description]],"",0,1)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98" t="str">
        <f>_xlfn.XLOOKUP($B598,ChartOfAccounts!A597:A682,ChartOfAccounts!B597:B682,"",0,1)</f>
        <v/>
      </c>
      <c r="N598">
        <f>_xlfn.XLOOKUP($B598,ChartOfAccounts!A597:A682,ChartOfAccounts!D597:D682,0,1)</f>
        <v>0</v>
      </c>
      <c r="O598" t="str">
        <f>_xlfn.XLOOKUP($B598,ChartOfAccounts!A597:A682,ChartOfAccounts!F597:F682,"",0,1)</f>
        <v/>
      </c>
      <c r="P598" t="str" cm="1">
        <f t="array" ref="P598">_xlfn.XLOOKUP($D598&amp;$C598,PreparerInfo!A597:A609&amp;PreparerInfo!C597:C609,PreparerInfo!B597:B609,"",0,1)</f>
        <v/>
      </c>
      <c r="Q598" t="str">
        <f>_xlfn.XLOOKUP($E598,Source!A597:A605,Source!B597:B605,"",0,1)</f>
        <v/>
      </c>
    </row>
    <row r="599" spans="1:17" x14ac:dyDescent="0.3">
      <c r="A599" s="3">
        <v>2033818</v>
      </c>
      <c r="B599">
        <v>11845</v>
      </c>
      <c r="C599">
        <v>1</v>
      </c>
      <c r="D599" s="9">
        <v>101</v>
      </c>
      <c r="E599">
        <v>1002</v>
      </c>
      <c r="F599" s="1">
        <v>44010</v>
      </c>
      <c r="G599" t="s">
        <v>38</v>
      </c>
      <c r="H599" s="4" t="s">
        <v>16</v>
      </c>
      <c r="I599" s="4">
        <v>-3051.25</v>
      </c>
      <c r="J599" s="4">
        <v>-3051.25</v>
      </c>
      <c r="K599" t="str">
        <f>_xlfn.XLOOKUP($C599,Table1[BusinessUnitID],Table1[BusinessUnit],"",0)</f>
        <v>FOOD SERVICE</v>
      </c>
      <c r="L599" t="str" cm="1">
        <f t="array" ref="L599">_xlfn.XLOOKUP($C599,Table1[[#All],[BusinessUnitID]],Table1[[#All],[Description]],"",0,1)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599" t="str">
        <f>_xlfn.XLOOKUP($B599,ChartOfAccounts!A598:A683,ChartOfAccounts!B598:B683,"",0,1)</f>
        <v/>
      </c>
      <c r="N599">
        <f>_xlfn.XLOOKUP($B599,ChartOfAccounts!A598:A683,ChartOfAccounts!D598:D683,0,1)</f>
        <v>0</v>
      </c>
      <c r="O599" t="str">
        <f>_xlfn.XLOOKUP($B599,ChartOfAccounts!A598:A683,ChartOfAccounts!F598:F683,"",0,1)</f>
        <v/>
      </c>
      <c r="P599" t="str" cm="1">
        <f t="array" ref="P599">_xlfn.XLOOKUP($D599&amp;$C599,PreparerInfo!A598:A610&amp;PreparerInfo!C598:C610,PreparerInfo!B598:B610,"",0,1)</f>
        <v/>
      </c>
      <c r="Q599" t="str">
        <f>_xlfn.XLOOKUP($E599,Source!A598:A606,Source!B598:B606,"",0,1)</f>
        <v/>
      </c>
    </row>
    <row r="600" spans="1:17" x14ac:dyDescent="0.3">
      <c r="A600" s="3">
        <v>2033819</v>
      </c>
      <c r="B600">
        <v>51531</v>
      </c>
      <c r="C600">
        <v>1</v>
      </c>
      <c r="D600" s="9">
        <v>105</v>
      </c>
      <c r="E600">
        <v>1006</v>
      </c>
      <c r="F600" s="1">
        <v>44010</v>
      </c>
      <c r="G600" t="s">
        <v>98</v>
      </c>
      <c r="H600" s="4">
        <v>3111.42</v>
      </c>
      <c r="I600" s="4" t="s">
        <v>16</v>
      </c>
      <c r="J600" s="4">
        <v>3111.42</v>
      </c>
      <c r="K600" t="str">
        <f>_xlfn.XLOOKUP($C600,Table1[BusinessUnitID],Table1[BusinessUnit],"",0)</f>
        <v>FOOD SERVICE</v>
      </c>
      <c r="L600" t="str" cm="1">
        <f t="array" ref="L600">_xlfn.XLOOKUP($C600,Table1[[#All],[BusinessUnitID]],Table1[[#All],[Description]],"",0,1)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00" t="str">
        <f>_xlfn.XLOOKUP($B600,ChartOfAccounts!A599:A684,ChartOfAccounts!B599:B684,"",0,1)</f>
        <v/>
      </c>
      <c r="N600">
        <f>_xlfn.XLOOKUP($B600,ChartOfAccounts!A599:A684,ChartOfAccounts!D599:D684,0,1)</f>
        <v>0</v>
      </c>
      <c r="O600" t="str">
        <f>_xlfn.XLOOKUP($B600,ChartOfAccounts!A599:A684,ChartOfAccounts!F599:F684,"",0,1)</f>
        <v/>
      </c>
      <c r="P600" t="str" cm="1">
        <f t="array" ref="P600">_xlfn.XLOOKUP($D600&amp;$C600,PreparerInfo!A599:A611&amp;PreparerInfo!C599:C611,PreparerInfo!B599:B611,"",0,1)</f>
        <v/>
      </c>
      <c r="Q600" t="str">
        <f>_xlfn.XLOOKUP($E600,Source!A599:A607,Source!B599:B607,"",0,1)</f>
        <v/>
      </c>
    </row>
    <row r="601" spans="1:17" x14ac:dyDescent="0.3">
      <c r="A601" s="3">
        <v>2033819</v>
      </c>
      <c r="B601">
        <v>22110</v>
      </c>
      <c r="C601">
        <v>1</v>
      </c>
      <c r="D601" s="9">
        <v>105</v>
      </c>
      <c r="E601">
        <v>1006</v>
      </c>
      <c r="F601" s="1">
        <v>44010</v>
      </c>
      <c r="G601" t="s">
        <v>98</v>
      </c>
      <c r="H601" s="4" t="s">
        <v>16</v>
      </c>
      <c r="I601" s="4">
        <v>-3111.42</v>
      </c>
      <c r="J601" s="4">
        <v>-3111.42</v>
      </c>
      <c r="K601" t="str">
        <f>_xlfn.XLOOKUP($C601,Table1[BusinessUnitID],Table1[BusinessUnit],"",0)</f>
        <v>FOOD SERVICE</v>
      </c>
      <c r="L601" t="str" cm="1">
        <f t="array" ref="L601">_xlfn.XLOOKUP($C601,Table1[[#All],[BusinessUnitID]],Table1[[#All],[Description]],"",0,1)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01" t="str">
        <f>_xlfn.XLOOKUP($B601,ChartOfAccounts!A600:A685,ChartOfAccounts!B600:B685,"",0,1)</f>
        <v/>
      </c>
      <c r="N601">
        <f>_xlfn.XLOOKUP($B601,ChartOfAccounts!A600:A685,ChartOfAccounts!D600:D685,0,1)</f>
        <v>0</v>
      </c>
      <c r="O601" t="str">
        <f>_xlfn.XLOOKUP($B601,ChartOfAccounts!A600:A685,ChartOfAccounts!F600:F685,"",0,1)</f>
        <v/>
      </c>
      <c r="P601" t="str" cm="1">
        <f t="array" ref="P601">_xlfn.XLOOKUP($D601&amp;$C601,PreparerInfo!A600:A612&amp;PreparerInfo!C600:C612,PreparerInfo!B600:B612,"",0,1)</f>
        <v/>
      </c>
      <c r="Q601" t="str">
        <f>_xlfn.XLOOKUP($E601,Source!A600:A608,Source!B600:B608,"",0,1)</f>
        <v/>
      </c>
    </row>
    <row r="602" spans="1:17" x14ac:dyDescent="0.3">
      <c r="A602" s="3">
        <v>2033820</v>
      </c>
      <c r="B602">
        <v>51610</v>
      </c>
      <c r="C602">
        <v>1</v>
      </c>
      <c r="D602" s="9">
        <v>105</v>
      </c>
      <c r="E602">
        <v>1006</v>
      </c>
      <c r="F602" s="1">
        <v>44010</v>
      </c>
      <c r="G602" t="s">
        <v>99</v>
      </c>
      <c r="H602" s="4">
        <v>3489</v>
      </c>
      <c r="I602" s="4" t="s">
        <v>16</v>
      </c>
      <c r="J602" s="4">
        <v>3489</v>
      </c>
      <c r="K602" t="str">
        <f>_xlfn.XLOOKUP($C602,Table1[BusinessUnitID],Table1[BusinessUnit],"",0)</f>
        <v>FOOD SERVICE</v>
      </c>
      <c r="L602" t="str" cm="1">
        <f t="array" ref="L602">_xlfn.XLOOKUP($C602,Table1[[#All],[BusinessUnitID]],Table1[[#All],[Description]],"",0,1)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02" t="str">
        <f>_xlfn.XLOOKUP($B602,ChartOfAccounts!A601:A686,ChartOfAccounts!B601:B686,"",0,1)</f>
        <v/>
      </c>
      <c r="N602">
        <f>_xlfn.XLOOKUP($B602,ChartOfAccounts!A601:A686,ChartOfAccounts!D601:D686,0,1)</f>
        <v>0</v>
      </c>
      <c r="O602" t="str">
        <f>_xlfn.XLOOKUP($B602,ChartOfAccounts!A601:A686,ChartOfAccounts!F601:F686,"",0,1)</f>
        <v/>
      </c>
      <c r="P602" t="str" cm="1">
        <f t="array" ref="P602">_xlfn.XLOOKUP($D602&amp;$C602,PreparerInfo!A601:A613&amp;PreparerInfo!C601:C613,PreparerInfo!B601:B613,"",0,1)</f>
        <v/>
      </c>
      <c r="Q602" t="str">
        <f>_xlfn.XLOOKUP($E602,Source!A601:A609,Source!B601:B609,"",0,1)</f>
        <v/>
      </c>
    </row>
    <row r="603" spans="1:17" x14ac:dyDescent="0.3">
      <c r="A603" s="3">
        <v>2033820</v>
      </c>
      <c r="B603">
        <v>22110</v>
      </c>
      <c r="C603">
        <v>1</v>
      </c>
      <c r="D603" s="9">
        <v>105</v>
      </c>
      <c r="E603">
        <v>1006</v>
      </c>
      <c r="F603" s="1">
        <v>44010</v>
      </c>
      <c r="G603" t="s">
        <v>99</v>
      </c>
      <c r="H603" s="4" t="s">
        <v>16</v>
      </c>
      <c r="I603" s="4">
        <v>-3489</v>
      </c>
      <c r="J603" s="4">
        <v>-3489</v>
      </c>
      <c r="K603" t="str">
        <f>_xlfn.XLOOKUP($C603,Table1[BusinessUnitID],Table1[BusinessUnit],"",0)</f>
        <v>FOOD SERVICE</v>
      </c>
      <c r="L603" t="str" cm="1">
        <f t="array" ref="L603">_xlfn.XLOOKUP($C603,Table1[[#All],[BusinessUnitID]],Table1[[#All],[Description]],"",0,1)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03" t="str">
        <f>_xlfn.XLOOKUP($B603,ChartOfAccounts!A602:A687,ChartOfAccounts!B602:B687,"",0,1)</f>
        <v/>
      </c>
      <c r="N603">
        <f>_xlfn.XLOOKUP($B603,ChartOfAccounts!A602:A687,ChartOfAccounts!D602:D687,0,1)</f>
        <v>0</v>
      </c>
      <c r="O603" t="str">
        <f>_xlfn.XLOOKUP($B603,ChartOfAccounts!A602:A687,ChartOfAccounts!F602:F687,"",0,1)</f>
        <v/>
      </c>
      <c r="P603" t="str" cm="1">
        <f t="array" ref="P603">_xlfn.XLOOKUP($D603&amp;$C603,PreparerInfo!A602:A614&amp;PreparerInfo!C602:C614,PreparerInfo!B602:B614,"",0,1)</f>
        <v/>
      </c>
      <c r="Q603" t="str">
        <f>_xlfn.XLOOKUP($E603,Source!A602:A610,Source!B602:B610,"",0,1)</f>
        <v/>
      </c>
    </row>
    <row r="604" spans="1:17" x14ac:dyDescent="0.3">
      <c r="A604" s="3">
        <v>2033821</v>
      </c>
      <c r="B604">
        <v>51110</v>
      </c>
      <c r="C604">
        <v>6</v>
      </c>
      <c r="D604" s="9">
        <v>105</v>
      </c>
      <c r="E604">
        <v>1004</v>
      </c>
      <c r="F604" s="1">
        <v>44010</v>
      </c>
      <c r="G604" t="s">
        <v>100</v>
      </c>
      <c r="H604" s="4">
        <v>3501.08</v>
      </c>
      <c r="I604" s="4" t="s">
        <v>16</v>
      </c>
      <c r="J604" s="4">
        <v>3501.08</v>
      </c>
      <c r="K604" t="str">
        <f>_xlfn.XLOOKUP($C604,Table1[BusinessUnitID],Table1[BusinessUnit],"",0)</f>
        <v>MAINTENANCE</v>
      </c>
      <c r="L604" t="str" cm="1">
        <f t="array" ref="L604">_xlfn.XLOOKUP($C604,Table1[[#All],[BusinessUnitID]],Table1[[#All],[Description]],"",0,1)</f>
        <v>Transactions related to the hotel Maintenance Department. Primarily includes payroll for maintenance, grounds keepers and related supplies.</v>
      </c>
      <c r="M604" t="str">
        <f>_xlfn.XLOOKUP($B604,ChartOfAccounts!A603:A688,ChartOfAccounts!B603:B688,"",0,1)</f>
        <v/>
      </c>
      <c r="N604">
        <f>_xlfn.XLOOKUP($B604,ChartOfAccounts!A603:A688,ChartOfAccounts!D603:D688,0,1)</f>
        <v>0</v>
      </c>
      <c r="O604" t="str">
        <f>_xlfn.XLOOKUP($B604,ChartOfAccounts!A603:A688,ChartOfAccounts!F603:F688,"",0,1)</f>
        <v/>
      </c>
      <c r="P604" t="str" cm="1">
        <f t="array" ref="P604">_xlfn.XLOOKUP($D604&amp;$C604,PreparerInfo!A603:A615&amp;PreparerInfo!C603:C615,PreparerInfo!B603:B615,"",0,1)</f>
        <v/>
      </c>
      <c r="Q604" t="str">
        <f>_xlfn.XLOOKUP($E604,Source!A603:A611,Source!B603:B611,"",0,1)</f>
        <v/>
      </c>
    </row>
    <row r="605" spans="1:17" x14ac:dyDescent="0.3">
      <c r="A605" s="3">
        <v>2033821</v>
      </c>
      <c r="B605">
        <v>11845</v>
      </c>
      <c r="C605">
        <v>6</v>
      </c>
      <c r="D605" s="9">
        <v>105</v>
      </c>
      <c r="E605">
        <v>1004</v>
      </c>
      <c r="F605" s="1">
        <v>44010</v>
      </c>
      <c r="G605" t="s">
        <v>100</v>
      </c>
      <c r="H605" s="4" t="s">
        <v>16</v>
      </c>
      <c r="I605" s="4">
        <v>-3501.08</v>
      </c>
      <c r="J605" s="4">
        <v>-3501.08</v>
      </c>
      <c r="K605" t="str">
        <f>_xlfn.XLOOKUP($C605,Table1[BusinessUnitID],Table1[BusinessUnit],"",0)</f>
        <v>MAINTENANCE</v>
      </c>
      <c r="L605" t="str" cm="1">
        <f t="array" ref="L605">_xlfn.XLOOKUP($C605,Table1[[#All],[BusinessUnitID]],Table1[[#All],[Description]],"",0,1)</f>
        <v>Transactions related to the hotel Maintenance Department. Primarily includes payroll for maintenance, grounds keepers and related supplies.</v>
      </c>
      <c r="M605" t="str">
        <f>_xlfn.XLOOKUP($B605,ChartOfAccounts!A604:A689,ChartOfAccounts!B604:B689,"",0,1)</f>
        <v/>
      </c>
      <c r="N605">
        <f>_xlfn.XLOOKUP($B605,ChartOfAccounts!A604:A689,ChartOfAccounts!D604:D689,0,1)</f>
        <v>0</v>
      </c>
      <c r="O605" t="str">
        <f>_xlfn.XLOOKUP($B605,ChartOfAccounts!A604:A689,ChartOfAccounts!F604:F689,"",0,1)</f>
        <v/>
      </c>
      <c r="P605" t="str" cm="1">
        <f t="array" ref="P605">_xlfn.XLOOKUP($D605&amp;$C605,PreparerInfo!A604:A616&amp;PreparerInfo!C604:C616,PreparerInfo!B604:B616,"",0,1)</f>
        <v/>
      </c>
      <c r="Q605" t="str">
        <f>_xlfn.XLOOKUP($E605,Source!A604:A612,Source!B604:B612,"",0,1)</f>
        <v/>
      </c>
    </row>
    <row r="606" spans="1:17" x14ac:dyDescent="0.3">
      <c r="A606" s="3">
        <v>2033822</v>
      </c>
      <c r="B606">
        <v>51400</v>
      </c>
      <c r="C606">
        <v>1</v>
      </c>
      <c r="D606" s="9">
        <v>105</v>
      </c>
      <c r="E606">
        <v>1006</v>
      </c>
      <c r="F606" s="1">
        <v>44010</v>
      </c>
      <c r="G606" t="s">
        <v>93</v>
      </c>
      <c r="H606" s="4">
        <v>3633.51</v>
      </c>
      <c r="I606" s="4" t="s">
        <v>16</v>
      </c>
      <c r="J606" s="4">
        <v>3633.51</v>
      </c>
      <c r="K606" t="str">
        <f>_xlfn.XLOOKUP($C606,Table1[BusinessUnitID],Table1[BusinessUnit],"",0)</f>
        <v>FOOD SERVICE</v>
      </c>
      <c r="L606" t="str" cm="1">
        <f t="array" ref="L606">_xlfn.XLOOKUP($C606,Table1[[#All],[BusinessUnitID]],Table1[[#All],[Description]],"",0,1)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06" t="str">
        <f>_xlfn.XLOOKUP($B606,ChartOfAccounts!A605:A690,ChartOfAccounts!B605:B690,"",0,1)</f>
        <v/>
      </c>
      <c r="N606">
        <f>_xlfn.XLOOKUP($B606,ChartOfAccounts!A605:A690,ChartOfAccounts!D605:D690,0,1)</f>
        <v>0</v>
      </c>
      <c r="O606" t="str">
        <f>_xlfn.XLOOKUP($B606,ChartOfAccounts!A605:A690,ChartOfAccounts!F605:F690,"",0,1)</f>
        <v/>
      </c>
      <c r="P606" t="str" cm="1">
        <f t="array" ref="P606">_xlfn.XLOOKUP($D606&amp;$C606,PreparerInfo!A605:A617&amp;PreparerInfo!C605:C617,PreparerInfo!B605:B617,"",0,1)</f>
        <v/>
      </c>
      <c r="Q606" t="str">
        <f>_xlfn.XLOOKUP($E606,Source!A605:A613,Source!B605:B613,"",0,1)</f>
        <v/>
      </c>
    </row>
    <row r="607" spans="1:17" x14ac:dyDescent="0.3">
      <c r="A607" s="3">
        <v>2033822</v>
      </c>
      <c r="B607">
        <v>22110</v>
      </c>
      <c r="C607">
        <v>1</v>
      </c>
      <c r="D607" s="9">
        <v>105</v>
      </c>
      <c r="E607">
        <v>1006</v>
      </c>
      <c r="F607" s="1">
        <v>44010</v>
      </c>
      <c r="G607" t="s">
        <v>93</v>
      </c>
      <c r="H607" s="4" t="s">
        <v>16</v>
      </c>
      <c r="I607" s="4">
        <v>-3633.51</v>
      </c>
      <c r="J607" s="4">
        <v>-3633.51</v>
      </c>
      <c r="K607" t="str">
        <f>_xlfn.XLOOKUP($C607,Table1[BusinessUnitID],Table1[BusinessUnit],"",0)</f>
        <v>FOOD SERVICE</v>
      </c>
      <c r="L607" t="str" cm="1">
        <f t="array" ref="L607">_xlfn.XLOOKUP($C607,Table1[[#All],[BusinessUnitID]],Table1[[#All],[Description]],"",0,1)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07" t="str">
        <f>_xlfn.XLOOKUP($B607,ChartOfAccounts!A606:A691,ChartOfAccounts!B606:B691,"",0,1)</f>
        <v/>
      </c>
      <c r="N607">
        <f>_xlfn.XLOOKUP($B607,ChartOfAccounts!A606:A691,ChartOfAccounts!D606:D691,0,1)</f>
        <v>0</v>
      </c>
      <c r="O607" t="str">
        <f>_xlfn.XLOOKUP($B607,ChartOfAccounts!A606:A691,ChartOfAccounts!F606:F691,"",0,1)</f>
        <v/>
      </c>
      <c r="P607" t="str" cm="1">
        <f t="array" ref="P607">_xlfn.XLOOKUP($D607&amp;$C607,PreparerInfo!A606:A618&amp;PreparerInfo!C606:C618,PreparerInfo!B606:B618,"",0,1)</f>
        <v/>
      </c>
      <c r="Q607" t="str">
        <f>_xlfn.XLOOKUP($E607,Source!A606:A614,Source!B606:B614,"",0,1)</f>
        <v/>
      </c>
    </row>
    <row r="608" spans="1:17" x14ac:dyDescent="0.3">
      <c r="A608" s="3">
        <v>2033823</v>
      </c>
      <c r="B608">
        <v>14260</v>
      </c>
      <c r="C608">
        <v>1</v>
      </c>
      <c r="D608" s="9">
        <v>101</v>
      </c>
      <c r="E608">
        <v>1002</v>
      </c>
      <c r="F608" s="1">
        <v>44010</v>
      </c>
      <c r="G608" t="s">
        <v>38</v>
      </c>
      <c r="H608" s="4">
        <v>4148.51</v>
      </c>
      <c r="I608" s="4" t="s">
        <v>16</v>
      </c>
      <c r="J608" s="4">
        <v>4148.51</v>
      </c>
      <c r="K608" t="str">
        <f>_xlfn.XLOOKUP($C608,Table1[BusinessUnitID],Table1[BusinessUnit],"",0)</f>
        <v>FOOD SERVICE</v>
      </c>
      <c r="L608" t="str" cm="1">
        <f t="array" ref="L608">_xlfn.XLOOKUP($C608,Table1[[#All],[BusinessUnitID]],Table1[[#All],[Description]],"",0,1)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08" t="str">
        <f>_xlfn.XLOOKUP($B608,ChartOfAccounts!A607:A692,ChartOfAccounts!B607:B692,"",0,1)</f>
        <v/>
      </c>
      <c r="N608">
        <f>_xlfn.XLOOKUP($B608,ChartOfAccounts!A607:A692,ChartOfAccounts!D607:D692,0,1)</f>
        <v>0</v>
      </c>
      <c r="O608" t="str">
        <f>_xlfn.XLOOKUP($B608,ChartOfAccounts!A607:A692,ChartOfAccounts!F607:F692,"",0,1)</f>
        <v/>
      </c>
      <c r="P608" t="str" cm="1">
        <f t="array" ref="P608">_xlfn.XLOOKUP($D608&amp;$C608,PreparerInfo!A607:A619&amp;PreparerInfo!C607:C619,PreparerInfo!B607:B619,"",0,1)</f>
        <v/>
      </c>
      <c r="Q608" t="str">
        <f>_xlfn.XLOOKUP($E608,Source!A607:A615,Source!B607:B615,"",0,1)</f>
        <v/>
      </c>
    </row>
    <row r="609" spans="1:17" x14ac:dyDescent="0.3">
      <c r="A609" s="3">
        <v>2033823</v>
      </c>
      <c r="B609">
        <v>11845</v>
      </c>
      <c r="C609">
        <v>1</v>
      </c>
      <c r="D609" s="9">
        <v>101</v>
      </c>
      <c r="E609">
        <v>1002</v>
      </c>
      <c r="F609" s="1">
        <v>44010</v>
      </c>
      <c r="G609" t="s">
        <v>38</v>
      </c>
      <c r="H609" s="4" t="s">
        <v>16</v>
      </c>
      <c r="I609" s="4">
        <v>-4148.51</v>
      </c>
      <c r="J609" s="4">
        <v>-4148.51</v>
      </c>
      <c r="K609" t="str">
        <f>_xlfn.XLOOKUP($C609,Table1[BusinessUnitID],Table1[BusinessUnit],"",0)</f>
        <v>FOOD SERVICE</v>
      </c>
      <c r="L609" t="str" cm="1">
        <f t="array" ref="L609">_xlfn.XLOOKUP($C609,Table1[[#All],[BusinessUnitID]],Table1[[#All],[Description]],"",0,1)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09" t="str">
        <f>_xlfn.XLOOKUP($B609,ChartOfAccounts!A608:A693,ChartOfAccounts!B608:B693,"",0,1)</f>
        <v/>
      </c>
      <c r="N609">
        <f>_xlfn.XLOOKUP($B609,ChartOfAccounts!A608:A693,ChartOfAccounts!D608:D693,0,1)</f>
        <v>0</v>
      </c>
      <c r="O609" t="str">
        <f>_xlfn.XLOOKUP($B609,ChartOfAccounts!A608:A693,ChartOfAccounts!F608:F693,"",0,1)</f>
        <v/>
      </c>
      <c r="P609" t="str" cm="1">
        <f t="array" ref="P609">_xlfn.XLOOKUP($D609&amp;$C609,PreparerInfo!A608:A620&amp;PreparerInfo!C608:C620,PreparerInfo!B608:B620,"",0,1)</f>
        <v/>
      </c>
      <c r="Q609" t="str">
        <f>_xlfn.XLOOKUP($E609,Source!A608:A616,Source!B608:B616,"",0,1)</f>
        <v/>
      </c>
    </row>
    <row r="610" spans="1:17" x14ac:dyDescent="0.3">
      <c r="A610" s="3">
        <v>2033824</v>
      </c>
      <c r="B610">
        <v>51510</v>
      </c>
      <c r="C610">
        <v>1</v>
      </c>
      <c r="D610" s="9">
        <v>105</v>
      </c>
      <c r="E610">
        <v>1006</v>
      </c>
      <c r="F610" s="1">
        <v>44010</v>
      </c>
      <c r="G610" t="s">
        <v>96</v>
      </c>
      <c r="H610" s="4">
        <v>4207.8999999999996</v>
      </c>
      <c r="I610" s="4" t="s">
        <v>16</v>
      </c>
      <c r="J610" s="4">
        <v>4207.8999999999996</v>
      </c>
      <c r="K610" t="str">
        <f>_xlfn.XLOOKUP($C610,Table1[BusinessUnitID],Table1[BusinessUnit],"",0)</f>
        <v>FOOD SERVICE</v>
      </c>
      <c r="L610" t="str" cm="1">
        <f t="array" ref="L610">_xlfn.XLOOKUP($C610,Table1[[#All],[BusinessUnitID]],Table1[[#All],[Description]],"",0,1)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10" t="str">
        <f>_xlfn.XLOOKUP($B610,ChartOfAccounts!A609:A694,ChartOfAccounts!B609:B694,"",0,1)</f>
        <v/>
      </c>
      <c r="N610">
        <f>_xlfn.XLOOKUP($B610,ChartOfAccounts!A609:A694,ChartOfAccounts!D609:D694,0,1)</f>
        <v>0</v>
      </c>
      <c r="O610" t="str">
        <f>_xlfn.XLOOKUP($B610,ChartOfAccounts!A609:A694,ChartOfAccounts!F609:F694,"",0,1)</f>
        <v/>
      </c>
      <c r="P610" t="str" cm="1">
        <f t="array" ref="P610">_xlfn.XLOOKUP($D610&amp;$C610,PreparerInfo!A609:A621&amp;PreparerInfo!C609:C621,PreparerInfo!B609:B621,"",0,1)</f>
        <v/>
      </c>
      <c r="Q610" t="str">
        <f>_xlfn.XLOOKUP($E610,Source!A609:A617,Source!B609:B617,"",0,1)</f>
        <v/>
      </c>
    </row>
    <row r="611" spans="1:17" x14ac:dyDescent="0.3">
      <c r="A611" s="3">
        <v>2033824</v>
      </c>
      <c r="B611">
        <v>22110</v>
      </c>
      <c r="C611">
        <v>1</v>
      </c>
      <c r="D611" s="9">
        <v>105</v>
      </c>
      <c r="E611">
        <v>1006</v>
      </c>
      <c r="F611" s="1">
        <v>44010</v>
      </c>
      <c r="G611" t="s">
        <v>96</v>
      </c>
      <c r="H611" s="4" t="s">
        <v>16</v>
      </c>
      <c r="I611" s="4">
        <v>-4207.8999999999996</v>
      </c>
      <c r="J611" s="4">
        <v>-4207.8999999999996</v>
      </c>
      <c r="K611" t="str">
        <f>_xlfn.XLOOKUP($C611,Table1[BusinessUnitID],Table1[BusinessUnit],"",0)</f>
        <v>FOOD SERVICE</v>
      </c>
      <c r="L611" t="str" cm="1">
        <f t="array" ref="L611">_xlfn.XLOOKUP($C611,Table1[[#All],[BusinessUnitID]],Table1[[#All],[Description]],"",0,1)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11" t="str">
        <f>_xlfn.XLOOKUP($B611,ChartOfAccounts!A610:A695,ChartOfAccounts!B610:B695,"",0,1)</f>
        <v/>
      </c>
      <c r="N611">
        <f>_xlfn.XLOOKUP($B611,ChartOfAccounts!A610:A695,ChartOfAccounts!D610:D695,0,1)</f>
        <v>0</v>
      </c>
      <c r="O611" t="str">
        <f>_xlfn.XLOOKUP($B611,ChartOfAccounts!A610:A695,ChartOfAccounts!F610:F695,"",0,1)</f>
        <v/>
      </c>
      <c r="P611" t="str" cm="1">
        <f t="array" ref="P611">_xlfn.XLOOKUP($D611&amp;$C611,PreparerInfo!A610:A622&amp;PreparerInfo!C610:C622,PreparerInfo!B610:B622,"",0,1)</f>
        <v/>
      </c>
      <c r="Q611" t="str">
        <f>_xlfn.XLOOKUP($E611,Source!A610:A618,Source!B610:B618,"",0,1)</f>
        <v/>
      </c>
    </row>
    <row r="612" spans="1:17" x14ac:dyDescent="0.3">
      <c r="A612" s="3">
        <v>2033825</v>
      </c>
      <c r="B612">
        <v>14260</v>
      </c>
      <c r="C612">
        <v>1</v>
      </c>
      <c r="D612" s="9">
        <v>101</v>
      </c>
      <c r="E612">
        <v>1002</v>
      </c>
      <c r="F612" s="1">
        <v>44010</v>
      </c>
      <c r="G612" t="s">
        <v>38</v>
      </c>
      <c r="H612" s="4">
        <v>4248.3599999999997</v>
      </c>
      <c r="I612" s="4" t="s">
        <v>16</v>
      </c>
      <c r="J612" s="4">
        <v>4248.3599999999997</v>
      </c>
      <c r="K612" t="str">
        <f>_xlfn.XLOOKUP($C612,Table1[BusinessUnitID],Table1[BusinessUnit],"",0)</f>
        <v>FOOD SERVICE</v>
      </c>
      <c r="L612" t="str" cm="1">
        <f t="array" ref="L612">_xlfn.XLOOKUP($C612,Table1[[#All],[BusinessUnitID]],Table1[[#All],[Description]],"",0,1)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12" t="str">
        <f>_xlfn.XLOOKUP($B612,ChartOfAccounts!A611:A696,ChartOfAccounts!B611:B696,"",0,1)</f>
        <v/>
      </c>
      <c r="N612">
        <f>_xlfn.XLOOKUP($B612,ChartOfAccounts!A611:A696,ChartOfAccounts!D611:D696,0,1)</f>
        <v>0</v>
      </c>
      <c r="O612" t="str">
        <f>_xlfn.XLOOKUP($B612,ChartOfAccounts!A611:A696,ChartOfAccounts!F611:F696,"",0,1)</f>
        <v/>
      </c>
      <c r="P612" t="str" cm="1">
        <f t="array" ref="P612">_xlfn.XLOOKUP($D612&amp;$C612,PreparerInfo!A611:A623&amp;PreparerInfo!C611:C623,PreparerInfo!B611:B623,"",0,1)</f>
        <v/>
      </c>
      <c r="Q612" t="str">
        <f>_xlfn.XLOOKUP($E612,Source!A611:A619,Source!B611:B619,"",0,1)</f>
        <v/>
      </c>
    </row>
    <row r="613" spans="1:17" x14ac:dyDescent="0.3">
      <c r="A613" s="3">
        <v>2033825</v>
      </c>
      <c r="B613">
        <v>11845</v>
      </c>
      <c r="C613">
        <v>1</v>
      </c>
      <c r="D613" s="9">
        <v>101</v>
      </c>
      <c r="E613">
        <v>1002</v>
      </c>
      <c r="F613" s="1">
        <v>44010</v>
      </c>
      <c r="G613" t="s">
        <v>38</v>
      </c>
      <c r="H613" s="4" t="s">
        <v>16</v>
      </c>
      <c r="I613" s="4">
        <v>-4248.3599999999997</v>
      </c>
      <c r="J613" s="4">
        <v>-4248.3599999999997</v>
      </c>
      <c r="K613" t="str">
        <f>_xlfn.XLOOKUP($C613,Table1[BusinessUnitID],Table1[BusinessUnit],"",0)</f>
        <v>FOOD SERVICE</v>
      </c>
      <c r="L613" t="str" cm="1">
        <f t="array" ref="L613">_xlfn.XLOOKUP($C613,Table1[[#All],[BusinessUnitID]],Table1[[#All],[Description]],"",0,1)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13" t="str">
        <f>_xlfn.XLOOKUP($B613,ChartOfAccounts!A612:A697,ChartOfAccounts!B612:B697,"",0,1)</f>
        <v/>
      </c>
      <c r="N613">
        <f>_xlfn.XLOOKUP($B613,ChartOfAccounts!A612:A697,ChartOfAccounts!D612:D697,0,1)</f>
        <v>0</v>
      </c>
      <c r="O613" t="str">
        <f>_xlfn.XLOOKUP($B613,ChartOfAccounts!A612:A697,ChartOfAccounts!F612:F697,"",0,1)</f>
        <v/>
      </c>
      <c r="P613" t="str" cm="1">
        <f t="array" ref="P613">_xlfn.XLOOKUP($D613&amp;$C613,PreparerInfo!A612:A624&amp;PreparerInfo!C612:C624,PreparerInfo!B612:B624,"",0,1)</f>
        <v/>
      </c>
      <c r="Q613" t="str">
        <f>_xlfn.XLOOKUP($E613,Source!A612:A620,Source!B612:B620,"",0,1)</f>
        <v/>
      </c>
    </row>
    <row r="614" spans="1:17" x14ac:dyDescent="0.3">
      <c r="A614" s="3">
        <v>2033826</v>
      </c>
      <c r="B614">
        <v>51610</v>
      </c>
      <c r="C614">
        <v>1</v>
      </c>
      <c r="D614" s="9">
        <v>105</v>
      </c>
      <c r="E614">
        <v>1006</v>
      </c>
      <c r="F614" s="1">
        <v>44010</v>
      </c>
      <c r="G614" t="s">
        <v>97</v>
      </c>
      <c r="H614" s="4">
        <v>4362</v>
      </c>
      <c r="I614" s="4" t="s">
        <v>16</v>
      </c>
      <c r="J614" s="4">
        <v>4362</v>
      </c>
      <c r="K614" t="str">
        <f>_xlfn.XLOOKUP($C614,Table1[BusinessUnitID],Table1[BusinessUnit],"",0)</f>
        <v>FOOD SERVICE</v>
      </c>
      <c r="L614" t="str" cm="1">
        <f t="array" ref="L614">_xlfn.XLOOKUP($C614,Table1[[#All],[BusinessUnitID]],Table1[[#All],[Description]],"",0,1)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14" t="str">
        <f>_xlfn.XLOOKUP($B614,ChartOfAccounts!A613:A698,ChartOfAccounts!B613:B698,"",0,1)</f>
        <v/>
      </c>
      <c r="N614">
        <f>_xlfn.XLOOKUP($B614,ChartOfAccounts!A613:A698,ChartOfAccounts!D613:D698,0,1)</f>
        <v>0</v>
      </c>
      <c r="O614" t="str">
        <f>_xlfn.XLOOKUP($B614,ChartOfAccounts!A613:A698,ChartOfAccounts!F613:F698,"",0,1)</f>
        <v/>
      </c>
      <c r="P614" t="str" cm="1">
        <f t="array" ref="P614">_xlfn.XLOOKUP($D614&amp;$C614,PreparerInfo!A613:A625&amp;PreparerInfo!C613:C625,PreparerInfo!B613:B625,"",0,1)</f>
        <v/>
      </c>
      <c r="Q614" t="str">
        <f>_xlfn.XLOOKUP($E614,Source!A613:A621,Source!B613:B621,"",0,1)</f>
        <v/>
      </c>
    </row>
    <row r="615" spans="1:17" x14ac:dyDescent="0.3">
      <c r="A615" s="3">
        <v>2033826</v>
      </c>
      <c r="B615">
        <v>22110</v>
      </c>
      <c r="C615">
        <v>1</v>
      </c>
      <c r="D615" s="9">
        <v>105</v>
      </c>
      <c r="E615">
        <v>1006</v>
      </c>
      <c r="F615" s="1">
        <v>44010</v>
      </c>
      <c r="G615" t="s">
        <v>97</v>
      </c>
      <c r="H615" s="4" t="s">
        <v>16</v>
      </c>
      <c r="I615" s="4">
        <v>-4362</v>
      </c>
      <c r="J615" s="4">
        <v>-4362</v>
      </c>
      <c r="K615" t="str">
        <f>_xlfn.XLOOKUP($C615,Table1[BusinessUnitID],Table1[BusinessUnit],"",0)</f>
        <v>FOOD SERVICE</v>
      </c>
      <c r="L615" t="str" cm="1">
        <f t="array" ref="L615">_xlfn.XLOOKUP($C615,Table1[[#All],[BusinessUnitID]],Table1[[#All],[Description]],"",0,1)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15" t="str">
        <f>_xlfn.XLOOKUP($B615,ChartOfAccounts!A614:A699,ChartOfAccounts!B614:B699,"",0,1)</f>
        <v/>
      </c>
      <c r="N615">
        <f>_xlfn.XLOOKUP($B615,ChartOfAccounts!A614:A699,ChartOfAccounts!D614:D699,0,1)</f>
        <v>0</v>
      </c>
      <c r="O615" t="str">
        <f>_xlfn.XLOOKUP($B615,ChartOfAccounts!A614:A699,ChartOfAccounts!F614:F699,"",0,1)</f>
        <v/>
      </c>
      <c r="P615" t="str" cm="1">
        <f t="array" ref="P615">_xlfn.XLOOKUP($D615&amp;$C615,PreparerInfo!A614:A626&amp;PreparerInfo!C614:C626,PreparerInfo!B614:B626,"",0,1)</f>
        <v/>
      </c>
      <c r="Q615" t="str">
        <f>_xlfn.XLOOKUP($E615,Source!A614:A622,Source!B614:B622,"",0,1)</f>
        <v/>
      </c>
    </row>
    <row r="616" spans="1:17" x14ac:dyDescent="0.3">
      <c r="A616" s="3">
        <v>2033827</v>
      </c>
      <c r="B616">
        <v>14260</v>
      </c>
      <c r="C616">
        <v>1</v>
      </c>
      <c r="D616" s="9">
        <v>101</v>
      </c>
      <c r="E616">
        <v>1002</v>
      </c>
      <c r="F616" s="1">
        <v>44010</v>
      </c>
      <c r="G616" t="s">
        <v>38</v>
      </c>
      <c r="H616" s="4">
        <v>5100.79</v>
      </c>
      <c r="I616" s="4" t="s">
        <v>16</v>
      </c>
      <c r="J616" s="4">
        <v>5100.79</v>
      </c>
      <c r="K616" t="str">
        <f>_xlfn.XLOOKUP($C616,Table1[BusinessUnitID],Table1[BusinessUnit],"",0)</f>
        <v>FOOD SERVICE</v>
      </c>
      <c r="L616" t="str" cm="1">
        <f t="array" ref="L616">_xlfn.XLOOKUP($C616,Table1[[#All],[BusinessUnitID]],Table1[[#All],[Description]],"",0,1)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16" t="str">
        <f>_xlfn.XLOOKUP($B616,ChartOfAccounts!A615:A700,ChartOfAccounts!B615:B700,"",0,1)</f>
        <v/>
      </c>
      <c r="N616">
        <f>_xlfn.XLOOKUP($B616,ChartOfAccounts!A615:A700,ChartOfAccounts!D615:D700,0,1)</f>
        <v>0</v>
      </c>
      <c r="O616" t="str">
        <f>_xlfn.XLOOKUP($B616,ChartOfAccounts!A615:A700,ChartOfAccounts!F615:F700,"",0,1)</f>
        <v/>
      </c>
      <c r="P616" t="str" cm="1">
        <f t="array" ref="P616">_xlfn.XLOOKUP($D616&amp;$C616,PreparerInfo!A615:A627&amp;PreparerInfo!C615:C627,PreparerInfo!B615:B627,"",0,1)</f>
        <v/>
      </c>
      <c r="Q616" t="str">
        <f>_xlfn.XLOOKUP($E616,Source!A615:A623,Source!B615:B623,"",0,1)</f>
        <v/>
      </c>
    </row>
    <row r="617" spans="1:17" x14ac:dyDescent="0.3">
      <c r="A617" s="3">
        <v>2033827</v>
      </c>
      <c r="B617">
        <v>11845</v>
      </c>
      <c r="C617">
        <v>1</v>
      </c>
      <c r="D617" s="9">
        <v>101</v>
      </c>
      <c r="E617">
        <v>1002</v>
      </c>
      <c r="F617" s="1">
        <v>44010</v>
      </c>
      <c r="G617" t="s">
        <v>38</v>
      </c>
      <c r="H617" s="4" t="s">
        <v>16</v>
      </c>
      <c r="I617" s="4">
        <v>-5100.79</v>
      </c>
      <c r="J617" s="4">
        <v>-5100.79</v>
      </c>
      <c r="K617" t="str">
        <f>_xlfn.XLOOKUP($C617,Table1[BusinessUnitID],Table1[BusinessUnit],"",0)</f>
        <v>FOOD SERVICE</v>
      </c>
      <c r="L617" t="str" cm="1">
        <f t="array" ref="L617">_xlfn.XLOOKUP($C617,Table1[[#All],[BusinessUnitID]],Table1[[#All],[Description]],"",0,1)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17" t="str">
        <f>_xlfn.XLOOKUP($B617,ChartOfAccounts!A616:A701,ChartOfAccounts!B616:B701,"",0,1)</f>
        <v/>
      </c>
      <c r="N617">
        <f>_xlfn.XLOOKUP($B617,ChartOfAccounts!A616:A701,ChartOfAccounts!D616:D701,0,1)</f>
        <v>0</v>
      </c>
      <c r="O617" t="str">
        <f>_xlfn.XLOOKUP($B617,ChartOfAccounts!A616:A701,ChartOfAccounts!F616:F701,"",0,1)</f>
        <v/>
      </c>
      <c r="P617" t="str" cm="1">
        <f t="array" ref="P617">_xlfn.XLOOKUP($D617&amp;$C617,PreparerInfo!A616:A628&amp;PreparerInfo!C616:C628,PreparerInfo!B616:B628,"",0,1)</f>
        <v/>
      </c>
      <c r="Q617" t="str">
        <f>_xlfn.XLOOKUP($E617,Source!A616:A624,Source!B616:B624,"",0,1)</f>
        <v/>
      </c>
    </row>
    <row r="618" spans="1:17" x14ac:dyDescent="0.3">
      <c r="A618" s="3">
        <v>2033828</v>
      </c>
      <c r="B618">
        <v>11845</v>
      </c>
      <c r="C618">
        <v>2</v>
      </c>
      <c r="D618" s="9">
        <v>104</v>
      </c>
      <c r="E618">
        <v>1003</v>
      </c>
      <c r="F618" s="1">
        <v>44010</v>
      </c>
      <c r="G618" t="s">
        <v>15</v>
      </c>
      <c r="H618" s="4">
        <v>5129</v>
      </c>
      <c r="I618" s="4" t="s">
        <v>16</v>
      </c>
      <c r="J618" s="4">
        <v>5129</v>
      </c>
      <c r="K618" t="str">
        <f>_xlfn.XLOOKUP($C618,Table1[BusinessUnitID],Table1[BusinessUnit],"",0)</f>
        <v>HOTEL</v>
      </c>
      <c r="L618" t="str" cm="1">
        <f t="array" ref="L618">_xlfn.XLOOKUP($C618,Table1[[#All],[BusinessUnitID]],Table1[[#All],[Description]],"",0,1)</f>
        <v xml:space="preserve">Transactions related to guest rooms and overall hotel operations. Includes payroll for administrative staff, clerks and interns. </v>
      </c>
      <c r="M618" t="str">
        <f>_xlfn.XLOOKUP($B618,ChartOfAccounts!A617:A702,ChartOfAccounts!B617:B702,"",0,1)</f>
        <v/>
      </c>
      <c r="N618">
        <f>_xlfn.XLOOKUP($B618,ChartOfAccounts!A617:A702,ChartOfAccounts!D617:D702,0,1)</f>
        <v>0</v>
      </c>
      <c r="O618" t="str">
        <f>_xlfn.XLOOKUP($B618,ChartOfAccounts!A617:A702,ChartOfAccounts!F617:F702,"",0,1)</f>
        <v/>
      </c>
      <c r="P618" t="str" cm="1">
        <f t="array" ref="P618">_xlfn.XLOOKUP($D618&amp;$C618,PreparerInfo!A617:A629&amp;PreparerInfo!C617:C629,PreparerInfo!B617:B629,"",0,1)</f>
        <v/>
      </c>
      <c r="Q618" t="str">
        <f>_xlfn.XLOOKUP($E618,Source!A617:A625,Source!B617:B625,"",0,1)</f>
        <v/>
      </c>
    </row>
    <row r="619" spans="1:17" x14ac:dyDescent="0.3">
      <c r="A619" s="3">
        <v>2033828</v>
      </c>
      <c r="B619">
        <v>43180</v>
      </c>
      <c r="C619">
        <v>2</v>
      </c>
      <c r="D619" s="9">
        <v>104</v>
      </c>
      <c r="E619">
        <v>1003</v>
      </c>
      <c r="F619" s="1">
        <v>44010</v>
      </c>
      <c r="G619" t="s">
        <v>15</v>
      </c>
      <c r="H619" s="4" t="s">
        <v>16</v>
      </c>
      <c r="I619" s="4">
        <v>-5129</v>
      </c>
      <c r="J619" s="4">
        <v>-5129</v>
      </c>
      <c r="K619" t="str">
        <f>_xlfn.XLOOKUP($C619,Table1[BusinessUnitID],Table1[BusinessUnit],"",0)</f>
        <v>HOTEL</v>
      </c>
      <c r="L619" t="str" cm="1">
        <f t="array" ref="L619">_xlfn.XLOOKUP($C619,Table1[[#All],[BusinessUnitID]],Table1[[#All],[Description]],"",0,1)</f>
        <v xml:space="preserve">Transactions related to guest rooms and overall hotel operations. Includes payroll for administrative staff, clerks and interns. </v>
      </c>
      <c r="M619" t="str">
        <f>_xlfn.XLOOKUP($B619,ChartOfAccounts!A618:A703,ChartOfAccounts!B618:B703,"",0,1)</f>
        <v/>
      </c>
      <c r="N619">
        <f>_xlfn.XLOOKUP($B619,ChartOfAccounts!A618:A703,ChartOfAccounts!D618:D703,0,1)</f>
        <v>0</v>
      </c>
      <c r="O619" t="str">
        <f>_xlfn.XLOOKUP($B619,ChartOfAccounts!A618:A703,ChartOfAccounts!F618:F703,"",0,1)</f>
        <v/>
      </c>
      <c r="P619" t="str" cm="1">
        <f t="array" ref="P619">_xlfn.XLOOKUP($D619&amp;$C619,PreparerInfo!A618:A630&amp;PreparerInfo!C618:C630,PreparerInfo!B618:B630,"",0,1)</f>
        <v/>
      </c>
      <c r="Q619" t="str">
        <f>_xlfn.XLOOKUP($E619,Source!A618:A626,Source!B618:B626,"",0,1)</f>
        <v/>
      </c>
    </row>
    <row r="620" spans="1:17" x14ac:dyDescent="0.3">
      <c r="A620" s="3">
        <v>2033829</v>
      </c>
      <c r="B620">
        <v>51110</v>
      </c>
      <c r="C620">
        <v>4</v>
      </c>
      <c r="D620" s="9">
        <v>105</v>
      </c>
      <c r="E620">
        <v>1004</v>
      </c>
      <c r="F620" s="1">
        <v>44010</v>
      </c>
      <c r="G620" t="s">
        <v>100</v>
      </c>
      <c r="H620" s="4">
        <v>7178.83</v>
      </c>
      <c r="I620" s="4" t="s">
        <v>16</v>
      </c>
      <c r="J620" s="4">
        <v>7178.83</v>
      </c>
      <c r="K620" t="str">
        <f>_xlfn.XLOOKUP($C620,Table1[BusinessUnitID],Table1[BusinessUnit],"",0)</f>
        <v>HOUSEKEEPING</v>
      </c>
      <c r="L620" t="str" cm="1">
        <f t="array" ref="L620">_xlfn.XLOOKUP($C620,Table1[[#All],[BusinessUnitID]],Table1[[#All],[Description]],"",0,1)</f>
        <v xml:space="preserve">Transactions related to the Housekeeping Department. Primarily includes payroll for housekeepers and housekeeping supplies. </v>
      </c>
      <c r="M620" t="str">
        <f>_xlfn.XLOOKUP($B620,ChartOfAccounts!A619:A704,ChartOfAccounts!B619:B704,"",0,1)</f>
        <v/>
      </c>
      <c r="N620">
        <f>_xlfn.XLOOKUP($B620,ChartOfAccounts!A619:A704,ChartOfAccounts!D619:D704,0,1)</f>
        <v>0</v>
      </c>
      <c r="O620" t="str">
        <f>_xlfn.XLOOKUP($B620,ChartOfAccounts!A619:A704,ChartOfAccounts!F619:F704,"",0,1)</f>
        <v/>
      </c>
      <c r="P620" t="str" cm="1">
        <f t="array" ref="P620">_xlfn.XLOOKUP($D620&amp;$C620,PreparerInfo!A619:A631&amp;PreparerInfo!C619:C631,PreparerInfo!B619:B631,"",0,1)</f>
        <v/>
      </c>
      <c r="Q620" t="str">
        <f>_xlfn.XLOOKUP($E620,Source!A619:A627,Source!B619:B627,"",0,1)</f>
        <v/>
      </c>
    </row>
    <row r="621" spans="1:17" x14ac:dyDescent="0.3">
      <c r="A621" s="3">
        <v>2033829</v>
      </c>
      <c r="B621">
        <v>11845</v>
      </c>
      <c r="C621">
        <v>4</v>
      </c>
      <c r="D621" s="9">
        <v>105</v>
      </c>
      <c r="E621">
        <v>1004</v>
      </c>
      <c r="F621" s="1">
        <v>44010</v>
      </c>
      <c r="G621" t="s">
        <v>100</v>
      </c>
      <c r="H621" s="4" t="s">
        <v>16</v>
      </c>
      <c r="I621" s="4">
        <v>-7178.83</v>
      </c>
      <c r="J621" s="4">
        <v>-7178.83</v>
      </c>
      <c r="K621" t="str">
        <f>_xlfn.XLOOKUP($C621,Table1[BusinessUnitID],Table1[BusinessUnit],"",0)</f>
        <v>HOUSEKEEPING</v>
      </c>
      <c r="L621" t="str" cm="1">
        <f t="array" ref="L621">_xlfn.XLOOKUP($C621,Table1[[#All],[BusinessUnitID]],Table1[[#All],[Description]],"",0,1)</f>
        <v xml:space="preserve">Transactions related to the Housekeeping Department. Primarily includes payroll for housekeepers and housekeeping supplies. </v>
      </c>
      <c r="M621" t="str">
        <f>_xlfn.XLOOKUP($B621,ChartOfAccounts!A620:A705,ChartOfAccounts!B620:B705,"",0,1)</f>
        <v/>
      </c>
      <c r="N621">
        <f>_xlfn.XLOOKUP($B621,ChartOfAccounts!A620:A705,ChartOfAccounts!D620:D705,0,1)</f>
        <v>0</v>
      </c>
      <c r="O621" t="str">
        <f>_xlfn.XLOOKUP($B621,ChartOfAccounts!A620:A705,ChartOfAccounts!F620:F705,"",0,1)</f>
        <v/>
      </c>
      <c r="P621" t="str" cm="1">
        <f t="array" ref="P621">_xlfn.XLOOKUP($D621&amp;$C621,PreparerInfo!A620:A632&amp;PreparerInfo!C620:C632,PreparerInfo!B620:B632,"",0,1)</f>
        <v/>
      </c>
      <c r="Q621" t="str">
        <f>_xlfn.XLOOKUP($E621,Source!A620:A628,Source!B620:B628,"",0,1)</f>
        <v/>
      </c>
    </row>
    <row r="622" spans="1:17" x14ac:dyDescent="0.3">
      <c r="A622" s="3">
        <v>2033830</v>
      </c>
      <c r="B622">
        <v>51110</v>
      </c>
      <c r="C622">
        <v>2</v>
      </c>
      <c r="D622" s="9">
        <v>105</v>
      </c>
      <c r="E622">
        <v>1004</v>
      </c>
      <c r="F622" s="1">
        <v>44010</v>
      </c>
      <c r="G622" t="s">
        <v>100</v>
      </c>
      <c r="H622" s="4">
        <v>12673.75</v>
      </c>
      <c r="I622" s="4" t="s">
        <v>16</v>
      </c>
      <c r="J622" s="4">
        <v>12673.75</v>
      </c>
      <c r="K622" t="str">
        <f>_xlfn.XLOOKUP($C622,Table1[BusinessUnitID],Table1[BusinessUnit],"",0)</f>
        <v>HOTEL</v>
      </c>
      <c r="L622" t="str" cm="1">
        <f t="array" ref="L622">_xlfn.XLOOKUP($C622,Table1[[#All],[BusinessUnitID]],Table1[[#All],[Description]],"",0,1)</f>
        <v xml:space="preserve">Transactions related to guest rooms and overall hotel operations. Includes payroll for administrative staff, clerks and interns. </v>
      </c>
      <c r="M622" t="str">
        <f>_xlfn.XLOOKUP($B622,ChartOfAccounts!A621:A706,ChartOfAccounts!B621:B706,"",0,1)</f>
        <v/>
      </c>
      <c r="N622">
        <f>_xlfn.XLOOKUP($B622,ChartOfAccounts!A621:A706,ChartOfAccounts!D621:D706,0,1)</f>
        <v>0</v>
      </c>
      <c r="O622" t="str">
        <f>_xlfn.XLOOKUP($B622,ChartOfAccounts!A621:A706,ChartOfAccounts!F621:F706,"",0,1)</f>
        <v/>
      </c>
      <c r="P622" t="str" cm="1">
        <f t="array" ref="P622">_xlfn.XLOOKUP($D622&amp;$C622,PreparerInfo!A621:A633&amp;PreparerInfo!C621:C633,PreparerInfo!B621:B633,"",0,1)</f>
        <v/>
      </c>
      <c r="Q622" t="str">
        <f>_xlfn.XLOOKUP($E622,Source!A621:A629,Source!B621:B629,"",0,1)</f>
        <v/>
      </c>
    </row>
    <row r="623" spans="1:17" x14ac:dyDescent="0.3">
      <c r="A623" s="3">
        <v>2033830</v>
      </c>
      <c r="B623">
        <v>11845</v>
      </c>
      <c r="C623">
        <v>2</v>
      </c>
      <c r="D623" s="9">
        <v>105</v>
      </c>
      <c r="E623">
        <v>1004</v>
      </c>
      <c r="F623" s="1">
        <v>44010</v>
      </c>
      <c r="G623" t="s">
        <v>100</v>
      </c>
      <c r="H623" s="4" t="s">
        <v>16</v>
      </c>
      <c r="I623" s="4">
        <v>-12673.75</v>
      </c>
      <c r="J623" s="4">
        <v>-12673.75</v>
      </c>
      <c r="K623" t="str">
        <f>_xlfn.XLOOKUP($C623,Table1[BusinessUnitID],Table1[BusinessUnit],"",0)</f>
        <v>HOTEL</v>
      </c>
      <c r="L623" t="str" cm="1">
        <f t="array" ref="L623">_xlfn.XLOOKUP($C623,Table1[[#All],[BusinessUnitID]],Table1[[#All],[Description]],"",0,1)</f>
        <v xml:space="preserve">Transactions related to guest rooms and overall hotel operations. Includes payroll for administrative staff, clerks and interns. </v>
      </c>
      <c r="M623" t="str">
        <f>_xlfn.XLOOKUP($B623,ChartOfAccounts!A622:A707,ChartOfAccounts!B622:B707,"",0,1)</f>
        <v/>
      </c>
      <c r="N623">
        <f>_xlfn.XLOOKUP($B623,ChartOfAccounts!A622:A707,ChartOfAccounts!D622:D707,0,1)</f>
        <v>0</v>
      </c>
      <c r="O623" t="str">
        <f>_xlfn.XLOOKUP($B623,ChartOfAccounts!A622:A707,ChartOfAccounts!F622:F707,"",0,1)</f>
        <v/>
      </c>
      <c r="P623" t="str" cm="1">
        <f t="array" ref="P623">_xlfn.XLOOKUP($D623&amp;$C623,PreparerInfo!A622:A634&amp;PreparerInfo!C622:C634,PreparerInfo!B622:B634,"",0,1)</f>
        <v/>
      </c>
      <c r="Q623" t="str">
        <f>_xlfn.XLOOKUP($E623,Source!A622:A630,Source!B622:B630,"",0,1)</f>
        <v/>
      </c>
    </row>
    <row r="624" spans="1:17" x14ac:dyDescent="0.3">
      <c r="A624" s="3">
        <v>2033831</v>
      </c>
      <c r="B624">
        <v>51110</v>
      </c>
      <c r="C624">
        <v>1</v>
      </c>
      <c r="D624" s="9">
        <v>105</v>
      </c>
      <c r="E624">
        <v>1004</v>
      </c>
      <c r="F624" s="1">
        <v>44010</v>
      </c>
      <c r="G624" t="s">
        <v>100</v>
      </c>
      <c r="H624" s="4">
        <v>63161.04</v>
      </c>
      <c r="I624" s="4" t="s">
        <v>16</v>
      </c>
      <c r="J624" s="4">
        <v>63161.04</v>
      </c>
      <c r="K624" t="str">
        <f>_xlfn.XLOOKUP($C624,Table1[BusinessUnitID],Table1[BusinessUnit],"",0)</f>
        <v>FOOD SERVICE</v>
      </c>
      <c r="L624" t="str" cm="1">
        <f t="array" ref="L624">_xlfn.XLOOKUP($C624,Table1[[#All],[BusinessUnitID]],Table1[[#All],[Description]],"",0,1)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24" t="str">
        <f>_xlfn.XLOOKUP($B624,ChartOfAccounts!A623:A708,ChartOfAccounts!B623:B708,"",0,1)</f>
        <v/>
      </c>
      <c r="N624">
        <f>_xlfn.XLOOKUP($B624,ChartOfAccounts!A623:A708,ChartOfAccounts!D623:D708,0,1)</f>
        <v>0</v>
      </c>
      <c r="O624" t="str">
        <f>_xlfn.XLOOKUP($B624,ChartOfAccounts!A623:A708,ChartOfAccounts!F623:F708,"",0,1)</f>
        <v/>
      </c>
      <c r="P624" t="str" cm="1">
        <f t="array" ref="P624">_xlfn.XLOOKUP($D624&amp;$C624,PreparerInfo!A623:A635&amp;PreparerInfo!C623:C635,PreparerInfo!B623:B635,"",0,1)</f>
        <v/>
      </c>
      <c r="Q624" t="str">
        <f>_xlfn.XLOOKUP($E624,Source!A623:A631,Source!B623:B631,"",0,1)</f>
        <v/>
      </c>
    </row>
    <row r="625" spans="1:17" x14ac:dyDescent="0.3">
      <c r="A625" s="3">
        <v>2033831</v>
      </c>
      <c r="B625">
        <v>11845</v>
      </c>
      <c r="C625">
        <v>1</v>
      </c>
      <c r="D625" s="9">
        <v>105</v>
      </c>
      <c r="E625">
        <v>1004</v>
      </c>
      <c r="F625" s="1">
        <v>44010</v>
      </c>
      <c r="G625" t="s">
        <v>100</v>
      </c>
      <c r="H625" s="4" t="s">
        <v>16</v>
      </c>
      <c r="I625" s="4">
        <v>-63161.04</v>
      </c>
      <c r="J625" s="4">
        <v>-63161.04</v>
      </c>
      <c r="K625" t="str">
        <f>_xlfn.XLOOKUP($C625,Table1[BusinessUnitID],Table1[BusinessUnit],"",0)</f>
        <v>FOOD SERVICE</v>
      </c>
      <c r="L625" t="str" cm="1">
        <f t="array" ref="L625">_xlfn.XLOOKUP($C625,Table1[[#All],[BusinessUnitID]],Table1[[#All],[Description]],"",0,1)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25" t="str">
        <f>_xlfn.XLOOKUP($B625,ChartOfAccounts!A624:A709,ChartOfAccounts!B624:B709,"",0,1)</f>
        <v/>
      </c>
      <c r="N625">
        <f>_xlfn.XLOOKUP($B625,ChartOfAccounts!A624:A709,ChartOfAccounts!D624:D709,0,1)</f>
        <v>0</v>
      </c>
      <c r="O625" t="str">
        <f>_xlfn.XLOOKUP($B625,ChartOfAccounts!A624:A709,ChartOfAccounts!F624:F709,"",0,1)</f>
        <v/>
      </c>
      <c r="P625" t="str" cm="1">
        <f t="array" ref="P625">_xlfn.XLOOKUP($D625&amp;$C625,PreparerInfo!A624:A636&amp;PreparerInfo!C624:C636,PreparerInfo!B624:B636,"",0,1)</f>
        <v/>
      </c>
      <c r="Q625" t="str">
        <f>_xlfn.XLOOKUP($E625,Source!A624:A632,Source!B624:B632,"",0,1)</f>
        <v/>
      </c>
    </row>
    <row r="626" spans="1:17" x14ac:dyDescent="0.3">
      <c r="A626" s="3">
        <v>2033832</v>
      </c>
      <c r="B626">
        <v>11845</v>
      </c>
      <c r="C626">
        <v>3</v>
      </c>
      <c r="D626" s="9">
        <v>102</v>
      </c>
      <c r="E626">
        <v>1003</v>
      </c>
      <c r="F626" s="1">
        <v>44011</v>
      </c>
      <c r="G626" t="s">
        <v>15</v>
      </c>
      <c r="H626" s="4">
        <v>13.93</v>
      </c>
      <c r="I626" s="4" t="s">
        <v>16</v>
      </c>
      <c r="J626" s="4">
        <v>13.93</v>
      </c>
      <c r="K626" t="str">
        <f>_xlfn.XLOOKUP($C626,Table1[BusinessUnitID],Table1[BusinessUnit],"",0)</f>
        <v>HOTEL PANTRY</v>
      </c>
      <c r="L626" t="str" cm="1">
        <f t="array" ref="L626">_xlfn.XLOOKUP($C626,Table1[[#All],[BusinessUnitID]],Table1[[#All],[Description]],"",0,1)</f>
        <v>Transactions related to the hotel convenience store, including some food and beverage costs.</v>
      </c>
      <c r="M626" t="str">
        <f>_xlfn.XLOOKUP($B626,ChartOfAccounts!A625:A710,ChartOfAccounts!B625:B710,"",0,1)</f>
        <v/>
      </c>
      <c r="N626">
        <f>_xlfn.XLOOKUP($B626,ChartOfAccounts!A625:A710,ChartOfAccounts!D625:D710,0,1)</f>
        <v>0</v>
      </c>
      <c r="O626" t="str">
        <f>_xlfn.XLOOKUP($B626,ChartOfAccounts!A625:A710,ChartOfAccounts!F625:F710,"",0,1)</f>
        <v/>
      </c>
      <c r="P626" t="str" cm="1">
        <f t="array" ref="P626">_xlfn.XLOOKUP($D626&amp;$C626,PreparerInfo!A625:A637&amp;PreparerInfo!C625:C637,PreparerInfo!B625:B637,"",0,1)</f>
        <v/>
      </c>
      <c r="Q626" t="str">
        <f>_xlfn.XLOOKUP($E626,Source!A625:A633,Source!B625:B633,"",0,1)</f>
        <v/>
      </c>
    </row>
    <row r="627" spans="1:17" x14ac:dyDescent="0.3">
      <c r="A627" s="3">
        <v>2033832</v>
      </c>
      <c r="B627">
        <v>43440</v>
      </c>
      <c r="C627">
        <v>3</v>
      </c>
      <c r="D627" s="9">
        <v>102</v>
      </c>
      <c r="E627">
        <v>1003</v>
      </c>
      <c r="F627" s="1">
        <v>44011</v>
      </c>
      <c r="G627" t="s">
        <v>15</v>
      </c>
      <c r="H627" s="4" t="s">
        <v>16</v>
      </c>
      <c r="I627" s="4">
        <v>-13.93</v>
      </c>
      <c r="J627" s="4">
        <v>-13.93</v>
      </c>
      <c r="K627" t="str">
        <f>_xlfn.XLOOKUP($C627,Table1[BusinessUnitID],Table1[BusinessUnit],"",0)</f>
        <v>HOTEL PANTRY</v>
      </c>
      <c r="L627" t="str" cm="1">
        <f t="array" ref="L627">_xlfn.XLOOKUP($C627,Table1[[#All],[BusinessUnitID]],Table1[[#All],[Description]],"",0,1)</f>
        <v>Transactions related to the hotel convenience store, including some food and beverage costs.</v>
      </c>
      <c r="M627" t="str">
        <f>_xlfn.XLOOKUP($B627,ChartOfAccounts!A626:A711,ChartOfAccounts!B626:B711,"",0,1)</f>
        <v/>
      </c>
      <c r="N627">
        <f>_xlfn.XLOOKUP($B627,ChartOfAccounts!A626:A711,ChartOfAccounts!D626:D711,0,1)</f>
        <v>0</v>
      </c>
      <c r="O627" t="str">
        <f>_xlfn.XLOOKUP($B627,ChartOfAccounts!A626:A711,ChartOfAccounts!F626:F711,"",0,1)</f>
        <v/>
      </c>
      <c r="P627" t="str" cm="1">
        <f t="array" ref="P627">_xlfn.XLOOKUP($D627&amp;$C627,PreparerInfo!A626:A638&amp;PreparerInfo!C626:C638,PreparerInfo!B626:B638,"",0,1)</f>
        <v/>
      </c>
      <c r="Q627" t="str">
        <f>_xlfn.XLOOKUP($E627,Source!A626:A634,Source!B626:B634,"",0,1)</f>
        <v/>
      </c>
    </row>
    <row r="628" spans="1:17" x14ac:dyDescent="0.3">
      <c r="A628" s="3">
        <v>2033833</v>
      </c>
      <c r="B628">
        <v>11845</v>
      </c>
      <c r="C628">
        <v>1</v>
      </c>
      <c r="D628" s="9">
        <v>102</v>
      </c>
      <c r="E628">
        <v>1003</v>
      </c>
      <c r="F628" s="1">
        <v>44011</v>
      </c>
      <c r="G628" t="s">
        <v>15</v>
      </c>
      <c r="H628" s="4">
        <v>53.63</v>
      </c>
      <c r="I628" s="4" t="s">
        <v>16</v>
      </c>
      <c r="J628" s="4">
        <v>53.63</v>
      </c>
      <c r="K628" t="str">
        <f>_xlfn.XLOOKUP($C628,Table1[BusinessUnitID],Table1[BusinessUnit],"",0)</f>
        <v>FOOD SERVICE</v>
      </c>
      <c r="L628" t="str" cm="1">
        <f t="array" ref="L628">_xlfn.XLOOKUP($C628,Table1[[#All],[BusinessUnitID]],Table1[[#All],[Description]],"",0,1)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28" t="str">
        <f>_xlfn.XLOOKUP($B628,ChartOfAccounts!A627:A712,ChartOfAccounts!B627:B712,"",0,1)</f>
        <v/>
      </c>
      <c r="N628">
        <f>_xlfn.XLOOKUP($B628,ChartOfAccounts!A627:A712,ChartOfAccounts!D627:D712,0,1)</f>
        <v>0</v>
      </c>
      <c r="O628" t="str">
        <f>_xlfn.XLOOKUP($B628,ChartOfAccounts!A627:A712,ChartOfAccounts!F627:F712,"",0,1)</f>
        <v/>
      </c>
      <c r="P628" t="str" cm="1">
        <f t="array" ref="P628">_xlfn.XLOOKUP($D628&amp;$C628,PreparerInfo!A627:A639&amp;PreparerInfo!C627:C639,PreparerInfo!B627:B639,"",0,1)</f>
        <v/>
      </c>
      <c r="Q628" t="str">
        <f>_xlfn.XLOOKUP($E628,Source!A627:A635,Source!B627:B635,"",0,1)</f>
        <v/>
      </c>
    </row>
    <row r="629" spans="1:17" x14ac:dyDescent="0.3">
      <c r="A629" s="3">
        <v>2033833</v>
      </c>
      <c r="B629">
        <v>43310</v>
      </c>
      <c r="C629">
        <v>1</v>
      </c>
      <c r="D629" s="9">
        <v>102</v>
      </c>
      <c r="E629">
        <v>1003</v>
      </c>
      <c r="F629" s="1">
        <v>44011</v>
      </c>
      <c r="G629" t="s">
        <v>15</v>
      </c>
      <c r="H629" s="4" t="s">
        <v>16</v>
      </c>
      <c r="I629" s="4">
        <v>-53.63</v>
      </c>
      <c r="J629" s="4">
        <v>-53.63</v>
      </c>
      <c r="K629" t="str">
        <f>_xlfn.XLOOKUP($C629,Table1[BusinessUnitID],Table1[BusinessUnit],"",0)</f>
        <v>FOOD SERVICE</v>
      </c>
      <c r="L629" t="str" cm="1">
        <f t="array" ref="L629">_xlfn.XLOOKUP($C629,Table1[[#All],[BusinessUnitID]],Table1[[#All],[Description]],"",0,1)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29" t="str">
        <f>_xlfn.XLOOKUP($B629,ChartOfAccounts!A628:A713,ChartOfAccounts!B628:B713,"",0,1)</f>
        <v/>
      </c>
      <c r="N629">
        <f>_xlfn.XLOOKUP($B629,ChartOfAccounts!A628:A713,ChartOfAccounts!D628:D713,0,1)</f>
        <v>0</v>
      </c>
      <c r="O629" t="str">
        <f>_xlfn.XLOOKUP($B629,ChartOfAccounts!A628:A713,ChartOfAccounts!F628:F713,"",0,1)</f>
        <v/>
      </c>
      <c r="P629" t="str" cm="1">
        <f t="array" ref="P629">_xlfn.XLOOKUP($D629&amp;$C629,PreparerInfo!A628:A640&amp;PreparerInfo!C628:C640,PreparerInfo!B628:B640,"",0,1)</f>
        <v/>
      </c>
      <c r="Q629" t="str">
        <f>_xlfn.XLOOKUP($E629,Source!A628:A636,Source!B628:B636,"",0,1)</f>
        <v/>
      </c>
    </row>
    <row r="630" spans="1:17" x14ac:dyDescent="0.3">
      <c r="A630" s="3">
        <v>2033834</v>
      </c>
      <c r="B630">
        <v>11845</v>
      </c>
      <c r="C630">
        <v>3</v>
      </c>
      <c r="D630" s="9">
        <v>102</v>
      </c>
      <c r="E630">
        <v>1001</v>
      </c>
      <c r="F630" s="1">
        <v>44011</v>
      </c>
      <c r="G630" t="s">
        <v>41</v>
      </c>
      <c r="H630" s="4">
        <v>68.92</v>
      </c>
      <c r="I630" s="4" t="s">
        <v>16</v>
      </c>
      <c r="J630" s="4">
        <v>68.92</v>
      </c>
      <c r="K630" t="str">
        <f>_xlfn.XLOOKUP($C630,Table1[BusinessUnitID],Table1[BusinessUnit],"",0)</f>
        <v>HOTEL PANTRY</v>
      </c>
      <c r="L630" t="str" cm="1">
        <f t="array" ref="L630">_xlfn.XLOOKUP($C630,Table1[[#All],[BusinessUnitID]],Table1[[#All],[Description]],"",0,1)</f>
        <v>Transactions related to the hotel convenience store, including some food and beverage costs.</v>
      </c>
      <c r="M630" t="str">
        <f>_xlfn.XLOOKUP($B630,ChartOfAccounts!A629:A714,ChartOfAccounts!B629:B714,"",0,1)</f>
        <v/>
      </c>
      <c r="N630">
        <f>_xlfn.XLOOKUP($B630,ChartOfAccounts!A629:A714,ChartOfAccounts!D629:D714,0,1)</f>
        <v>0</v>
      </c>
      <c r="O630" t="str">
        <f>_xlfn.XLOOKUP($B630,ChartOfAccounts!A629:A714,ChartOfAccounts!F629:F714,"",0,1)</f>
        <v/>
      </c>
      <c r="P630" t="str" cm="1">
        <f t="array" ref="P630">_xlfn.XLOOKUP($D630&amp;$C630,PreparerInfo!A629:A641&amp;PreparerInfo!C629:C641,PreparerInfo!B629:B641,"",0,1)</f>
        <v/>
      </c>
      <c r="Q630" t="str">
        <f>_xlfn.XLOOKUP($E630,Source!A629:A637,Source!B629:B637,"",0,1)</f>
        <v/>
      </c>
    </row>
    <row r="631" spans="1:17" x14ac:dyDescent="0.3">
      <c r="A631" s="3">
        <v>2033834</v>
      </c>
      <c r="B631">
        <v>43440</v>
      </c>
      <c r="C631">
        <v>3</v>
      </c>
      <c r="D631" s="9">
        <v>102</v>
      </c>
      <c r="E631">
        <v>1001</v>
      </c>
      <c r="F631" s="1">
        <v>44011</v>
      </c>
      <c r="G631" t="s">
        <v>41</v>
      </c>
      <c r="H631" s="4" t="s">
        <v>16</v>
      </c>
      <c r="I631" s="4">
        <v>-68.92</v>
      </c>
      <c r="J631" s="4">
        <v>-68.92</v>
      </c>
      <c r="K631" t="str">
        <f>_xlfn.XLOOKUP($C631,Table1[BusinessUnitID],Table1[BusinessUnit],"",0)</f>
        <v>HOTEL PANTRY</v>
      </c>
      <c r="L631" t="str" cm="1">
        <f t="array" ref="L631">_xlfn.XLOOKUP($C631,Table1[[#All],[BusinessUnitID]],Table1[[#All],[Description]],"",0,1)</f>
        <v>Transactions related to the hotel convenience store, including some food and beverage costs.</v>
      </c>
      <c r="M631" t="str">
        <f>_xlfn.XLOOKUP($B631,ChartOfAccounts!A630:A715,ChartOfAccounts!B630:B715,"",0,1)</f>
        <v/>
      </c>
      <c r="N631">
        <f>_xlfn.XLOOKUP($B631,ChartOfAccounts!A630:A715,ChartOfAccounts!D630:D715,0,1)</f>
        <v>0</v>
      </c>
      <c r="O631" t="str">
        <f>_xlfn.XLOOKUP($B631,ChartOfAccounts!A630:A715,ChartOfAccounts!F630:F715,"",0,1)</f>
        <v/>
      </c>
      <c r="P631" t="str" cm="1">
        <f t="array" ref="P631">_xlfn.XLOOKUP($D631&amp;$C631,PreparerInfo!A630:A642&amp;PreparerInfo!C630:C642,PreparerInfo!B630:B642,"",0,1)</f>
        <v/>
      </c>
      <c r="Q631" t="str">
        <f>_xlfn.XLOOKUP($E631,Source!A630:A638,Source!B630:B638,"",0,1)</f>
        <v/>
      </c>
    </row>
    <row r="632" spans="1:17" x14ac:dyDescent="0.3">
      <c r="A632" s="3">
        <v>2033835</v>
      </c>
      <c r="B632">
        <v>11845</v>
      </c>
      <c r="C632">
        <v>3</v>
      </c>
      <c r="D632" s="9">
        <v>102</v>
      </c>
      <c r="E632">
        <v>1003</v>
      </c>
      <c r="F632" s="1">
        <v>44011</v>
      </c>
      <c r="G632" t="s">
        <v>15</v>
      </c>
      <c r="H632" s="4">
        <v>74.84</v>
      </c>
      <c r="I632" s="4" t="s">
        <v>16</v>
      </c>
      <c r="J632" s="4">
        <v>74.84</v>
      </c>
      <c r="K632" t="str">
        <f>_xlfn.XLOOKUP($C632,Table1[BusinessUnitID],Table1[BusinessUnit],"",0)</f>
        <v>HOTEL PANTRY</v>
      </c>
      <c r="L632" t="str" cm="1">
        <f t="array" ref="L632">_xlfn.XLOOKUP($C632,Table1[[#All],[BusinessUnitID]],Table1[[#All],[Description]],"",0,1)</f>
        <v>Transactions related to the hotel convenience store, including some food and beverage costs.</v>
      </c>
      <c r="M632" t="str">
        <f>_xlfn.XLOOKUP($B632,ChartOfAccounts!A631:A716,ChartOfAccounts!B631:B716,"",0,1)</f>
        <v/>
      </c>
      <c r="N632">
        <f>_xlfn.XLOOKUP($B632,ChartOfAccounts!A631:A716,ChartOfAccounts!D631:D716,0,1)</f>
        <v>0</v>
      </c>
      <c r="O632" t="str">
        <f>_xlfn.XLOOKUP($B632,ChartOfAccounts!A631:A716,ChartOfAccounts!F631:F716,"",0,1)</f>
        <v/>
      </c>
      <c r="P632" t="str" cm="1">
        <f t="array" ref="P632">_xlfn.XLOOKUP($D632&amp;$C632,PreparerInfo!A631:A643&amp;PreparerInfo!C631:C643,PreparerInfo!B631:B643,"",0,1)</f>
        <v/>
      </c>
      <c r="Q632" t="str">
        <f>_xlfn.XLOOKUP($E632,Source!A631:A639,Source!B631:B639,"",0,1)</f>
        <v/>
      </c>
    </row>
    <row r="633" spans="1:17" x14ac:dyDescent="0.3">
      <c r="A633" s="3">
        <v>2033835</v>
      </c>
      <c r="B633">
        <v>43440</v>
      </c>
      <c r="C633">
        <v>3</v>
      </c>
      <c r="D633" s="9">
        <v>102</v>
      </c>
      <c r="E633">
        <v>1003</v>
      </c>
      <c r="F633" s="1">
        <v>44011</v>
      </c>
      <c r="G633" t="s">
        <v>15</v>
      </c>
      <c r="H633" s="4" t="s">
        <v>16</v>
      </c>
      <c r="I633" s="4">
        <v>-74.84</v>
      </c>
      <c r="J633" s="4">
        <v>-74.84</v>
      </c>
      <c r="K633" t="str">
        <f>_xlfn.XLOOKUP($C633,Table1[BusinessUnitID],Table1[BusinessUnit],"",0)</f>
        <v>HOTEL PANTRY</v>
      </c>
      <c r="L633" t="str" cm="1">
        <f t="array" ref="L633">_xlfn.XLOOKUP($C633,Table1[[#All],[BusinessUnitID]],Table1[[#All],[Description]],"",0,1)</f>
        <v>Transactions related to the hotel convenience store, including some food and beverage costs.</v>
      </c>
      <c r="M633" t="str">
        <f>_xlfn.XLOOKUP($B633,ChartOfAccounts!A632:A717,ChartOfAccounts!B632:B717,"",0,1)</f>
        <v/>
      </c>
      <c r="N633">
        <f>_xlfn.XLOOKUP($B633,ChartOfAccounts!A632:A717,ChartOfAccounts!D632:D717,0,1)</f>
        <v>0</v>
      </c>
      <c r="O633" t="str">
        <f>_xlfn.XLOOKUP($B633,ChartOfAccounts!A632:A717,ChartOfAccounts!F632:F717,"",0,1)</f>
        <v/>
      </c>
      <c r="P633" t="str" cm="1">
        <f t="array" ref="P633">_xlfn.XLOOKUP($D633&amp;$C633,PreparerInfo!A632:A644&amp;PreparerInfo!C632:C644,PreparerInfo!B632:B644,"",0,1)</f>
        <v/>
      </c>
      <c r="Q633" t="str">
        <f>_xlfn.XLOOKUP($E633,Source!A632:A640,Source!B632:B640,"",0,1)</f>
        <v/>
      </c>
    </row>
    <row r="634" spans="1:17" x14ac:dyDescent="0.3">
      <c r="A634" s="3">
        <v>2033836</v>
      </c>
      <c r="B634">
        <v>11845</v>
      </c>
      <c r="C634">
        <v>2</v>
      </c>
      <c r="D634" s="9">
        <v>104</v>
      </c>
      <c r="E634">
        <v>1003</v>
      </c>
      <c r="F634" s="1">
        <v>44011</v>
      </c>
      <c r="G634" t="s">
        <v>41</v>
      </c>
      <c r="H634" s="4">
        <v>109</v>
      </c>
      <c r="I634" s="4" t="s">
        <v>16</v>
      </c>
      <c r="J634" s="4">
        <v>109</v>
      </c>
      <c r="K634" t="str">
        <f>_xlfn.XLOOKUP($C634,Table1[BusinessUnitID],Table1[BusinessUnit],"",0)</f>
        <v>HOTEL</v>
      </c>
      <c r="L634" t="str" cm="1">
        <f t="array" ref="L634">_xlfn.XLOOKUP($C634,Table1[[#All],[BusinessUnitID]],Table1[[#All],[Description]],"",0,1)</f>
        <v xml:space="preserve">Transactions related to guest rooms and overall hotel operations. Includes payroll for administrative staff, clerks and interns. </v>
      </c>
      <c r="M634" t="str">
        <f>_xlfn.XLOOKUP($B634,ChartOfAccounts!A633:A718,ChartOfAccounts!B633:B718,"",0,1)</f>
        <v/>
      </c>
      <c r="N634">
        <f>_xlfn.XLOOKUP($B634,ChartOfAccounts!A633:A718,ChartOfAccounts!D633:D718,0,1)</f>
        <v>0</v>
      </c>
      <c r="O634" t="str">
        <f>_xlfn.XLOOKUP($B634,ChartOfAccounts!A633:A718,ChartOfAccounts!F633:F718,"",0,1)</f>
        <v/>
      </c>
      <c r="P634" t="str" cm="1">
        <f t="array" ref="P634">_xlfn.XLOOKUP($D634&amp;$C634,PreparerInfo!A633:A645&amp;PreparerInfo!C633:C645,PreparerInfo!B633:B645,"",0,1)</f>
        <v/>
      </c>
      <c r="Q634" t="str">
        <f>_xlfn.XLOOKUP($E634,Source!A633:A641,Source!B633:B641,"",0,1)</f>
        <v/>
      </c>
    </row>
    <row r="635" spans="1:17" x14ac:dyDescent="0.3">
      <c r="A635" s="3">
        <v>2033836</v>
      </c>
      <c r="B635">
        <v>43180</v>
      </c>
      <c r="C635">
        <v>2</v>
      </c>
      <c r="D635" s="9">
        <v>104</v>
      </c>
      <c r="E635">
        <v>1003</v>
      </c>
      <c r="F635" s="1">
        <v>44011</v>
      </c>
      <c r="G635" t="s">
        <v>41</v>
      </c>
      <c r="H635" s="4" t="s">
        <v>16</v>
      </c>
      <c r="I635" s="4">
        <v>-109</v>
      </c>
      <c r="J635" s="4">
        <v>-109</v>
      </c>
      <c r="K635" t="str">
        <f>_xlfn.XLOOKUP($C635,Table1[BusinessUnitID],Table1[BusinessUnit],"",0)</f>
        <v>HOTEL</v>
      </c>
      <c r="L635" t="str" cm="1">
        <f t="array" ref="L635">_xlfn.XLOOKUP($C635,Table1[[#All],[BusinessUnitID]],Table1[[#All],[Description]],"",0,1)</f>
        <v xml:space="preserve">Transactions related to guest rooms and overall hotel operations. Includes payroll for administrative staff, clerks and interns. </v>
      </c>
      <c r="M635" t="str">
        <f>_xlfn.XLOOKUP($B635,ChartOfAccounts!A634:A719,ChartOfAccounts!B634:B719,"",0,1)</f>
        <v/>
      </c>
      <c r="N635">
        <f>_xlfn.XLOOKUP($B635,ChartOfAccounts!A634:A719,ChartOfAccounts!D634:D719,0,1)</f>
        <v>0</v>
      </c>
      <c r="O635" t="str">
        <f>_xlfn.XLOOKUP($B635,ChartOfAccounts!A634:A719,ChartOfAccounts!F634:F719,"",0,1)</f>
        <v/>
      </c>
      <c r="P635" t="str" cm="1">
        <f t="array" ref="P635">_xlfn.XLOOKUP($D635&amp;$C635,PreparerInfo!A634:A646&amp;PreparerInfo!C634:C646,PreparerInfo!B634:B646,"",0,1)</f>
        <v/>
      </c>
      <c r="Q635" t="str">
        <f>_xlfn.XLOOKUP($E635,Source!A634:A642,Source!B634:B642,"",0,1)</f>
        <v/>
      </c>
    </row>
    <row r="636" spans="1:17" x14ac:dyDescent="0.3">
      <c r="A636" s="3">
        <v>2033837</v>
      </c>
      <c r="B636">
        <v>11845</v>
      </c>
      <c r="C636">
        <v>1</v>
      </c>
      <c r="D636" s="9">
        <v>102</v>
      </c>
      <c r="E636">
        <v>1003</v>
      </c>
      <c r="F636" s="1">
        <v>44011</v>
      </c>
      <c r="G636" t="s">
        <v>15</v>
      </c>
      <c r="H636" s="4">
        <v>115.63</v>
      </c>
      <c r="I636" s="4" t="s">
        <v>16</v>
      </c>
      <c r="J636" s="4">
        <v>115.63</v>
      </c>
      <c r="K636" t="str">
        <f>_xlfn.XLOOKUP($C636,Table1[BusinessUnitID],Table1[BusinessUnit],"",0)</f>
        <v>FOOD SERVICE</v>
      </c>
      <c r="L636" t="str" cm="1">
        <f t="array" ref="L636">_xlfn.XLOOKUP($C636,Table1[[#All],[BusinessUnitID]],Table1[[#All],[Description]],"",0,1)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36" t="str">
        <f>_xlfn.XLOOKUP($B636,ChartOfAccounts!A635:A720,ChartOfAccounts!B635:B720,"",0,1)</f>
        <v/>
      </c>
      <c r="N636">
        <f>_xlfn.XLOOKUP($B636,ChartOfAccounts!A635:A720,ChartOfAccounts!D635:D720,0,1)</f>
        <v>0</v>
      </c>
      <c r="O636" t="str">
        <f>_xlfn.XLOOKUP($B636,ChartOfAccounts!A635:A720,ChartOfAccounts!F635:F720,"",0,1)</f>
        <v/>
      </c>
      <c r="P636" t="str" cm="1">
        <f t="array" ref="P636">_xlfn.XLOOKUP($D636&amp;$C636,PreparerInfo!A635:A647&amp;PreparerInfo!C635:C647,PreparerInfo!B635:B647,"",0,1)</f>
        <v/>
      </c>
      <c r="Q636" t="str">
        <f>_xlfn.XLOOKUP($E636,Source!A635:A643,Source!B635:B643,"",0,1)</f>
        <v/>
      </c>
    </row>
    <row r="637" spans="1:17" x14ac:dyDescent="0.3">
      <c r="A637" s="3">
        <v>2033837</v>
      </c>
      <c r="B637">
        <v>43310</v>
      </c>
      <c r="C637">
        <v>1</v>
      </c>
      <c r="D637" s="9">
        <v>102</v>
      </c>
      <c r="E637">
        <v>1003</v>
      </c>
      <c r="F637" s="1">
        <v>44011</v>
      </c>
      <c r="G637" t="s">
        <v>15</v>
      </c>
      <c r="H637" s="4" t="s">
        <v>16</v>
      </c>
      <c r="I637" s="4">
        <v>-115.63</v>
      </c>
      <c r="J637" s="4">
        <v>-115.63</v>
      </c>
      <c r="K637" t="str">
        <f>_xlfn.XLOOKUP($C637,Table1[BusinessUnitID],Table1[BusinessUnit],"",0)</f>
        <v>FOOD SERVICE</v>
      </c>
      <c r="L637" t="str" cm="1">
        <f t="array" ref="L637">_xlfn.XLOOKUP($C637,Table1[[#All],[BusinessUnitID]],Table1[[#All],[Description]],"",0,1)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37" t="str">
        <f>_xlfn.XLOOKUP($B637,ChartOfAccounts!A636:A721,ChartOfAccounts!B636:B721,"",0,1)</f>
        <v/>
      </c>
      <c r="N637">
        <f>_xlfn.XLOOKUP($B637,ChartOfAccounts!A636:A721,ChartOfAccounts!D636:D721,0,1)</f>
        <v>0</v>
      </c>
      <c r="O637" t="str">
        <f>_xlfn.XLOOKUP($B637,ChartOfAccounts!A636:A721,ChartOfAccounts!F636:F721,"",0,1)</f>
        <v/>
      </c>
      <c r="P637" t="str" cm="1">
        <f t="array" ref="P637">_xlfn.XLOOKUP($D637&amp;$C637,PreparerInfo!A636:A648&amp;PreparerInfo!C636:C648,PreparerInfo!B636:B648,"",0,1)</f>
        <v/>
      </c>
      <c r="Q637" t="str">
        <f>_xlfn.XLOOKUP($E637,Source!A636:A644,Source!B636:B644,"",0,1)</f>
        <v/>
      </c>
    </row>
    <row r="638" spans="1:17" x14ac:dyDescent="0.3">
      <c r="A638" s="3">
        <v>2033838</v>
      </c>
      <c r="B638">
        <v>11845</v>
      </c>
      <c r="C638">
        <v>3</v>
      </c>
      <c r="D638" s="9">
        <v>102</v>
      </c>
      <c r="E638">
        <v>1003</v>
      </c>
      <c r="F638" s="1">
        <v>44011</v>
      </c>
      <c r="G638" t="s">
        <v>15</v>
      </c>
      <c r="H638" s="4">
        <v>154.6</v>
      </c>
      <c r="I638" s="4" t="s">
        <v>16</v>
      </c>
      <c r="J638" s="4">
        <v>154.6</v>
      </c>
      <c r="K638" t="str">
        <f>_xlfn.XLOOKUP($C638,Table1[BusinessUnitID],Table1[BusinessUnit],"",0)</f>
        <v>HOTEL PANTRY</v>
      </c>
      <c r="L638" t="str" cm="1">
        <f t="array" ref="L638">_xlfn.XLOOKUP($C638,Table1[[#All],[BusinessUnitID]],Table1[[#All],[Description]],"",0,1)</f>
        <v>Transactions related to the hotel convenience store, including some food and beverage costs.</v>
      </c>
      <c r="M638" t="str">
        <f>_xlfn.XLOOKUP($B638,ChartOfAccounts!A637:A722,ChartOfAccounts!B637:B722,"",0,1)</f>
        <v/>
      </c>
      <c r="N638">
        <f>_xlfn.XLOOKUP($B638,ChartOfAccounts!A637:A722,ChartOfAccounts!D637:D722,0,1)</f>
        <v>0</v>
      </c>
      <c r="O638" t="str">
        <f>_xlfn.XLOOKUP($B638,ChartOfAccounts!A637:A722,ChartOfAccounts!F637:F722,"",0,1)</f>
        <v/>
      </c>
      <c r="P638" t="str" cm="1">
        <f t="array" ref="P638">_xlfn.XLOOKUP($D638&amp;$C638,PreparerInfo!A637:A649&amp;PreparerInfo!C637:C649,PreparerInfo!B637:B649,"",0,1)</f>
        <v/>
      </c>
      <c r="Q638" t="str">
        <f>_xlfn.XLOOKUP($E638,Source!A637:A645,Source!B637:B645,"",0,1)</f>
        <v/>
      </c>
    </row>
    <row r="639" spans="1:17" x14ac:dyDescent="0.3">
      <c r="A639" s="3">
        <v>2033838</v>
      </c>
      <c r="B639">
        <v>43440</v>
      </c>
      <c r="C639">
        <v>3</v>
      </c>
      <c r="D639" s="9">
        <v>102</v>
      </c>
      <c r="E639">
        <v>1003</v>
      </c>
      <c r="F639" s="1">
        <v>44011</v>
      </c>
      <c r="G639" t="s">
        <v>15</v>
      </c>
      <c r="H639" s="4" t="s">
        <v>16</v>
      </c>
      <c r="I639" s="4">
        <v>-154.6</v>
      </c>
      <c r="J639" s="4">
        <v>-154.6</v>
      </c>
      <c r="K639" t="str">
        <f>_xlfn.XLOOKUP($C639,Table1[BusinessUnitID],Table1[BusinessUnit],"",0)</f>
        <v>HOTEL PANTRY</v>
      </c>
      <c r="L639" t="str" cm="1">
        <f t="array" ref="L639">_xlfn.XLOOKUP($C639,Table1[[#All],[BusinessUnitID]],Table1[[#All],[Description]],"",0,1)</f>
        <v>Transactions related to the hotel convenience store, including some food and beverage costs.</v>
      </c>
      <c r="M639" t="str">
        <f>_xlfn.XLOOKUP($B639,ChartOfAccounts!A638:A723,ChartOfAccounts!B638:B723,"",0,1)</f>
        <v/>
      </c>
      <c r="N639">
        <f>_xlfn.XLOOKUP($B639,ChartOfAccounts!A638:A723,ChartOfAccounts!D638:D723,0,1)</f>
        <v>0</v>
      </c>
      <c r="O639" t="str">
        <f>_xlfn.XLOOKUP($B639,ChartOfAccounts!A638:A723,ChartOfAccounts!F638:F723,"",0,1)</f>
        <v/>
      </c>
      <c r="P639" t="str" cm="1">
        <f t="array" ref="P639">_xlfn.XLOOKUP($D639&amp;$C639,PreparerInfo!A638:A650&amp;PreparerInfo!C638:C650,PreparerInfo!B638:B650,"",0,1)</f>
        <v/>
      </c>
      <c r="Q639" t="str">
        <f>_xlfn.XLOOKUP($E639,Source!A638:A646,Source!B638:B646,"",0,1)</f>
        <v/>
      </c>
    </row>
    <row r="640" spans="1:17" x14ac:dyDescent="0.3">
      <c r="A640" s="3">
        <v>2033839</v>
      </c>
      <c r="B640">
        <v>71900</v>
      </c>
      <c r="C640">
        <v>1</v>
      </c>
      <c r="D640" s="9">
        <v>102</v>
      </c>
      <c r="E640">
        <v>1002</v>
      </c>
      <c r="F640" s="1">
        <v>44011</v>
      </c>
      <c r="G640" t="s">
        <v>36</v>
      </c>
      <c r="H640" s="4">
        <v>258.10000000000002</v>
      </c>
      <c r="I640" s="4" t="s">
        <v>16</v>
      </c>
      <c r="J640" s="4">
        <v>258.10000000000002</v>
      </c>
      <c r="K640" t="str">
        <f>_xlfn.XLOOKUP($C640,Table1[BusinessUnitID],Table1[BusinessUnit],"",0)</f>
        <v>FOOD SERVICE</v>
      </c>
      <c r="L640" t="str" cm="1">
        <f t="array" ref="L640">_xlfn.XLOOKUP($C640,Table1[[#All],[BusinessUnitID]],Table1[[#All],[Description]],"",0,1)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40" t="str">
        <f>_xlfn.XLOOKUP($B640,ChartOfAccounts!A639:A724,ChartOfAccounts!B639:B724,"",0,1)</f>
        <v/>
      </c>
      <c r="N640">
        <f>_xlfn.XLOOKUP($B640,ChartOfAccounts!A639:A724,ChartOfAccounts!D639:D724,0,1)</f>
        <v>0</v>
      </c>
      <c r="O640" t="str">
        <f>_xlfn.XLOOKUP($B640,ChartOfAccounts!A639:A724,ChartOfAccounts!F639:F724,"",0,1)</f>
        <v/>
      </c>
      <c r="P640" t="str" cm="1">
        <f t="array" ref="P640">_xlfn.XLOOKUP($D640&amp;$C640,PreparerInfo!A639:A651&amp;PreparerInfo!C639:C651,PreparerInfo!B639:B651,"",0,1)</f>
        <v/>
      </c>
      <c r="Q640" t="str">
        <f>_xlfn.XLOOKUP($E640,Source!A639:A647,Source!B639:B647,"",0,1)</f>
        <v/>
      </c>
    </row>
    <row r="641" spans="1:17" x14ac:dyDescent="0.3">
      <c r="A641" s="3">
        <v>2033839</v>
      </c>
      <c r="B641">
        <v>11845</v>
      </c>
      <c r="C641">
        <v>1</v>
      </c>
      <c r="D641" s="9">
        <v>102</v>
      </c>
      <c r="E641">
        <v>1002</v>
      </c>
      <c r="F641" s="1">
        <v>44011</v>
      </c>
      <c r="G641" t="s">
        <v>36</v>
      </c>
      <c r="H641" s="4" t="s">
        <v>16</v>
      </c>
      <c r="I641" s="4">
        <v>-258.10000000000002</v>
      </c>
      <c r="J641" s="4">
        <v>-258.10000000000002</v>
      </c>
      <c r="K641" t="str">
        <f>_xlfn.XLOOKUP($C641,Table1[BusinessUnitID],Table1[BusinessUnit],"",0)</f>
        <v>FOOD SERVICE</v>
      </c>
      <c r="L641" t="str" cm="1">
        <f t="array" ref="L641">_xlfn.XLOOKUP($C641,Table1[[#All],[BusinessUnitID]],Table1[[#All],[Description]],"",0,1)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41" t="str">
        <f>_xlfn.XLOOKUP($B641,ChartOfAccounts!A640:A725,ChartOfAccounts!B640:B725,"",0,1)</f>
        <v/>
      </c>
      <c r="N641">
        <f>_xlfn.XLOOKUP($B641,ChartOfAccounts!A640:A725,ChartOfAccounts!D640:D725,0,1)</f>
        <v>0</v>
      </c>
      <c r="O641" t="str">
        <f>_xlfn.XLOOKUP($B641,ChartOfAccounts!A640:A725,ChartOfAccounts!F640:F725,"",0,1)</f>
        <v/>
      </c>
      <c r="P641" t="str" cm="1">
        <f t="array" ref="P641">_xlfn.XLOOKUP($D641&amp;$C641,PreparerInfo!A640:A652&amp;PreparerInfo!C640:C652,PreparerInfo!B640:B652,"",0,1)</f>
        <v/>
      </c>
      <c r="Q641" t="str">
        <f>_xlfn.XLOOKUP($E641,Source!A640:A648,Source!B640:B648,"",0,1)</f>
        <v/>
      </c>
    </row>
    <row r="642" spans="1:17" x14ac:dyDescent="0.3">
      <c r="A642" s="3">
        <v>2033840</v>
      </c>
      <c r="B642">
        <v>11845</v>
      </c>
      <c r="C642">
        <v>2</v>
      </c>
      <c r="D642" s="9">
        <v>104</v>
      </c>
      <c r="E642">
        <v>1003</v>
      </c>
      <c r="F642" s="1">
        <v>44011</v>
      </c>
      <c r="G642" t="s">
        <v>41</v>
      </c>
      <c r="H642" s="4">
        <v>500</v>
      </c>
      <c r="I642" s="4" t="s">
        <v>16</v>
      </c>
      <c r="J642" s="4">
        <v>500</v>
      </c>
      <c r="K642" t="str">
        <f>_xlfn.XLOOKUP($C642,Table1[BusinessUnitID],Table1[BusinessUnit],"",0)</f>
        <v>HOTEL</v>
      </c>
      <c r="L642" t="str" cm="1">
        <f t="array" ref="L642">_xlfn.XLOOKUP($C642,Table1[[#All],[BusinessUnitID]],Table1[[#All],[Description]],"",0,1)</f>
        <v xml:space="preserve">Transactions related to guest rooms and overall hotel operations. Includes payroll for administrative staff, clerks and interns. </v>
      </c>
      <c r="M642" t="str">
        <f>_xlfn.XLOOKUP($B642,ChartOfAccounts!A641:A726,ChartOfAccounts!B641:B726,"",0,1)</f>
        <v/>
      </c>
      <c r="N642">
        <f>_xlfn.XLOOKUP($B642,ChartOfAccounts!A641:A726,ChartOfAccounts!D641:D726,0,1)</f>
        <v>0</v>
      </c>
      <c r="O642" t="str">
        <f>_xlfn.XLOOKUP($B642,ChartOfAccounts!A641:A726,ChartOfAccounts!F641:F726,"",0,1)</f>
        <v/>
      </c>
      <c r="P642" t="str" cm="1">
        <f t="array" ref="P642">_xlfn.XLOOKUP($D642&amp;$C642,PreparerInfo!A641:A653&amp;PreparerInfo!C641:C653,PreparerInfo!B641:B653,"",0,1)</f>
        <v/>
      </c>
      <c r="Q642" t="str">
        <f>_xlfn.XLOOKUP($E642,Source!A641:A649,Source!B641:B649,"",0,1)</f>
        <v/>
      </c>
    </row>
    <row r="643" spans="1:17" x14ac:dyDescent="0.3">
      <c r="A643" s="3">
        <v>2033840</v>
      </c>
      <c r="B643">
        <v>43770</v>
      </c>
      <c r="C643">
        <v>2</v>
      </c>
      <c r="D643" s="9">
        <v>104</v>
      </c>
      <c r="E643">
        <v>1003</v>
      </c>
      <c r="F643" s="1">
        <v>44011</v>
      </c>
      <c r="G643" t="s">
        <v>41</v>
      </c>
      <c r="H643" s="4" t="s">
        <v>16</v>
      </c>
      <c r="I643" s="4">
        <v>-500</v>
      </c>
      <c r="J643" s="4">
        <v>-500</v>
      </c>
      <c r="K643" t="str">
        <f>_xlfn.XLOOKUP($C643,Table1[BusinessUnitID],Table1[BusinessUnit],"",0)</f>
        <v>HOTEL</v>
      </c>
      <c r="L643" t="str" cm="1">
        <f t="array" ref="L643">_xlfn.XLOOKUP($C643,Table1[[#All],[BusinessUnitID]],Table1[[#All],[Description]],"",0,1)</f>
        <v xml:space="preserve">Transactions related to guest rooms and overall hotel operations. Includes payroll for administrative staff, clerks and interns. </v>
      </c>
      <c r="M643" t="str">
        <f>_xlfn.XLOOKUP($B643,ChartOfAccounts!A642:A727,ChartOfAccounts!B642:B727,"",0,1)</f>
        <v/>
      </c>
      <c r="N643">
        <f>_xlfn.XLOOKUP($B643,ChartOfAccounts!A642:A727,ChartOfAccounts!D642:D727,0,1)</f>
        <v>0</v>
      </c>
      <c r="O643" t="str">
        <f>_xlfn.XLOOKUP($B643,ChartOfAccounts!A642:A727,ChartOfAccounts!F642:F727,"",0,1)</f>
        <v/>
      </c>
      <c r="P643" t="str" cm="1">
        <f t="array" ref="P643">_xlfn.XLOOKUP($D643&amp;$C643,PreparerInfo!A642:A654&amp;PreparerInfo!C642:C654,PreparerInfo!B642:B654,"",0,1)</f>
        <v/>
      </c>
      <c r="Q643" t="str">
        <f>_xlfn.XLOOKUP($E643,Source!A642:A650,Source!B642:B650,"",0,1)</f>
        <v/>
      </c>
    </row>
    <row r="644" spans="1:17" x14ac:dyDescent="0.3">
      <c r="A644" s="3">
        <v>2033841</v>
      </c>
      <c r="B644">
        <v>71400</v>
      </c>
      <c r="C644">
        <v>4</v>
      </c>
      <c r="D644" s="9">
        <v>101</v>
      </c>
      <c r="E644">
        <v>1002</v>
      </c>
      <c r="F644" s="1">
        <v>44011</v>
      </c>
      <c r="G644" t="s">
        <v>199</v>
      </c>
      <c r="H644" s="4">
        <v>649.5</v>
      </c>
      <c r="I644" s="4" t="s">
        <v>16</v>
      </c>
      <c r="J644" s="4">
        <v>649.5</v>
      </c>
      <c r="K644" t="str">
        <f>_xlfn.XLOOKUP($C644,Table1[BusinessUnitID],Table1[BusinessUnit],"",0)</f>
        <v>HOUSEKEEPING</v>
      </c>
      <c r="L644" t="str" cm="1">
        <f t="array" ref="L644">_xlfn.XLOOKUP($C644,Table1[[#All],[BusinessUnitID]],Table1[[#All],[Description]],"",0,1)</f>
        <v xml:space="preserve">Transactions related to the Housekeeping Department. Primarily includes payroll for housekeepers and housekeeping supplies. </v>
      </c>
      <c r="M644" t="str">
        <f>_xlfn.XLOOKUP($B644,ChartOfAccounts!A643:A728,ChartOfAccounts!B643:B728,"",0,1)</f>
        <v/>
      </c>
      <c r="N644">
        <f>_xlfn.XLOOKUP($B644,ChartOfAccounts!A643:A728,ChartOfAccounts!D643:D728,0,1)</f>
        <v>0</v>
      </c>
      <c r="O644" t="str">
        <f>_xlfn.XLOOKUP($B644,ChartOfAccounts!A643:A728,ChartOfAccounts!F643:F728,"",0,1)</f>
        <v/>
      </c>
      <c r="P644" t="str" cm="1">
        <f t="array" ref="P644">_xlfn.XLOOKUP($D644&amp;$C644,PreparerInfo!A643:A655&amp;PreparerInfo!C643:C655,PreparerInfo!B643:B655,"",0,1)</f>
        <v/>
      </c>
      <c r="Q644" t="str">
        <f>_xlfn.XLOOKUP($E644,Source!A643:A651,Source!B643:B651,"",0,1)</f>
        <v/>
      </c>
    </row>
    <row r="645" spans="1:17" x14ac:dyDescent="0.3">
      <c r="A645" s="3">
        <v>2033841</v>
      </c>
      <c r="B645">
        <v>11845</v>
      </c>
      <c r="C645">
        <v>4</v>
      </c>
      <c r="D645" s="9">
        <v>101</v>
      </c>
      <c r="E645">
        <v>1002</v>
      </c>
      <c r="F645" s="1">
        <v>44011</v>
      </c>
      <c r="G645" t="s">
        <v>199</v>
      </c>
      <c r="H645" s="4" t="s">
        <v>16</v>
      </c>
      <c r="I645" s="4">
        <v>-649.5</v>
      </c>
      <c r="J645" s="4">
        <v>-649.5</v>
      </c>
      <c r="K645" t="str">
        <f>_xlfn.XLOOKUP($C645,Table1[BusinessUnitID],Table1[BusinessUnit],"",0)</f>
        <v>HOUSEKEEPING</v>
      </c>
      <c r="L645" t="str" cm="1">
        <f t="array" ref="L645">_xlfn.XLOOKUP($C645,Table1[[#All],[BusinessUnitID]],Table1[[#All],[Description]],"",0,1)</f>
        <v xml:space="preserve">Transactions related to the Housekeeping Department. Primarily includes payroll for housekeepers and housekeeping supplies. </v>
      </c>
      <c r="M645" t="str">
        <f>_xlfn.XLOOKUP($B645,ChartOfAccounts!A644:A729,ChartOfAccounts!B644:B729,"",0,1)</f>
        <v/>
      </c>
      <c r="N645">
        <f>_xlfn.XLOOKUP($B645,ChartOfAccounts!A644:A729,ChartOfAccounts!D644:D729,0,1)</f>
        <v>0</v>
      </c>
      <c r="O645" t="str">
        <f>_xlfn.XLOOKUP($B645,ChartOfAccounts!A644:A729,ChartOfAccounts!F644:F729,"",0,1)</f>
        <v/>
      </c>
      <c r="P645" t="str" cm="1">
        <f t="array" ref="P645">_xlfn.XLOOKUP($D645&amp;$C645,PreparerInfo!A644:A656&amp;PreparerInfo!C644:C656,PreparerInfo!B644:B656,"",0,1)</f>
        <v/>
      </c>
      <c r="Q645" t="str">
        <f>_xlfn.XLOOKUP($E645,Source!A644:A652,Source!B644:B652,"",0,1)</f>
        <v/>
      </c>
    </row>
    <row r="646" spans="1:17" x14ac:dyDescent="0.3">
      <c r="A646" s="3">
        <v>2033842</v>
      </c>
      <c r="B646">
        <v>11845</v>
      </c>
      <c r="C646">
        <v>1</v>
      </c>
      <c r="D646" s="9">
        <v>102</v>
      </c>
      <c r="E646">
        <v>1001</v>
      </c>
      <c r="F646" s="1">
        <v>44011</v>
      </c>
      <c r="G646" t="s">
        <v>41</v>
      </c>
      <c r="H646" s="4">
        <v>738.07</v>
      </c>
      <c r="I646" s="4" t="s">
        <v>16</v>
      </c>
      <c r="J646" s="4">
        <v>738.07</v>
      </c>
      <c r="K646" t="str">
        <f>_xlfn.XLOOKUP($C646,Table1[BusinessUnitID],Table1[BusinessUnit],"",0)</f>
        <v>FOOD SERVICE</v>
      </c>
      <c r="L646" t="str" cm="1">
        <f t="array" ref="L646">_xlfn.XLOOKUP($C646,Table1[[#All],[BusinessUnitID]],Table1[[#All],[Description]],"",0,1)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46" t="str">
        <f>_xlfn.XLOOKUP($B646,ChartOfAccounts!A645:A730,ChartOfAccounts!B645:B730,"",0,1)</f>
        <v/>
      </c>
      <c r="N646">
        <f>_xlfn.XLOOKUP($B646,ChartOfAccounts!A645:A730,ChartOfAccounts!D645:D730,0,1)</f>
        <v>0</v>
      </c>
      <c r="O646" t="str">
        <f>_xlfn.XLOOKUP($B646,ChartOfAccounts!A645:A730,ChartOfAccounts!F645:F730,"",0,1)</f>
        <v/>
      </c>
      <c r="P646" t="str" cm="1">
        <f t="array" ref="P646">_xlfn.XLOOKUP($D646&amp;$C646,PreparerInfo!A645:A657&amp;PreparerInfo!C645:C657,PreparerInfo!B645:B657,"",0,1)</f>
        <v/>
      </c>
      <c r="Q646" t="str">
        <f>_xlfn.XLOOKUP($E646,Source!A645:A653,Source!B645:B653,"",0,1)</f>
        <v/>
      </c>
    </row>
    <row r="647" spans="1:17" x14ac:dyDescent="0.3">
      <c r="A647" s="3">
        <v>2033842</v>
      </c>
      <c r="B647">
        <v>43310</v>
      </c>
      <c r="C647">
        <v>1</v>
      </c>
      <c r="D647" s="9">
        <v>102</v>
      </c>
      <c r="E647">
        <v>1001</v>
      </c>
      <c r="F647" s="1">
        <v>44011</v>
      </c>
      <c r="G647" t="s">
        <v>41</v>
      </c>
      <c r="H647" s="4" t="s">
        <v>16</v>
      </c>
      <c r="I647" s="4">
        <v>-738.07</v>
      </c>
      <c r="J647" s="4">
        <v>-738.07</v>
      </c>
      <c r="K647" t="str">
        <f>_xlfn.XLOOKUP($C647,Table1[BusinessUnitID],Table1[BusinessUnit],"",0)</f>
        <v>FOOD SERVICE</v>
      </c>
      <c r="L647" t="str" cm="1">
        <f t="array" ref="L647">_xlfn.XLOOKUP($C647,Table1[[#All],[BusinessUnitID]],Table1[[#All],[Description]],"",0,1)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47" t="str">
        <f>_xlfn.XLOOKUP($B647,ChartOfAccounts!A646:A731,ChartOfAccounts!B646:B731,"",0,1)</f>
        <v/>
      </c>
      <c r="N647">
        <f>_xlfn.XLOOKUP($B647,ChartOfAccounts!A646:A731,ChartOfAccounts!D646:D731,0,1)</f>
        <v>0</v>
      </c>
      <c r="O647" t="str">
        <f>_xlfn.XLOOKUP($B647,ChartOfAccounts!A646:A731,ChartOfAccounts!F646:F731,"",0,1)</f>
        <v/>
      </c>
      <c r="P647" t="str" cm="1">
        <f t="array" ref="P647">_xlfn.XLOOKUP($D647&amp;$C647,PreparerInfo!A646:A658&amp;PreparerInfo!C646:C658,PreparerInfo!B646:B658,"",0,1)</f>
        <v/>
      </c>
      <c r="Q647" t="str">
        <f>_xlfn.XLOOKUP($E647,Source!A646:A654,Source!B646:B654,"",0,1)</f>
        <v/>
      </c>
    </row>
    <row r="648" spans="1:17" x14ac:dyDescent="0.3">
      <c r="A648" s="3">
        <v>2033843</v>
      </c>
      <c r="B648">
        <v>74201</v>
      </c>
      <c r="C648">
        <v>2</v>
      </c>
      <c r="D648" s="9">
        <v>101</v>
      </c>
      <c r="E648">
        <v>1002</v>
      </c>
      <c r="F648" s="1">
        <v>44011</v>
      </c>
      <c r="G648" t="s">
        <v>168</v>
      </c>
      <c r="H648" s="4">
        <v>1500</v>
      </c>
      <c r="I648" s="4" t="s">
        <v>16</v>
      </c>
      <c r="J648" s="4">
        <v>1500</v>
      </c>
      <c r="K648" t="str">
        <f>_xlfn.XLOOKUP($C648,Table1[BusinessUnitID],Table1[BusinessUnit],"",0)</f>
        <v>HOTEL</v>
      </c>
      <c r="L648" t="str" cm="1">
        <f t="array" ref="L648">_xlfn.XLOOKUP($C648,Table1[[#All],[BusinessUnitID]],Table1[[#All],[Description]],"",0,1)</f>
        <v xml:space="preserve">Transactions related to guest rooms and overall hotel operations. Includes payroll for administrative staff, clerks and interns. </v>
      </c>
      <c r="M648" t="str">
        <f>_xlfn.XLOOKUP($B648,ChartOfAccounts!A647:A732,ChartOfAccounts!B647:B732,"",0,1)</f>
        <v/>
      </c>
      <c r="N648">
        <f>_xlfn.XLOOKUP($B648,ChartOfAccounts!A647:A732,ChartOfAccounts!D647:D732,0,1)</f>
        <v>0</v>
      </c>
      <c r="O648" t="str">
        <f>_xlfn.XLOOKUP($B648,ChartOfAccounts!A647:A732,ChartOfAccounts!F647:F732,"",0,1)</f>
        <v/>
      </c>
      <c r="P648" t="str" cm="1">
        <f t="array" ref="P648">_xlfn.XLOOKUP($D648&amp;$C648,PreparerInfo!A647:A659&amp;PreparerInfo!C647:C659,PreparerInfo!B647:B659,"",0,1)</f>
        <v/>
      </c>
      <c r="Q648" t="str">
        <f>_xlfn.XLOOKUP($E648,Source!A647:A655,Source!B647:B655,"",0,1)</f>
        <v/>
      </c>
    </row>
    <row r="649" spans="1:17" x14ac:dyDescent="0.3">
      <c r="A649" s="3">
        <v>2033843</v>
      </c>
      <c r="B649">
        <v>11845</v>
      </c>
      <c r="C649">
        <v>2</v>
      </c>
      <c r="D649" s="9">
        <v>101</v>
      </c>
      <c r="E649">
        <v>1002</v>
      </c>
      <c r="F649" s="1">
        <v>44011</v>
      </c>
      <c r="G649" t="s">
        <v>168</v>
      </c>
      <c r="H649" s="4" t="s">
        <v>16</v>
      </c>
      <c r="I649" s="4">
        <v>-1500</v>
      </c>
      <c r="J649" s="4">
        <v>-1500</v>
      </c>
      <c r="K649" t="str">
        <f>_xlfn.XLOOKUP($C649,Table1[BusinessUnitID],Table1[BusinessUnit],"",0)</f>
        <v>HOTEL</v>
      </c>
      <c r="L649" t="str" cm="1">
        <f t="array" ref="L649">_xlfn.XLOOKUP($C649,Table1[[#All],[BusinessUnitID]],Table1[[#All],[Description]],"",0,1)</f>
        <v xml:space="preserve">Transactions related to guest rooms and overall hotel operations. Includes payroll for administrative staff, clerks and interns. </v>
      </c>
      <c r="M649" t="str">
        <f>_xlfn.XLOOKUP($B649,ChartOfAccounts!A648:A733,ChartOfAccounts!B648:B733,"",0,1)</f>
        <v/>
      </c>
      <c r="N649">
        <f>_xlfn.XLOOKUP($B649,ChartOfAccounts!A648:A733,ChartOfAccounts!D648:D733,0,1)</f>
        <v>0</v>
      </c>
      <c r="O649" t="str">
        <f>_xlfn.XLOOKUP($B649,ChartOfAccounts!A648:A733,ChartOfAccounts!F648:F733,"",0,1)</f>
        <v/>
      </c>
      <c r="P649" t="str" cm="1">
        <f t="array" ref="P649">_xlfn.XLOOKUP($D649&amp;$C649,PreparerInfo!A648:A660&amp;PreparerInfo!C648:C660,PreparerInfo!B648:B660,"",0,1)</f>
        <v/>
      </c>
      <c r="Q649" t="str">
        <f>_xlfn.XLOOKUP($E649,Source!A648:A656,Source!B648:B656,"",0,1)</f>
        <v/>
      </c>
    </row>
    <row r="650" spans="1:17" x14ac:dyDescent="0.3">
      <c r="A650" s="3">
        <v>2033844</v>
      </c>
      <c r="B650">
        <v>11845</v>
      </c>
      <c r="C650">
        <v>1</v>
      </c>
      <c r="D650" s="9">
        <v>102</v>
      </c>
      <c r="E650">
        <v>1003</v>
      </c>
      <c r="F650" s="1">
        <v>44011</v>
      </c>
      <c r="G650" t="s">
        <v>15</v>
      </c>
      <c r="H650" s="4">
        <v>1656.7</v>
      </c>
      <c r="I650" s="4" t="s">
        <v>16</v>
      </c>
      <c r="J650" s="4">
        <v>1656.7</v>
      </c>
      <c r="K650" t="str">
        <f>_xlfn.XLOOKUP($C650,Table1[BusinessUnitID],Table1[BusinessUnit],"",0)</f>
        <v>FOOD SERVICE</v>
      </c>
      <c r="L650" t="str" cm="1">
        <f t="array" ref="L650">_xlfn.XLOOKUP($C650,Table1[[#All],[BusinessUnitID]],Table1[[#All],[Description]],"",0,1)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50" t="str">
        <f>_xlfn.XLOOKUP($B650,ChartOfAccounts!A649:A734,ChartOfAccounts!B649:B734,"",0,1)</f>
        <v/>
      </c>
      <c r="N650">
        <f>_xlfn.XLOOKUP($B650,ChartOfAccounts!A649:A734,ChartOfAccounts!D649:D734,0,1)</f>
        <v>0</v>
      </c>
      <c r="O650" t="str">
        <f>_xlfn.XLOOKUP($B650,ChartOfAccounts!A649:A734,ChartOfAccounts!F649:F734,"",0,1)</f>
        <v/>
      </c>
      <c r="P650" t="str" cm="1">
        <f t="array" ref="P650">_xlfn.XLOOKUP($D650&amp;$C650,PreparerInfo!A649:A661&amp;PreparerInfo!C649:C661,PreparerInfo!B649:B661,"",0,1)</f>
        <v/>
      </c>
      <c r="Q650" t="str">
        <f>_xlfn.XLOOKUP($E650,Source!A649:A657,Source!B649:B657,"",0,1)</f>
        <v/>
      </c>
    </row>
    <row r="651" spans="1:17" x14ac:dyDescent="0.3">
      <c r="A651" s="3">
        <v>2033844</v>
      </c>
      <c r="B651">
        <v>43310</v>
      </c>
      <c r="C651">
        <v>1</v>
      </c>
      <c r="D651" s="9">
        <v>102</v>
      </c>
      <c r="E651">
        <v>1003</v>
      </c>
      <c r="F651" s="1">
        <v>44011</v>
      </c>
      <c r="G651" t="s">
        <v>15</v>
      </c>
      <c r="H651" s="4" t="s">
        <v>16</v>
      </c>
      <c r="I651" s="4">
        <v>-1656.7</v>
      </c>
      <c r="J651" s="4">
        <v>-1656.7</v>
      </c>
      <c r="K651" t="str">
        <f>_xlfn.XLOOKUP($C651,Table1[BusinessUnitID],Table1[BusinessUnit],"",0)</f>
        <v>FOOD SERVICE</v>
      </c>
      <c r="L651" t="str" cm="1">
        <f t="array" ref="L651">_xlfn.XLOOKUP($C651,Table1[[#All],[BusinessUnitID]],Table1[[#All],[Description]],"",0,1)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51" t="str">
        <f>_xlfn.XLOOKUP($B651,ChartOfAccounts!A650:A735,ChartOfAccounts!B650:B735,"",0,1)</f>
        <v/>
      </c>
      <c r="N651">
        <f>_xlfn.XLOOKUP($B651,ChartOfAccounts!A650:A735,ChartOfAccounts!D650:D735,0,1)</f>
        <v>0</v>
      </c>
      <c r="O651" t="str">
        <f>_xlfn.XLOOKUP($B651,ChartOfAccounts!A650:A735,ChartOfAccounts!F650:F735,"",0,1)</f>
        <v/>
      </c>
      <c r="P651" t="str" cm="1">
        <f t="array" ref="P651">_xlfn.XLOOKUP($D651&amp;$C651,PreparerInfo!A650:A662&amp;PreparerInfo!C650:C662,PreparerInfo!B650:B662,"",0,1)</f>
        <v/>
      </c>
      <c r="Q651" t="str">
        <f>_xlfn.XLOOKUP($E651,Source!A650:A658,Source!B650:B658,"",0,1)</f>
        <v/>
      </c>
    </row>
    <row r="652" spans="1:17" x14ac:dyDescent="0.3">
      <c r="A652" s="3">
        <v>2033845</v>
      </c>
      <c r="B652">
        <v>11845</v>
      </c>
      <c r="C652">
        <v>1</v>
      </c>
      <c r="D652" s="9">
        <v>102</v>
      </c>
      <c r="E652">
        <v>1003</v>
      </c>
      <c r="F652" s="1">
        <v>44011</v>
      </c>
      <c r="G652" t="s">
        <v>15</v>
      </c>
      <c r="H652" s="4">
        <v>2055.8200000000002</v>
      </c>
      <c r="I652" s="4" t="s">
        <v>16</v>
      </c>
      <c r="J652" s="4">
        <v>2055.8200000000002</v>
      </c>
      <c r="K652" t="str">
        <f>_xlfn.XLOOKUP($C652,Table1[BusinessUnitID],Table1[BusinessUnit],"",0)</f>
        <v>FOOD SERVICE</v>
      </c>
      <c r="L652" t="str" cm="1">
        <f t="array" ref="L652">_xlfn.XLOOKUP($C652,Table1[[#All],[BusinessUnitID]],Table1[[#All],[Description]],"",0,1)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52" t="str">
        <f>_xlfn.XLOOKUP($B652,ChartOfAccounts!A651:A736,ChartOfAccounts!B651:B736,"",0,1)</f>
        <v/>
      </c>
      <c r="N652">
        <f>_xlfn.XLOOKUP($B652,ChartOfAccounts!A651:A736,ChartOfAccounts!D651:D736,0,1)</f>
        <v>0</v>
      </c>
      <c r="O652" t="str">
        <f>_xlfn.XLOOKUP($B652,ChartOfAccounts!A651:A736,ChartOfAccounts!F651:F736,"",0,1)</f>
        <v/>
      </c>
      <c r="P652" t="str" cm="1">
        <f t="array" ref="P652">_xlfn.XLOOKUP($D652&amp;$C652,PreparerInfo!A651:A663&amp;PreparerInfo!C651:C663,PreparerInfo!B651:B663,"",0,1)</f>
        <v/>
      </c>
      <c r="Q652" t="str">
        <f>_xlfn.XLOOKUP($E652,Source!A651:A659,Source!B651:B659,"",0,1)</f>
        <v/>
      </c>
    </row>
    <row r="653" spans="1:17" x14ac:dyDescent="0.3">
      <c r="A653" s="3">
        <v>2033845</v>
      </c>
      <c r="B653">
        <v>43310</v>
      </c>
      <c r="C653">
        <v>1</v>
      </c>
      <c r="D653" s="9">
        <v>102</v>
      </c>
      <c r="E653">
        <v>1003</v>
      </c>
      <c r="F653" s="1">
        <v>44011</v>
      </c>
      <c r="G653" t="s">
        <v>15</v>
      </c>
      <c r="H653" s="4" t="s">
        <v>16</v>
      </c>
      <c r="I653" s="4">
        <v>-2055.8200000000002</v>
      </c>
      <c r="J653" s="4">
        <v>-2055.8200000000002</v>
      </c>
      <c r="K653" t="str">
        <f>_xlfn.XLOOKUP($C653,Table1[BusinessUnitID],Table1[BusinessUnit],"",0)</f>
        <v>FOOD SERVICE</v>
      </c>
      <c r="L653" t="str" cm="1">
        <f t="array" ref="L653">_xlfn.XLOOKUP($C653,Table1[[#All],[BusinessUnitID]],Table1[[#All],[Description]],"",0,1)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53" t="str">
        <f>_xlfn.XLOOKUP($B653,ChartOfAccounts!A652:A737,ChartOfAccounts!B652:B737,"",0,1)</f>
        <v/>
      </c>
      <c r="N653">
        <f>_xlfn.XLOOKUP($B653,ChartOfAccounts!A652:A737,ChartOfAccounts!D652:D737,0,1)</f>
        <v>0</v>
      </c>
      <c r="O653" t="str">
        <f>_xlfn.XLOOKUP($B653,ChartOfAccounts!A652:A737,ChartOfAccounts!F652:F737,"",0,1)</f>
        <v/>
      </c>
      <c r="P653" t="str" cm="1">
        <f t="array" ref="P653">_xlfn.XLOOKUP($D653&amp;$C653,PreparerInfo!A652:A664&amp;PreparerInfo!C652:C664,PreparerInfo!B652:B664,"",0,1)</f>
        <v/>
      </c>
      <c r="Q653" t="str">
        <f>_xlfn.XLOOKUP($E653,Source!A652:A660,Source!B652:B660,"",0,1)</f>
        <v/>
      </c>
    </row>
    <row r="654" spans="1:17" x14ac:dyDescent="0.3">
      <c r="A654" s="3">
        <v>2033846</v>
      </c>
      <c r="B654">
        <v>11845</v>
      </c>
      <c r="C654">
        <v>1</v>
      </c>
      <c r="D654" s="9">
        <v>102</v>
      </c>
      <c r="E654">
        <v>1003</v>
      </c>
      <c r="F654" s="1">
        <v>44011</v>
      </c>
      <c r="G654" t="s">
        <v>15</v>
      </c>
      <c r="H654" s="4">
        <v>2158.96</v>
      </c>
      <c r="I654" s="4" t="s">
        <v>16</v>
      </c>
      <c r="J654" s="4">
        <v>2158.96</v>
      </c>
      <c r="K654" t="str">
        <f>_xlfn.XLOOKUP($C654,Table1[BusinessUnitID],Table1[BusinessUnit],"",0)</f>
        <v>FOOD SERVICE</v>
      </c>
      <c r="L654" t="str" cm="1">
        <f t="array" ref="L654">_xlfn.XLOOKUP($C654,Table1[[#All],[BusinessUnitID]],Table1[[#All],[Description]],"",0,1)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54" t="str">
        <f>_xlfn.XLOOKUP($B654,ChartOfAccounts!A653:A738,ChartOfAccounts!B653:B738,"",0,1)</f>
        <v/>
      </c>
      <c r="N654">
        <f>_xlfn.XLOOKUP($B654,ChartOfAccounts!A653:A738,ChartOfAccounts!D653:D738,0,1)</f>
        <v>0</v>
      </c>
      <c r="O654" t="str">
        <f>_xlfn.XLOOKUP($B654,ChartOfAccounts!A653:A738,ChartOfAccounts!F653:F738,"",0,1)</f>
        <v/>
      </c>
      <c r="P654" t="str" cm="1">
        <f t="array" ref="P654">_xlfn.XLOOKUP($D654&amp;$C654,PreparerInfo!A653:A665&amp;PreparerInfo!C653:C665,PreparerInfo!B653:B665,"",0,1)</f>
        <v/>
      </c>
      <c r="Q654" t="str">
        <f>_xlfn.XLOOKUP($E654,Source!A653:A661,Source!B653:B661,"",0,1)</f>
        <v/>
      </c>
    </row>
    <row r="655" spans="1:17" x14ac:dyDescent="0.3">
      <c r="A655" s="3">
        <v>2033846</v>
      </c>
      <c r="B655">
        <v>43310</v>
      </c>
      <c r="C655">
        <v>1</v>
      </c>
      <c r="D655" s="9">
        <v>102</v>
      </c>
      <c r="E655">
        <v>1003</v>
      </c>
      <c r="F655" s="1">
        <v>44011</v>
      </c>
      <c r="G655" t="s">
        <v>15</v>
      </c>
      <c r="H655" s="4" t="s">
        <v>16</v>
      </c>
      <c r="I655" s="4">
        <v>-2158.96</v>
      </c>
      <c r="J655" s="4">
        <v>-2158.96</v>
      </c>
      <c r="K655" t="str">
        <f>_xlfn.XLOOKUP($C655,Table1[BusinessUnitID],Table1[BusinessUnit],"",0)</f>
        <v>FOOD SERVICE</v>
      </c>
      <c r="L655" t="str" cm="1">
        <f t="array" ref="L655">_xlfn.XLOOKUP($C655,Table1[[#All],[BusinessUnitID]],Table1[[#All],[Description]],"",0,1)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55" t="str">
        <f>_xlfn.XLOOKUP($B655,ChartOfAccounts!A654:A739,ChartOfAccounts!B654:B739,"",0,1)</f>
        <v/>
      </c>
      <c r="N655">
        <f>_xlfn.XLOOKUP($B655,ChartOfAccounts!A654:A739,ChartOfAccounts!D654:D739,0,1)</f>
        <v>0</v>
      </c>
      <c r="O655" t="str">
        <f>_xlfn.XLOOKUP($B655,ChartOfAccounts!A654:A739,ChartOfAccounts!F654:F739,"",0,1)</f>
        <v/>
      </c>
      <c r="P655" t="str" cm="1">
        <f t="array" ref="P655">_xlfn.XLOOKUP($D655&amp;$C655,PreparerInfo!A654:A666&amp;PreparerInfo!C654:C666,PreparerInfo!B654:B666,"",0,1)</f>
        <v/>
      </c>
      <c r="Q655" t="str">
        <f>_xlfn.XLOOKUP($E655,Source!A654:A662,Source!B654:B662,"",0,1)</f>
        <v/>
      </c>
    </row>
    <row r="656" spans="1:17" x14ac:dyDescent="0.3">
      <c r="A656" s="3">
        <v>2033847</v>
      </c>
      <c r="B656" t="s">
        <v>166</v>
      </c>
      <c r="C656">
        <v>3</v>
      </c>
      <c r="D656" s="9">
        <v>101</v>
      </c>
      <c r="E656">
        <v>1008</v>
      </c>
      <c r="F656" s="1">
        <v>44011</v>
      </c>
      <c r="G656" t="s">
        <v>243</v>
      </c>
      <c r="H656" s="4">
        <v>4080.9</v>
      </c>
      <c r="I656" s="4" t="s">
        <v>16</v>
      </c>
      <c r="J656" s="4">
        <v>4080.9</v>
      </c>
      <c r="K656" t="str">
        <f>_xlfn.XLOOKUP($C656,Table1[BusinessUnitID],Table1[BusinessUnit],"",0)</f>
        <v>HOTEL PANTRY</v>
      </c>
      <c r="L656" t="str" cm="1">
        <f t="array" ref="L656">_xlfn.XLOOKUP($C656,Table1[[#All],[BusinessUnitID]],Table1[[#All],[Description]],"",0,1)</f>
        <v>Transactions related to the hotel convenience store, including some food and beverage costs.</v>
      </c>
      <c r="M656" t="str">
        <f>_xlfn.XLOOKUP($B656,ChartOfAccounts!A655:A740,ChartOfAccounts!B655:B740,"",0,1)</f>
        <v/>
      </c>
      <c r="N656">
        <f>_xlfn.XLOOKUP($B656,ChartOfAccounts!A655:A740,ChartOfAccounts!D655:D740,0,1)</f>
        <v>0</v>
      </c>
      <c r="O656" t="str">
        <f>_xlfn.XLOOKUP($B656,ChartOfAccounts!A655:A740,ChartOfAccounts!F655:F740,"",0,1)</f>
        <v/>
      </c>
      <c r="P656" t="str" cm="1">
        <f t="array" ref="P656">_xlfn.XLOOKUP($D656&amp;$C656,PreparerInfo!A655:A667&amp;PreparerInfo!C655:C667,PreparerInfo!B655:B667,"",0,1)</f>
        <v/>
      </c>
      <c r="Q656" t="str">
        <f>_xlfn.XLOOKUP($E656,Source!A655:A663,Source!B655:B663,"",0,1)</f>
        <v/>
      </c>
    </row>
    <row r="657" spans="1:17" x14ac:dyDescent="0.3">
      <c r="A657" s="3">
        <v>2033847</v>
      </c>
      <c r="B657">
        <v>14250</v>
      </c>
      <c r="C657">
        <v>3</v>
      </c>
      <c r="D657" s="9">
        <v>101</v>
      </c>
      <c r="E657">
        <v>1008</v>
      </c>
      <c r="F657" s="1">
        <v>44011</v>
      </c>
      <c r="G657" t="s">
        <v>243</v>
      </c>
      <c r="H657" s="4" t="s">
        <v>16</v>
      </c>
      <c r="I657" s="4">
        <v>-4080.9</v>
      </c>
      <c r="J657" s="4">
        <v>-4080.9</v>
      </c>
      <c r="K657" t="str">
        <f>_xlfn.XLOOKUP($C657,Table1[BusinessUnitID],Table1[BusinessUnit],"",0)</f>
        <v>HOTEL PANTRY</v>
      </c>
      <c r="L657" t="str" cm="1">
        <f t="array" ref="L657">_xlfn.XLOOKUP($C657,Table1[[#All],[BusinessUnitID]],Table1[[#All],[Description]],"",0,1)</f>
        <v>Transactions related to the hotel convenience store, including some food and beverage costs.</v>
      </c>
      <c r="M657" t="str">
        <f>_xlfn.XLOOKUP($B657,ChartOfAccounts!A656:A741,ChartOfAccounts!B656:B741,"",0,1)</f>
        <v/>
      </c>
      <c r="N657">
        <f>_xlfn.XLOOKUP($B657,ChartOfAccounts!A656:A741,ChartOfAccounts!D656:D741,0,1)</f>
        <v>0</v>
      </c>
      <c r="O657" t="str">
        <f>_xlfn.XLOOKUP($B657,ChartOfAccounts!A656:A741,ChartOfAccounts!F656:F741,"",0,1)</f>
        <v/>
      </c>
      <c r="P657" t="str" cm="1">
        <f t="array" ref="P657">_xlfn.XLOOKUP($D657&amp;$C657,PreparerInfo!A656:A668&amp;PreparerInfo!C656:C668,PreparerInfo!B656:B668,"",0,1)</f>
        <v/>
      </c>
      <c r="Q657" t="str">
        <f>_xlfn.XLOOKUP($E657,Source!A656:A664,Source!B656:B664,"",0,1)</f>
        <v/>
      </c>
    </row>
    <row r="658" spans="1:17" x14ac:dyDescent="0.3">
      <c r="A658" s="3">
        <v>2033848</v>
      </c>
      <c r="B658">
        <v>11845</v>
      </c>
      <c r="C658">
        <v>2</v>
      </c>
      <c r="D658" s="9">
        <v>104</v>
      </c>
      <c r="E658">
        <v>1003</v>
      </c>
      <c r="F658" s="1">
        <v>44011</v>
      </c>
      <c r="G658" t="s">
        <v>15</v>
      </c>
      <c r="H658" s="4">
        <v>7100</v>
      </c>
      <c r="I658" s="4" t="s">
        <v>16</v>
      </c>
      <c r="J658" s="4">
        <v>7100</v>
      </c>
      <c r="K658" t="str">
        <f>_xlfn.XLOOKUP($C658,Table1[BusinessUnitID],Table1[BusinessUnit],"",0)</f>
        <v>HOTEL</v>
      </c>
      <c r="L658" t="str" cm="1">
        <f t="array" ref="L658">_xlfn.XLOOKUP($C658,Table1[[#All],[BusinessUnitID]],Table1[[#All],[Description]],"",0,1)</f>
        <v xml:space="preserve">Transactions related to guest rooms and overall hotel operations. Includes payroll for administrative staff, clerks and interns. </v>
      </c>
      <c r="M658" t="str">
        <f>_xlfn.XLOOKUP($B658,ChartOfAccounts!A657:A742,ChartOfAccounts!B657:B742,"",0,1)</f>
        <v/>
      </c>
      <c r="N658">
        <f>_xlfn.XLOOKUP($B658,ChartOfAccounts!A657:A742,ChartOfAccounts!D657:D742,0,1)</f>
        <v>0</v>
      </c>
      <c r="O658" t="str">
        <f>_xlfn.XLOOKUP($B658,ChartOfAccounts!A657:A742,ChartOfAccounts!F657:F742,"",0,1)</f>
        <v/>
      </c>
      <c r="P658" t="str" cm="1">
        <f t="array" ref="P658">_xlfn.XLOOKUP($D658&amp;$C658,PreparerInfo!A657:A669&amp;PreparerInfo!C657:C669,PreparerInfo!B657:B669,"",0,1)</f>
        <v/>
      </c>
      <c r="Q658" t="str">
        <f>_xlfn.XLOOKUP($E658,Source!A657:A665,Source!B657:B665,"",0,1)</f>
        <v/>
      </c>
    </row>
    <row r="659" spans="1:17" x14ac:dyDescent="0.3">
      <c r="A659" s="3">
        <v>2033848</v>
      </c>
      <c r="B659">
        <v>43180</v>
      </c>
      <c r="C659">
        <v>2</v>
      </c>
      <c r="D659" s="9">
        <v>104</v>
      </c>
      <c r="E659">
        <v>1003</v>
      </c>
      <c r="F659" s="1">
        <v>44011</v>
      </c>
      <c r="G659" t="s">
        <v>15</v>
      </c>
      <c r="H659" s="4" t="s">
        <v>16</v>
      </c>
      <c r="I659" s="4">
        <v>-7100</v>
      </c>
      <c r="J659" s="4">
        <v>-7100</v>
      </c>
      <c r="K659" t="str">
        <f>_xlfn.XLOOKUP($C659,Table1[BusinessUnitID],Table1[BusinessUnit],"",0)</f>
        <v>HOTEL</v>
      </c>
      <c r="L659" t="str" cm="1">
        <f t="array" ref="L659">_xlfn.XLOOKUP($C659,Table1[[#All],[BusinessUnitID]],Table1[[#All],[Description]],"",0,1)</f>
        <v xml:space="preserve">Transactions related to guest rooms and overall hotel operations. Includes payroll for administrative staff, clerks and interns. </v>
      </c>
      <c r="M659" t="str">
        <f>_xlfn.XLOOKUP($B659,ChartOfAccounts!A658:A743,ChartOfAccounts!B658:B743,"",0,1)</f>
        <v/>
      </c>
      <c r="N659">
        <f>_xlfn.XLOOKUP($B659,ChartOfAccounts!A658:A743,ChartOfAccounts!D658:D743,0,1)</f>
        <v>0</v>
      </c>
      <c r="O659" t="str">
        <f>_xlfn.XLOOKUP($B659,ChartOfAccounts!A658:A743,ChartOfAccounts!F658:F743,"",0,1)</f>
        <v/>
      </c>
      <c r="P659" t="str" cm="1">
        <f t="array" ref="P659">_xlfn.XLOOKUP($D659&amp;$C659,PreparerInfo!A658:A670&amp;PreparerInfo!C658:C670,PreparerInfo!B658:B670,"",0,1)</f>
        <v/>
      </c>
      <c r="Q659" t="str">
        <f>_xlfn.XLOOKUP($E659,Source!A658:A666,Source!B658:B666,"",0,1)</f>
        <v/>
      </c>
    </row>
    <row r="660" spans="1:17" x14ac:dyDescent="0.3">
      <c r="A660" s="3">
        <v>2033849</v>
      </c>
      <c r="B660">
        <v>11845</v>
      </c>
      <c r="C660">
        <v>2</v>
      </c>
      <c r="D660" s="9">
        <v>104</v>
      </c>
      <c r="E660">
        <v>1003</v>
      </c>
      <c r="F660" s="1">
        <v>44011</v>
      </c>
      <c r="G660" t="s">
        <v>15</v>
      </c>
      <c r="H660" s="4">
        <v>16000</v>
      </c>
      <c r="I660" s="4" t="s">
        <v>16</v>
      </c>
      <c r="J660" s="4">
        <v>16000</v>
      </c>
      <c r="K660" t="str">
        <f>_xlfn.XLOOKUP($C660,Table1[BusinessUnitID],Table1[BusinessUnit],"",0)</f>
        <v>HOTEL</v>
      </c>
      <c r="L660" t="str" cm="1">
        <f t="array" ref="L660">_xlfn.XLOOKUP($C660,Table1[[#All],[BusinessUnitID]],Table1[[#All],[Description]],"",0,1)</f>
        <v xml:space="preserve">Transactions related to guest rooms and overall hotel operations. Includes payroll for administrative staff, clerks and interns. </v>
      </c>
      <c r="M660" t="str">
        <f>_xlfn.XLOOKUP($B660,ChartOfAccounts!A659:A744,ChartOfAccounts!B659:B744,"",0,1)</f>
        <v/>
      </c>
      <c r="N660">
        <f>_xlfn.XLOOKUP($B660,ChartOfAccounts!A659:A744,ChartOfAccounts!D659:D744,0,1)</f>
        <v>0</v>
      </c>
      <c r="O660" t="str">
        <f>_xlfn.XLOOKUP($B660,ChartOfAccounts!A659:A744,ChartOfAccounts!F659:F744,"",0,1)</f>
        <v/>
      </c>
      <c r="P660" t="str" cm="1">
        <f t="array" ref="P660">_xlfn.XLOOKUP($D660&amp;$C660,PreparerInfo!A659:A671&amp;PreparerInfo!C659:C671,PreparerInfo!B659:B671,"",0,1)</f>
        <v/>
      </c>
      <c r="Q660" t="str">
        <f>_xlfn.XLOOKUP($E660,Source!A659:A667,Source!B659:B667,"",0,1)</f>
        <v/>
      </c>
    </row>
    <row r="661" spans="1:17" x14ac:dyDescent="0.3">
      <c r="A661" s="3">
        <v>2033849</v>
      </c>
      <c r="B661">
        <v>43180</v>
      </c>
      <c r="C661">
        <v>2</v>
      </c>
      <c r="D661" s="9">
        <v>104</v>
      </c>
      <c r="E661">
        <v>1003</v>
      </c>
      <c r="F661" s="1">
        <v>44011</v>
      </c>
      <c r="G661" t="s">
        <v>15</v>
      </c>
      <c r="H661" s="4" t="s">
        <v>16</v>
      </c>
      <c r="I661" s="4">
        <v>-16000</v>
      </c>
      <c r="J661" s="4">
        <v>-16000</v>
      </c>
      <c r="K661" t="str">
        <f>_xlfn.XLOOKUP($C661,Table1[BusinessUnitID],Table1[BusinessUnit],"",0)</f>
        <v>HOTEL</v>
      </c>
      <c r="L661" t="str" cm="1">
        <f t="array" ref="L661">_xlfn.XLOOKUP($C661,Table1[[#All],[BusinessUnitID]],Table1[[#All],[Description]],"",0,1)</f>
        <v xml:space="preserve">Transactions related to guest rooms and overall hotel operations. Includes payroll for administrative staff, clerks and interns. </v>
      </c>
      <c r="M661" t="str">
        <f>_xlfn.XLOOKUP($B661,ChartOfAccounts!A660:A745,ChartOfAccounts!B660:B745,"",0,1)</f>
        <v/>
      </c>
      <c r="N661">
        <f>_xlfn.XLOOKUP($B661,ChartOfAccounts!A660:A745,ChartOfAccounts!D660:D745,0,1)</f>
        <v>0</v>
      </c>
      <c r="O661" t="str">
        <f>_xlfn.XLOOKUP($B661,ChartOfAccounts!A660:A745,ChartOfAccounts!F660:F745,"",0,1)</f>
        <v/>
      </c>
      <c r="P661" t="str" cm="1">
        <f t="array" ref="P661">_xlfn.XLOOKUP($D661&amp;$C661,PreparerInfo!A660:A672&amp;PreparerInfo!C660:C672,PreparerInfo!B660:B672,"",0,1)</f>
        <v/>
      </c>
      <c r="Q661" t="str">
        <f>_xlfn.XLOOKUP($E661,Source!A660:A668,Source!B660:B668,"",0,1)</f>
        <v/>
      </c>
    </row>
    <row r="662" spans="1:17" x14ac:dyDescent="0.3">
      <c r="A662" s="3">
        <v>2033850</v>
      </c>
      <c r="B662">
        <v>11845</v>
      </c>
      <c r="C662">
        <v>2</v>
      </c>
      <c r="D662" s="9">
        <v>104</v>
      </c>
      <c r="E662">
        <v>1003</v>
      </c>
      <c r="F662" s="1">
        <v>44011</v>
      </c>
      <c r="G662" t="s">
        <v>15</v>
      </c>
      <c r="H662" s="4">
        <v>23975</v>
      </c>
      <c r="I662" s="4" t="s">
        <v>16</v>
      </c>
      <c r="J662" s="4">
        <v>23975</v>
      </c>
      <c r="K662" t="str">
        <f>_xlfn.XLOOKUP($C662,Table1[BusinessUnitID],Table1[BusinessUnit],"",0)</f>
        <v>HOTEL</v>
      </c>
      <c r="L662" t="str" cm="1">
        <f t="array" ref="L662">_xlfn.XLOOKUP($C662,Table1[[#All],[BusinessUnitID]],Table1[[#All],[Description]],"",0,1)</f>
        <v xml:space="preserve">Transactions related to guest rooms and overall hotel operations. Includes payroll for administrative staff, clerks and interns. </v>
      </c>
      <c r="M662" t="str">
        <f>_xlfn.XLOOKUP($B662,ChartOfAccounts!A661:A746,ChartOfAccounts!B661:B746,"",0,1)</f>
        <v/>
      </c>
      <c r="N662">
        <f>_xlfn.XLOOKUP($B662,ChartOfAccounts!A661:A746,ChartOfAccounts!D661:D746,0,1)</f>
        <v>0</v>
      </c>
      <c r="O662" t="str">
        <f>_xlfn.XLOOKUP($B662,ChartOfAccounts!A661:A746,ChartOfAccounts!F661:F746,"",0,1)</f>
        <v/>
      </c>
      <c r="P662" t="str" cm="1">
        <f t="array" ref="P662">_xlfn.XLOOKUP($D662&amp;$C662,PreparerInfo!A661:A673&amp;PreparerInfo!C661:C673,PreparerInfo!B661:B673,"",0,1)</f>
        <v/>
      </c>
      <c r="Q662" t="str">
        <f>_xlfn.XLOOKUP($E662,Source!A661:A669,Source!B661:B669,"",0,1)</f>
        <v/>
      </c>
    </row>
    <row r="663" spans="1:17" x14ac:dyDescent="0.3">
      <c r="A663" s="3">
        <v>2033850</v>
      </c>
      <c r="B663">
        <v>43180</v>
      </c>
      <c r="C663">
        <v>2</v>
      </c>
      <c r="D663" s="9">
        <v>104</v>
      </c>
      <c r="E663">
        <v>1003</v>
      </c>
      <c r="F663" s="1">
        <v>44011</v>
      </c>
      <c r="G663" t="s">
        <v>15</v>
      </c>
      <c r="H663" s="4" t="s">
        <v>16</v>
      </c>
      <c r="I663" s="4">
        <v>-23975</v>
      </c>
      <c r="J663" s="4">
        <v>-23975</v>
      </c>
      <c r="K663" t="str">
        <f>_xlfn.XLOOKUP($C663,Table1[BusinessUnitID],Table1[BusinessUnit],"",0)</f>
        <v>HOTEL</v>
      </c>
      <c r="L663" t="str" cm="1">
        <f t="array" ref="L663">_xlfn.XLOOKUP($C663,Table1[[#All],[BusinessUnitID]],Table1[[#All],[Description]],"",0,1)</f>
        <v xml:space="preserve">Transactions related to guest rooms and overall hotel operations. Includes payroll for administrative staff, clerks and interns. </v>
      </c>
      <c r="M663" t="str">
        <f>_xlfn.XLOOKUP($B663,ChartOfAccounts!A662:A747,ChartOfAccounts!B662:B747,"",0,1)</f>
        <v/>
      </c>
      <c r="N663">
        <f>_xlfn.XLOOKUP($B663,ChartOfAccounts!A662:A747,ChartOfAccounts!D662:D747,0,1)</f>
        <v>0</v>
      </c>
      <c r="O663" t="str">
        <f>_xlfn.XLOOKUP($B663,ChartOfAccounts!A662:A747,ChartOfAccounts!F662:F747,"",0,1)</f>
        <v/>
      </c>
      <c r="P663" t="str" cm="1">
        <f t="array" ref="P663">_xlfn.XLOOKUP($D663&amp;$C663,PreparerInfo!A662:A674&amp;PreparerInfo!C662:C674,PreparerInfo!B662:B674,"",0,1)</f>
        <v/>
      </c>
      <c r="Q663" t="str">
        <f>_xlfn.XLOOKUP($E663,Source!A662:A670,Source!B662:B670,"",0,1)</f>
        <v/>
      </c>
    </row>
    <row r="664" spans="1:17" x14ac:dyDescent="0.3">
      <c r="A664" s="3">
        <v>2033851</v>
      </c>
      <c r="B664" t="s">
        <v>112</v>
      </c>
      <c r="C664">
        <v>1</v>
      </c>
      <c r="D664" s="9">
        <v>101</v>
      </c>
      <c r="E664">
        <v>1008</v>
      </c>
      <c r="F664" s="1">
        <v>44011</v>
      </c>
      <c r="G664" t="s">
        <v>163</v>
      </c>
      <c r="H664" s="4">
        <v>87934.18</v>
      </c>
      <c r="I664" s="4" t="s">
        <v>16</v>
      </c>
      <c r="J664" s="4">
        <v>87934.18</v>
      </c>
      <c r="K664" t="str">
        <f>_xlfn.XLOOKUP($C664,Table1[BusinessUnitID],Table1[BusinessUnit],"",0)</f>
        <v>FOOD SERVICE</v>
      </c>
      <c r="L664" t="str" cm="1">
        <f t="array" ref="L664">_xlfn.XLOOKUP($C664,Table1[[#All],[BusinessUnitID]],Table1[[#All],[Description]],"",0,1)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64" t="str">
        <f>_xlfn.XLOOKUP($B664,ChartOfAccounts!A663:A748,ChartOfAccounts!B663:B748,"",0,1)</f>
        <v/>
      </c>
      <c r="N664">
        <f>_xlfn.XLOOKUP($B664,ChartOfAccounts!A663:A748,ChartOfAccounts!D663:D748,0,1)</f>
        <v>0</v>
      </c>
      <c r="O664" t="str">
        <f>_xlfn.XLOOKUP($B664,ChartOfAccounts!A663:A748,ChartOfAccounts!F663:F748,"",0,1)</f>
        <v/>
      </c>
      <c r="P664" t="str" cm="1">
        <f t="array" ref="P664">_xlfn.XLOOKUP($D664&amp;$C664,PreparerInfo!A663:A675&amp;PreparerInfo!C663:C675,PreparerInfo!B663:B675,"",0,1)</f>
        <v/>
      </c>
      <c r="Q664" t="str">
        <f>_xlfn.XLOOKUP($E664,Source!A663:A671,Source!B663:B671,"",0,1)</f>
        <v/>
      </c>
    </row>
    <row r="665" spans="1:17" x14ac:dyDescent="0.3">
      <c r="A665" s="3">
        <v>2033851</v>
      </c>
      <c r="B665">
        <v>14260</v>
      </c>
      <c r="C665">
        <v>1</v>
      </c>
      <c r="D665" s="9">
        <v>101</v>
      </c>
      <c r="E665">
        <v>1008</v>
      </c>
      <c r="F665" s="1">
        <v>44011</v>
      </c>
      <c r="G665" t="s">
        <v>163</v>
      </c>
      <c r="H665" s="4" t="s">
        <v>16</v>
      </c>
      <c r="I665" s="4">
        <v>-87934.18</v>
      </c>
      <c r="J665" s="4">
        <v>-87934.18</v>
      </c>
      <c r="K665" t="str">
        <f>_xlfn.XLOOKUP($C665,Table1[BusinessUnitID],Table1[BusinessUnit],"",0)</f>
        <v>FOOD SERVICE</v>
      </c>
      <c r="L665" t="str" cm="1">
        <f t="array" ref="L665">_xlfn.XLOOKUP($C665,Table1[[#All],[BusinessUnitID]],Table1[[#All],[Description]],"",0,1)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65" t="str">
        <f>_xlfn.XLOOKUP($B665,ChartOfAccounts!A664:A749,ChartOfAccounts!B664:B749,"",0,1)</f>
        <v/>
      </c>
      <c r="N665">
        <f>_xlfn.XLOOKUP($B665,ChartOfAccounts!A664:A749,ChartOfAccounts!D664:D749,0,1)</f>
        <v>0</v>
      </c>
      <c r="O665" t="str">
        <f>_xlfn.XLOOKUP($B665,ChartOfAccounts!A664:A749,ChartOfAccounts!F664:F749,"",0,1)</f>
        <v/>
      </c>
      <c r="P665" t="str" cm="1">
        <f t="array" ref="P665">_xlfn.XLOOKUP($D665&amp;$C665,PreparerInfo!A664:A676&amp;PreparerInfo!C664:C676,PreparerInfo!B664:B676,"",0,1)</f>
        <v/>
      </c>
      <c r="Q665" t="str">
        <f>_xlfn.XLOOKUP($E665,Source!A664:A672,Source!B664:B672,"",0,1)</f>
        <v/>
      </c>
    </row>
    <row r="666" spans="1:17" x14ac:dyDescent="0.3">
      <c r="A666" s="3">
        <v>2033852</v>
      </c>
      <c r="B666">
        <v>14260</v>
      </c>
      <c r="C666">
        <v>1</v>
      </c>
      <c r="D666" s="9">
        <v>101</v>
      </c>
      <c r="E666">
        <v>1007</v>
      </c>
      <c r="F666" s="1">
        <v>44012</v>
      </c>
      <c r="G666" t="s">
        <v>86</v>
      </c>
      <c r="H666" s="4">
        <v>4.99</v>
      </c>
      <c r="I666" s="4" t="s">
        <v>16</v>
      </c>
      <c r="J666" s="4">
        <v>4.99</v>
      </c>
      <c r="K666" t="str">
        <f>_xlfn.XLOOKUP($C666,Table1[BusinessUnitID],Table1[BusinessUnit],"",0)</f>
        <v>FOOD SERVICE</v>
      </c>
      <c r="L666" t="str" cm="1">
        <f t="array" ref="L666">_xlfn.XLOOKUP($C666,Table1[[#All],[BusinessUnitID]],Table1[[#All],[Description]],"",0,1)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66" t="str">
        <f>_xlfn.XLOOKUP($B666,ChartOfAccounts!A665:A750,ChartOfAccounts!B665:B750,"",0,1)</f>
        <v/>
      </c>
      <c r="N666">
        <f>_xlfn.XLOOKUP($B666,ChartOfAccounts!A665:A750,ChartOfAccounts!D665:D750,0,1)</f>
        <v>0</v>
      </c>
      <c r="O666" t="str">
        <f>_xlfn.XLOOKUP($B666,ChartOfAccounts!A665:A750,ChartOfAccounts!F665:F750,"",0,1)</f>
        <v/>
      </c>
      <c r="P666" t="str" cm="1">
        <f t="array" ref="P666">_xlfn.XLOOKUP($D666&amp;$C666,PreparerInfo!A665:A677&amp;PreparerInfo!C665:C677,PreparerInfo!B665:B677,"",0,1)</f>
        <v/>
      </c>
      <c r="Q666" t="str">
        <f>_xlfn.XLOOKUP($E666,Source!A665:A673,Source!B665:B673,"",0,1)</f>
        <v/>
      </c>
    </row>
    <row r="667" spans="1:17" x14ac:dyDescent="0.3">
      <c r="A667" s="3">
        <v>2033852</v>
      </c>
      <c r="B667">
        <v>11845</v>
      </c>
      <c r="C667">
        <v>1</v>
      </c>
      <c r="D667" s="9">
        <v>101</v>
      </c>
      <c r="E667">
        <v>1007</v>
      </c>
      <c r="F667" s="1">
        <v>44012</v>
      </c>
      <c r="G667" t="s">
        <v>86</v>
      </c>
      <c r="H667" s="4" t="s">
        <v>16</v>
      </c>
      <c r="I667" s="4">
        <v>-4.99</v>
      </c>
      <c r="J667" s="4">
        <v>-4.99</v>
      </c>
      <c r="K667" t="str">
        <f>_xlfn.XLOOKUP($C667,Table1[BusinessUnitID],Table1[BusinessUnit],"",0)</f>
        <v>FOOD SERVICE</v>
      </c>
      <c r="L667" t="str" cm="1">
        <f t="array" ref="L667">_xlfn.XLOOKUP($C667,Table1[[#All],[BusinessUnitID]],Table1[[#All],[Description]],"",0,1)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67" t="str">
        <f>_xlfn.XLOOKUP($B667,ChartOfAccounts!A666:A751,ChartOfAccounts!B666:B751,"",0,1)</f>
        <v/>
      </c>
      <c r="N667">
        <f>_xlfn.XLOOKUP($B667,ChartOfAccounts!A666:A751,ChartOfAccounts!D666:D751,0,1)</f>
        <v>0</v>
      </c>
      <c r="O667" t="str">
        <f>_xlfn.XLOOKUP($B667,ChartOfAccounts!A666:A751,ChartOfAccounts!F666:F751,"",0,1)</f>
        <v/>
      </c>
      <c r="P667" t="str" cm="1">
        <f t="array" ref="P667">_xlfn.XLOOKUP($D667&amp;$C667,PreparerInfo!A666:A678&amp;PreparerInfo!C666:C678,PreparerInfo!B666:B678,"",0,1)</f>
        <v/>
      </c>
      <c r="Q667" t="str">
        <f>_xlfn.XLOOKUP($E667,Source!A666:A674,Source!B666:B674,"",0,1)</f>
        <v/>
      </c>
    </row>
    <row r="668" spans="1:17" x14ac:dyDescent="0.3">
      <c r="A668" s="3">
        <v>2033853</v>
      </c>
      <c r="B668">
        <v>71400</v>
      </c>
      <c r="C668">
        <v>1</v>
      </c>
      <c r="D668" s="9">
        <v>101</v>
      </c>
      <c r="E668">
        <v>1007</v>
      </c>
      <c r="F668" s="1">
        <v>44012</v>
      </c>
      <c r="G668" t="s">
        <v>83</v>
      </c>
      <c r="H668" s="4">
        <v>5.24</v>
      </c>
      <c r="I668" s="4" t="s">
        <v>16</v>
      </c>
      <c r="J668" s="4">
        <v>5.24</v>
      </c>
      <c r="K668" t="str">
        <f>_xlfn.XLOOKUP($C668,Table1[BusinessUnitID],Table1[BusinessUnit],"",0)</f>
        <v>FOOD SERVICE</v>
      </c>
      <c r="L668" t="str" cm="1">
        <f t="array" ref="L668">_xlfn.XLOOKUP($C668,Table1[[#All],[BusinessUnitID]],Table1[[#All],[Description]],"",0,1)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68" t="str">
        <f>_xlfn.XLOOKUP($B668,ChartOfAccounts!A667:A752,ChartOfAccounts!B667:B752,"",0,1)</f>
        <v/>
      </c>
      <c r="N668">
        <f>_xlfn.XLOOKUP($B668,ChartOfAccounts!A667:A752,ChartOfAccounts!D667:D752,0,1)</f>
        <v>0</v>
      </c>
      <c r="O668" t="str">
        <f>_xlfn.XLOOKUP($B668,ChartOfAccounts!A667:A752,ChartOfAccounts!F667:F752,"",0,1)</f>
        <v/>
      </c>
      <c r="P668" t="str" cm="1">
        <f t="array" ref="P668">_xlfn.XLOOKUP($D668&amp;$C668,PreparerInfo!A667:A679&amp;PreparerInfo!C667:C679,PreparerInfo!B667:B679,"",0,1)</f>
        <v/>
      </c>
      <c r="Q668" t="str">
        <f>_xlfn.XLOOKUP($E668,Source!A667:A675,Source!B667:B675,"",0,1)</f>
        <v/>
      </c>
    </row>
    <row r="669" spans="1:17" x14ac:dyDescent="0.3">
      <c r="A669" s="3">
        <v>2033853</v>
      </c>
      <c r="B669">
        <v>11845</v>
      </c>
      <c r="C669">
        <v>1</v>
      </c>
      <c r="D669" s="9">
        <v>101</v>
      </c>
      <c r="E669">
        <v>1007</v>
      </c>
      <c r="F669" s="1">
        <v>44012</v>
      </c>
      <c r="G669" t="s">
        <v>83</v>
      </c>
      <c r="H669" s="4" t="s">
        <v>16</v>
      </c>
      <c r="I669" s="4">
        <v>-5.24</v>
      </c>
      <c r="J669" s="4">
        <v>-5.24</v>
      </c>
      <c r="K669" t="str">
        <f>_xlfn.XLOOKUP($C669,Table1[BusinessUnitID],Table1[BusinessUnit],"",0)</f>
        <v>FOOD SERVICE</v>
      </c>
      <c r="L669" t="str" cm="1">
        <f t="array" ref="L669">_xlfn.XLOOKUP($C669,Table1[[#All],[BusinessUnitID]],Table1[[#All],[Description]],"",0,1)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69" t="str">
        <f>_xlfn.XLOOKUP($B669,ChartOfAccounts!A668:A753,ChartOfAccounts!B668:B753,"",0,1)</f>
        <v/>
      </c>
      <c r="N669">
        <f>_xlfn.XLOOKUP($B669,ChartOfAccounts!A668:A753,ChartOfAccounts!D668:D753,0,1)</f>
        <v>0</v>
      </c>
      <c r="O669" t="str">
        <f>_xlfn.XLOOKUP($B669,ChartOfAccounts!A668:A753,ChartOfAccounts!F668:F753,"",0,1)</f>
        <v/>
      </c>
      <c r="P669" t="str" cm="1">
        <f t="array" ref="P669">_xlfn.XLOOKUP($D669&amp;$C669,PreparerInfo!A668:A680&amp;PreparerInfo!C668:C680,PreparerInfo!B668:B680,"",0,1)</f>
        <v/>
      </c>
      <c r="Q669" t="str">
        <f>_xlfn.XLOOKUP($E669,Source!A668:A676,Source!B668:B676,"",0,1)</f>
        <v/>
      </c>
    </row>
    <row r="670" spans="1:17" x14ac:dyDescent="0.3">
      <c r="A670" s="3">
        <v>2033854</v>
      </c>
      <c r="B670">
        <v>11845</v>
      </c>
      <c r="C670">
        <v>1</v>
      </c>
      <c r="D670" s="9">
        <v>101</v>
      </c>
      <c r="E670">
        <v>1007</v>
      </c>
      <c r="F670" s="1">
        <v>44012</v>
      </c>
      <c r="G670" t="s">
        <v>88</v>
      </c>
      <c r="H670" s="4">
        <v>18.45</v>
      </c>
      <c r="I670" s="4" t="s">
        <v>16</v>
      </c>
      <c r="J670" s="4">
        <v>18.45</v>
      </c>
      <c r="K670" t="str">
        <f>_xlfn.XLOOKUP($C670,Table1[BusinessUnitID],Table1[BusinessUnit],"",0)</f>
        <v>FOOD SERVICE</v>
      </c>
      <c r="L670" t="str" cm="1">
        <f t="array" ref="L670">_xlfn.XLOOKUP($C670,Table1[[#All],[BusinessUnitID]],Table1[[#All],[Description]],"",0,1)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70" t="str">
        <f>_xlfn.XLOOKUP($B670,ChartOfAccounts!A669:A754,ChartOfAccounts!B669:B754,"",0,1)</f>
        <v/>
      </c>
      <c r="N670">
        <f>_xlfn.XLOOKUP($B670,ChartOfAccounts!A669:A754,ChartOfAccounts!D669:D754,0,1)</f>
        <v>0</v>
      </c>
      <c r="O670" t="str">
        <f>_xlfn.XLOOKUP($B670,ChartOfAccounts!A669:A754,ChartOfAccounts!F669:F754,"",0,1)</f>
        <v/>
      </c>
      <c r="P670" t="str" cm="1">
        <f t="array" ref="P670">_xlfn.XLOOKUP($D670&amp;$C670,PreparerInfo!A669:A681&amp;PreparerInfo!C669:C681,PreparerInfo!B669:B681,"",0,1)</f>
        <v/>
      </c>
      <c r="Q670" t="str">
        <f>_xlfn.XLOOKUP($E670,Source!A669:A677,Source!B669:B677,"",0,1)</f>
        <v/>
      </c>
    </row>
    <row r="671" spans="1:17" x14ac:dyDescent="0.3">
      <c r="A671" s="3">
        <v>2033854</v>
      </c>
      <c r="B671">
        <v>71400</v>
      </c>
      <c r="C671">
        <v>1</v>
      </c>
      <c r="D671" s="9">
        <v>101</v>
      </c>
      <c r="E671">
        <v>1007</v>
      </c>
      <c r="F671" s="1">
        <v>44012</v>
      </c>
      <c r="G671" t="s">
        <v>88</v>
      </c>
      <c r="H671" s="4" t="s">
        <v>16</v>
      </c>
      <c r="I671" s="4">
        <v>-18.45</v>
      </c>
      <c r="J671" s="4">
        <v>-18.45</v>
      </c>
      <c r="K671" t="str">
        <f>_xlfn.XLOOKUP($C671,Table1[BusinessUnitID],Table1[BusinessUnit],"",0)</f>
        <v>FOOD SERVICE</v>
      </c>
      <c r="L671" t="str" cm="1">
        <f t="array" ref="L671">_xlfn.XLOOKUP($C671,Table1[[#All],[BusinessUnitID]],Table1[[#All],[Description]],"",0,1)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71" t="str">
        <f>_xlfn.XLOOKUP($B671,ChartOfAccounts!A670:A755,ChartOfAccounts!B670:B755,"",0,1)</f>
        <v/>
      </c>
      <c r="N671">
        <f>_xlfn.XLOOKUP($B671,ChartOfAccounts!A670:A755,ChartOfAccounts!D670:D755,0,1)</f>
        <v>0</v>
      </c>
      <c r="O671" t="str">
        <f>_xlfn.XLOOKUP($B671,ChartOfAccounts!A670:A755,ChartOfAccounts!F670:F755,"",0,1)</f>
        <v/>
      </c>
      <c r="P671" t="str" cm="1">
        <f t="array" ref="P671">_xlfn.XLOOKUP($D671&amp;$C671,PreparerInfo!A670:A682&amp;PreparerInfo!C670:C682,PreparerInfo!B670:B682,"",0,1)</f>
        <v/>
      </c>
      <c r="Q671" t="str">
        <f>_xlfn.XLOOKUP($E671,Source!A670:A678,Source!B670:B678,"",0,1)</f>
        <v/>
      </c>
    </row>
    <row r="672" spans="1:17" x14ac:dyDescent="0.3">
      <c r="A672" s="3">
        <v>2033855</v>
      </c>
      <c r="B672">
        <v>11845</v>
      </c>
      <c r="C672">
        <v>3</v>
      </c>
      <c r="D672" s="9">
        <v>102</v>
      </c>
      <c r="E672">
        <v>1003</v>
      </c>
      <c r="F672" s="1">
        <v>44012</v>
      </c>
      <c r="G672" t="s">
        <v>15</v>
      </c>
      <c r="H672" s="4">
        <v>20.81</v>
      </c>
      <c r="I672" s="4" t="s">
        <v>16</v>
      </c>
      <c r="J672" s="4">
        <v>20.81</v>
      </c>
      <c r="K672" t="str">
        <f>_xlfn.XLOOKUP($C672,Table1[BusinessUnitID],Table1[BusinessUnit],"",0)</f>
        <v>HOTEL PANTRY</v>
      </c>
      <c r="L672" t="str" cm="1">
        <f t="array" ref="L672">_xlfn.XLOOKUP($C672,Table1[[#All],[BusinessUnitID]],Table1[[#All],[Description]],"",0,1)</f>
        <v>Transactions related to the hotel convenience store, including some food and beverage costs.</v>
      </c>
      <c r="M672" t="str">
        <f>_xlfn.XLOOKUP($B672,ChartOfAccounts!A671:A756,ChartOfAccounts!B671:B756,"",0,1)</f>
        <v/>
      </c>
      <c r="N672">
        <f>_xlfn.XLOOKUP($B672,ChartOfAccounts!A671:A756,ChartOfAccounts!D671:D756,0,1)</f>
        <v>0</v>
      </c>
      <c r="O672" t="str">
        <f>_xlfn.XLOOKUP($B672,ChartOfAccounts!A671:A756,ChartOfAccounts!F671:F756,"",0,1)</f>
        <v/>
      </c>
      <c r="P672" t="str" cm="1">
        <f t="array" ref="P672">_xlfn.XLOOKUP($D672&amp;$C672,PreparerInfo!A671:A683&amp;PreparerInfo!C671:C683,PreparerInfo!B671:B683,"",0,1)</f>
        <v/>
      </c>
      <c r="Q672" t="str">
        <f>_xlfn.XLOOKUP($E672,Source!A671:A679,Source!B671:B679,"",0,1)</f>
        <v/>
      </c>
    </row>
    <row r="673" spans="1:17" x14ac:dyDescent="0.3">
      <c r="A673" s="3">
        <v>2033855</v>
      </c>
      <c r="B673">
        <v>43440</v>
      </c>
      <c r="C673">
        <v>3</v>
      </c>
      <c r="D673" s="9">
        <v>102</v>
      </c>
      <c r="E673">
        <v>1003</v>
      </c>
      <c r="F673" s="1">
        <v>44012</v>
      </c>
      <c r="G673" t="s">
        <v>15</v>
      </c>
      <c r="H673" s="4" t="s">
        <v>16</v>
      </c>
      <c r="I673" s="4">
        <v>-20.81</v>
      </c>
      <c r="J673" s="4">
        <v>-20.81</v>
      </c>
      <c r="K673" t="str">
        <f>_xlfn.XLOOKUP($C673,Table1[BusinessUnitID],Table1[BusinessUnit],"",0)</f>
        <v>HOTEL PANTRY</v>
      </c>
      <c r="L673" t="str" cm="1">
        <f t="array" ref="L673">_xlfn.XLOOKUP($C673,Table1[[#All],[BusinessUnitID]],Table1[[#All],[Description]],"",0,1)</f>
        <v>Transactions related to the hotel convenience store, including some food and beverage costs.</v>
      </c>
      <c r="M673" t="str">
        <f>_xlfn.XLOOKUP($B673,ChartOfAccounts!A672:A757,ChartOfAccounts!B672:B757,"",0,1)</f>
        <v/>
      </c>
      <c r="N673">
        <f>_xlfn.XLOOKUP($B673,ChartOfAccounts!A672:A757,ChartOfAccounts!D672:D757,0,1)</f>
        <v>0</v>
      </c>
      <c r="O673" t="str">
        <f>_xlfn.XLOOKUP($B673,ChartOfAccounts!A672:A757,ChartOfAccounts!F672:F757,"",0,1)</f>
        <v/>
      </c>
      <c r="P673" t="str" cm="1">
        <f t="array" ref="P673">_xlfn.XLOOKUP($D673&amp;$C673,PreparerInfo!A672:A684&amp;PreparerInfo!C672:C684,PreparerInfo!B672:B684,"",0,1)</f>
        <v/>
      </c>
      <c r="Q673" t="str">
        <f>_xlfn.XLOOKUP($E673,Source!A672:A680,Source!B672:B680,"",0,1)</f>
        <v/>
      </c>
    </row>
    <row r="674" spans="1:17" x14ac:dyDescent="0.3">
      <c r="A674" s="3">
        <v>2033856</v>
      </c>
      <c r="B674">
        <v>14250</v>
      </c>
      <c r="C674">
        <v>3</v>
      </c>
      <c r="D674" s="9">
        <v>101</v>
      </c>
      <c r="E674">
        <v>1007</v>
      </c>
      <c r="F674" s="1">
        <v>44012</v>
      </c>
      <c r="G674" t="s">
        <v>77</v>
      </c>
      <c r="H674" s="4">
        <v>25.95</v>
      </c>
      <c r="I674" s="4" t="s">
        <v>16</v>
      </c>
      <c r="J674" s="4">
        <v>25.95</v>
      </c>
      <c r="K674" t="str">
        <f>_xlfn.XLOOKUP($C674,Table1[BusinessUnitID],Table1[BusinessUnit],"",0)</f>
        <v>HOTEL PANTRY</v>
      </c>
      <c r="L674" t="str" cm="1">
        <f t="array" ref="L674">_xlfn.XLOOKUP($C674,Table1[[#All],[BusinessUnitID]],Table1[[#All],[Description]],"",0,1)</f>
        <v>Transactions related to the hotel convenience store, including some food and beverage costs.</v>
      </c>
      <c r="M674" t="str">
        <f>_xlfn.XLOOKUP($B674,ChartOfAccounts!A673:A758,ChartOfAccounts!B673:B758,"",0,1)</f>
        <v/>
      </c>
      <c r="N674">
        <f>_xlfn.XLOOKUP($B674,ChartOfAccounts!A673:A758,ChartOfAccounts!D673:D758,0,1)</f>
        <v>0</v>
      </c>
      <c r="O674" t="str">
        <f>_xlfn.XLOOKUP($B674,ChartOfAccounts!A673:A758,ChartOfAccounts!F673:F758,"",0,1)</f>
        <v/>
      </c>
      <c r="P674" t="str" cm="1">
        <f t="array" ref="P674">_xlfn.XLOOKUP($D674&amp;$C674,PreparerInfo!A673:A685&amp;PreparerInfo!C673:C685,PreparerInfo!B673:B685,"",0,1)</f>
        <v/>
      </c>
      <c r="Q674" t="str">
        <f>_xlfn.XLOOKUP($E674,Source!A673:A681,Source!B673:B681,"",0,1)</f>
        <v/>
      </c>
    </row>
    <row r="675" spans="1:17" x14ac:dyDescent="0.3">
      <c r="A675" s="3">
        <v>2033856</v>
      </c>
      <c r="B675">
        <v>11845</v>
      </c>
      <c r="C675">
        <v>3</v>
      </c>
      <c r="D675" s="9">
        <v>101</v>
      </c>
      <c r="E675">
        <v>1007</v>
      </c>
      <c r="F675" s="1">
        <v>44012</v>
      </c>
      <c r="G675" t="s">
        <v>77</v>
      </c>
      <c r="H675" s="4" t="s">
        <v>16</v>
      </c>
      <c r="I675" s="4">
        <v>-25.95</v>
      </c>
      <c r="J675" s="4">
        <v>-25.95</v>
      </c>
      <c r="K675" t="str">
        <f>_xlfn.XLOOKUP($C675,Table1[BusinessUnitID],Table1[BusinessUnit],"",0)</f>
        <v>HOTEL PANTRY</v>
      </c>
      <c r="L675" t="str" cm="1">
        <f t="array" ref="L675">_xlfn.XLOOKUP($C675,Table1[[#All],[BusinessUnitID]],Table1[[#All],[Description]],"",0,1)</f>
        <v>Transactions related to the hotel convenience store, including some food and beverage costs.</v>
      </c>
      <c r="M675" t="str">
        <f>_xlfn.XLOOKUP($B675,ChartOfAccounts!A674:A759,ChartOfAccounts!B674:B759,"",0,1)</f>
        <v/>
      </c>
      <c r="N675">
        <f>_xlfn.XLOOKUP($B675,ChartOfAccounts!A674:A759,ChartOfAccounts!D674:D759,0,1)</f>
        <v>0</v>
      </c>
      <c r="O675" t="str">
        <f>_xlfn.XLOOKUP($B675,ChartOfAccounts!A674:A759,ChartOfAccounts!F674:F759,"",0,1)</f>
        <v/>
      </c>
      <c r="P675" t="str" cm="1">
        <f t="array" ref="P675">_xlfn.XLOOKUP($D675&amp;$C675,PreparerInfo!A674:A686&amp;PreparerInfo!C674:C686,PreparerInfo!B674:B686,"",0,1)</f>
        <v/>
      </c>
      <c r="Q675" t="str">
        <f>_xlfn.XLOOKUP($E675,Source!A674:A682,Source!B674:B682,"",0,1)</f>
        <v/>
      </c>
    </row>
    <row r="676" spans="1:17" x14ac:dyDescent="0.3">
      <c r="A676" s="3">
        <v>2033857</v>
      </c>
      <c r="B676">
        <v>72723</v>
      </c>
      <c r="C676">
        <v>1</v>
      </c>
      <c r="D676" s="9">
        <v>101</v>
      </c>
      <c r="E676">
        <v>1007</v>
      </c>
      <c r="F676" s="1">
        <v>44012</v>
      </c>
      <c r="G676" t="s">
        <v>123</v>
      </c>
      <c r="H676" s="4">
        <v>26.95</v>
      </c>
      <c r="I676" s="4" t="s">
        <v>16</v>
      </c>
      <c r="J676" s="4">
        <v>26.95</v>
      </c>
      <c r="K676" t="str">
        <f>_xlfn.XLOOKUP($C676,Table1[BusinessUnitID],Table1[BusinessUnit],"",0)</f>
        <v>FOOD SERVICE</v>
      </c>
      <c r="L676" t="str" cm="1">
        <f t="array" ref="L676">_xlfn.XLOOKUP($C676,Table1[[#All],[BusinessUnitID]],Table1[[#All],[Description]],"",0,1)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76" t="str">
        <f>_xlfn.XLOOKUP($B676,ChartOfAccounts!A675:A760,ChartOfAccounts!B675:B760,"",0,1)</f>
        <v/>
      </c>
      <c r="N676">
        <f>_xlfn.XLOOKUP($B676,ChartOfAccounts!A675:A760,ChartOfAccounts!D675:D760,0,1)</f>
        <v>0</v>
      </c>
      <c r="O676" t="str">
        <f>_xlfn.XLOOKUP($B676,ChartOfAccounts!A675:A760,ChartOfAccounts!F675:F760,"",0,1)</f>
        <v/>
      </c>
      <c r="P676" t="str" cm="1">
        <f t="array" ref="P676">_xlfn.XLOOKUP($D676&amp;$C676,PreparerInfo!A675:A687&amp;PreparerInfo!C675:C687,PreparerInfo!B675:B687,"",0,1)</f>
        <v/>
      </c>
      <c r="Q676" t="str">
        <f>_xlfn.XLOOKUP($E676,Source!A675:A683,Source!B675:B683,"",0,1)</f>
        <v/>
      </c>
    </row>
    <row r="677" spans="1:17" x14ac:dyDescent="0.3">
      <c r="A677" s="3">
        <v>2033857</v>
      </c>
      <c r="B677">
        <v>11845</v>
      </c>
      <c r="C677">
        <v>1</v>
      </c>
      <c r="D677" s="9">
        <v>101</v>
      </c>
      <c r="E677">
        <v>1007</v>
      </c>
      <c r="F677" s="1">
        <v>44012</v>
      </c>
      <c r="G677" t="s">
        <v>123</v>
      </c>
      <c r="H677" s="4" t="s">
        <v>16</v>
      </c>
      <c r="I677" s="4">
        <v>-26.95</v>
      </c>
      <c r="J677" s="4">
        <v>-26.95</v>
      </c>
      <c r="K677" t="str">
        <f>_xlfn.XLOOKUP($C677,Table1[BusinessUnitID],Table1[BusinessUnit],"",0)</f>
        <v>FOOD SERVICE</v>
      </c>
      <c r="L677" t="str" cm="1">
        <f t="array" ref="L677">_xlfn.XLOOKUP($C677,Table1[[#All],[BusinessUnitID]],Table1[[#All],[Description]],"",0,1)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77" t="str">
        <f>_xlfn.XLOOKUP($B677,ChartOfAccounts!A676:A761,ChartOfAccounts!B676:B761,"",0,1)</f>
        <v/>
      </c>
      <c r="N677">
        <f>_xlfn.XLOOKUP($B677,ChartOfAccounts!A676:A761,ChartOfAccounts!D676:D761,0,1)</f>
        <v>0</v>
      </c>
      <c r="O677" t="str">
        <f>_xlfn.XLOOKUP($B677,ChartOfAccounts!A676:A761,ChartOfAccounts!F676:F761,"",0,1)</f>
        <v/>
      </c>
      <c r="P677" t="str" cm="1">
        <f t="array" ref="P677">_xlfn.XLOOKUP($D677&amp;$C677,PreparerInfo!A676:A688&amp;PreparerInfo!C676:C688,PreparerInfo!B676:B688,"",0,1)</f>
        <v/>
      </c>
      <c r="Q677" t="str">
        <f>_xlfn.XLOOKUP($E677,Source!A676:A684,Source!B676:B684,"",0,1)</f>
        <v/>
      </c>
    </row>
    <row r="678" spans="1:17" x14ac:dyDescent="0.3">
      <c r="A678" s="3">
        <v>2033858</v>
      </c>
      <c r="B678">
        <v>72723</v>
      </c>
      <c r="C678">
        <v>1</v>
      </c>
      <c r="D678" s="9">
        <v>101</v>
      </c>
      <c r="E678">
        <v>1007</v>
      </c>
      <c r="F678" s="1">
        <v>44012</v>
      </c>
      <c r="G678" t="s">
        <v>123</v>
      </c>
      <c r="H678" s="4">
        <v>26.95</v>
      </c>
      <c r="I678" s="4" t="s">
        <v>16</v>
      </c>
      <c r="J678" s="4">
        <v>26.95</v>
      </c>
      <c r="K678" t="str">
        <f>_xlfn.XLOOKUP($C678,Table1[BusinessUnitID],Table1[BusinessUnit],"",0)</f>
        <v>FOOD SERVICE</v>
      </c>
      <c r="L678" t="str" cm="1">
        <f t="array" ref="L678">_xlfn.XLOOKUP($C678,Table1[[#All],[BusinessUnitID]],Table1[[#All],[Description]],"",0,1)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78" t="str">
        <f>_xlfn.XLOOKUP($B678,ChartOfAccounts!A677:A762,ChartOfAccounts!B677:B762,"",0,1)</f>
        <v/>
      </c>
      <c r="N678">
        <f>_xlfn.XLOOKUP($B678,ChartOfAccounts!A677:A762,ChartOfAccounts!D677:D762,0,1)</f>
        <v>0</v>
      </c>
      <c r="O678" t="str">
        <f>_xlfn.XLOOKUP($B678,ChartOfAccounts!A677:A762,ChartOfAccounts!F677:F762,"",0,1)</f>
        <v/>
      </c>
      <c r="P678" t="str" cm="1">
        <f t="array" ref="P678">_xlfn.XLOOKUP($D678&amp;$C678,PreparerInfo!A677:A689&amp;PreparerInfo!C677:C689,PreparerInfo!B677:B689,"",0,1)</f>
        <v/>
      </c>
      <c r="Q678" t="str">
        <f>_xlfn.XLOOKUP($E678,Source!A677:A685,Source!B677:B685,"",0,1)</f>
        <v/>
      </c>
    </row>
    <row r="679" spans="1:17" x14ac:dyDescent="0.3">
      <c r="A679" s="3">
        <v>2033858</v>
      </c>
      <c r="B679">
        <v>11845</v>
      </c>
      <c r="C679">
        <v>1</v>
      </c>
      <c r="D679" s="9">
        <v>101</v>
      </c>
      <c r="E679">
        <v>1007</v>
      </c>
      <c r="F679" s="1">
        <v>44012</v>
      </c>
      <c r="G679" t="s">
        <v>123</v>
      </c>
      <c r="H679" s="4" t="s">
        <v>16</v>
      </c>
      <c r="I679" s="4">
        <v>-26.95</v>
      </c>
      <c r="J679" s="4">
        <v>-26.95</v>
      </c>
      <c r="K679" t="str">
        <f>_xlfn.XLOOKUP($C679,Table1[BusinessUnitID],Table1[BusinessUnit],"",0)</f>
        <v>FOOD SERVICE</v>
      </c>
      <c r="L679" t="str" cm="1">
        <f t="array" ref="L679">_xlfn.XLOOKUP($C679,Table1[[#All],[BusinessUnitID]],Table1[[#All],[Description]],"",0,1)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79" t="str">
        <f>_xlfn.XLOOKUP($B679,ChartOfAccounts!A678:A763,ChartOfAccounts!B678:B763,"",0,1)</f>
        <v/>
      </c>
      <c r="N679">
        <f>_xlfn.XLOOKUP($B679,ChartOfAccounts!A678:A763,ChartOfAccounts!D678:D763,0,1)</f>
        <v>0</v>
      </c>
      <c r="O679" t="str">
        <f>_xlfn.XLOOKUP($B679,ChartOfAccounts!A678:A763,ChartOfAccounts!F678:F763,"",0,1)</f>
        <v/>
      </c>
      <c r="P679" t="str" cm="1">
        <f t="array" ref="P679">_xlfn.XLOOKUP($D679&amp;$C679,PreparerInfo!A678:A690&amp;PreparerInfo!C678:C690,PreparerInfo!B678:B690,"",0,1)</f>
        <v/>
      </c>
      <c r="Q679" t="str">
        <f>_xlfn.XLOOKUP($E679,Source!A678:A686,Source!B678:B686,"",0,1)</f>
        <v/>
      </c>
    </row>
    <row r="680" spans="1:17" x14ac:dyDescent="0.3">
      <c r="A680" s="3">
        <v>2033859</v>
      </c>
      <c r="B680">
        <v>72723</v>
      </c>
      <c r="C680">
        <v>1</v>
      </c>
      <c r="D680" s="9">
        <v>101</v>
      </c>
      <c r="E680">
        <v>1007</v>
      </c>
      <c r="F680" s="1">
        <v>44012</v>
      </c>
      <c r="G680" t="s">
        <v>123</v>
      </c>
      <c r="H680" s="4">
        <v>26.95</v>
      </c>
      <c r="I680" s="4" t="s">
        <v>16</v>
      </c>
      <c r="J680" s="4">
        <v>26.95</v>
      </c>
      <c r="K680" t="str">
        <f>_xlfn.XLOOKUP($C680,Table1[BusinessUnitID],Table1[BusinessUnit],"",0)</f>
        <v>FOOD SERVICE</v>
      </c>
      <c r="L680" t="str" cm="1">
        <f t="array" ref="L680">_xlfn.XLOOKUP($C680,Table1[[#All],[BusinessUnitID]],Table1[[#All],[Description]],"",0,1)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80" t="str">
        <f>_xlfn.XLOOKUP($B680,ChartOfAccounts!A679:A764,ChartOfAccounts!B679:B764,"",0,1)</f>
        <v/>
      </c>
      <c r="N680">
        <f>_xlfn.XLOOKUP($B680,ChartOfAccounts!A679:A764,ChartOfAccounts!D679:D764,0,1)</f>
        <v>0</v>
      </c>
      <c r="O680" t="str">
        <f>_xlfn.XLOOKUP($B680,ChartOfAccounts!A679:A764,ChartOfAccounts!F679:F764,"",0,1)</f>
        <v/>
      </c>
      <c r="P680" t="str" cm="1">
        <f t="array" ref="P680">_xlfn.XLOOKUP($D680&amp;$C680,PreparerInfo!A679:A691&amp;PreparerInfo!C679:C691,PreparerInfo!B679:B691,"",0,1)</f>
        <v/>
      </c>
      <c r="Q680" t="str">
        <f>_xlfn.XLOOKUP($E680,Source!A679:A687,Source!B679:B687,"",0,1)</f>
        <v/>
      </c>
    </row>
    <row r="681" spans="1:17" x14ac:dyDescent="0.3">
      <c r="A681" s="3">
        <v>2033859</v>
      </c>
      <c r="B681">
        <v>11845</v>
      </c>
      <c r="C681">
        <v>1</v>
      </c>
      <c r="D681" s="9">
        <v>101</v>
      </c>
      <c r="E681">
        <v>1007</v>
      </c>
      <c r="F681" s="1">
        <v>44012</v>
      </c>
      <c r="G681" t="s">
        <v>123</v>
      </c>
      <c r="H681" s="4" t="s">
        <v>16</v>
      </c>
      <c r="I681" s="4">
        <v>-26.95</v>
      </c>
      <c r="J681" s="4">
        <v>-26.95</v>
      </c>
      <c r="K681" t="str">
        <f>_xlfn.XLOOKUP($C681,Table1[BusinessUnitID],Table1[BusinessUnit],"",0)</f>
        <v>FOOD SERVICE</v>
      </c>
      <c r="L681" t="str" cm="1">
        <f t="array" ref="L681">_xlfn.XLOOKUP($C681,Table1[[#All],[BusinessUnitID]],Table1[[#All],[Description]],"",0,1)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81" t="str">
        <f>_xlfn.XLOOKUP($B681,ChartOfAccounts!A680:A765,ChartOfAccounts!B680:B765,"",0,1)</f>
        <v/>
      </c>
      <c r="N681">
        <f>_xlfn.XLOOKUP($B681,ChartOfAccounts!A680:A765,ChartOfAccounts!D680:D765,0,1)</f>
        <v>0</v>
      </c>
      <c r="O681" t="str">
        <f>_xlfn.XLOOKUP($B681,ChartOfAccounts!A680:A765,ChartOfAccounts!F680:F765,"",0,1)</f>
        <v/>
      </c>
      <c r="P681" t="str" cm="1">
        <f t="array" ref="P681">_xlfn.XLOOKUP($D681&amp;$C681,PreparerInfo!A680:A692&amp;PreparerInfo!C680:C692,PreparerInfo!B680:B692,"",0,1)</f>
        <v/>
      </c>
      <c r="Q681" t="str">
        <f>_xlfn.XLOOKUP($E681,Source!A680:A688,Source!B680:B688,"",0,1)</f>
        <v/>
      </c>
    </row>
    <row r="682" spans="1:17" x14ac:dyDescent="0.3">
      <c r="A682" s="3">
        <v>2033860</v>
      </c>
      <c r="B682">
        <v>11845</v>
      </c>
      <c r="C682">
        <v>1</v>
      </c>
      <c r="D682" s="9">
        <v>102</v>
      </c>
      <c r="E682">
        <v>1001</v>
      </c>
      <c r="F682" s="1">
        <v>44012</v>
      </c>
      <c r="G682" t="s">
        <v>41</v>
      </c>
      <c r="H682" s="4">
        <v>28.35</v>
      </c>
      <c r="I682" s="4" t="s">
        <v>16</v>
      </c>
      <c r="J682" s="4">
        <v>28.35</v>
      </c>
      <c r="K682" t="str">
        <f>_xlfn.XLOOKUP($C682,Table1[BusinessUnitID],Table1[BusinessUnit],"",0)</f>
        <v>FOOD SERVICE</v>
      </c>
      <c r="L682" t="str" cm="1">
        <f t="array" ref="L682">_xlfn.XLOOKUP($C682,Table1[[#All],[BusinessUnitID]],Table1[[#All],[Description]],"",0,1)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82" t="str">
        <f>_xlfn.XLOOKUP($B682,ChartOfAccounts!A681:A766,ChartOfAccounts!B681:B766,"",0,1)</f>
        <v/>
      </c>
      <c r="N682">
        <f>_xlfn.XLOOKUP($B682,ChartOfAccounts!A681:A766,ChartOfAccounts!D681:D766,0,1)</f>
        <v>0</v>
      </c>
      <c r="O682" t="str">
        <f>_xlfn.XLOOKUP($B682,ChartOfAccounts!A681:A766,ChartOfAccounts!F681:F766,"",0,1)</f>
        <v/>
      </c>
      <c r="P682" t="str" cm="1">
        <f t="array" ref="P682">_xlfn.XLOOKUP($D682&amp;$C682,PreparerInfo!A681:A693&amp;PreparerInfo!C681:C693,PreparerInfo!B681:B693,"",0,1)</f>
        <v/>
      </c>
      <c r="Q682" t="str">
        <f>_xlfn.XLOOKUP($E682,Source!A681:A689,Source!B681:B689,"",0,1)</f>
        <v/>
      </c>
    </row>
    <row r="683" spans="1:17" x14ac:dyDescent="0.3">
      <c r="A683" s="3">
        <v>2033860</v>
      </c>
      <c r="B683">
        <v>43310</v>
      </c>
      <c r="C683">
        <v>1</v>
      </c>
      <c r="D683" s="9">
        <v>102</v>
      </c>
      <c r="E683">
        <v>1001</v>
      </c>
      <c r="F683" s="1">
        <v>44012</v>
      </c>
      <c r="G683" t="s">
        <v>41</v>
      </c>
      <c r="H683" s="4" t="s">
        <v>16</v>
      </c>
      <c r="I683" s="4">
        <v>-28.35</v>
      </c>
      <c r="J683" s="4">
        <v>-28.35</v>
      </c>
      <c r="K683" t="str">
        <f>_xlfn.XLOOKUP($C683,Table1[BusinessUnitID],Table1[BusinessUnit],"",0)</f>
        <v>FOOD SERVICE</v>
      </c>
      <c r="L683" t="str" cm="1">
        <f t="array" ref="L683">_xlfn.XLOOKUP($C683,Table1[[#All],[BusinessUnitID]],Table1[[#All],[Description]],"",0,1)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83" t="str">
        <f>_xlfn.XLOOKUP($B683,ChartOfAccounts!A682:A767,ChartOfAccounts!B682:B767,"",0,1)</f>
        <v/>
      </c>
      <c r="N683">
        <f>_xlfn.XLOOKUP($B683,ChartOfAccounts!A682:A767,ChartOfAccounts!D682:D767,0,1)</f>
        <v>0</v>
      </c>
      <c r="O683" t="str">
        <f>_xlfn.XLOOKUP($B683,ChartOfAccounts!A682:A767,ChartOfAccounts!F682:F767,"",0,1)</f>
        <v/>
      </c>
      <c r="P683" t="str" cm="1">
        <f t="array" ref="P683">_xlfn.XLOOKUP($D683&amp;$C683,PreparerInfo!A682:A694&amp;PreparerInfo!C682:C694,PreparerInfo!B682:B694,"",0,1)</f>
        <v/>
      </c>
      <c r="Q683" t="str">
        <f>_xlfn.XLOOKUP($E683,Source!A682:A690,Source!B682:B690,"",0,1)</f>
        <v/>
      </c>
    </row>
    <row r="684" spans="1:17" x14ac:dyDescent="0.3">
      <c r="A684" s="3">
        <v>2033861</v>
      </c>
      <c r="B684">
        <v>14260</v>
      </c>
      <c r="C684">
        <v>1</v>
      </c>
      <c r="D684" s="9">
        <v>101</v>
      </c>
      <c r="E684">
        <v>1007</v>
      </c>
      <c r="F684" s="1">
        <v>44012</v>
      </c>
      <c r="G684" t="s">
        <v>86</v>
      </c>
      <c r="H684" s="4">
        <v>28.73</v>
      </c>
      <c r="I684" s="4" t="s">
        <v>16</v>
      </c>
      <c r="J684" s="4">
        <v>28.73</v>
      </c>
      <c r="K684" t="str">
        <f>_xlfn.XLOOKUP($C684,Table1[BusinessUnitID],Table1[BusinessUnit],"",0)</f>
        <v>FOOD SERVICE</v>
      </c>
      <c r="L684" t="str" cm="1">
        <f t="array" ref="L684">_xlfn.XLOOKUP($C684,Table1[[#All],[BusinessUnitID]],Table1[[#All],[Description]],"",0,1)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84" t="str">
        <f>_xlfn.XLOOKUP($B684,ChartOfAccounts!A683:A768,ChartOfAccounts!B683:B768,"",0,1)</f>
        <v/>
      </c>
      <c r="N684">
        <f>_xlfn.XLOOKUP($B684,ChartOfAccounts!A683:A768,ChartOfAccounts!D683:D768,0,1)</f>
        <v>0</v>
      </c>
      <c r="O684" t="str">
        <f>_xlfn.XLOOKUP($B684,ChartOfAccounts!A683:A768,ChartOfAccounts!F683:F768,"",0,1)</f>
        <v/>
      </c>
      <c r="P684" t="str" cm="1">
        <f t="array" ref="P684">_xlfn.XLOOKUP($D684&amp;$C684,PreparerInfo!A683:A695&amp;PreparerInfo!C683:C695,PreparerInfo!B683:B695,"",0,1)</f>
        <v/>
      </c>
      <c r="Q684" t="str">
        <f>_xlfn.XLOOKUP($E684,Source!A683:A691,Source!B683:B691,"",0,1)</f>
        <v/>
      </c>
    </row>
    <row r="685" spans="1:17" x14ac:dyDescent="0.3">
      <c r="A685" s="3">
        <v>2033861</v>
      </c>
      <c r="B685">
        <v>11845</v>
      </c>
      <c r="C685">
        <v>1</v>
      </c>
      <c r="D685" s="9">
        <v>101</v>
      </c>
      <c r="E685">
        <v>1007</v>
      </c>
      <c r="F685" s="1">
        <v>44012</v>
      </c>
      <c r="G685" t="s">
        <v>86</v>
      </c>
      <c r="H685" s="4" t="s">
        <v>16</v>
      </c>
      <c r="I685" s="4">
        <v>-28.73</v>
      </c>
      <c r="J685" s="4">
        <v>-28.73</v>
      </c>
      <c r="K685" t="str">
        <f>_xlfn.XLOOKUP($C685,Table1[BusinessUnitID],Table1[BusinessUnit],"",0)</f>
        <v>FOOD SERVICE</v>
      </c>
      <c r="L685" t="str" cm="1">
        <f t="array" ref="L685">_xlfn.XLOOKUP($C685,Table1[[#All],[BusinessUnitID]],Table1[[#All],[Description]],"",0,1)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85" t="str">
        <f>_xlfn.XLOOKUP($B685,ChartOfAccounts!A684:A769,ChartOfAccounts!B684:B769,"",0,1)</f>
        <v/>
      </c>
      <c r="N685">
        <f>_xlfn.XLOOKUP($B685,ChartOfAccounts!A684:A769,ChartOfAccounts!D684:D769,0,1)</f>
        <v>0</v>
      </c>
      <c r="O685" t="str">
        <f>_xlfn.XLOOKUP($B685,ChartOfAccounts!A684:A769,ChartOfAccounts!F684:F769,"",0,1)</f>
        <v/>
      </c>
      <c r="P685" t="str" cm="1">
        <f t="array" ref="P685">_xlfn.XLOOKUP($D685&amp;$C685,PreparerInfo!A684:A696&amp;PreparerInfo!C684:C696,PreparerInfo!B684:B696,"",0,1)</f>
        <v/>
      </c>
      <c r="Q685" t="str">
        <f>_xlfn.XLOOKUP($E685,Source!A684:A692,Source!B684:B692,"",0,1)</f>
        <v/>
      </c>
    </row>
    <row r="686" spans="1:17" x14ac:dyDescent="0.3">
      <c r="A686" s="3">
        <v>2033862</v>
      </c>
      <c r="B686">
        <v>71410</v>
      </c>
      <c r="C686">
        <v>1</v>
      </c>
      <c r="D686" s="9">
        <v>101</v>
      </c>
      <c r="E686">
        <v>1007</v>
      </c>
      <c r="F686" s="1">
        <v>44012</v>
      </c>
      <c r="G686" t="s">
        <v>89</v>
      </c>
      <c r="H686" s="4">
        <v>35.06</v>
      </c>
      <c r="I686" s="4" t="s">
        <v>16</v>
      </c>
      <c r="J686" s="4">
        <v>35.06</v>
      </c>
      <c r="K686" t="str">
        <f>_xlfn.XLOOKUP($C686,Table1[BusinessUnitID],Table1[BusinessUnit],"",0)</f>
        <v>FOOD SERVICE</v>
      </c>
      <c r="L686" t="str" cm="1">
        <f t="array" ref="L686">_xlfn.XLOOKUP($C686,Table1[[#All],[BusinessUnitID]],Table1[[#All],[Description]],"",0,1)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86" t="str">
        <f>_xlfn.XLOOKUP($B686,ChartOfAccounts!A685:A770,ChartOfAccounts!B685:B770,"",0,1)</f>
        <v/>
      </c>
      <c r="N686">
        <f>_xlfn.XLOOKUP($B686,ChartOfAccounts!A685:A770,ChartOfAccounts!D685:D770,0,1)</f>
        <v>0</v>
      </c>
      <c r="O686" t="str">
        <f>_xlfn.XLOOKUP($B686,ChartOfAccounts!A685:A770,ChartOfAccounts!F685:F770,"",0,1)</f>
        <v/>
      </c>
      <c r="P686" t="str" cm="1">
        <f t="array" ref="P686">_xlfn.XLOOKUP($D686&amp;$C686,PreparerInfo!A685:A697&amp;PreparerInfo!C685:C697,PreparerInfo!B685:B697,"",0,1)</f>
        <v/>
      </c>
      <c r="Q686" t="str">
        <f>_xlfn.XLOOKUP($E686,Source!A685:A693,Source!B685:B693,"",0,1)</f>
        <v/>
      </c>
    </row>
    <row r="687" spans="1:17" x14ac:dyDescent="0.3">
      <c r="A687" s="3">
        <v>2033862</v>
      </c>
      <c r="B687">
        <v>11845</v>
      </c>
      <c r="C687">
        <v>1</v>
      </c>
      <c r="D687" s="9">
        <v>101</v>
      </c>
      <c r="E687">
        <v>1007</v>
      </c>
      <c r="F687" s="1">
        <v>44012</v>
      </c>
      <c r="G687" t="s">
        <v>89</v>
      </c>
      <c r="H687" s="4" t="s">
        <v>16</v>
      </c>
      <c r="I687" s="4">
        <v>-35.06</v>
      </c>
      <c r="J687" s="4">
        <v>-35.06</v>
      </c>
      <c r="K687" t="str">
        <f>_xlfn.XLOOKUP($C687,Table1[BusinessUnitID],Table1[BusinessUnit],"",0)</f>
        <v>FOOD SERVICE</v>
      </c>
      <c r="L687" t="str" cm="1">
        <f t="array" ref="L687">_xlfn.XLOOKUP($C687,Table1[[#All],[BusinessUnitID]],Table1[[#All],[Description]],"",0,1)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87" t="str">
        <f>_xlfn.XLOOKUP($B687,ChartOfAccounts!A686:A771,ChartOfAccounts!B686:B771,"",0,1)</f>
        <v/>
      </c>
      <c r="N687">
        <f>_xlfn.XLOOKUP($B687,ChartOfAccounts!A686:A771,ChartOfAccounts!D686:D771,0,1)</f>
        <v>0</v>
      </c>
      <c r="O687" t="str">
        <f>_xlfn.XLOOKUP($B687,ChartOfAccounts!A686:A771,ChartOfAccounts!F686:F771,"",0,1)</f>
        <v/>
      </c>
      <c r="P687" t="str" cm="1">
        <f t="array" ref="P687">_xlfn.XLOOKUP($D687&amp;$C687,PreparerInfo!A686:A698&amp;PreparerInfo!C686:C698,PreparerInfo!B686:B698,"",0,1)</f>
        <v/>
      </c>
      <c r="Q687" t="str">
        <f>_xlfn.XLOOKUP($E687,Source!A686:A694,Source!B686:B694,"",0,1)</f>
        <v/>
      </c>
    </row>
    <row r="688" spans="1:17" x14ac:dyDescent="0.3">
      <c r="A688" s="3">
        <v>2033863</v>
      </c>
      <c r="B688">
        <v>14260</v>
      </c>
      <c r="C688">
        <v>1</v>
      </c>
      <c r="D688" s="9">
        <v>101</v>
      </c>
      <c r="E688">
        <v>1007</v>
      </c>
      <c r="F688" s="1">
        <v>44012</v>
      </c>
      <c r="G688" t="s">
        <v>209</v>
      </c>
      <c r="H688" s="4">
        <v>35.5</v>
      </c>
      <c r="I688" s="4" t="s">
        <v>16</v>
      </c>
      <c r="J688" s="4">
        <v>35.5</v>
      </c>
      <c r="K688" t="str">
        <f>_xlfn.XLOOKUP($C688,Table1[BusinessUnitID],Table1[BusinessUnit],"",0)</f>
        <v>FOOD SERVICE</v>
      </c>
      <c r="L688" t="str" cm="1">
        <f t="array" ref="L688">_xlfn.XLOOKUP($C688,Table1[[#All],[BusinessUnitID]],Table1[[#All],[Description]],"",0,1)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88" t="str">
        <f>_xlfn.XLOOKUP($B688,ChartOfAccounts!A687:A772,ChartOfAccounts!B687:B772,"",0,1)</f>
        <v/>
      </c>
      <c r="N688">
        <f>_xlfn.XLOOKUP($B688,ChartOfAccounts!A687:A772,ChartOfAccounts!D687:D772,0,1)</f>
        <v>0</v>
      </c>
      <c r="O688" t="str">
        <f>_xlfn.XLOOKUP($B688,ChartOfAccounts!A687:A772,ChartOfAccounts!F687:F772,"",0,1)</f>
        <v/>
      </c>
      <c r="P688" t="str" cm="1">
        <f t="array" ref="P688">_xlfn.XLOOKUP($D688&amp;$C688,PreparerInfo!A687:A699&amp;PreparerInfo!C687:C699,PreparerInfo!B687:B699,"",0,1)</f>
        <v/>
      </c>
      <c r="Q688" t="str">
        <f>_xlfn.XLOOKUP($E688,Source!A687:A695,Source!B687:B695,"",0,1)</f>
        <v/>
      </c>
    </row>
    <row r="689" spans="1:17" x14ac:dyDescent="0.3">
      <c r="A689" s="3">
        <v>2033863</v>
      </c>
      <c r="B689">
        <v>11845</v>
      </c>
      <c r="C689">
        <v>1</v>
      </c>
      <c r="D689" s="9">
        <v>101</v>
      </c>
      <c r="E689">
        <v>1007</v>
      </c>
      <c r="F689" s="1">
        <v>44012</v>
      </c>
      <c r="G689" t="s">
        <v>209</v>
      </c>
      <c r="H689" s="4" t="s">
        <v>16</v>
      </c>
      <c r="I689" s="4">
        <v>-35.5</v>
      </c>
      <c r="J689" s="4">
        <v>-35.5</v>
      </c>
      <c r="K689" t="str">
        <f>_xlfn.XLOOKUP($C689,Table1[BusinessUnitID],Table1[BusinessUnit],"",0)</f>
        <v>FOOD SERVICE</v>
      </c>
      <c r="L689" t="str" cm="1">
        <f t="array" ref="L689">_xlfn.XLOOKUP($C689,Table1[[#All],[BusinessUnitID]],Table1[[#All],[Description]],"",0,1)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89" t="str">
        <f>_xlfn.XLOOKUP($B689,ChartOfAccounts!A688:A773,ChartOfAccounts!B688:B773,"",0,1)</f>
        <v/>
      </c>
      <c r="N689">
        <f>_xlfn.XLOOKUP($B689,ChartOfAccounts!A688:A773,ChartOfAccounts!D688:D773,0,1)</f>
        <v>0</v>
      </c>
      <c r="O689" t="str">
        <f>_xlfn.XLOOKUP($B689,ChartOfAccounts!A688:A773,ChartOfAccounts!F688:F773,"",0,1)</f>
        <v/>
      </c>
      <c r="P689" t="str" cm="1">
        <f t="array" ref="P689">_xlfn.XLOOKUP($D689&amp;$C689,PreparerInfo!A688:A700&amp;PreparerInfo!C688:C700,PreparerInfo!B688:B700,"",0,1)</f>
        <v/>
      </c>
      <c r="Q689" t="str">
        <f>_xlfn.XLOOKUP($E689,Source!A688:A696,Source!B688:B696,"",0,1)</f>
        <v/>
      </c>
    </row>
    <row r="690" spans="1:17" x14ac:dyDescent="0.3">
      <c r="A690" s="3">
        <v>2033864</v>
      </c>
      <c r="B690">
        <v>71400</v>
      </c>
      <c r="C690">
        <v>4</v>
      </c>
      <c r="D690" s="9">
        <v>101</v>
      </c>
      <c r="E690">
        <v>1007</v>
      </c>
      <c r="F690" s="1">
        <v>44012</v>
      </c>
      <c r="G690" t="s">
        <v>78</v>
      </c>
      <c r="H690" s="4">
        <v>35.85</v>
      </c>
      <c r="I690" s="4" t="s">
        <v>16</v>
      </c>
      <c r="J690" s="4">
        <v>35.85</v>
      </c>
      <c r="K690" t="str">
        <f>_xlfn.XLOOKUP($C690,Table1[BusinessUnitID],Table1[BusinessUnit],"",0)</f>
        <v>HOUSEKEEPING</v>
      </c>
      <c r="L690" t="str" cm="1">
        <f t="array" ref="L690">_xlfn.XLOOKUP($C690,Table1[[#All],[BusinessUnitID]],Table1[[#All],[Description]],"",0,1)</f>
        <v xml:space="preserve">Transactions related to the Housekeeping Department. Primarily includes payroll for housekeepers and housekeeping supplies. </v>
      </c>
      <c r="M690" t="str">
        <f>_xlfn.XLOOKUP($B690,ChartOfAccounts!A689:A774,ChartOfAccounts!B689:B774,"",0,1)</f>
        <v/>
      </c>
      <c r="N690">
        <f>_xlfn.XLOOKUP($B690,ChartOfAccounts!A689:A774,ChartOfAccounts!D689:D774,0,1)</f>
        <v>0</v>
      </c>
      <c r="O690" t="str">
        <f>_xlfn.XLOOKUP($B690,ChartOfAccounts!A689:A774,ChartOfAccounts!F689:F774,"",0,1)</f>
        <v/>
      </c>
      <c r="P690" t="str" cm="1">
        <f t="array" ref="P690">_xlfn.XLOOKUP($D690&amp;$C690,PreparerInfo!A689:A701&amp;PreparerInfo!C689:C701,PreparerInfo!B689:B701,"",0,1)</f>
        <v/>
      </c>
      <c r="Q690" t="str">
        <f>_xlfn.XLOOKUP($E690,Source!A689:A697,Source!B689:B697,"",0,1)</f>
        <v/>
      </c>
    </row>
    <row r="691" spans="1:17" x14ac:dyDescent="0.3">
      <c r="A691" s="3">
        <v>2033864</v>
      </c>
      <c r="B691">
        <v>11845</v>
      </c>
      <c r="C691">
        <v>4</v>
      </c>
      <c r="D691" s="9">
        <v>101</v>
      </c>
      <c r="E691">
        <v>1007</v>
      </c>
      <c r="F691" s="1">
        <v>44012</v>
      </c>
      <c r="G691" t="s">
        <v>78</v>
      </c>
      <c r="H691" s="4" t="s">
        <v>16</v>
      </c>
      <c r="I691" s="4">
        <v>-35.85</v>
      </c>
      <c r="J691" s="4">
        <v>-35.85</v>
      </c>
      <c r="K691" t="str">
        <f>_xlfn.XLOOKUP($C691,Table1[BusinessUnitID],Table1[BusinessUnit],"",0)</f>
        <v>HOUSEKEEPING</v>
      </c>
      <c r="L691" t="str" cm="1">
        <f t="array" ref="L691">_xlfn.XLOOKUP($C691,Table1[[#All],[BusinessUnitID]],Table1[[#All],[Description]],"",0,1)</f>
        <v xml:space="preserve">Transactions related to the Housekeeping Department. Primarily includes payroll for housekeepers and housekeeping supplies. </v>
      </c>
      <c r="M691" t="str">
        <f>_xlfn.XLOOKUP($B691,ChartOfAccounts!A690:A775,ChartOfAccounts!B690:B775,"",0,1)</f>
        <v/>
      </c>
      <c r="N691">
        <f>_xlfn.XLOOKUP($B691,ChartOfAccounts!A690:A775,ChartOfAccounts!D690:D775,0,1)</f>
        <v>0</v>
      </c>
      <c r="O691" t="str">
        <f>_xlfn.XLOOKUP($B691,ChartOfAccounts!A690:A775,ChartOfAccounts!F690:F775,"",0,1)</f>
        <v/>
      </c>
      <c r="P691" t="str" cm="1">
        <f t="array" ref="P691">_xlfn.XLOOKUP($D691&amp;$C691,PreparerInfo!A690:A702&amp;PreparerInfo!C690:C702,PreparerInfo!B690:B702,"",0,1)</f>
        <v/>
      </c>
      <c r="Q691" t="str">
        <f>_xlfn.XLOOKUP($E691,Source!A690:A698,Source!B690:B698,"",0,1)</f>
        <v/>
      </c>
    </row>
    <row r="692" spans="1:17" x14ac:dyDescent="0.3">
      <c r="A692" s="3">
        <v>2033865</v>
      </c>
      <c r="B692">
        <v>14250</v>
      </c>
      <c r="C692">
        <v>3</v>
      </c>
      <c r="D692" s="9">
        <v>101</v>
      </c>
      <c r="E692">
        <v>1007</v>
      </c>
      <c r="F692" s="1">
        <v>44012</v>
      </c>
      <c r="G692" t="s">
        <v>84</v>
      </c>
      <c r="H692" s="4">
        <v>63.72</v>
      </c>
      <c r="I692" s="4" t="s">
        <v>16</v>
      </c>
      <c r="J692" s="4">
        <v>63.72</v>
      </c>
      <c r="K692" t="str">
        <f>_xlfn.XLOOKUP($C692,Table1[BusinessUnitID],Table1[BusinessUnit],"",0)</f>
        <v>HOTEL PANTRY</v>
      </c>
      <c r="L692" t="str" cm="1">
        <f t="array" ref="L692">_xlfn.XLOOKUP($C692,Table1[[#All],[BusinessUnitID]],Table1[[#All],[Description]],"",0,1)</f>
        <v>Transactions related to the hotel convenience store, including some food and beverage costs.</v>
      </c>
      <c r="M692" t="str">
        <f>_xlfn.XLOOKUP($B692,ChartOfAccounts!A691:A776,ChartOfAccounts!B691:B776,"",0,1)</f>
        <v/>
      </c>
      <c r="N692">
        <f>_xlfn.XLOOKUP($B692,ChartOfAccounts!A691:A776,ChartOfAccounts!D691:D776,0,1)</f>
        <v>0</v>
      </c>
      <c r="O692" t="str">
        <f>_xlfn.XLOOKUP($B692,ChartOfAccounts!A691:A776,ChartOfAccounts!F691:F776,"",0,1)</f>
        <v/>
      </c>
      <c r="P692" t="str" cm="1">
        <f t="array" ref="P692">_xlfn.XLOOKUP($D692&amp;$C692,PreparerInfo!A691:A703&amp;PreparerInfo!C691:C703,PreparerInfo!B691:B703,"",0,1)</f>
        <v/>
      </c>
      <c r="Q692" t="str">
        <f>_xlfn.XLOOKUP($E692,Source!A691:A699,Source!B691:B699,"",0,1)</f>
        <v/>
      </c>
    </row>
    <row r="693" spans="1:17" x14ac:dyDescent="0.3">
      <c r="A693" s="3">
        <v>2033865</v>
      </c>
      <c r="B693">
        <v>11845</v>
      </c>
      <c r="C693">
        <v>3</v>
      </c>
      <c r="D693" s="9">
        <v>101</v>
      </c>
      <c r="E693">
        <v>1007</v>
      </c>
      <c r="F693" s="1">
        <v>44012</v>
      </c>
      <c r="G693" t="s">
        <v>84</v>
      </c>
      <c r="H693" s="4" t="s">
        <v>16</v>
      </c>
      <c r="I693" s="4">
        <v>-63.72</v>
      </c>
      <c r="J693" s="4">
        <v>-63.72</v>
      </c>
      <c r="K693" t="str">
        <f>_xlfn.XLOOKUP($C693,Table1[BusinessUnitID],Table1[BusinessUnit],"",0)</f>
        <v>HOTEL PANTRY</v>
      </c>
      <c r="L693" t="str" cm="1">
        <f t="array" ref="L693">_xlfn.XLOOKUP($C693,Table1[[#All],[BusinessUnitID]],Table1[[#All],[Description]],"",0,1)</f>
        <v>Transactions related to the hotel convenience store, including some food and beverage costs.</v>
      </c>
      <c r="M693" t="str">
        <f>_xlfn.XLOOKUP($B693,ChartOfAccounts!A692:A777,ChartOfAccounts!B692:B777,"",0,1)</f>
        <v/>
      </c>
      <c r="N693">
        <f>_xlfn.XLOOKUP($B693,ChartOfAccounts!A692:A777,ChartOfAccounts!D692:D777,0,1)</f>
        <v>0</v>
      </c>
      <c r="O693" t="str">
        <f>_xlfn.XLOOKUP($B693,ChartOfAccounts!A692:A777,ChartOfAccounts!F692:F777,"",0,1)</f>
        <v/>
      </c>
      <c r="P693" t="str" cm="1">
        <f t="array" ref="P693">_xlfn.XLOOKUP($D693&amp;$C693,PreparerInfo!A692:A704&amp;PreparerInfo!C692:C704,PreparerInfo!B692:B704,"",0,1)</f>
        <v/>
      </c>
      <c r="Q693" t="str">
        <f>_xlfn.XLOOKUP($E693,Source!A692:A700,Source!B692:B700,"",0,1)</f>
        <v/>
      </c>
    </row>
    <row r="694" spans="1:17" x14ac:dyDescent="0.3">
      <c r="A694" s="3">
        <v>2033866</v>
      </c>
      <c r="B694">
        <v>11845</v>
      </c>
      <c r="C694">
        <v>3</v>
      </c>
      <c r="D694" s="9">
        <v>102</v>
      </c>
      <c r="E694">
        <v>1001</v>
      </c>
      <c r="F694" s="1">
        <v>44012</v>
      </c>
      <c r="G694" t="s">
        <v>41</v>
      </c>
      <c r="H694" s="4">
        <v>65.790000000000006</v>
      </c>
      <c r="I694" s="4" t="s">
        <v>16</v>
      </c>
      <c r="J694" s="4">
        <v>65.790000000000006</v>
      </c>
      <c r="K694" t="str">
        <f>_xlfn.XLOOKUP($C694,Table1[BusinessUnitID],Table1[BusinessUnit],"",0)</f>
        <v>HOTEL PANTRY</v>
      </c>
      <c r="L694" t="str" cm="1">
        <f t="array" ref="L694">_xlfn.XLOOKUP($C694,Table1[[#All],[BusinessUnitID]],Table1[[#All],[Description]],"",0,1)</f>
        <v>Transactions related to the hotel convenience store, including some food and beverage costs.</v>
      </c>
      <c r="M694" t="str">
        <f>_xlfn.XLOOKUP($B694,ChartOfAccounts!A693:A778,ChartOfAccounts!B693:B778,"",0,1)</f>
        <v/>
      </c>
      <c r="N694">
        <f>_xlfn.XLOOKUP($B694,ChartOfAccounts!A693:A778,ChartOfAccounts!D693:D778,0,1)</f>
        <v>0</v>
      </c>
      <c r="O694" t="str">
        <f>_xlfn.XLOOKUP($B694,ChartOfAccounts!A693:A778,ChartOfAccounts!F693:F778,"",0,1)</f>
        <v/>
      </c>
      <c r="P694" t="str" cm="1">
        <f t="array" ref="P694">_xlfn.XLOOKUP($D694&amp;$C694,PreparerInfo!A693:A705&amp;PreparerInfo!C693:C705,PreparerInfo!B693:B705,"",0,1)</f>
        <v/>
      </c>
      <c r="Q694" t="str">
        <f>_xlfn.XLOOKUP($E694,Source!A693:A701,Source!B693:B701,"",0,1)</f>
        <v/>
      </c>
    </row>
    <row r="695" spans="1:17" x14ac:dyDescent="0.3">
      <c r="A695" s="3">
        <v>2033866</v>
      </c>
      <c r="B695">
        <v>43440</v>
      </c>
      <c r="C695">
        <v>3</v>
      </c>
      <c r="D695" s="9">
        <v>102</v>
      </c>
      <c r="E695">
        <v>1001</v>
      </c>
      <c r="F695" s="1">
        <v>44012</v>
      </c>
      <c r="G695" t="s">
        <v>41</v>
      </c>
      <c r="H695" s="4" t="s">
        <v>16</v>
      </c>
      <c r="I695" s="4">
        <v>-65.790000000000006</v>
      </c>
      <c r="J695" s="4">
        <v>-65.790000000000006</v>
      </c>
      <c r="K695" t="str">
        <f>_xlfn.XLOOKUP($C695,Table1[BusinessUnitID],Table1[BusinessUnit],"",0)</f>
        <v>HOTEL PANTRY</v>
      </c>
      <c r="L695" t="str" cm="1">
        <f t="array" ref="L695">_xlfn.XLOOKUP($C695,Table1[[#All],[BusinessUnitID]],Table1[[#All],[Description]],"",0,1)</f>
        <v>Transactions related to the hotel convenience store, including some food and beverage costs.</v>
      </c>
      <c r="M695" t="str">
        <f>_xlfn.XLOOKUP($B695,ChartOfAccounts!A694:A779,ChartOfAccounts!B694:B779,"",0,1)</f>
        <v/>
      </c>
      <c r="N695">
        <f>_xlfn.XLOOKUP($B695,ChartOfAccounts!A694:A779,ChartOfAccounts!D694:D779,0,1)</f>
        <v>0</v>
      </c>
      <c r="O695" t="str">
        <f>_xlfn.XLOOKUP($B695,ChartOfAccounts!A694:A779,ChartOfAccounts!F694:F779,"",0,1)</f>
        <v/>
      </c>
      <c r="P695" t="str" cm="1">
        <f t="array" ref="P695">_xlfn.XLOOKUP($D695&amp;$C695,PreparerInfo!A694:A706&amp;PreparerInfo!C694:C706,PreparerInfo!B694:B706,"",0,1)</f>
        <v/>
      </c>
      <c r="Q695" t="str">
        <f>_xlfn.XLOOKUP($E695,Source!A694:A702,Source!B694:B702,"",0,1)</f>
        <v/>
      </c>
    </row>
    <row r="696" spans="1:17" x14ac:dyDescent="0.3">
      <c r="A696" s="3">
        <v>2033867</v>
      </c>
      <c r="B696">
        <v>71400</v>
      </c>
      <c r="C696">
        <v>1</v>
      </c>
      <c r="D696" s="9">
        <v>101</v>
      </c>
      <c r="E696">
        <v>1007</v>
      </c>
      <c r="F696" s="1">
        <v>44012</v>
      </c>
      <c r="G696" t="s">
        <v>95</v>
      </c>
      <c r="H696" s="4">
        <v>77.12</v>
      </c>
      <c r="I696" s="4" t="s">
        <v>16</v>
      </c>
      <c r="J696" s="4">
        <v>77.12</v>
      </c>
      <c r="K696" t="str">
        <f>_xlfn.XLOOKUP($C696,Table1[BusinessUnitID],Table1[BusinessUnit],"",0)</f>
        <v>FOOD SERVICE</v>
      </c>
      <c r="L696" t="str" cm="1">
        <f t="array" ref="L696">_xlfn.XLOOKUP($C696,Table1[[#All],[BusinessUnitID]],Table1[[#All],[Description]],"",0,1)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96" t="str">
        <f>_xlfn.XLOOKUP($B696,ChartOfAccounts!A695:A780,ChartOfAccounts!B695:B780,"",0,1)</f>
        <v/>
      </c>
      <c r="N696">
        <f>_xlfn.XLOOKUP($B696,ChartOfAccounts!A695:A780,ChartOfAccounts!D695:D780,0,1)</f>
        <v>0</v>
      </c>
      <c r="O696" t="str">
        <f>_xlfn.XLOOKUP($B696,ChartOfAccounts!A695:A780,ChartOfAccounts!F695:F780,"",0,1)</f>
        <v/>
      </c>
      <c r="P696" t="str" cm="1">
        <f t="array" ref="P696">_xlfn.XLOOKUP($D696&amp;$C696,PreparerInfo!A695:A707&amp;PreparerInfo!C695:C707,PreparerInfo!B695:B707,"",0,1)</f>
        <v/>
      </c>
      <c r="Q696" t="str">
        <f>_xlfn.XLOOKUP($E696,Source!A695:A703,Source!B695:B703,"",0,1)</f>
        <v/>
      </c>
    </row>
    <row r="697" spans="1:17" x14ac:dyDescent="0.3">
      <c r="A697" s="3">
        <v>2033867</v>
      </c>
      <c r="B697">
        <v>11845</v>
      </c>
      <c r="C697">
        <v>1</v>
      </c>
      <c r="D697" s="9">
        <v>101</v>
      </c>
      <c r="E697">
        <v>1007</v>
      </c>
      <c r="F697" s="1">
        <v>44012</v>
      </c>
      <c r="G697" t="s">
        <v>95</v>
      </c>
      <c r="H697" s="4" t="s">
        <v>16</v>
      </c>
      <c r="I697" s="4">
        <v>-77.12</v>
      </c>
      <c r="J697" s="4">
        <v>-77.12</v>
      </c>
      <c r="K697" t="str">
        <f>_xlfn.XLOOKUP($C697,Table1[BusinessUnitID],Table1[BusinessUnit],"",0)</f>
        <v>FOOD SERVICE</v>
      </c>
      <c r="L697" t="str" cm="1">
        <f t="array" ref="L697">_xlfn.XLOOKUP($C697,Table1[[#All],[BusinessUnitID]],Table1[[#All],[Description]],"",0,1)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97" t="str">
        <f>_xlfn.XLOOKUP($B697,ChartOfAccounts!A696:A781,ChartOfAccounts!B696:B781,"",0,1)</f>
        <v/>
      </c>
      <c r="N697">
        <f>_xlfn.XLOOKUP($B697,ChartOfAccounts!A696:A781,ChartOfAccounts!D696:D781,0,1)</f>
        <v>0</v>
      </c>
      <c r="O697" t="str">
        <f>_xlfn.XLOOKUP($B697,ChartOfAccounts!A696:A781,ChartOfAccounts!F696:F781,"",0,1)</f>
        <v/>
      </c>
      <c r="P697" t="str" cm="1">
        <f t="array" ref="P697">_xlfn.XLOOKUP($D697&amp;$C697,PreparerInfo!A696:A708&amp;PreparerInfo!C696:C708,PreparerInfo!B696:B708,"",0,1)</f>
        <v/>
      </c>
      <c r="Q697" t="str">
        <f>_xlfn.XLOOKUP($E697,Source!A696:A704,Source!B696:B704,"",0,1)</f>
        <v/>
      </c>
    </row>
    <row r="698" spans="1:17" x14ac:dyDescent="0.3">
      <c r="A698" s="3">
        <v>2033868</v>
      </c>
      <c r="B698">
        <v>14260</v>
      </c>
      <c r="C698">
        <v>1</v>
      </c>
      <c r="D698" s="9">
        <v>101</v>
      </c>
      <c r="E698">
        <v>1007</v>
      </c>
      <c r="F698" s="1">
        <v>44012</v>
      </c>
      <c r="G698" t="s">
        <v>86</v>
      </c>
      <c r="H698" s="4">
        <v>79.900000000000006</v>
      </c>
      <c r="I698" s="4" t="s">
        <v>16</v>
      </c>
      <c r="J698" s="4">
        <v>79.900000000000006</v>
      </c>
      <c r="K698" t="str">
        <f>_xlfn.XLOOKUP($C698,Table1[BusinessUnitID],Table1[BusinessUnit],"",0)</f>
        <v>FOOD SERVICE</v>
      </c>
      <c r="L698" t="str" cm="1">
        <f t="array" ref="L698">_xlfn.XLOOKUP($C698,Table1[[#All],[BusinessUnitID]],Table1[[#All],[Description]],"",0,1)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98" t="str">
        <f>_xlfn.XLOOKUP($B698,ChartOfAccounts!A697:A782,ChartOfAccounts!B697:B782,"",0,1)</f>
        <v/>
      </c>
      <c r="N698">
        <f>_xlfn.XLOOKUP($B698,ChartOfAccounts!A697:A782,ChartOfAccounts!D697:D782,0,1)</f>
        <v>0</v>
      </c>
      <c r="O698" t="str">
        <f>_xlfn.XLOOKUP($B698,ChartOfAccounts!A697:A782,ChartOfAccounts!F697:F782,"",0,1)</f>
        <v/>
      </c>
      <c r="P698" t="str" cm="1">
        <f t="array" ref="P698">_xlfn.XLOOKUP($D698&amp;$C698,PreparerInfo!A697:A709&amp;PreparerInfo!C697:C709,PreparerInfo!B697:B709,"",0,1)</f>
        <v/>
      </c>
      <c r="Q698" t="str">
        <f>_xlfn.XLOOKUP($E698,Source!A697:A705,Source!B697:B705,"",0,1)</f>
        <v/>
      </c>
    </row>
    <row r="699" spans="1:17" x14ac:dyDescent="0.3">
      <c r="A699" s="3">
        <v>2033868</v>
      </c>
      <c r="B699">
        <v>11845</v>
      </c>
      <c r="C699">
        <v>1</v>
      </c>
      <c r="D699" s="9">
        <v>101</v>
      </c>
      <c r="E699">
        <v>1007</v>
      </c>
      <c r="F699" s="1">
        <v>44012</v>
      </c>
      <c r="G699" t="s">
        <v>86</v>
      </c>
      <c r="H699" s="4" t="s">
        <v>16</v>
      </c>
      <c r="I699" s="4">
        <v>-79.900000000000006</v>
      </c>
      <c r="J699" s="4">
        <v>-79.900000000000006</v>
      </c>
      <c r="K699" t="str">
        <f>_xlfn.XLOOKUP($C699,Table1[BusinessUnitID],Table1[BusinessUnit],"",0)</f>
        <v>FOOD SERVICE</v>
      </c>
      <c r="L699" t="str" cm="1">
        <f t="array" ref="L699">_xlfn.XLOOKUP($C699,Table1[[#All],[BusinessUnitID]],Table1[[#All],[Description]],"",0,1)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699" t="str">
        <f>_xlfn.XLOOKUP($B699,ChartOfAccounts!A698:A783,ChartOfAccounts!B698:B783,"",0,1)</f>
        <v/>
      </c>
      <c r="N699">
        <f>_xlfn.XLOOKUP($B699,ChartOfAccounts!A698:A783,ChartOfAccounts!D698:D783,0,1)</f>
        <v>0</v>
      </c>
      <c r="O699" t="str">
        <f>_xlfn.XLOOKUP($B699,ChartOfAccounts!A698:A783,ChartOfAccounts!F698:F783,"",0,1)</f>
        <v/>
      </c>
      <c r="P699" t="str" cm="1">
        <f t="array" ref="P699">_xlfn.XLOOKUP($D699&amp;$C699,PreparerInfo!A698:A710&amp;PreparerInfo!C698:C710,PreparerInfo!B698:B710,"",0,1)</f>
        <v/>
      </c>
      <c r="Q699" t="str">
        <f>_xlfn.XLOOKUP($E699,Source!A698:A706,Source!B698:B706,"",0,1)</f>
        <v/>
      </c>
    </row>
    <row r="700" spans="1:17" x14ac:dyDescent="0.3">
      <c r="A700" s="3">
        <v>2033869</v>
      </c>
      <c r="B700">
        <v>14260</v>
      </c>
      <c r="C700">
        <v>1</v>
      </c>
      <c r="D700" s="9">
        <v>101</v>
      </c>
      <c r="E700">
        <v>1007</v>
      </c>
      <c r="F700" s="1">
        <v>44012</v>
      </c>
      <c r="G700" t="s">
        <v>244</v>
      </c>
      <c r="H700" s="4">
        <v>91.78</v>
      </c>
      <c r="I700" s="4" t="s">
        <v>16</v>
      </c>
      <c r="J700" s="4">
        <v>91.78</v>
      </c>
      <c r="K700" t="str">
        <f>_xlfn.XLOOKUP($C700,Table1[BusinessUnitID],Table1[BusinessUnit],"",0)</f>
        <v>FOOD SERVICE</v>
      </c>
      <c r="L700" t="str" cm="1">
        <f t="array" ref="L700">_xlfn.XLOOKUP($C700,Table1[[#All],[BusinessUnitID]],Table1[[#All],[Description]],"",0,1)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00" t="str">
        <f>_xlfn.XLOOKUP($B700,ChartOfAccounts!A699:A784,ChartOfAccounts!B699:B784,"",0,1)</f>
        <v/>
      </c>
      <c r="N700">
        <f>_xlfn.XLOOKUP($B700,ChartOfAccounts!A699:A784,ChartOfAccounts!D699:D784,0,1)</f>
        <v>0</v>
      </c>
      <c r="O700" t="str">
        <f>_xlfn.XLOOKUP($B700,ChartOfAccounts!A699:A784,ChartOfAccounts!F699:F784,"",0,1)</f>
        <v/>
      </c>
      <c r="P700" t="str" cm="1">
        <f t="array" ref="P700">_xlfn.XLOOKUP($D700&amp;$C700,PreparerInfo!A699:A711&amp;PreparerInfo!C699:C711,PreparerInfo!B699:B711,"",0,1)</f>
        <v/>
      </c>
      <c r="Q700" t="str">
        <f>_xlfn.XLOOKUP($E700,Source!A699:A707,Source!B699:B707,"",0,1)</f>
        <v/>
      </c>
    </row>
    <row r="701" spans="1:17" x14ac:dyDescent="0.3">
      <c r="A701" s="3">
        <v>2033869</v>
      </c>
      <c r="B701">
        <v>11845</v>
      </c>
      <c r="C701">
        <v>1</v>
      </c>
      <c r="D701" s="9">
        <v>101</v>
      </c>
      <c r="E701">
        <v>1007</v>
      </c>
      <c r="F701" s="1">
        <v>44012</v>
      </c>
      <c r="G701" t="s">
        <v>244</v>
      </c>
      <c r="H701" s="4" t="s">
        <v>16</v>
      </c>
      <c r="I701" s="4">
        <v>-91.78</v>
      </c>
      <c r="J701" s="4">
        <v>-91.78</v>
      </c>
      <c r="K701" t="str">
        <f>_xlfn.XLOOKUP($C701,Table1[BusinessUnitID],Table1[BusinessUnit],"",0)</f>
        <v>FOOD SERVICE</v>
      </c>
      <c r="L701" t="str" cm="1">
        <f t="array" ref="L701">_xlfn.XLOOKUP($C701,Table1[[#All],[BusinessUnitID]],Table1[[#All],[Description]],"",0,1)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01" t="str">
        <f>_xlfn.XLOOKUP($B701,ChartOfAccounts!A700:A785,ChartOfAccounts!B700:B785,"",0,1)</f>
        <v/>
      </c>
      <c r="N701">
        <f>_xlfn.XLOOKUP($B701,ChartOfAccounts!A700:A785,ChartOfAccounts!D700:D785,0,1)</f>
        <v>0</v>
      </c>
      <c r="O701" t="str">
        <f>_xlfn.XLOOKUP($B701,ChartOfAccounts!A700:A785,ChartOfAccounts!F700:F785,"",0,1)</f>
        <v/>
      </c>
      <c r="P701" t="str" cm="1">
        <f t="array" ref="P701">_xlfn.XLOOKUP($D701&amp;$C701,PreparerInfo!A700:A712&amp;PreparerInfo!C700:C712,PreparerInfo!B700:B712,"",0,1)</f>
        <v/>
      </c>
      <c r="Q701" t="str">
        <f>_xlfn.XLOOKUP($E701,Source!A700:A708,Source!B700:B708,"",0,1)</f>
        <v/>
      </c>
    </row>
    <row r="702" spans="1:17" x14ac:dyDescent="0.3">
      <c r="A702" s="3">
        <v>2033870</v>
      </c>
      <c r="B702">
        <v>71400</v>
      </c>
      <c r="C702">
        <v>4</v>
      </c>
      <c r="D702" s="9">
        <v>101</v>
      </c>
      <c r="E702">
        <v>1007</v>
      </c>
      <c r="F702" s="1">
        <v>44012</v>
      </c>
      <c r="G702" t="s">
        <v>78</v>
      </c>
      <c r="H702" s="4">
        <v>93.39</v>
      </c>
      <c r="I702" s="4" t="s">
        <v>16</v>
      </c>
      <c r="J702" s="4">
        <v>93.39</v>
      </c>
      <c r="K702" t="str">
        <f>_xlfn.XLOOKUP($C702,Table1[BusinessUnitID],Table1[BusinessUnit],"",0)</f>
        <v>HOUSEKEEPING</v>
      </c>
      <c r="L702" t="str" cm="1">
        <f t="array" ref="L702">_xlfn.XLOOKUP($C702,Table1[[#All],[BusinessUnitID]],Table1[[#All],[Description]],"",0,1)</f>
        <v xml:space="preserve">Transactions related to the Housekeeping Department. Primarily includes payroll for housekeepers and housekeeping supplies. </v>
      </c>
      <c r="M702" t="str">
        <f>_xlfn.XLOOKUP($B702,ChartOfAccounts!A701:A786,ChartOfAccounts!B701:B786,"",0,1)</f>
        <v/>
      </c>
      <c r="N702">
        <f>_xlfn.XLOOKUP($B702,ChartOfAccounts!A701:A786,ChartOfAccounts!D701:D786,0,1)</f>
        <v>0</v>
      </c>
      <c r="O702" t="str">
        <f>_xlfn.XLOOKUP($B702,ChartOfAccounts!A701:A786,ChartOfAccounts!F701:F786,"",0,1)</f>
        <v/>
      </c>
      <c r="P702" t="str" cm="1">
        <f t="array" ref="P702">_xlfn.XLOOKUP($D702&amp;$C702,PreparerInfo!A701:A713&amp;PreparerInfo!C701:C713,PreparerInfo!B701:B713,"",0,1)</f>
        <v/>
      </c>
      <c r="Q702" t="str">
        <f>_xlfn.XLOOKUP($E702,Source!A701:A709,Source!B701:B709,"",0,1)</f>
        <v/>
      </c>
    </row>
    <row r="703" spans="1:17" x14ac:dyDescent="0.3">
      <c r="A703" s="3">
        <v>2033870</v>
      </c>
      <c r="B703">
        <v>11845</v>
      </c>
      <c r="C703">
        <v>4</v>
      </c>
      <c r="D703" s="9">
        <v>101</v>
      </c>
      <c r="E703">
        <v>1007</v>
      </c>
      <c r="F703" s="1">
        <v>44012</v>
      </c>
      <c r="G703" t="s">
        <v>78</v>
      </c>
      <c r="H703" s="4" t="s">
        <v>16</v>
      </c>
      <c r="I703" s="4">
        <v>-93.39</v>
      </c>
      <c r="J703" s="4">
        <v>-93.39</v>
      </c>
      <c r="K703" t="str">
        <f>_xlfn.XLOOKUP($C703,Table1[BusinessUnitID],Table1[BusinessUnit],"",0)</f>
        <v>HOUSEKEEPING</v>
      </c>
      <c r="L703" t="str" cm="1">
        <f t="array" ref="L703">_xlfn.XLOOKUP($C703,Table1[[#All],[BusinessUnitID]],Table1[[#All],[Description]],"",0,1)</f>
        <v xml:space="preserve">Transactions related to the Housekeeping Department. Primarily includes payroll for housekeepers and housekeeping supplies. </v>
      </c>
      <c r="M703" t="str">
        <f>_xlfn.XLOOKUP($B703,ChartOfAccounts!A702:A787,ChartOfAccounts!B702:B787,"",0,1)</f>
        <v/>
      </c>
      <c r="N703">
        <f>_xlfn.XLOOKUP($B703,ChartOfAccounts!A702:A787,ChartOfAccounts!D702:D787,0,1)</f>
        <v>0</v>
      </c>
      <c r="O703" t="str">
        <f>_xlfn.XLOOKUP($B703,ChartOfAccounts!A702:A787,ChartOfAccounts!F702:F787,"",0,1)</f>
        <v/>
      </c>
      <c r="P703" t="str" cm="1">
        <f t="array" ref="P703">_xlfn.XLOOKUP($D703&amp;$C703,PreparerInfo!A702:A714&amp;PreparerInfo!C702:C714,PreparerInfo!B702:B714,"",0,1)</f>
        <v/>
      </c>
      <c r="Q703" t="str">
        <f>_xlfn.XLOOKUP($E703,Source!A702:A710,Source!B702:B710,"",0,1)</f>
        <v/>
      </c>
    </row>
    <row r="704" spans="1:17" x14ac:dyDescent="0.3">
      <c r="A704" s="3">
        <v>2033871</v>
      </c>
      <c r="B704">
        <v>11845</v>
      </c>
      <c r="C704">
        <v>2</v>
      </c>
      <c r="D704" s="9">
        <v>104</v>
      </c>
      <c r="E704">
        <v>1003</v>
      </c>
      <c r="F704" s="1">
        <v>44012</v>
      </c>
      <c r="G704" t="s">
        <v>245</v>
      </c>
      <c r="H704" s="4">
        <v>99</v>
      </c>
      <c r="I704" s="4" t="s">
        <v>16</v>
      </c>
      <c r="J704" s="4">
        <v>99</v>
      </c>
      <c r="K704" t="str">
        <f>_xlfn.XLOOKUP($C704,Table1[BusinessUnitID],Table1[BusinessUnit],"",0)</f>
        <v>HOTEL</v>
      </c>
      <c r="L704" t="str" cm="1">
        <f t="array" ref="L704">_xlfn.XLOOKUP($C704,Table1[[#All],[BusinessUnitID]],Table1[[#All],[Description]],"",0,1)</f>
        <v xml:space="preserve">Transactions related to guest rooms and overall hotel operations. Includes payroll for administrative staff, clerks and interns. </v>
      </c>
      <c r="M704" t="str">
        <f>_xlfn.XLOOKUP($B704,ChartOfAccounts!A703:A788,ChartOfAccounts!B703:B788,"",0,1)</f>
        <v/>
      </c>
      <c r="N704">
        <f>_xlfn.XLOOKUP($B704,ChartOfAccounts!A703:A788,ChartOfAccounts!D703:D788,0,1)</f>
        <v>0</v>
      </c>
      <c r="O704" t="str">
        <f>_xlfn.XLOOKUP($B704,ChartOfAccounts!A703:A788,ChartOfAccounts!F703:F788,"",0,1)</f>
        <v/>
      </c>
      <c r="P704" t="str" cm="1">
        <f t="array" ref="P704">_xlfn.XLOOKUP($D704&amp;$C704,PreparerInfo!A703:A715&amp;PreparerInfo!C703:C715,PreparerInfo!B703:B715,"",0,1)</f>
        <v/>
      </c>
      <c r="Q704" t="str">
        <f>_xlfn.XLOOKUP($E704,Source!A703:A711,Source!B703:B711,"",0,1)</f>
        <v/>
      </c>
    </row>
    <row r="705" spans="1:17" x14ac:dyDescent="0.3">
      <c r="A705" s="3">
        <v>2033871</v>
      </c>
      <c r="B705">
        <v>43180</v>
      </c>
      <c r="C705">
        <v>2</v>
      </c>
      <c r="D705" s="9">
        <v>104</v>
      </c>
      <c r="E705">
        <v>1003</v>
      </c>
      <c r="F705" s="1">
        <v>44012</v>
      </c>
      <c r="G705" t="s">
        <v>245</v>
      </c>
      <c r="H705" s="4" t="s">
        <v>16</v>
      </c>
      <c r="I705" s="4">
        <v>-99</v>
      </c>
      <c r="J705" s="4">
        <v>-99</v>
      </c>
      <c r="K705" t="str">
        <f>_xlfn.XLOOKUP($C705,Table1[BusinessUnitID],Table1[BusinessUnit],"",0)</f>
        <v>HOTEL</v>
      </c>
      <c r="L705" t="str" cm="1">
        <f t="array" ref="L705">_xlfn.XLOOKUP($C705,Table1[[#All],[BusinessUnitID]],Table1[[#All],[Description]],"",0,1)</f>
        <v xml:space="preserve">Transactions related to guest rooms and overall hotel operations. Includes payroll for administrative staff, clerks and interns. </v>
      </c>
      <c r="M705" t="str">
        <f>_xlfn.XLOOKUP($B705,ChartOfAccounts!A704:A789,ChartOfAccounts!B704:B789,"",0,1)</f>
        <v/>
      </c>
      <c r="N705">
        <f>_xlfn.XLOOKUP($B705,ChartOfAccounts!A704:A789,ChartOfAccounts!D704:D789,0,1)</f>
        <v>0</v>
      </c>
      <c r="O705" t="str">
        <f>_xlfn.XLOOKUP($B705,ChartOfAccounts!A704:A789,ChartOfAccounts!F704:F789,"",0,1)</f>
        <v/>
      </c>
      <c r="P705" t="str" cm="1">
        <f t="array" ref="P705">_xlfn.XLOOKUP($D705&amp;$C705,PreparerInfo!A704:A716&amp;PreparerInfo!C704:C716,PreparerInfo!B704:B716,"",0,1)</f>
        <v/>
      </c>
      <c r="Q705" t="str">
        <f>_xlfn.XLOOKUP($E705,Source!A704:A712,Source!B704:B712,"",0,1)</f>
        <v/>
      </c>
    </row>
    <row r="706" spans="1:17" x14ac:dyDescent="0.3">
      <c r="A706" s="3">
        <v>2033872</v>
      </c>
      <c r="B706">
        <v>71410</v>
      </c>
      <c r="C706">
        <v>1</v>
      </c>
      <c r="D706" s="9">
        <v>101</v>
      </c>
      <c r="E706">
        <v>1007</v>
      </c>
      <c r="F706" s="1">
        <v>44012</v>
      </c>
      <c r="G706" t="s">
        <v>79</v>
      </c>
      <c r="H706" s="4">
        <v>116.62</v>
      </c>
      <c r="I706" s="4" t="s">
        <v>16</v>
      </c>
      <c r="J706" s="4">
        <v>116.62</v>
      </c>
      <c r="K706" t="str">
        <f>_xlfn.XLOOKUP($C706,Table1[BusinessUnitID],Table1[BusinessUnit],"",0)</f>
        <v>FOOD SERVICE</v>
      </c>
      <c r="L706" t="str" cm="1">
        <f t="array" ref="L706">_xlfn.XLOOKUP($C706,Table1[[#All],[BusinessUnitID]],Table1[[#All],[Description]],"",0,1)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06" t="str">
        <f>_xlfn.XLOOKUP($B706,ChartOfAccounts!A705:A790,ChartOfAccounts!B705:B790,"",0,1)</f>
        <v/>
      </c>
      <c r="N706">
        <f>_xlfn.XLOOKUP($B706,ChartOfAccounts!A705:A790,ChartOfAccounts!D705:D790,0,1)</f>
        <v>0</v>
      </c>
      <c r="O706" t="str">
        <f>_xlfn.XLOOKUP($B706,ChartOfAccounts!A705:A790,ChartOfAccounts!F705:F790,"",0,1)</f>
        <v/>
      </c>
      <c r="P706" t="str" cm="1">
        <f t="array" ref="P706">_xlfn.XLOOKUP($D706&amp;$C706,PreparerInfo!A705:A717&amp;PreparerInfo!C705:C717,PreparerInfo!B705:B717,"",0,1)</f>
        <v/>
      </c>
      <c r="Q706" t="str">
        <f>_xlfn.XLOOKUP($E706,Source!A705:A713,Source!B705:B713,"",0,1)</f>
        <v/>
      </c>
    </row>
    <row r="707" spans="1:17" x14ac:dyDescent="0.3">
      <c r="A707" s="3">
        <v>2033872</v>
      </c>
      <c r="B707">
        <v>11845</v>
      </c>
      <c r="C707">
        <v>1</v>
      </c>
      <c r="D707" s="9">
        <v>101</v>
      </c>
      <c r="E707">
        <v>1007</v>
      </c>
      <c r="F707" s="1">
        <v>44012</v>
      </c>
      <c r="G707" t="s">
        <v>79</v>
      </c>
      <c r="H707" s="4" t="s">
        <v>16</v>
      </c>
      <c r="I707" s="4">
        <v>-116.62</v>
      </c>
      <c r="J707" s="4">
        <v>-116.62</v>
      </c>
      <c r="K707" t="str">
        <f>_xlfn.XLOOKUP($C707,Table1[BusinessUnitID],Table1[BusinessUnit],"",0)</f>
        <v>FOOD SERVICE</v>
      </c>
      <c r="L707" t="str" cm="1">
        <f t="array" ref="L707">_xlfn.XLOOKUP($C707,Table1[[#All],[BusinessUnitID]],Table1[[#All],[Description]],"",0,1)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07" t="str">
        <f>_xlfn.XLOOKUP($B707,ChartOfAccounts!A706:A791,ChartOfAccounts!B706:B791,"",0,1)</f>
        <v/>
      </c>
      <c r="N707">
        <f>_xlfn.XLOOKUP($B707,ChartOfAccounts!A706:A791,ChartOfAccounts!D706:D791,0,1)</f>
        <v>0</v>
      </c>
      <c r="O707" t="str">
        <f>_xlfn.XLOOKUP($B707,ChartOfAccounts!A706:A791,ChartOfAccounts!F706:F791,"",0,1)</f>
        <v/>
      </c>
      <c r="P707" t="str" cm="1">
        <f t="array" ref="P707">_xlfn.XLOOKUP($D707&amp;$C707,PreparerInfo!A706:A718&amp;PreparerInfo!C706:C718,PreparerInfo!B706:B718,"",0,1)</f>
        <v/>
      </c>
      <c r="Q707" t="str">
        <f>_xlfn.XLOOKUP($E707,Source!A706:A714,Source!B706:B714,"",0,1)</f>
        <v/>
      </c>
    </row>
    <row r="708" spans="1:17" x14ac:dyDescent="0.3">
      <c r="A708" s="3">
        <v>2033873</v>
      </c>
      <c r="B708">
        <v>71400</v>
      </c>
      <c r="C708">
        <v>1</v>
      </c>
      <c r="D708" s="9">
        <v>101</v>
      </c>
      <c r="E708">
        <v>1007</v>
      </c>
      <c r="F708" s="1">
        <v>44012</v>
      </c>
      <c r="G708" t="s">
        <v>95</v>
      </c>
      <c r="H708" s="4">
        <v>129.19999999999999</v>
      </c>
      <c r="I708" s="4" t="s">
        <v>16</v>
      </c>
      <c r="J708" s="4">
        <v>129.19999999999999</v>
      </c>
      <c r="K708" t="str">
        <f>_xlfn.XLOOKUP($C708,Table1[BusinessUnitID],Table1[BusinessUnit],"",0)</f>
        <v>FOOD SERVICE</v>
      </c>
      <c r="L708" t="str" cm="1">
        <f t="array" ref="L708">_xlfn.XLOOKUP($C708,Table1[[#All],[BusinessUnitID]],Table1[[#All],[Description]],"",0,1)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08" t="str">
        <f>_xlfn.XLOOKUP($B708,ChartOfAccounts!A707:A792,ChartOfAccounts!B707:B792,"",0,1)</f>
        <v/>
      </c>
      <c r="N708">
        <f>_xlfn.XLOOKUP($B708,ChartOfAccounts!A707:A792,ChartOfAccounts!D707:D792,0,1)</f>
        <v>0</v>
      </c>
      <c r="O708" t="str">
        <f>_xlfn.XLOOKUP($B708,ChartOfAccounts!A707:A792,ChartOfAccounts!F707:F792,"",0,1)</f>
        <v/>
      </c>
      <c r="P708" t="str" cm="1">
        <f t="array" ref="P708">_xlfn.XLOOKUP($D708&amp;$C708,PreparerInfo!A707:A719&amp;PreparerInfo!C707:C719,PreparerInfo!B707:B719,"",0,1)</f>
        <v/>
      </c>
      <c r="Q708" t="str">
        <f>_xlfn.XLOOKUP($E708,Source!A707:A715,Source!B707:B715,"",0,1)</f>
        <v/>
      </c>
    </row>
    <row r="709" spans="1:17" x14ac:dyDescent="0.3">
      <c r="A709" s="3">
        <v>2033873</v>
      </c>
      <c r="B709">
        <v>11845</v>
      </c>
      <c r="C709">
        <v>1</v>
      </c>
      <c r="D709" s="9">
        <v>101</v>
      </c>
      <c r="E709">
        <v>1007</v>
      </c>
      <c r="F709" s="1">
        <v>44012</v>
      </c>
      <c r="G709" t="s">
        <v>95</v>
      </c>
      <c r="H709" s="4" t="s">
        <v>16</v>
      </c>
      <c r="I709" s="4">
        <v>-129.19999999999999</v>
      </c>
      <c r="J709" s="4">
        <v>-129.19999999999999</v>
      </c>
      <c r="K709" t="str">
        <f>_xlfn.XLOOKUP($C709,Table1[BusinessUnitID],Table1[BusinessUnit],"",0)</f>
        <v>FOOD SERVICE</v>
      </c>
      <c r="L709" t="str" cm="1">
        <f t="array" ref="L709">_xlfn.XLOOKUP($C709,Table1[[#All],[BusinessUnitID]],Table1[[#All],[Description]],"",0,1)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09" t="str">
        <f>_xlfn.XLOOKUP($B709,ChartOfAccounts!A708:A793,ChartOfAccounts!B708:B793,"",0,1)</f>
        <v/>
      </c>
      <c r="N709">
        <f>_xlfn.XLOOKUP($B709,ChartOfAccounts!A708:A793,ChartOfAccounts!D708:D793,0,1)</f>
        <v>0</v>
      </c>
      <c r="O709" t="str">
        <f>_xlfn.XLOOKUP($B709,ChartOfAccounts!A708:A793,ChartOfAccounts!F708:F793,"",0,1)</f>
        <v/>
      </c>
      <c r="P709" t="str" cm="1">
        <f t="array" ref="P709">_xlfn.XLOOKUP($D709&amp;$C709,PreparerInfo!A708:A720&amp;PreparerInfo!C708:C720,PreparerInfo!B708:B720,"",0,1)</f>
        <v/>
      </c>
      <c r="Q709" t="str">
        <f>_xlfn.XLOOKUP($E709,Source!A708:A716,Source!B708:B716,"",0,1)</f>
        <v/>
      </c>
    </row>
    <row r="710" spans="1:17" x14ac:dyDescent="0.3">
      <c r="A710" s="3">
        <v>2033874</v>
      </c>
      <c r="B710">
        <v>71400</v>
      </c>
      <c r="C710">
        <v>1</v>
      </c>
      <c r="D710" s="9">
        <v>101</v>
      </c>
      <c r="E710">
        <v>1007</v>
      </c>
      <c r="F710" s="1">
        <v>44012</v>
      </c>
      <c r="G710" t="s">
        <v>88</v>
      </c>
      <c r="H710" s="4">
        <v>137.05000000000001</v>
      </c>
      <c r="I710" s="4" t="s">
        <v>16</v>
      </c>
      <c r="J710" s="4">
        <v>137.05000000000001</v>
      </c>
      <c r="K710" t="str">
        <f>_xlfn.XLOOKUP($C710,Table1[BusinessUnitID],Table1[BusinessUnit],"",0)</f>
        <v>FOOD SERVICE</v>
      </c>
      <c r="L710" t="str" cm="1">
        <f t="array" ref="L710">_xlfn.XLOOKUP($C710,Table1[[#All],[BusinessUnitID]],Table1[[#All],[Description]],"",0,1)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10" t="str">
        <f>_xlfn.XLOOKUP($B710,ChartOfAccounts!A709:A794,ChartOfAccounts!B709:B794,"",0,1)</f>
        <v/>
      </c>
      <c r="N710">
        <f>_xlfn.XLOOKUP($B710,ChartOfAccounts!A709:A794,ChartOfAccounts!D709:D794,0,1)</f>
        <v>0</v>
      </c>
      <c r="O710" t="str">
        <f>_xlfn.XLOOKUP($B710,ChartOfAccounts!A709:A794,ChartOfAccounts!F709:F794,"",0,1)</f>
        <v/>
      </c>
      <c r="P710" t="str" cm="1">
        <f t="array" ref="P710">_xlfn.XLOOKUP($D710&amp;$C710,PreparerInfo!A709:A721&amp;PreparerInfo!C709:C721,PreparerInfo!B709:B721,"",0,1)</f>
        <v/>
      </c>
      <c r="Q710" t="str">
        <f>_xlfn.XLOOKUP($E710,Source!A709:A717,Source!B709:B717,"",0,1)</f>
        <v/>
      </c>
    </row>
    <row r="711" spans="1:17" x14ac:dyDescent="0.3">
      <c r="A711" s="3">
        <v>2033874</v>
      </c>
      <c r="B711">
        <v>11845</v>
      </c>
      <c r="C711">
        <v>1</v>
      </c>
      <c r="D711" s="9">
        <v>101</v>
      </c>
      <c r="E711">
        <v>1007</v>
      </c>
      <c r="F711" s="1">
        <v>44012</v>
      </c>
      <c r="G711" t="s">
        <v>88</v>
      </c>
      <c r="H711" s="4" t="s">
        <v>16</v>
      </c>
      <c r="I711" s="4">
        <v>-137.05000000000001</v>
      </c>
      <c r="J711" s="4">
        <v>-137.05000000000001</v>
      </c>
      <c r="K711" t="str">
        <f>_xlfn.XLOOKUP($C711,Table1[BusinessUnitID],Table1[BusinessUnit],"",0)</f>
        <v>FOOD SERVICE</v>
      </c>
      <c r="L711" t="str" cm="1">
        <f t="array" ref="L711">_xlfn.XLOOKUP($C711,Table1[[#All],[BusinessUnitID]],Table1[[#All],[Description]],"",0,1)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11" t="str">
        <f>_xlfn.XLOOKUP($B711,ChartOfAccounts!A710:A795,ChartOfAccounts!B710:B795,"",0,1)</f>
        <v/>
      </c>
      <c r="N711">
        <f>_xlfn.XLOOKUP($B711,ChartOfAccounts!A710:A795,ChartOfAccounts!D710:D795,0,1)</f>
        <v>0</v>
      </c>
      <c r="O711" t="str">
        <f>_xlfn.XLOOKUP($B711,ChartOfAccounts!A710:A795,ChartOfAccounts!F710:F795,"",0,1)</f>
        <v/>
      </c>
      <c r="P711" t="str" cm="1">
        <f t="array" ref="P711">_xlfn.XLOOKUP($D711&amp;$C711,PreparerInfo!A710:A722&amp;PreparerInfo!C710:C722,PreparerInfo!B710:B722,"",0,1)</f>
        <v/>
      </c>
      <c r="Q711" t="str">
        <f>_xlfn.XLOOKUP($E711,Source!A710:A718,Source!B710:B718,"",0,1)</f>
        <v/>
      </c>
    </row>
    <row r="712" spans="1:17" x14ac:dyDescent="0.3">
      <c r="A712" s="3">
        <v>2033875</v>
      </c>
      <c r="B712">
        <v>71400</v>
      </c>
      <c r="C712">
        <v>1</v>
      </c>
      <c r="D712" s="9">
        <v>101</v>
      </c>
      <c r="E712">
        <v>1007</v>
      </c>
      <c r="F712" s="1">
        <v>44012</v>
      </c>
      <c r="G712" t="s">
        <v>246</v>
      </c>
      <c r="H712" s="4">
        <v>152.02000000000001</v>
      </c>
      <c r="I712" s="4" t="s">
        <v>16</v>
      </c>
      <c r="J712" s="4">
        <v>152.02000000000001</v>
      </c>
      <c r="K712" t="str">
        <f>_xlfn.XLOOKUP($C712,Table1[BusinessUnitID],Table1[BusinessUnit],"",0)</f>
        <v>FOOD SERVICE</v>
      </c>
      <c r="L712" t="str" cm="1">
        <f t="array" ref="L712">_xlfn.XLOOKUP($C712,Table1[[#All],[BusinessUnitID]],Table1[[#All],[Description]],"",0,1)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12" t="str">
        <f>_xlfn.XLOOKUP($B712,ChartOfAccounts!A711:A796,ChartOfAccounts!B711:B796,"",0,1)</f>
        <v/>
      </c>
      <c r="N712">
        <f>_xlfn.XLOOKUP($B712,ChartOfAccounts!A711:A796,ChartOfAccounts!D711:D796,0,1)</f>
        <v>0</v>
      </c>
      <c r="O712" t="str">
        <f>_xlfn.XLOOKUP($B712,ChartOfAccounts!A711:A796,ChartOfAccounts!F711:F796,"",0,1)</f>
        <v/>
      </c>
      <c r="P712" t="str" cm="1">
        <f t="array" ref="P712">_xlfn.XLOOKUP($D712&amp;$C712,PreparerInfo!A711:A723&amp;PreparerInfo!C711:C723,PreparerInfo!B711:B723,"",0,1)</f>
        <v/>
      </c>
      <c r="Q712" t="str">
        <f>_xlfn.XLOOKUP($E712,Source!A711:A719,Source!B711:B719,"",0,1)</f>
        <v/>
      </c>
    </row>
    <row r="713" spans="1:17" x14ac:dyDescent="0.3">
      <c r="A713" s="3">
        <v>2033875</v>
      </c>
      <c r="B713">
        <v>11845</v>
      </c>
      <c r="C713">
        <v>1</v>
      </c>
      <c r="D713" s="9">
        <v>101</v>
      </c>
      <c r="E713">
        <v>1007</v>
      </c>
      <c r="F713" s="1">
        <v>44012</v>
      </c>
      <c r="G713" t="s">
        <v>246</v>
      </c>
      <c r="H713" s="4" t="s">
        <v>16</v>
      </c>
      <c r="I713" s="4">
        <v>-152.02000000000001</v>
      </c>
      <c r="J713" s="4">
        <v>-152.02000000000001</v>
      </c>
      <c r="K713" t="str">
        <f>_xlfn.XLOOKUP($C713,Table1[BusinessUnitID],Table1[BusinessUnit],"",0)</f>
        <v>FOOD SERVICE</v>
      </c>
      <c r="L713" t="str" cm="1">
        <f t="array" ref="L713">_xlfn.XLOOKUP($C713,Table1[[#All],[BusinessUnitID]],Table1[[#All],[Description]],"",0,1)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13" t="str">
        <f>_xlfn.XLOOKUP($B713,ChartOfAccounts!A712:A797,ChartOfAccounts!B712:B797,"",0,1)</f>
        <v/>
      </c>
      <c r="N713">
        <f>_xlfn.XLOOKUP($B713,ChartOfAccounts!A712:A797,ChartOfAccounts!D712:D797,0,1)</f>
        <v>0</v>
      </c>
      <c r="O713" t="str">
        <f>_xlfn.XLOOKUP($B713,ChartOfAccounts!A712:A797,ChartOfAccounts!F712:F797,"",0,1)</f>
        <v/>
      </c>
      <c r="P713" t="str" cm="1">
        <f t="array" ref="P713">_xlfn.XLOOKUP($D713&amp;$C713,PreparerInfo!A712:A724&amp;PreparerInfo!C712:C724,PreparerInfo!B712:B724,"",0,1)</f>
        <v/>
      </c>
      <c r="Q713" t="str">
        <f>_xlfn.XLOOKUP($E713,Source!A712:A720,Source!B712:B720,"",0,1)</f>
        <v/>
      </c>
    </row>
    <row r="714" spans="1:17" x14ac:dyDescent="0.3">
      <c r="A714" s="3">
        <v>2033876</v>
      </c>
      <c r="B714">
        <v>71400</v>
      </c>
      <c r="C714">
        <v>4</v>
      </c>
      <c r="D714" s="9">
        <v>101</v>
      </c>
      <c r="E714">
        <v>1007</v>
      </c>
      <c r="F714" s="1">
        <v>44012</v>
      </c>
      <c r="G714" t="s">
        <v>132</v>
      </c>
      <c r="H714" s="4">
        <v>159.9</v>
      </c>
      <c r="I714" s="4" t="s">
        <v>16</v>
      </c>
      <c r="J714" s="4">
        <v>159.9</v>
      </c>
      <c r="K714" t="str">
        <f>_xlfn.XLOOKUP($C714,Table1[BusinessUnitID],Table1[BusinessUnit],"",0)</f>
        <v>HOUSEKEEPING</v>
      </c>
      <c r="L714" t="str" cm="1">
        <f t="array" ref="L714">_xlfn.XLOOKUP($C714,Table1[[#All],[BusinessUnitID]],Table1[[#All],[Description]],"",0,1)</f>
        <v xml:space="preserve">Transactions related to the Housekeeping Department. Primarily includes payroll for housekeepers and housekeeping supplies. </v>
      </c>
      <c r="M714" t="str">
        <f>_xlfn.XLOOKUP($B714,ChartOfAccounts!A713:A798,ChartOfAccounts!B713:B798,"",0,1)</f>
        <v/>
      </c>
      <c r="N714">
        <f>_xlfn.XLOOKUP($B714,ChartOfAccounts!A713:A798,ChartOfAccounts!D713:D798,0,1)</f>
        <v>0</v>
      </c>
      <c r="O714" t="str">
        <f>_xlfn.XLOOKUP($B714,ChartOfAccounts!A713:A798,ChartOfAccounts!F713:F798,"",0,1)</f>
        <v/>
      </c>
      <c r="P714" t="str" cm="1">
        <f t="array" ref="P714">_xlfn.XLOOKUP($D714&amp;$C714,PreparerInfo!A713:A725&amp;PreparerInfo!C713:C725,PreparerInfo!B713:B725,"",0,1)</f>
        <v/>
      </c>
      <c r="Q714" t="str">
        <f>_xlfn.XLOOKUP($E714,Source!A713:A721,Source!B713:B721,"",0,1)</f>
        <v/>
      </c>
    </row>
    <row r="715" spans="1:17" x14ac:dyDescent="0.3">
      <c r="A715" s="3">
        <v>2033876</v>
      </c>
      <c r="B715">
        <v>11845</v>
      </c>
      <c r="C715">
        <v>4</v>
      </c>
      <c r="D715" s="9">
        <v>101</v>
      </c>
      <c r="E715">
        <v>1007</v>
      </c>
      <c r="F715" s="1">
        <v>44012</v>
      </c>
      <c r="G715" t="s">
        <v>132</v>
      </c>
      <c r="H715" s="4" t="s">
        <v>16</v>
      </c>
      <c r="I715" s="4">
        <v>-159.9</v>
      </c>
      <c r="J715" s="4">
        <v>-159.9</v>
      </c>
      <c r="K715" t="str">
        <f>_xlfn.XLOOKUP($C715,Table1[BusinessUnitID],Table1[BusinessUnit],"",0)</f>
        <v>HOUSEKEEPING</v>
      </c>
      <c r="L715" t="str" cm="1">
        <f t="array" ref="L715">_xlfn.XLOOKUP($C715,Table1[[#All],[BusinessUnitID]],Table1[[#All],[Description]],"",0,1)</f>
        <v xml:space="preserve">Transactions related to the Housekeeping Department. Primarily includes payroll for housekeepers and housekeeping supplies. </v>
      </c>
      <c r="M715" t="str">
        <f>_xlfn.XLOOKUP($B715,ChartOfAccounts!A714:A799,ChartOfAccounts!B714:B799,"",0,1)</f>
        <v/>
      </c>
      <c r="N715">
        <f>_xlfn.XLOOKUP($B715,ChartOfAccounts!A714:A799,ChartOfAccounts!D714:D799,0,1)</f>
        <v>0</v>
      </c>
      <c r="O715" t="str">
        <f>_xlfn.XLOOKUP($B715,ChartOfAccounts!A714:A799,ChartOfAccounts!F714:F799,"",0,1)</f>
        <v/>
      </c>
      <c r="P715" t="str" cm="1">
        <f t="array" ref="P715">_xlfn.XLOOKUP($D715&amp;$C715,PreparerInfo!A714:A726&amp;PreparerInfo!C714:C726,PreparerInfo!B714:B726,"",0,1)</f>
        <v/>
      </c>
      <c r="Q715" t="str">
        <f>_xlfn.XLOOKUP($E715,Source!A714:A722,Source!B714:B722,"",0,1)</f>
        <v/>
      </c>
    </row>
    <row r="716" spans="1:17" x14ac:dyDescent="0.3">
      <c r="A716" s="3">
        <v>2033877</v>
      </c>
      <c r="B716">
        <v>14250</v>
      </c>
      <c r="C716">
        <v>3</v>
      </c>
      <c r="D716" s="9">
        <v>101</v>
      </c>
      <c r="E716">
        <v>1007</v>
      </c>
      <c r="F716" s="1">
        <v>44012</v>
      </c>
      <c r="G716" t="s">
        <v>77</v>
      </c>
      <c r="H716" s="4">
        <v>166.2</v>
      </c>
      <c r="I716" s="4" t="s">
        <v>16</v>
      </c>
      <c r="J716" s="4">
        <v>166.2</v>
      </c>
      <c r="K716" t="str">
        <f>_xlfn.XLOOKUP($C716,Table1[BusinessUnitID],Table1[BusinessUnit],"",0)</f>
        <v>HOTEL PANTRY</v>
      </c>
      <c r="L716" t="str" cm="1">
        <f t="array" ref="L716">_xlfn.XLOOKUP($C716,Table1[[#All],[BusinessUnitID]],Table1[[#All],[Description]],"",0,1)</f>
        <v>Transactions related to the hotel convenience store, including some food and beverage costs.</v>
      </c>
      <c r="M716" t="str">
        <f>_xlfn.XLOOKUP($B716,ChartOfAccounts!A715:A800,ChartOfAccounts!B715:B800,"",0,1)</f>
        <v/>
      </c>
      <c r="N716">
        <f>_xlfn.XLOOKUP($B716,ChartOfAccounts!A715:A800,ChartOfAccounts!D715:D800,0,1)</f>
        <v>0</v>
      </c>
      <c r="O716" t="str">
        <f>_xlfn.XLOOKUP($B716,ChartOfAccounts!A715:A800,ChartOfAccounts!F715:F800,"",0,1)</f>
        <v/>
      </c>
      <c r="P716" t="str" cm="1">
        <f t="array" ref="P716">_xlfn.XLOOKUP($D716&amp;$C716,PreparerInfo!A715:A727&amp;PreparerInfo!C715:C727,PreparerInfo!B715:B727,"",0,1)</f>
        <v/>
      </c>
      <c r="Q716" t="str">
        <f>_xlfn.XLOOKUP($E716,Source!A715:A723,Source!B715:B723,"",0,1)</f>
        <v/>
      </c>
    </row>
    <row r="717" spans="1:17" x14ac:dyDescent="0.3">
      <c r="A717" s="3">
        <v>2033877</v>
      </c>
      <c r="B717">
        <v>11845</v>
      </c>
      <c r="C717">
        <v>3</v>
      </c>
      <c r="D717" s="9">
        <v>101</v>
      </c>
      <c r="E717">
        <v>1007</v>
      </c>
      <c r="F717" s="1">
        <v>44012</v>
      </c>
      <c r="G717" t="s">
        <v>77</v>
      </c>
      <c r="H717" s="4" t="s">
        <v>16</v>
      </c>
      <c r="I717" s="4">
        <v>-166.2</v>
      </c>
      <c r="J717" s="4">
        <v>-166.2</v>
      </c>
      <c r="K717" t="str">
        <f>_xlfn.XLOOKUP($C717,Table1[BusinessUnitID],Table1[BusinessUnit],"",0)</f>
        <v>HOTEL PANTRY</v>
      </c>
      <c r="L717" t="str" cm="1">
        <f t="array" ref="L717">_xlfn.XLOOKUP($C717,Table1[[#All],[BusinessUnitID]],Table1[[#All],[Description]],"",0,1)</f>
        <v>Transactions related to the hotel convenience store, including some food and beverage costs.</v>
      </c>
      <c r="M717" t="str">
        <f>_xlfn.XLOOKUP($B717,ChartOfAccounts!A716:A801,ChartOfAccounts!B716:B801,"",0,1)</f>
        <v/>
      </c>
      <c r="N717">
        <f>_xlfn.XLOOKUP($B717,ChartOfAccounts!A716:A801,ChartOfAccounts!D716:D801,0,1)</f>
        <v>0</v>
      </c>
      <c r="O717" t="str">
        <f>_xlfn.XLOOKUP($B717,ChartOfAccounts!A716:A801,ChartOfAccounts!F716:F801,"",0,1)</f>
        <v/>
      </c>
      <c r="P717" t="str" cm="1">
        <f t="array" ref="P717">_xlfn.XLOOKUP($D717&amp;$C717,PreparerInfo!A716:A728&amp;PreparerInfo!C716:C728,PreparerInfo!B716:B728,"",0,1)</f>
        <v/>
      </c>
      <c r="Q717" t="str">
        <f>_xlfn.XLOOKUP($E717,Source!A716:A724,Source!B716:B724,"",0,1)</f>
        <v/>
      </c>
    </row>
    <row r="718" spans="1:17" x14ac:dyDescent="0.3">
      <c r="A718" s="3">
        <v>2033878</v>
      </c>
      <c r="B718">
        <v>71900</v>
      </c>
      <c r="C718">
        <v>1</v>
      </c>
      <c r="D718" s="9">
        <v>102</v>
      </c>
      <c r="E718">
        <v>1002</v>
      </c>
      <c r="F718" s="1">
        <v>44012</v>
      </c>
      <c r="G718" t="s">
        <v>36</v>
      </c>
      <c r="H718" s="4">
        <v>223.2</v>
      </c>
      <c r="I718" s="4" t="s">
        <v>16</v>
      </c>
      <c r="J718" s="4">
        <v>223.2</v>
      </c>
      <c r="K718" t="str">
        <f>_xlfn.XLOOKUP($C718,Table1[BusinessUnitID],Table1[BusinessUnit],"",0)</f>
        <v>FOOD SERVICE</v>
      </c>
      <c r="L718" t="str" cm="1">
        <f t="array" ref="L718">_xlfn.XLOOKUP($C718,Table1[[#All],[BusinessUnitID]],Table1[[#All],[Description]],"",0,1)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18" t="str">
        <f>_xlfn.XLOOKUP($B718,ChartOfAccounts!A717:A802,ChartOfAccounts!B717:B802,"",0,1)</f>
        <v/>
      </c>
      <c r="N718">
        <f>_xlfn.XLOOKUP($B718,ChartOfAccounts!A717:A802,ChartOfAccounts!D717:D802,0,1)</f>
        <v>0</v>
      </c>
      <c r="O718" t="str">
        <f>_xlfn.XLOOKUP($B718,ChartOfAccounts!A717:A802,ChartOfAccounts!F717:F802,"",0,1)</f>
        <v/>
      </c>
      <c r="P718" t="str" cm="1">
        <f t="array" ref="P718">_xlfn.XLOOKUP($D718&amp;$C718,PreparerInfo!A717:A729&amp;PreparerInfo!C717:C729,PreparerInfo!B717:B729,"",0,1)</f>
        <v/>
      </c>
      <c r="Q718" t="str">
        <f>_xlfn.XLOOKUP($E718,Source!A717:A725,Source!B717:B725,"",0,1)</f>
        <v/>
      </c>
    </row>
    <row r="719" spans="1:17" x14ac:dyDescent="0.3">
      <c r="A719" s="3">
        <v>2033878</v>
      </c>
      <c r="B719">
        <v>11845</v>
      </c>
      <c r="C719">
        <v>1</v>
      </c>
      <c r="D719" s="9">
        <v>102</v>
      </c>
      <c r="E719">
        <v>1002</v>
      </c>
      <c r="F719" s="1">
        <v>44012</v>
      </c>
      <c r="G719" t="s">
        <v>36</v>
      </c>
      <c r="H719" s="4" t="s">
        <v>16</v>
      </c>
      <c r="I719" s="4">
        <v>-223.2</v>
      </c>
      <c r="J719" s="4">
        <v>-223.2</v>
      </c>
      <c r="K719" t="str">
        <f>_xlfn.XLOOKUP($C719,Table1[BusinessUnitID],Table1[BusinessUnit],"",0)</f>
        <v>FOOD SERVICE</v>
      </c>
      <c r="L719" t="str" cm="1">
        <f t="array" ref="L719">_xlfn.XLOOKUP($C719,Table1[[#All],[BusinessUnitID]],Table1[[#All],[Description]],"",0,1)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19" t="str">
        <f>_xlfn.XLOOKUP($B719,ChartOfAccounts!A718:A803,ChartOfAccounts!B718:B803,"",0,1)</f>
        <v/>
      </c>
      <c r="N719">
        <f>_xlfn.XLOOKUP($B719,ChartOfAccounts!A718:A803,ChartOfAccounts!D718:D803,0,1)</f>
        <v>0</v>
      </c>
      <c r="O719" t="str">
        <f>_xlfn.XLOOKUP($B719,ChartOfAccounts!A718:A803,ChartOfAccounts!F718:F803,"",0,1)</f>
        <v/>
      </c>
      <c r="P719" t="str" cm="1">
        <f t="array" ref="P719">_xlfn.XLOOKUP($D719&amp;$C719,PreparerInfo!A718:A730&amp;PreparerInfo!C718:C730,PreparerInfo!B718:B730,"",0,1)</f>
        <v/>
      </c>
      <c r="Q719" t="str">
        <f>_xlfn.XLOOKUP($E719,Source!A718:A726,Source!B718:B726,"",0,1)</f>
        <v/>
      </c>
    </row>
    <row r="720" spans="1:17" x14ac:dyDescent="0.3">
      <c r="A720" s="3">
        <v>2033879</v>
      </c>
      <c r="B720">
        <v>71400</v>
      </c>
      <c r="C720">
        <v>2</v>
      </c>
      <c r="D720" s="9">
        <v>101</v>
      </c>
      <c r="E720">
        <v>1002</v>
      </c>
      <c r="F720" s="1">
        <v>44012</v>
      </c>
      <c r="G720" t="s">
        <v>208</v>
      </c>
      <c r="H720" s="4">
        <v>294.39999999999998</v>
      </c>
      <c r="I720" s="4" t="s">
        <v>16</v>
      </c>
      <c r="J720" s="4">
        <v>294.39999999999998</v>
      </c>
      <c r="K720" t="str">
        <f>_xlfn.XLOOKUP($C720,Table1[BusinessUnitID],Table1[BusinessUnit],"",0)</f>
        <v>HOTEL</v>
      </c>
      <c r="L720" t="str" cm="1">
        <f t="array" ref="L720">_xlfn.XLOOKUP($C720,Table1[[#All],[BusinessUnitID]],Table1[[#All],[Description]],"",0,1)</f>
        <v xml:space="preserve">Transactions related to guest rooms and overall hotel operations. Includes payroll for administrative staff, clerks and interns. </v>
      </c>
      <c r="M720" t="str">
        <f>_xlfn.XLOOKUP($B720,ChartOfAccounts!A719:A804,ChartOfAccounts!B719:B804,"",0,1)</f>
        <v/>
      </c>
      <c r="N720">
        <f>_xlfn.XLOOKUP($B720,ChartOfAccounts!A719:A804,ChartOfAccounts!D719:D804,0,1)</f>
        <v>0</v>
      </c>
      <c r="O720" t="str">
        <f>_xlfn.XLOOKUP($B720,ChartOfAccounts!A719:A804,ChartOfAccounts!F719:F804,"",0,1)</f>
        <v/>
      </c>
      <c r="P720" t="str" cm="1">
        <f t="array" ref="P720">_xlfn.XLOOKUP($D720&amp;$C720,PreparerInfo!A719:A731&amp;PreparerInfo!C719:C731,PreparerInfo!B719:B731,"",0,1)</f>
        <v/>
      </c>
      <c r="Q720" t="str">
        <f>_xlfn.XLOOKUP($E720,Source!A719:A727,Source!B719:B727,"",0,1)</f>
        <v/>
      </c>
    </row>
    <row r="721" spans="1:17" x14ac:dyDescent="0.3">
      <c r="A721" s="3">
        <v>2033879</v>
      </c>
      <c r="B721">
        <v>11845</v>
      </c>
      <c r="C721">
        <v>2</v>
      </c>
      <c r="D721" s="9">
        <v>101</v>
      </c>
      <c r="E721">
        <v>1002</v>
      </c>
      <c r="F721" s="1">
        <v>44012</v>
      </c>
      <c r="G721" t="s">
        <v>208</v>
      </c>
      <c r="H721" s="4" t="s">
        <v>16</v>
      </c>
      <c r="I721" s="4">
        <v>-294.39999999999998</v>
      </c>
      <c r="J721" s="4">
        <v>-294.39999999999998</v>
      </c>
      <c r="K721" t="str">
        <f>_xlfn.XLOOKUP($C721,Table1[BusinessUnitID],Table1[BusinessUnit],"",0)</f>
        <v>HOTEL</v>
      </c>
      <c r="L721" t="str" cm="1">
        <f t="array" ref="L721">_xlfn.XLOOKUP($C721,Table1[[#All],[BusinessUnitID]],Table1[[#All],[Description]],"",0,1)</f>
        <v xml:space="preserve">Transactions related to guest rooms and overall hotel operations. Includes payroll for administrative staff, clerks and interns. </v>
      </c>
      <c r="M721" t="str">
        <f>_xlfn.XLOOKUP($B721,ChartOfAccounts!A720:A805,ChartOfAccounts!B720:B805,"",0,1)</f>
        <v/>
      </c>
      <c r="N721">
        <f>_xlfn.XLOOKUP($B721,ChartOfAccounts!A720:A805,ChartOfAccounts!D720:D805,0,1)</f>
        <v>0</v>
      </c>
      <c r="O721" t="str">
        <f>_xlfn.XLOOKUP($B721,ChartOfAccounts!A720:A805,ChartOfAccounts!F720:F805,"",0,1)</f>
        <v/>
      </c>
      <c r="P721" t="str" cm="1">
        <f t="array" ref="P721">_xlfn.XLOOKUP($D721&amp;$C721,PreparerInfo!A720:A732&amp;PreparerInfo!C720:C732,PreparerInfo!B720:B732,"",0,1)</f>
        <v/>
      </c>
      <c r="Q721" t="str">
        <f>_xlfn.XLOOKUP($E721,Source!A720:A728,Source!B720:B728,"",0,1)</f>
        <v/>
      </c>
    </row>
    <row r="722" spans="1:17" x14ac:dyDescent="0.3">
      <c r="A722" s="3">
        <v>2033880</v>
      </c>
      <c r="B722">
        <v>71410</v>
      </c>
      <c r="C722">
        <v>1</v>
      </c>
      <c r="D722" s="9">
        <v>101</v>
      </c>
      <c r="E722">
        <v>1007</v>
      </c>
      <c r="F722" s="1">
        <v>44012</v>
      </c>
      <c r="G722" t="s">
        <v>71</v>
      </c>
      <c r="H722" s="4">
        <v>336.51</v>
      </c>
      <c r="I722" s="4" t="s">
        <v>16</v>
      </c>
      <c r="J722" s="4">
        <v>336.51</v>
      </c>
      <c r="K722" t="str">
        <f>_xlfn.XLOOKUP($C722,Table1[BusinessUnitID],Table1[BusinessUnit],"",0)</f>
        <v>FOOD SERVICE</v>
      </c>
      <c r="L722" t="str" cm="1">
        <f t="array" ref="L722">_xlfn.XLOOKUP($C722,Table1[[#All],[BusinessUnitID]],Table1[[#All],[Description]],"",0,1)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22" t="str">
        <f>_xlfn.XLOOKUP($B722,ChartOfAccounts!A721:A806,ChartOfAccounts!B721:B806,"",0,1)</f>
        <v/>
      </c>
      <c r="N722">
        <f>_xlfn.XLOOKUP($B722,ChartOfAccounts!A721:A806,ChartOfAccounts!D721:D806,0,1)</f>
        <v>0</v>
      </c>
      <c r="O722" t="str">
        <f>_xlfn.XLOOKUP($B722,ChartOfAccounts!A721:A806,ChartOfAccounts!F721:F806,"",0,1)</f>
        <v/>
      </c>
      <c r="P722" t="str" cm="1">
        <f t="array" ref="P722">_xlfn.XLOOKUP($D722&amp;$C722,PreparerInfo!A721:A733&amp;PreparerInfo!C721:C733,PreparerInfo!B721:B733,"",0,1)</f>
        <v/>
      </c>
      <c r="Q722" t="str">
        <f>_xlfn.XLOOKUP($E722,Source!A721:A729,Source!B721:B729,"",0,1)</f>
        <v/>
      </c>
    </row>
    <row r="723" spans="1:17" x14ac:dyDescent="0.3">
      <c r="A723" s="3">
        <v>2033880</v>
      </c>
      <c r="B723">
        <v>11845</v>
      </c>
      <c r="C723">
        <v>1</v>
      </c>
      <c r="D723" s="9">
        <v>101</v>
      </c>
      <c r="E723">
        <v>1007</v>
      </c>
      <c r="F723" s="1">
        <v>44012</v>
      </c>
      <c r="G723" t="s">
        <v>71</v>
      </c>
      <c r="H723" s="4" t="s">
        <v>16</v>
      </c>
      <c r="I723" s="4">
        <v>-336.51</v>
      </c>
      <c r="J723" s="4">
        <v>-336.51</v>
      </c>
      <c r="K723" t="str">
        <f>_xlfn.XLOOKUP($C723,Table1[BusinessUnitID],Table1[BusinessUnit],"",0)</f>
        <v>FOOD SERVICE</v>
      </c>
      <c r="L723" t="str" cm="1">
        <f t="array" ref="L723">_xlfn.XLOOKUP($C723,Table1[[#All],[BusinessUnitID]],Table1[[#All],[Description]],"",0,1)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23" t="str">
        <f>_xlfn.XLOOKUP($B723,ChartOfAccounts!A722:A807,ChartOfAccounts!B722:B807,"",0,1)</f>
        <v/>
      </c>
      <c r="N723">
        <f>_xlfn.XLOOKUP($B723,ChartOfAccounts!A722:A807,ChartOfAccounts!D722:D807,0,1)</f>
        <v>0</v>
      </c>
      <c r="O723" t="str">
        <f>_xlfn.XLOOKUP($B723,ChartOfAccounts!A722:A807,ChartOfAccounts!F722:F807,"",0,1)</f>
        <v/>
      </c>
      <c r="P723" t="str" cm="1">
        <f t="array" ref="P723">_xlfn.XLOOKUP($D723&amp;$C723,PreparerInfo!A722:A734&amp;PreparerInfo!C722:C734,PreparerInfo!B722:B734,"",0,1)</f>
        <v/>
      </c>
      <c r="Q723" t="str">
        <f>_xlfn.XLOOKUP($E723,Source!A722:A730,Source!B722:B730,"",0,1)</f>
        <v/>
      </c>
    </row>
    <row r="724" spans="1:17" x14ac:dyDescent="0.3">
      <c r="A724" s="3">
        <v>2033881</v>
      </c>
      <c r="B724">
        <v>71400</v>
      </c>
      <c r="C724">
        <v>1</v>
      </c>
      <c r="D724" s="9">
        <v>101</v>
      </c>
      <c r="E724">
        <v>1007</v>
      </c>
      <c r="F724" s="1">
        <v>44012</v>
      </c>
      <c r="G724" t="s">
        <v>92</v>
      </c>
      <c r="H724" s="4">
        <v>343.35</v>
      </c>
      <c r="I724" s="4" t="s">
        <v>16</v>
      </c>
      <c r="J724" s="4">
        <v>343.35</v>
      </c>
      <c r="K724" t="str">
        <f>_xlfn.XLOOKUP($C724,Table1[BusinessUnitID],Table1[BusinessUnit],"",0)</f>
        <v>FOOD SERVICE</v>
      </c>
      <c r="L724" t="str" cm="1">
        <f t="array" ref="L724">_xlfn.XLOOKUP($C724,Table1[[#All],[BusinessUnitID]],Table1[[#All],[Description]],"",0,1)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24" t="str">
        <f>_xlfn.XLOOKUP($B724,ChartOfAccounts!A723:A808,ChartOfAccounts!B723:B808,"",0,1)</f>
        <v/>
      </c>
      <c r="N724">
        <f>_xlfn.XLOOKUP($B724,ChartOfAccounts!A723:A808,ChartOfAccounts!D723:D808,0,1)</f>
        <v>0</v>
      </c>
      <c r="O724" t="str">
        <f>_xlfn.XLOOKUP($B724,ChartOfAccounts!A723:A808,ChartOfAccounts!F723:F808,"",0,1)</f>
        <v/>
      </c>
      <c r="P724" t="str" cm="1">
        <f t="array" ref="P724">_xlfn.XLOOKUP($D724&amp;$C724,PreparerInfo!A723:A735&amp;PreparerInfo!C723:C735,PreparerInfo!B723:B735,"",0,1)</f>
        <v/>
      </c>
      <c r="Q724" t="str">
        <f>_xlfn.XLOOKUP($E724,Source!A723:A731,Source!B723:B731,"",0,1)</f>
        <v/>
      </c>
    </row>
    <row r="725" spans="1:17" x14ac:dyDescent="0.3">
      <c r="A725" s="3">
        <v>2033881</v>
      </c>
      <c r="B725">
        <v>11845</v>
      </c>
      <c r="C725">
        <v>1</v>
      </c>
      <c r="D725" s="9">
        <v>101</v>
      </c>
      <c r="E725">
        <v>1007</v>
      </c>
      <c r="F725" s="1">
        <v>44012</v>
      </c>
      <c r="G725" t="s">
        <v>92</v>
      </c>
      <c r="H725" s="4" t="s">
        <v>16</v>
      </c>
      <c r="I725" s="4">
        <v>-343.35</v>
      </c>
      <c r="J725" s="4">
        <v>-343.35</v>
      </c>
      <c r="K725" t="str">
        <f>_xlfn.XLOOKUP($C725,Table1[BusinessUnitID],Table1[BusinessUnit],"",0)</f>
        <v>FOOD SERVICE</v>
      </c>
      <c r="L725" t="str" cm="1">
        <f t="array" ref="L725">_xlfn.XLOOKUP($C725,Table1[[#All],[BusinessUnitID]],Table1[[#All],[Description]],"",0,1)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25" t="str">
        <f>_xlfn.XLOOKUP($B725,ChartOfAccounts!A724:A809,ChartOfAccounts!B724:B809,"",0,1)</f>
        <v/>
      </c>
      <c r="N725">
        <f>_xlfn.XLOOKUP($B725,ChartOfAccounts!A724:A809,ChartOfAccounts!D724:D809,0,1)</f>
        <v>0</v>
      </c>
      <c r="O725" t="str">
        <f>_xlfn.XLOOKUP($B725,ChartOfAccounts!A724:A809,ChartOfAccounts!F724:F809,"",0,1)</f>
        <v/>
      </c>
      <c r="P725" t="str" cm="1">
        <f t="array" ref="P725">_xlfn.XLOOKUP($D725&amp;$C725,PreparerInfo!A724:A736&amp;PreparerInfo!C724:C736,PreparerInfo!B724:B736,"",0,1)</f>
        <v/>
      </c>
      <c r="Q725" t="str">
        <f>_xlfn.XLOOKUP($E725,Source!A724:A732,Source!B724:B732,"",0,1)</f>
        <v/>
      </c>
    </row>
    <row r="726" spans="1:17" x14ac:dyDescent="0.3">
      <c r="A726" s="3">
        <v>2033882</v>
      </c>
      <c r="B726">
        <v>11845</v>
      </c>
      <c r="C726">
        <v>1</v>
      </c>
      <c r="D726" s="9">
        <v>102</v>
      </c>
      <c r="E726">
        <v>1003</v>
      </c>
      <c r="F726" s="1">
        <v>44012</v>
      </c>
      <c r="G726" t="s">
        <v>15</v>
      </c>
      <c r="H726" s="4">
        <v>373.76</v>
      </c>
      <c r="I726" s="4" t="s">
        <v>16</v>
      </c>
      <c r="J726" s="4">
        <v>373.76</v>
      </c>
      <c r="K726" t="str">
        <f>_xlfn.XLOOKUP($C726,Table1[BusinessUnitID],Table1[BusinessUnit],"",0)</f>
        <v>FOOD SERVICE</v>
      </c>
      <c r="L726" t="str" cm="1">
        <f t="array" ref="L726">_xlfn.XLOOKUP($C726,Table1[[#All],[BusinessUnitID]],Table1[[#All],[Description]],"",0,1)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26" t="str">
        <f>_xlfn.XLOOKUP($B726,ChartOfAccounts!A725:A810,ChartOfAccounts!B725:B810,"",0,1)</f>
        <v/>
      </c>
      <c r="N726">
        <f>_xlfn.XLOOKUP($B726,ChartOfAccounts!A725:A810,ChartOfAccounts!D725:D810,0,1)</f>
        <v>0</v>
      </c>
      <c r="O726" t="str">
        <f>_xlfn.XLOOKUP($B726,ChartOfAccounts!A725:A810,ChartOfAccounts!F725:F810,"",0,1)</f>
        <v/>
      </c>
      <c r="P726" t="str" cm="1">
        <f t="array" ref="P726">_xlfn.XLOOKUP($D726&amp;$C726,PreparerInfo!A725:A737&amp;PreparerInfo!C725:C737,PreparerInfo!B725:B737,"",0,1)</f>
        <v/>
      </c>
      <c r="Q726" t="str">
        <f>_xlfn.XLOOKUP($E726,Source!A725:A733,Source!B725:B733,"",0,1)</f>
        <v/>
      </c>
    </row>
    <row r="727" spans="1:17" x14ac:dyDescent="0.3">
      <c r="A727" s="3">
        <v>2033882</v>
      </c>
      <c r="B727">
        <v>43310</v>
      </c>
      <c r="C727">
        <v>1</v>
      </c>
      <c r="D727" s="9">
        <v>102</v>
      </c>
      <c r="E727">
        <v>1003</v>
      </c>
      <c r="F727" s="1">
        <v>44012</v>
      </c>
      <c r="G727" t="s">
        <v>15</v>
      </c>
      <c r="H727" s="4" t="s">
        <v>16</v>
      </c>
      <c r="I727" s="4">
        <v>-373.76</v>
      </c>
      <c r="J727" s="4">
        <v>-373.76</v>
      </c>
      <c r="K727" t="str">
        <f>_xlfn.XLOOKUP($C727,Table1[BusinessUnitID],Table1[BusinessUnit],"",0)</f>
        <v>FOOD SERVICE</v>
      </c>
      <c r="L727" t="str" cm="1">
        <f t="array" ref="L727">_xlfn.XLOOKUP($C727,Table1[[#All],[BusinessUnitID]],Table1[[#All],[Description]],"",0,1)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27" t="str">
        <f>_xlfn.XLOOKUP($B727,ChartOfAccounts!A726:A811,ChartOfAccounts!B726:B811,"",0,1)</f>
        <v/>
      </c>
      <c r="N727">
        <f>_xlfn.XLOOKUP($B727,ChartOfAccounts!A726:A811,ChartOfAccounts!D726:D811,0,1)</f>
        <v>0</v>
      </c>
      <c r="O727" t="str">
        <f>_xlfn.XLOOKUP($B727,ChartOfAccounts!A726:A811,ChartOfAccounts!F726:F811,"",0,1)</f>
        <v/>
      </c>
      <c r="P727" t="str" cm="1">
        <f t="array" ref="P727">_xlfn.XLOOKUP($D727&amp;$C727,PreparerInfo!A726:A738&amp;PreparerInfo!C726:C738,PreparerInfo!B726:B738,"",0,1)</f>
        <v/>
      </c>
      <c r="Q727" t="str">
        <f>_xlfn.XLOOKUP($E727,Source!A726:A734,Source!B726:B734,"",0,1)</f>
        <v/>
      </c>
    </row>
    <row r="728" spans="1:17" x14ac:dyDescent="0.3">
      <c r="A728" s="3">
        <v>2033883</v>
      </c>
      <c r="B728">
        <v>71400</v>
      </c>
      <c r="C728">
        <v>4</v>
      </c>
      <c r="D728" s="9">
        <v>101</v>
      </c>
      <c r="E728">
        <v>1007</v>
      </c>
      <c r="F728" s="1">
        <v>44012</v>
      </c>
      <c r="G728" t="s">
        <v>77</v>
      </c>
      <c r="H728" s="4">
        <v>385.74</v>
      </c>
      <c r="I728" s="4" t="s">
        <v>16</v>
      </c>
      <c r="J728" s="4">
        <v>385.74</v>
      </c>
      <c r="K728" t="str">
        <f>_xlfn.XLOOKUP($C728,Table1[BusinessUnitID],Table1[BusinessUnit],"",0)</f>
        <v>HOUSEKEEPING</v>
      </c>
      <c r="L728" t="str" cm="1">
        <f t="array" ref="L728">_xlfn.XLOOKUP($C728,Table1[[#All],[BusinessUnitID]],Table1[[#All],[Description]],"",0,1)</f>
        <v xml:space="preserve">Transactions related to the Housekeeping Department. Primarily includes payroll for housekeepers and housekeeping supplies. </v>
      </c>
      <c r="M728" t="str">
        <f>_xlfn.XLOOKUP($B728,ChartOfAccounts!A727:A812,ChartOfAccounts!B727:B812,"",0,1)</f>
        <v/>
      </c>
      <c r="N728">
        <f>_xlfn.XLOOKUP($B728,ChartOfAccounts!A727:A812,ChartOfAccounts!D727:D812,0,1)</f>
        <v>0</v>
      </c>
      <c r="O728" t="str">
        <f>_xlfn.XLOOKUP($B728,ChartOfAccounts!A727:A812,ChartOfAccounts!F727:F812,"",0,1)</f>
        <v/>
      </c>
      <c r="P728" t="str" cm="1">
        <f t="array" ref="P728">_xlfn.XLOOKUP($D728&amp;$C728,PreparerInfo!A727:A739&amp;PreparerInfo!C727:C739,PreparerInfo!B727:B739,"",0,1)</f>
        <v/>
      </c>
      <c r="Q728" t="str">
        <f>_xlfn.XLOOKUP($E728,Source!A727:A735,Source!B727:B735,"",0,1)</f>
        <v/>
      </c>
    </row>
    <row r="729" spans="1:17" x14ac:dyDescent="0.3">
      <c r="A729" s="3">
        <v>2033883</v>
      </c>
      <c r="B729">
        <v>11845</v>
      </c>
      <c r="C729">
        <v>4</v>
      </c>
      <c r="D729" s="9">
        <v>101</v>
      </c>
      <c r="E729">
        <v>1007</v>
      </c>
      <c r="F729" s="1">
        <v>44012</v>
      </c>
      <c r="G729" t="s">
        <v>77</v>
      </c>
      <c r="H729" s="4" t="s">
        <v>16</v>
      </c>
      <c r="I729" s="4">
        <v>-385.74</v>
      </c>
      <c r="J729" s="4">
        <v>-385.74</v>
      </c>
      <c r="K729" t="str">
        <f>_xlfn.XLOOKUP($C729,Table1[BusinessUnitID],Table1[BusinessUnit],"",0)</f>
        <v>HOUSEKEEPING</v>
      </c>
      <c r="L729" t="str" cm="1">
        <f t="array" ref="L729">_xlfn.XLOOKUP($C729,Table1[[#All],[BusinessUnitID]],Table1[[#All],[Description]],"",0,1)</f>
        <v xml:space="preserve">Transactions related to the Housekeeping Department. Primarily includes payroll for housekeepers and housekeeping supplies. </v>
      </c>
      <c r="M729" t="str">
        <f>_xlfn.XLOOKUP($B729,ChartOfAccounts!A728:A813,ChartOfAccounts!B728:B813,"",0,1)</f>
        <v/>
      </c>
      <c r="N729">
        <f>_xlfn.XLOOKUP($B729,ChartOfAccounts!A728:A813,ChartOfAccounts!D728:D813,0,1)</f>
        <v>0</v>
      </c>
      <c r="O729" t="str">
        <f>_xlfn.XLOOKUP($B729,ChartOfAccounts!A728:A813,ChartOfAccounts!F728:F813,"",0,1)</f>
        <v/>
      </c>
      <c r="P729" t="str" cm="1">
        <f t="array" ref="P729">_xlfn.XLOOKUP($D729&amp;$C729,PreparerInfo!A728:A740&amp;PreparerInfo!C728:C740,PreparerInfo!B728:B740,"",0,1)</f>
        <v/>
      </c>
      <c r="Q729" t="str">
        <f>_xlfn.XLOOKUP($E729,Source!A728:A736,Source!B728:B736,"",0,1)</f>
        <v/>
      </c>
    </row>
    <row r="730" spans="1:17" x14ac:dyDescent="0.3">
      <c r="A730" s="3">
        <v>2033884</v>
      </c>
      <c r="B730">
        <v>71400</v>
      </c>
      <c r="C730">
        <v>1</v>
      </c>
      <c r="D730" s="9">
        <v>101</v>
      </c>
      <c r="E730">
        <v>1007</v>
      </c>
      <c r="F730" s="1">
        <v>44012</v>
      </c>
      <c r="G730" t="s">
        <v>203</v>
      </c>
      <c r="H730" s="4">
        <v>400</v>
      </c>
      <c r="I730" s="4" t="s">
        <v>16</v>
      </c>
      <c r="J730" s="4">
        <v>400</v>
      </c>
      <c r="K730" t="str">
        <f>_xlfn.XLOOKUP($C730,Table1[BusinessUnitID],Table1[BusinessUnit],"",0)</f>
        <v>FOOD SERVICE</v>
      </c>
      <c r="L730" t="str" cm="1">
        <f t="array" ref="L730">_xlfn.XLOOKUP($C730,Table1[[#All],[BusinessUnitID]],Table1[[#All],[Description]],"",0,1)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30" t="str">
        <f>_xlfn.XLOOKUP($B730,ChartOfAccounts!A729:A814,ChartOfAccounts!B729:B814,"",0,1)</f>
        <v/>
      </c>
      <c r="N730">
        <f>_xlfn.XLOOKUP($B730,ChartOfAccounts!A729:A814,ChartOfAccounts!D729:D814,0,1)</f>
        <v>0</v>
      </c>
      <c r="O730" t="str">
        <f>_xlfn.XLOOKUP($B730,ChartOfAccounts!A729:A814,ChartOfAccounts!F729:F814,"",0,1)</f>
        <v/>
      </c>
      <c r="P730" t="str" cm="1">
        <f t="array" ref="P730">_xlfn.XLOOKUP($D730&amp;$C730,PreparerInfo!A729:A741&amp;PreparerInfo!C729:C741,PreparerInfo!B729:B741,"",0,1)</f>
        <v/>
      </c>
      <c r="Q730" t="str">
        <f>_xlfn.XLOOKUP($E730,Source!A729:A737,Source!B729:B737,"",0,1)</f>
        <v/>
      </c>
    </row>
    <row r="731" spans="1:17" x14ac:dyDescent="0.3">
      <c r="A731" s="3">
        <v>2033884</v>
      </c>
      <c r="B731">
        <v>11845</v>
      </c>
      <c r="C731">
        <v>1</v>
      </c>
      <c r="D731" s="9">
        <v>101</v>
      </c>
      <c r="E731">
        <v>1007</v>
      </c>
      <c r="F731" s="1">
        <v>44012</v>
      </c>
      <c r="G731" t="s">
        <v>203</v>
      </c>
      <c r="H731" s="4" t="s">
        <v>16</v>
      </c>
      <c r="I731" s="4">
        <v>-400</v>
      </c>
      <c r="J731" s="4">
        <v>-400</v>
      </c>
      <c r="K731" t="str">
        <f>_xlfn.XLOOKUP($C731,Table1[BusinessUnitID],Table1[BusinessUnit],"",0)</f>
        <v>FOOD SERVICE</v>
      </c>
      <c r="L731" t="str" cm="1">
        <f t="array" ref="L731">_xlfn.XLOOKUP($C731,Table1[[#All],[BusinessUnitID]],Table1[[#All],[Description]],"",0,1)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31" t="str">
        <f>_xlfn.XLOOKUP($B731,ChartOfAccounts!A730:A815,ChartOfAccounts!B730:B815,"",0,1)</f>
        <v/>
      </c>
      <c r="N731">
        <f>_xlfn.XLOOKUP($B731,ChartOfAccounts!A730:A815,ChartOfAccounts!D730:D815,0,1)</f>
        <v>0</v>
      </c>
      <c r="O731" t="str">
        <f>_xlfn.XLOOKUP($B731,ChartOfAccounts!A730:A815,ChartOfAccounts!F730:F815,"",0,1)</f>
        <v/>
      </c>
      <c r="P731" t="str" cm="1">
        <f t="array" ref="P731">_xlfn.XLOOKUP($D731&amp;$C731,PreparerInfo!A730:A742&amp;PreparerInfo!C730:C742,PreparerInfo!B730:B742,"",0,1)</f>
        <v/>
      </c>
      <c r="Q731" t="str">
        <f>_xlfn.XLOOKUP($E731,Source!A730:A738,Source!B730:B738,"",0,1)</f>
        <v/>
      </c>
    </row>
    <row r="732" spans="1:17" x14ac:dyDescent="0.3">
      <c r="A732" s="3">
        <v>2033885</v>
      </c>
      <c r="B732">
        <v>71400</v>
      </c>
      <c r="C732">
        <v>4</v>
      </c>
      <c r="D732" s="9">
        <v>101</v>
      </c>
      <c r="E732">
        <v>1007</v>
      </c>
      <c r="F732" s="1">
        <v>44012</v>
      </c>
      <c r="G732" t="s">
        <v>78</v>
      </c>
      <c r="H732" s="4">
        <v>506.04</v>
      </c>
      <c r="I732" s="4" t="s">
        <v>16</v>
      </c>
      <c r="J732" s="4">
        <v>506.04</v>
      </c>
      <c r="K732" t="str">
        <f>_xlfn.XLOOKUP($C732,Table1[BusinessUnitID],Table1[BusinessUnit],"",0)</f>
        <v>HOUSEKEEPING</v>
      </c>
      <c r="L732" t="str" cm="1">
        <f t="array" ref="L732">_xlfn.XLOOKUP($C732,Table1[[#All],[BusinessUnitID]],Table1[[#All],[Description]],"",0,1)</f>
        <v xml:space="preserve">Transactions related to the Housekeeping Department. Primarily includes payroll for housekeepers and housekeeping supplies. </v>
      </c>
      <c r="M732" t="str">
        <f>_xlfn.XLOOKUP($B732,ChartOfAccounts!A731:A816,ChartOfAccounts!B731:B816,"",0,1)</f>
        <v/>
      </c>
      <c r="N732">
        <f>_xlfn.XLOOKUP($B732,ChartOfAccounts!A731:A816,ChartOfAccounts!D731:D816,0,1)</f>
        <v>0</v>
      </c>
      <c r="O732" t="str">
        <f>_xlfn.XLOOKUP($B732,ChartOfAccounts!A731:A816,ChartOfAccounts!F731:F816,"",0,1)</f>
        <v/>
      </c>
      <c r="P732" t="str" cm="1">
        <f t="array" ref="P732">_xlfn.XLOOKUP($D732&amp;$C732,PreparerInfo!A731:A743&amp;PreparerInfo!C731:C743,PreparerInfo!B731:B743,"",0,1)</f>
        <v/>
      </c>
      <c r="Q732" t="str">
        <f>_xlfn.XLOOKUP($E732,Source!A731:A739,Source!B731:B739,"",0,1)</f>
        <v/>
      </c>
    </row>
    <row r="733" spans="1:17" x14ac:dyDescent="0.3">
      <c r="A733" s="3">
        <v>2033885</v>
      </c>
      <c r="B733">
        <v>11845</v>
      </c>
      <c r="C733">
        <v>4</v>
      </c>
      <c r="D733" s="9">
        <v>101</v>
      </c>
      <c r="E733">
        <v>1007</v>
      </c>
      <c r="F733" s="1">
        <v>44012</v>
      </c>
      <c r="G733" t="s">
        <v>78</v>
      </c>
      <c r="H733" s="4" t="s">
        <v>16</v>
      </c>
      <c r="I733" s="4">
        <v>-506.04</v>
      </c>
      <c r="J733" s="4">
        <v>-506.04</v>
      </c>
      <c r="K733" t="str">
        <f>_xlfn.XLOOKUP($C733,Table1[BusinessUnitID],Table1[BusinessUnit],"",0)</f>
        <v>HOUSEKEEPING</v>
      </c>
      <c r="L733" t="str" cm="1">
        <f t="array" ref="L733">_xlfn.XLOOKUP($C733,Table1[[#All],[BusinessUnitID]],Table1[[#All],[Description]],"",0,1)</f>
        <v xml:space="preserve">Transactions related to the Housekeeping Department. Primarily includes payroll for housekeepers and housekeeping supplies. </v>
      </c>
      <c r="M733" t="str">
        <f>_xlfn.XLOOKUP($B733,ChartOfAccounts!A732:A817,ChartOfAccounts!B732:B817,"",0,1)</f>
        <v/>
      </c>
      <c r="N733">
        <f>_xlfn.XLOOKUP($B733,ChartOfAccounts!A732:A817,ChartOfAccounts!D732:D817,0,1)</f>
        <v>0</v>
      </c>
      <c r="O733" t="str">
        <f>_xlfn.XLOOKUP($B733,ChartOfAccounts!A732:A817,ChartOfAccounts!F732:F817,"",0,1)</f>
        <v/>
      </c>
      <c r="P733" t="str" cm="1">
        <f t="array" ref="P733">_xlfn.XLOOKUP($D733&amp;$C733,PreparerInfo!A732:A744&amp;PreparerInfo!C732:C744,PreparerInfo!B732:B744,"",0,1)</f>
        <v/>
      </c>
      <c r="Q733" t="str">
        <f>_xlfn.XLOOKUP($E733,Source!A732:A740,Source!B732:B740,"",0,1)</f>
        <v/>
      </c>
    </row>
    <row r="734" spans="1:17" x14ac:dyDescent="0.3">
      <c r="A734" s="3">
        <v>2033886</v>
      </c>
      <c r="B734">
        <v>71400</v>
      </c>
      <c r="C734">
        <v>1</v>
      </c>
      <c r="D734" s="9">
        <v>101</v>
      </c>
      <c r="E734">
        <v>1007</v>
      </c>
      <c r="F734" s="1">
        <v>44012</v>
      </c>
      <c r="G734" t="s">
        <v>88</v>
      </c>
      <c r="H734" s="4">
        <v>522.45000000000005</v>
      </c>
      <c r="I734" s="4" t="s">
        <v>16</v>
      </c>
      <c r="J734" s="4">
        <v>522.45000000000005</v>
      </c>
      <c r="K734" t="str">
        <f>_xlfn.XLOOKUP($C734,Table1[BusinessUnitID],Table1[BusinessUnit],"",0)</f>
        <v>FOOD SERVICE</v>
      </c>
      <c r="L734" t="str" cm="1">
        <f t="array" ref="L734">_xlfn.XLOOKUP($C734,Table1[[#All],[BusinessUnitID]],Table1[[#All],[Description]],"",0,1)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34" t="str">
        <f>_xlfn.XLOOKUP($B734,ChartOfAccounts!A733:A818,ChartOfAccounts!B733:B818,"",0,1)</f>
        <v/>
      </c>
      <c r="N734">
        <f>_xlfn.XLOOKUP($B734,ChartOfAccounts!A733:A818,ChartOfAccounts!D733:D818,0,1)</f>
        <v>0</v>
      </c>
      <c r="O734" t="str">
        <f>_xlfn.XLOOKUP($B734,ChartOfAccounts!A733:A818,ChartOfAccounts!F733:F818,"",0,1)</f>
        <v/>
      </c>
      <c r="P734" t="str" cm="1">
        <f t="array" ref="P734">_xlfn.XLOOKUP($D734&amp;$C734,PreparerInfo!A733:A745&amp;PreparerInfo!C733:C745,PreparerInfo!B733:B745,"",0,1)</f>
        <v/>
      </c>
      <c r="Q734" t="str">
        <f>_xlfn.XLOOKUP($E734,Source!A733:A741,Source!B733:B741,"",0,1)</f>
        <v/>
      </c>
    </row>
    <row r="735" spans="1:17" x14ac:dyDescent="0.3">
      <c r="A735" s="3">
        <v>2033886</v>
      </c>
      <c r="B735">
        <v>11845</v>
      </c>
      <c r="C735">
        <v>1</v>
      </c>
      <c r="D735" s="9">
        <v>101</v>
      </c>
      <c r="E735">
        <v>1007</v>
      </c>
      <c r="F735" s="1">
        <v>44012</v>
      </c>
      <c r="G735" t="s">
        <v>88</v>
      </c>
      <c r="H735" s="4" t="s">
        <v>16</v>
      </c>
      <c r="I735" s="4">
        <v>-522.45000000000005</v>
      </c>
      <c r="J735" s="4">
        <v>-522.45000000000005</v>
      </c>
      <c r="K735" t="str">
        <f>_xlfn.XLOOKUP($C735,Table1[BusinessUnitID],Table1[BusinessUnit],"",0)</f>
        <v>FOOD SERVICE</v>
      </c>
      <c r="L735" t="str" cm="1">
        <f t="array" ref="L735">_xlfn.XLOOKUP($C735,Table1[[#All],[BusinessUnitID]],Table1[[#All],[Description]],"",0,1)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35" t="str">
        <f>_xlfn.XLOOKUP($B735,ChartOfAccounts!A734:A819,ChartOfAccounts!B734:B819,"",0,1)</f>
        <v/>
      </c>
      <c r="N735">
        <f>_xlfn.XLOOKUP($B735,ChartOfAccounts!A734:A819,ChartOfAccounts!D734:D819,0,1)</f>
        <v>0</v>
      </c>
      <c r="O735" t="str">
        <f>_xlfn.XLOOKUP($B735,ChartOfAccounts!A734:A819,ChartOfAccounts!F734:F819,"",0,1)</f>
        <v/>
      </c>
      <c r="P735" t="str" cm="1">
        <f t="array" ref="P735">_xlfn.XLOOKUP($D735&amp;$C735,PreparerInfo!A734:A746&amp;PreparerInfo!C734:C746,PreparerInfo!B734:B746,"",0,1)</f>
        <v/>
      </c>
      <c r="Q735" t="str">
        <f>_xlfn.XLOOKUP($E735,Source!A734:A742,Source!B734:B742,"",0,1)</f>
        <v/>
      </c>
    </row>
    <row r="736" spans="1:17" x14ac:dyDescent="0.3">
      <c r="A736" s="3">
        <v>2033887</v>
      </c>
      <c r="B736">
        <v>71400</v>
      </c>
      <c r="C736">
        <v>1</v>
      </c>
      <c r="D736" s="9">
        <v>101</v>
      </c>
      <c r="E736">
        <v>1007</v>
      </c>
      <c r="F736" s="1">
        <v>44012</v>
      </c>
      <c r="G736" t="s">
        <v>88</v>
      </c>
      <c r="H736" s="4">
        <v>525.70000000000005</v>
      </c>
      <c r="I736" s="4" t="s">
        <v>16</v>
      </c>
      <c r="J736" s="4">
        <v>525.70000000000005</v>
      </c>
      <c r="K736" t="str">
        <f>_xlfn.XLOOKUP($C736,Table1[BusinessUnitID],Table1[BusinessUnit],"",0)</f>
        <v>FOOD SERVICE</v>
      </c>
      <c r="L736" t="str" cm="1">
        <f t="array" ref="L736">_xlfn.XLOOKUP($C736,Table1[[#All],[BusinessUnitID]],Table1[[#All],[Description]],"",0,1)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36" t="str">
        <f>_xlfn.XLOOKUP($B736,ChartOfAccounts!A735:A820,ChartOfAccounts!B735:B820,"",0,1)</f>
        <v/>
      </c>
      <c r="N736">
        <f>_xlfn.XLOOKUP($B736,ChartOfAccounts!A735:A820,ChartOfAccounts!D735:D820,0,1)</f>
        <v>0</v>
      </c>
      <c r="O736" t="str">
        <f>_xlfn.XLOOKUP($B736,ChartOfAccounts!A735:A820,ChartOfAccounts!F735:F820,"",0,1)</f>
        <v/>
      </c>
      <c r="P736" t="str" cm="1">
        <f t="array" ref="P736">_xlfn.XLOOKUP($D736&amp;$C736,PreparerInfo!A735:A747&amp;PreparerInfo!C735:C747,PreparerInfo!B735:B747,"",0,1)</f>
        <v/>
      </c>
      <c r="Q736" t="str">
        <f>_xlfn.XLOOKUP($E736,Source!A735:A743,Source!B735:B743,"",0,1)</f>
        <v/>
      </c>
    </row>
    <row r="737" spans="1:17" x14ac:dyDescent="0.3">
      <c r="A737" s="3">
        <v>2033887</v>
      </c>
      <c r="B737">
        <v>11845</v>
      </c>
      <c r="C737">
        <v>1</v>
      </c>
      <c r="D737" s="9">
        <v>101</v>
      </c>
      <c r="E737">
        <v>1007</v>
      </c>
      <c r="F737" s="1">
        <v>44012</v>
      </c>
      <c r="G737" t="s">
        <v>88</v>
      </c>
      <c r="H737" s="4" t="s">
        <v>16</v>
      </c>
      <c r="I737" s="4">
        <v>-525.70000000000005</v>
      </c>
      <c r="J737" s="4">
        <v>-525.70000000000005</v>
      </c>
      <c r="K737" t="str">
        <f>_xlfn.XLOOKUP($C737,Table1[BusinessUnitID],Table1[BusinessUnit],"",0)</f>
        <v>FOOD SERVICE</v>
      </c>
      <c r="L737" t="str" cm="1">
        <f t="array" ref="L737">_xlfn.XLOOKUP($C737,Table1[[#All],[BusinessUnitID]],Table1[[#All],[Description]],"",0,1)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37" t="str">
        <f>_xlfn.XLOOKUP($B737,ChartOfAccounts!A736:A821,ChartOfAccounts!B736:B821,"",0,1)</f>
        <v/>
      </c>
      <c r="N737">
        <f>_xlfn.XLOOKUP($B737,ChartOfAccounts!A736:A821,ChartOfAccounts!D736:D821,0,1)</f>
        <v>0</v>
      </c>
      <c r="O737" t="str">
        <f>_xlfn.XLOOKUP($B737,ChartOfAccounts!A736:A821,ChartOfAccounts!F736:F821,"",0,1)</f>
        <v/>
      </c>
      <c r="P737" t="str" cm="1">
        <f t="array" ref="P737">_xlfn.XLOOKUP($D737&amp;$C737,PreparerInfo!A736:A748&amp;PreparerInfo!C736:C748,PreparerInfo!B736:B748,"",0,1)</f>
        <v/>
      </c>
      <c r="Q737" t="str">
        <f>_xlfn.XLOOKUP($E737,Source!A736:A744,Source!B736:B744,"",0,1)</f>
        <v/>
      </c>
    </row>
    <row r="738" spans="1:17" x14ac:dyDescent="0.3">
      <c r="A738" s="3">
        <v>2033888</v>
      </c>
      <c r="B738">
        <v>71400</v>
      </c>
      <c r="C738">
        <v>4</v>
      </c>
      <c r="D738" s="9">
        <v>101</v>
      </c>
      <c r="E738">
        <v>1007</v>
      </c>
      <c r="F738" s="1">
        <v>44012</v>
      </c>
      <c r="G738" t="s">
        <v>79</v>
      </c>
      <c r="H738" s="4">
        <v>570.4</v>
      </c>
      <c r="I738" s="4" t="s">
        <v>16</v>
      </c>
      <c r="J738" s="4">
        <v>570.4</v>
      </c>
      <c r="K738" t="str">
        <f>_xlfn.XLOOKUP($C738,Table1[BusinessUnitID],Table1[BusinessUnit],"",0)</f>
        <v>HOUSEKEEPING</v>
      </c>
      <c r="L738" t="str" cm="1">
        <f t="array" ref="L738">_xlfn.XLOOKUP($C738,Table1[[#All],[BusinessUnitID]],Table1[[#All],[Description]],"",0,1)</f>
        <v xml:space="preserve">Transactions related to the Housekeeping Department. Primarily includes payroll for housekeepers and housekeeping supplies. </v>
      </c>
      <c r="M738" t="str">
        <f>_xlfn.XLOOKUP($B738,ChartOfAccounts!A737:A822,ChartOfAccounts!B737:B822,"",0,1)</f>
        <v/>
      </c>
      <c r="N738">
        <f>_xlfn.XLOOKUP($B738,ChartOfAccounts!A737:A822,ChartOfAccounts!D737:D822,0,1)</f>
        <v>0</v>
      </c>
      <c r="O738" t="str">
        <f>_xlfn.XLOOKUP($B738,ChartOfAccounts!A737:A822,ChartOfAccounts!F737:F822,"",0,1)</f>
        <v/>
      </c>
      <c r="P738" t="str" cm="1">
        <f t="array" ref="P738">_xlfn.XLOOKUP($D738&amp;$C738,PreparerInfo!A737:A749&amp;PreparerInfo!C737:C749,PreparerInfo!B737:B749,"",0,1)</f>
        <v/>
      </c>
      <c r="Q738" t="str">
        <f>_xlfn.XLOOKUP($E738,Source!A737:A745,Source!B737:B745,"",0,1)</f>
        <v/>
      </c>
    </row>
    <row r="739" spans="1:17" x14ac:dyDescent="0.3">
      <c r="A739" s="3">
        <v>2033888</v>
      </c>
      <c r="B739">
        <v>11845</v>
      </c>
      <c r="C739">
        <v>4</v>
      </c>
      <c r="D739" s="9">
        <v>101</v>
      </c>
      <c r="E739">
        <v>1007</v>
      </c>
      <c r="F739" s="1">
        <v>44012</v>
      </c>
      <c r="G739" t="s">
        <v>79</v>
      </c>
      <c r="H739" s="4" t="s">
        <v>16</v>
      </c>
      <c r="I739" s="4">
        <v>-570.4</v>
      </c>
      <c r="J739" s="4">
        <v>-570.4</v>
      </c>
      <c r="K739" t="str">
        <f>_xlfn.XLOOKUP($C739,Table1[BusinessUnitID],Table1[BusinessUnit],"",0)</f>
        <v>HOUSEKEEPING</v>
      </c>
      <c r="L739" t="str" cm="1">
        <f t="array" ref="L739">_xlfn.XLOOKUP($C739,Table1[[#All],[BusinessUnitID]],Table1[[#All],[Description]],"",0,1)</f>
        <v xml:space="preserve">Transactions related to the Housekeeping Department. Primarily includes payroll for housekeepers and housekeeping supplies. </v>
      </c>
      <c r="M739" t="str">
        <f>_xlfn.XLOOKUP($B739,ChartOfAccounts!A738:A823,ChartOfAccounts!B738:B823,"",0,1)</f>
        <v/>
      </c>
      <c r="N739">
        <f>_xlfn.XLOOKUP($B739,ChartOfAccounts!A738:A823,ChartOfAccounts!D738:D823,0,1)</f>
        <v>0</v>
      </c>
      <c r="O739" t="str">
        <f>_xlfn.XLOOKUP($B739,ChartOfAccounts!A738:A823,ChartOfAccounts!F738:F823,"",0,1)</f>
        <v/>
      </c>
      <c r="P739" t="str" cm="1">
        <f t="array" ref="P739">_xlfn.XLOOKUP($D739&amp;$C739,PreparerInfo!A738:A750&amp;PreparerInfo!C738:C750,PreparerInfo!B738:B750,"",0,1)</f>
        <v/>
      </c>
      <c r="Q739" t="str">
        <f>_xlfn.XLOOKUP($E739,Source!A738:A746,Source!B738:B746,"",0,1)</f>
        <v/>
      </c>
    </row>
    <row r="740" spans="1:17" x14ac:dyDescent="0.3">
      <c r="A740" s="3">
        <v>2033889</v>
      </c>
      <c r="B740">
        <v>71400</v>
      </c>
      <c r="C740">
        <v>4</v>
      </c>
      <c r="D740" s="9">
        <v>101</v>
      </c>
      <c r="E740">
        <v>1007</v>
      </c>
      <c r="F740" s="1">
        <v>44012</v>
      </c>
      <c r="G740" t="s">
        <v>133</v>
      </c>
      <c r="H740" s="4">
        <v>651.70000000000005</v>
      </c>
      <c r="I740" s="4" t="s">
        <v>16</v>
      </c>
      <c r="J740" s="4">
        <v>651.70000000000005</v>
      </c>
      <c r="K740" t="str">
        <f>_xlfn.XLOOKUP($C740,Table1[BusinessUnitID],Table1[BusinessUnit],"",0)</f>
        <v>HOUSEKEEPING</v>
      </c>
      <c r="L740" t="str" cm="1">
        <f t="array" ref="L740">_xlfn.XLOOKUP($C740,Table1[[#All],[BusinessUnitID]],Table1[[#All],[Description]],"",0,1)</f>
        <v xml:space="preserve">Transactions related to the Housekeeping Department. Primarily includes payroll for housekeepers and housekeeping supplies. </v>
      </c>
      <c r="M740" t="str">
        <f>_xlfn.XLOOKUP($B740,ChartOfAccounts!A739:A824,ChartOfAccounts!B739:B824,"",0,1)</f>
        <v/>
      </c>
      <c r="N740">
        <f>_xlfn.XLOOKUP($B740,ChartOfAccounts!A739:A824,ChartOfAccounts!D739:D824,0,1)</f>
        <v>0</v>
      </c>
      <c r="O740" t="str">
        <f>_xlfn.XLOOKUP($B740,ChartOfAccounts!A739:A824,ChartOfAccounts!F739:F824,"",0,1)</f>
        <v/>
      </c>
      <c r="P740" t="str" cm="1">
        <f t="array" ref="P740">_xlfn.XLOOKUP($D740&amp;$C740,PreparerInfo!A739:A751&amp;PreparerInfo!C739:C751,PreparerInfo!B739:B751,"",0,1)</f>
        <v/>
      </c>
      <c r="Q740" t="str">
        <f>_xlfn.XLOOKUP($E740,Source!A739:A747,Source!B739:B747,"",0,1)</f>
        <v/>
      </c>
    </row>
    <row r="741" spans="1:17" x14ac:dyDescent="0.3">
      <c r="A741" s="3">
        <v>2033889</v>
      </c>
      <c r="B741">
        <v>11845</v>
      </c>
      <c r="C741">
        <v>4</v>
      </c>
      <c r="D741" s="9">
        <v>101</v>
      </c>
      <c r="E741">
        <v>1007</v>
      </c>
      <c r="F741" s="1">
        <v>44012</v>
      </c>
      <c r="G741" t="s">
        <v>133</v>
      </c>
      <c r="H741" s="4" t="s">
        <v>16</v>
      </c>
      <c r="I741" s="4">
        <v>-651.70000000000005</v>
      </c>
      <c r="J741" s="4">
        <v>-651.70000000000005</v>
      </c>
      <c r="K741" t="str">
        <f>_xlfn.XLOOKUP($C741,Table1[BusinessUnitID],Table1[BusinessUnit],"",0)</f>
        <v>HOUSEKEEPING</v>
      </c>
      <c r="L741" t="str" cm="1">
        <f t="array" ref="L741">_xlfn.XLOOKUP($C741,Table1[[#All],[BusinessUnitID]],Table1[[#All],[Description]],"",0,1)</f>
        <v xml:space="preserve">Transactions related to the Housekeeping Department. Primarily includes payroll for housekeepers and housekeeping supplies. </v>
      </c>
      <c r="M741" t="str">
        <f>_xlfn.XLOOKUP($B741,ChartOfAccounts!A740:A825,ChartOfAccounts!B740:B825,"",0,1)</f>
        <v/>
      </c>
      <c r="N741">
        <f>_xlfn.XLOOKUP($B741,ChartOfAccounts!A740:A825,ChartOfAccounts!D740:D825,0,1)</f>
        <v>0</v>
      </c>
      <c r="O741" t="str">
        <f>_xlfn.XLOOKUP($B741,ChartOfAccounts!A740:A825,ChartOfAccounts!F740:F825,"",0,1)</f>
        <v/>
      </c>
      <c r="P741" t="str" cm="1">
        <f t="array" ref="P741">_xlfn.XLOOKUP($D741&amp;$C741,PreparerInfo!A740:A752&amp;PreparerInfo!C740:C752,PreparerInfo!B740:B752,"",0,1)</f>
        <v/>
      </c>
      <c r="Q741" t="str">
        <f>_xlfn.XLOOKUP($E741,Source!A740:A748,Source!B740:B748,"",0,1)</f>
        <v/>
      </c>
    </row>
    <row r="742" spans="1:17" x14ac:dyDescent="0.3">
      <c r="A742" s="3">
        <v>2033890</v>
      </c>
      <c r="B742">
        <v>71400</v>
      </c>
      <c r="C742">
        <v>1</v>
      </c>
      <c r="D742" s="9">
        <v>101</v>
      </c>
      <c r="E742">
        <v>1007</v>
      </c>
      <c r="F742" s="1">
        <v>44012</v>
      </c>
      <c r="G742" t="s">
        <v>128</v>
      </c>
      <c r="H742" s="4">
        <v>711</v>
      </c>
      <c r="I742" s="4" t="s">
        <v>16</v>
      </c>
      <c r="J742" s="4">
        <v>711</v>
      </c>
      <c r="K742" t="str">
        <f>_xlfn.XLOOKUP($C742,Table1[BusinessUnitID],Table1[BusinessUnit],"",0)</f>
        <v>FOOD SERVICE</v>
      </c>
      <c r="L742" t="str" cm="1">
        <f t="array" ref="L742">_xlfn.XLOOKUP($C742,Table1[[#All],[BusinessUnitID]],Table1[[#All],[Description]],"",0,1)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42" t="str">
        <f>_xlfn.XLOOKUP($B742,ChartOfAccounts!A741:A826,ChartOfAccounts!B741:B826,"",0,1)</f>
        <v/>
      </c>
      <c r="N742">
        <f>_xlfn.XLOOKUP($B742,ChartOfAccounts!A741:A826,ChartOfAccounts!D741:D826,0,1)</f>
        <v>0</v>
      </c>
      <c r="O742" t="str">
        <f>_xlfn.XLOOKUP($B742,ChartOfAccounts!A741:A826,ChartOfAccounts!F741:F826,"",0,1)</f>
        <v/>
      </c>
      <c r="P742" t="str" cm="1">
        <f t="array" ref="P742">_xlfn.XLOOKUP($D742&amp;$C742,PreparerInfo!A741:A753&amp;PreparerInfo!C741:C753,PreparerInfo!B741:B753,"",0,1)</f>
        <v/>
      </c>
      <c r="Q742" t="str">
        <f>_xlfn.XLOOKUP($E742,Source!A741:A749,Source!B741:B749,"",0,1)</f>
        <v/>
      </c>
    </row>
    <row r="743" spans="1:17" x14ac:dyDescent="0.3">
      <c r="A743" s="3">
        <v>2033890</v>
      </c>
      <c r="B743">
        <v>11845</v>
      </c>
      <c r="C743">
        <v>1</v>
      </c>
      <c r="D743" s="9">
        <v>101</v>
      </c>
      <c r="E743">
        <v>1007</v>
      </c>
      <c r="F743" s="1">
        <v>44012</v>
      </c>
      <c r="G743" t="s">
        <v>128</v>
      </c>
      <c r="H743" s="4" t="s">
        <v>16</v>
      </c>
      <c r="I743" s="4">
        <v>-711</v>
      </c>
      <c r="J743" s="4">
        <v>-711</v>
      </c>
      <c r="K743" t="str">
        <f>_xlfn.XLOOKUP($C743,Table1[BusinessUnitID],Table1[BusinessUnit],"",0)</f>
        <v>FOOD SERVICE</v>
      </c>
      <c r="L743" t="str" cm="1">
        <f t="array" ref="L743">_xlfn.XLOOKUP($C743,Table1[[#All],[BusinessUnitID]],Table1[[#All],[Description]],"",0,1)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43" t="str">
        <f>_xlfn.XLOOKUP($B743,ChartOfAccounts!A742:A827,ChartOfAccounts!B742:B827,"",0,1)</f>
        <v/>
      </c>
      <c r="N743">
        <f>_xlfn.XLOOKUP($B743,ChartOfAccounts!A742:A827,ChartOfAccounts!D742:D827,0,1)</f>
        <v>0</v>
      </c>
      <c r="O743" t="str">
        <f>_xlfn.XLOOKUP($B743,ChartOfAccounts!A742:A827,ChartOfAccounts!F742:F827,"",0,1)</f>
        <v/>
      </c>
      <c r="P743" t="str" cm="1">
        <f t="array" ref="P743">_xlfn.XLOOKUP($D743&amp;$C743,PreparerInfo!A742:A754&amp;PreparerInfo!C742:C754,PreparerInfo!B742:B754,"",0,1)</f>
        <v/>
      </c>
      <c r="Q743" t="str">
        <f>_xlfn.XLOOKUP($E743,Source!A742:A750,Source!B742:B750,"",0,1)</f>
        <v/>
      </c>
    </row>
    <row r="744" spans="1:17" x14ac:dyDescent="0.3">
      <c r="A744" s="3">
        <v>2033891</v>
      </c>
      <c r="B744">
        <v>71500</v>
      </c>
      <c r="C744">
        <v>6</v>
      </c>
      <c r="D744" s="9">
        <v>101</v>
      </c>
      <c r="E744">
        <v>1002</v>
      </c>
      <c r="F744" s="1">
        <v>44012</v>
      </c>
      <c r="G744" t="s">
        <v>186</v>
      </c>
      <c r="H744" s="4">
        <v>827</v>
      </c>
      <c r="I744" s="4" t="s">
        <v>16</v>
      </c>
      <c r="J744" s="4">
        <v>827</v>
      </c>
      <c r="K744" t="str">
        <f>_xlfn.XLOOKUP($C744,Table1[BusinessUnitID],Table1[BusinessUnit],"",0)</f>
        <v>MAINTENANCE</v>
      </c>
      <c r="L744" t="str" cm="1">
        <f t="array" ref="L744">_xlfn.XLOOKUP($C744,Table1[[#All],[BusinessUnitID]],Table1[[#All],[Description]],"",0,1)</f>
        <v>Transactions related to the hotel Maintenance Department. Primarily includes payroll for maintenance, grounds keepers and related supplies.</v>
      </c>
      <c r="M744" t="str">
        <f>_xlfn.XLOOKUP($B744,ChartOfAccounts!A743:A828,ChartOfAccounts!B743:B828,"",0,1)</f>
        <v/>
      </c>
      <c r="N744">
        <f>_xlfn.XLOOKUP($B744,ChartOfAccounts!A743:A828,ChartOfAccounts!D743:D828,0,1)</f>
        <v>0</v>
      </c>
      <c r="O744" t="str">
        <f>_xlfn.XLOOKUP($B744,ChartOfAccounts!A743:A828,ChartOfAccounts!F743:F828,"",0,1)</f>
        <v/>
      </c>
      <c r="P744" t="str" cm="1">
        <f t="array" ref="P744">_xlfn.XLOOKUP($D744&amp;$C744,PreparerInfo!A743:A755&amp;PreparerInfo!C743:C755,PreparerInfo!B743:B755,"",0,1)</f>
        <v/>
      </c>
      <c r="Q744" t="str">
        <f>_xlfn.XLOOKUP($E744,Source!A743:A751,Source!B743:B751,"",0,1)</f>
        <v/>
      </c>
    </row>
    <row r="745" spans="1:17" x14ac:dyDescent="0.3">
      <c r="A745" s="3">
        <v>2033891</v>
      </c>
      <c r="B745">
        <v>11845</v>
      </c>
      <c r="C745">
        <v>6</v>
      </c>
      <c r="D745" s="9">
        <v>101</v>
      </c>
      <c r="E745">
        <v>1002</v>
      </c>
      <c r="F745" s="1">
        <v>44012</v>
      </c>
      <c r="G745" t="s">
        <v>186</v>
      </c>
      <c r="H745" s="4" t="s">
        <v>16</v>
      </c>
      <c r="I745" s="4">
        <v>-827</v>
      </c>
      <c r="J745" s="4">
        <v>-827</v>
      </c>
      <c r="K745" t="str">
        <f>_xlfn.XLOOKUP($C745,Table1[BusinessUnitID],Table1[BusinessUnit],"",0)</f>
        <v>MAINTENANCE</v>
      </c>
      <c r="L745" t="str" cm="1">
        <f t="array" ref="L745">_xlfn.XLOOKUP($C745,Table1[[#All],[BusinessUnitID]],Table1[[#All],[Description]],"",0,1)</f>
        <v>Transactions related to the hotel Maintenance Department. Primarily includes payroll for maintenance, grounds keepers and related supplies.</v>
      </c>
      <c r="M745" t="str">
        <f>_xlfn.XLOOKUP($B745,ChartOfAccounts!A744:A829,ChartOfAccounts!B744:B829,"",0,1)</f>
        <v/>
      </c>
      <c r="N745">
        <f>_xlfn.XLOOKUP($B745,ChartOfAccounts!A744:A829,ChartOfAccounts!D744:D829,0,1)</f>
        <v>0</v>
      </c>
      <c r="O745" t="str">
        <f>_xlfn.XLOOKUP($B745,ChartOfAccounts!A744:A829,ChartOfAccounts!F744:F829,"",0,1)</f>
        <v/>
      </c>
      <c r="P745" t="str" cm="1">
        <f t="array" ref="P745">_xlfn.XLOOKUP($D745&amp;$C745,PreparerInfo!A744:A756&amp;PreparerInfo!C744:C756,PreparerInfo!B744:B756,"",0,1)</f>
        <v/>
      </c>
      <c r="Q745" t="str">
        <f>_xlfn.XLOOKUP($E745,Source!A744:A752,Source!B744:B752,"",0,1)</f>
        <v/>
      </c>
    </row>
    <row r="746" spans="1:17" x14ac:dyDescent="0.3">
      <c r="A746" s="3">
        <v>2033892</v>
      </c>
      <c r="B746">
        <v>71400</v>
      </c>
      <c r="C746">
        <v>1</v>
      </c>
      <c r="D746" s="9">
        <v>101</v>
      </c>
      <c r="E746">
        <v>1007</v>
      </c>
      <c r="F746" s="1">
        <v>44012</v>
      </c>
      <c r="G746" t="s">
        <v>88</v>
      </c>
      <c r="H746" s="4">
        <v>876.5</v>
      </c>
      <c r="I746" s="4" t="s">
        <v>16</v>
      </c>
      <c r="J746" s="4">
        <v>876.5</v>
      </c>
      <c r="K746" t="str">
        <f>_xlfn.XLOOKUP($C746,Table1[BusinessUnitID],Table1[BusinessUnit],"",0)</f>
        <v>FOOD SERVICE</v>
      </c>
      <c r="L746" t="str" cm="1">
        <f t="array" ref="L746">_xlfn.XLOOKUP($C746,Table1[[#All],[BusinessUnitID]],Table1[[#All],[Description]],"",0,1)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46" t="str">
        <f>_xlfn.XLOOKUP($B746,ChartOfAccounts!A745:A830,ChartOfAccounts!B745:B830,"",0,1)</f>
        <v/>
      </c>
      <c r="N746">
        <f>_xlfn.XLOOKUP($B746,ChartOfAccounts!A745:A830,ChartOfAccounts!D745:D830,0,1)</f>
        <v>0</v>
      </c>
      <c r="O746" t="str">
        <f>_xlfn.XLOOKUP($B746,ChartOfAccounts!A745:A830,ChartOfAccounts!F745:F830,"",0,1)</f>
        <v/>
      </c>
      <c r="P746" t="str" cm="1">
        <f t="array" ref="P746">_xlfn.XLOOKUP($D746&amp;$C746,PreparerInfo!A745:A757&amp;PreparerInfo!C745:C757,PreparerInfo!B745:B757,"",0,1)</f>
        <v/>
      </c>
      <c r="Q746" t="str">
        <f>_xlfn.XLOOKUP($E746,Source!A745:A753,Source!B745:B753,"",0,1)</f>
        <v/>
      </c>
    </row>
    <row r="747" spans="1:17" x14ac:dyDescent="0.3">
      <c r="A747" s="3">
        <v>2033892</v>
      </c>
      <c r="B747">
        <v>11845</v>
      </c>
      <c r="C747">
        <v>1</v>
      </c>
      <c r="D747" s="9">
        <v>101</v>
      </c>
      <c r="E747">
        <v>1007</v>
      </c>
      <c r="F747" s="1">
        <v>44012</v>
      </c>
      <c r="G747" t="s">
        <v>88</v>
      </c>
      <c r="H747" s="4" t="s">
        <v>16</v>
      </c>
      <c r="I747" s="4">
        <v>-876.5</v>
      </c>
      <c r="J747" s="4">
        <v>-876.5</v>
      </c>
      <c r="K747" t="str">
        <f>_xlfn.XLOOKUP($C747,Table1[BusinessUnitID],Table1[BusinessUnit],"",0)</f>
        <v>FOOD SERVICE</v>
      </c>
      <c r="L747" t="str" cm="1">
        <f t="array" ref="L747">_xlfn.XLOOKUP($C747,Table1[[#All],[BusinessUnitID]],Table1[[#All],[Description]],"",0,1)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47" t="str">
        <f>_xlfn.XLOOKUP($B747,ChartOfAccounts!A746:A831,ChartOfAccounts!B746:B831,"",0,1)</f>
        <v/>
      </c>
      <c r="N747">
        <f>_xlfn.XLOOKUP($B747,ChartOfAccounts!A746:A831,ChartOfAccounts!D746:D831,0,1)</f>
        <v>0</v>
      </c>
      <c r="O747" t="str">
        <f>_xlfn.XLOOKUP($B747,ChartOfAccounts!A746:A831,ChartOfAccounts!F746:F831,"",0,1)</f>
        <v/>
      </c>
      <c r="P747" t="str" cm="1">
        <f t="array" ref="P747">_xlfn.XLOOKUP($D747&amp;$C747,PreparerInfo!A746:A758&amp;PreparerInfo!C746:C758,PreparerInfo!B746:B758,"",0,1)</f>
        <v/>
      </c>
      <c r="Q747" t="str">
        <f>_xlfn.XLOOKUP($E747,Source!A746:A754,Source!B746:B754,"",0,1)</f>
        <v/>
      </c>
    </row>
    <row r="748" spans="1:17" x14ac:dyDescent="0.3">
      <c r="A748" s="3">
        <v>2033893</v>
      </c>
      <c r="B748">
        <v>11845</v>
      </c>
      <c r="C748">
        <v>1</v>
      </c>
      <c r="D748" s="9">
        <v>102</v>
      </c>
      <c r="E748">
        <v>1001</v>
      </c>
      <c r="F748" s="1">
        <v>44012</v>
      </c>
      <c r="G748" t="s">
        <v>41</v>
      </c>
      <c r="H748" s="4">
        <v>1039.21</v>
      </c>
      <c r="I748" s="4" t="s">
        <v>16</v>
      </c>
      <c r="J748" s="4">
        <v>1039.21</v>
      </c>
      <c r="K748" t="str">
        <f>_xlfn.XLOOKUP($C748,Table1[BusinessUnitID],Table1[BusinessUnit],"",0)</f>
        <v>FOOD SERVICE</v>
      </c>
      <c r="L748" t="str" cm="1">
        <f t="array" ref="L748">_xlfn.XLOOKUP($C748,Table1[[#All],[BusinessUnitID]],Table1[[#All],[Description]],"",0,1)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48" t="str">
        <f>_xlfn.XLOOKUP($B748,ChartOfAccounts!A747:A832,ChartOfAccounts!B747:B832,"",0,1)</f>
        <v/>
      </c>
      <c r="N748">
        <f>_xlfn.XLOOKUP($B748,ChartOfAccounts!A747:A832,ChartOfAccounts!D747:D832,0,1)</f>
        <v>0</v>
      </c>
      <c r="O748" t="str">
        <f>_xlfn.XLOOKUP($B748,ChartOfAccounts!A747:A832,ChartOfAccounts!F747:F832,"",0,1)</f>
        <v/>
      </c>
      <c r="P748" t="str" cm="1">
        <f t="array" ref="P748">_xlfn.XLOOKUP($D748&amp;$C748,PreparerInfo!A747:A759&amp;PreparerInfo!C747:C759,PreparerInfo!B747:B759,"",0,1)</f>
        <v/>
      </c>
      <c r="Q748" t="str">
        <f>_xlfn.XLOOKUP($E748,Source!A747:A755,Source!B747:B755,"",0,1)</f>
        <v/>
      </c>
    </row>
    <row r="749" spans="1:17" x14ac:dyDescent="0.3">
      <c r="A749" s="3">
        <v>2033893</v>
      </c>
      <c r="B749">
        <v>43310</v>
      </c>
      <c r="C749">
        <v>1</v>
      </c>
      <c r="D749" s="9">
        <v>102</v>
      </c>
      <c r="E749">
        <v>1001</v>
      </c>
      <c r="F749" s="1">
        <v>44012</v>
      </c>
      <c r="G749" t="s">
        <v>41</v>
      </c>
      <c r="H749" s="4" t="s">
        <v>16</v>
      </c>
      <c r="I749" s="4">
        <v>-1039.21</v>
      </c>
      <c r="J749" s="4">
        <v>-1039.21</v>
      </c>
      <c r="K749" t="str">
        <f>_xlfn.XLOOKUP($C749,Table1[BusinessUnitID],Table1[BusinessUnit],"",0)</f>
        <v>FOOD SERVICE</v>
      </c>
      <c r="L749" t="str" cm="1">
        <f t="array" ref="L749">_xlfn.XLOOKUP($C749,Table1[[#All],[BusinessUnitID]],Table1[[#All],[Description]],"",0,1)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49" t="str">
        <f>_xlfn.XLOOKUP($B749,ChartOfAccounts!A748:A833,ChartOfAccounts!B748:B833,"",0,1)</f>
        <v/>
      </c>
      <c r="N749">
        <f>_xlfn.XLOOKUP($B749,ChartOfAccounts!A748:A833,ChartOfAccounts!D748:D833,0,1)</f>
        <v>0</v>
      </c>
      <c r="O749" t="str">
        <f>_xlfn.XLOOKUP($B749,ChartOfAccounts!A748:A833,ChartOfAccounts!F748:F833,"",0,1)</f>
        <v/>
      </c>
      <c r="P749" t="str" cm="1">
        <f t="array" ref="P749">_xlfn.XLOOKUP($D749&amp;$C749,PreparerInfo!A748:A760&amp;PreparerInfo!C748:C760,PreparerInfo!B748:B760,"",0,1)</f>
        <v/>
      </c>
      <c r="Q749" t="str">
        <f>_xlfn.XLOOKUP($E749,Source!A748:A756,Source!B748:B756,"",0,1)</f>
        <v/>
      </c>
    </row>
    <row r="750" spans="1:17" x14ac:dyDescent="0.3">
      <c r="A750" s="3">
        <v>2033894</v>
      </c>
      <c r="B750">
        <v>11845</v>
      </c>
      <c r="C750">
        <v>1</v>
      </c>
      <c r="D750" s="9">
        <v>101</v>
      </c>
      <c r="E750">
        <v>1007</v>
      </c>
      <c r="F750" s="1">
        <v>44012</v>
      </c>
      <c r="G750" t="s">
        <v>90</v>
      </c>
      <c r="H750" s="4">
        <v>1170</v>
      </c>
      <c r="I750" s="4" t="s">
        <v>16</v>
      </c>
      <c r="J750" s="4">
        <v>1170</v>
      </c>
      <c r="K750" t="str">
        <f>_xlfn.XLOOKUP($C750,Table1[BusinessUnitID],Table1[BusinessUnit],"",0)</f>
        <v>FOOD SERVICE</v>
      </c>
      <c r="L750" t="str" cm="1">
        <f t="array" ref="L750">_xlfn.XLOOKUP($C750,Table1[[#All],[BusinessUnitID]],Table1[[#All],[Description]],"",0,1)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50" t="str">
        <f>_xlfn.XLOOKUP($B750,ChartOfAccounts!A749:A834,ChartOfAccounts!B749:B834,"",0,1)</f>
        <v/>
      </c>
      <c r="N750">
        <f>_xlfn.XLOOKUP($B750,ChartOfAccounts!A749:A834,ChartOfAccounts!D749:D834,0,1)</f>
        <v>0</v>
      </c>
      <c r="O750" t="str">
        <f>_xlfn.XLOOKUP($B750,ChartOfAccounts!A749:A834,ChartOfAccounts!F749:F834,"",0,1)</f>
        <v/>
      </c>
      <c r="P750" t="str" cm="1">
        <f t="array" ref="P750">_xlfn.XLOOKUP($D750&amp;$C750,PreparerInfo!A749:A761&amp;PreparerInfo!C749:C761,PreparerInfo!B749:B761,"",0,1)</f>
        <v/>
      </c>
      <c r="Q750" t="str">
        <f>_xlfn.XLOOKUP($E750,Source!A749:A757,Source!B749:B757,"",0,1)</f>
        <v/>
      </c>
    </row>
    <row r="751" spans="1:17" x14ac:dyDescent="0.3">
      <c r="A751" s="3">
        <v>2033894</v>
      </c>
      <c r="B751">
        <v>71400</v>
      </c>
      <c r="C751">
        <v>1</v>
      </c>
      <c r="D751" s="9">
        <v>101</v>
      </c>
      <c r="E751">
        <v>1007</v>
      </c>
      <c r="F751" s="1">
        <v>44012</v>
      </c>
      <c r="G751" t="s">
        <v>90</v>
      </c>
      <c r="H751" s="4" t="s">
        <v>16</v>
      </c>
      <c r="I751" s="4">
        <v>-1170</v>
      </c>
      <c r="J751" s="4">
        <v>-1170</v>
      </c>
      <c r="K751" t="str">
        <f>_xlfn.XLOOKUP($C751,Table1[BusinessUnitID],Table1[BusinessUnit],"",0)</f>
        <v>FOOD SERVICE</v>
      </c>
      <c r="L751" t="str" cm="1">
        <f t="array" ref="L751">_xlfn.XLOOKUP($C751,Table1[[#All],[BusinessUnitID]],Table1[[#All],[Description]],"",0,1)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51" t="str">
        <f>_xlfn.XLOOKUP($B751,ChartOfAccounts!A750:A835,ChartOfAccounts!B750:B835,"",0,1)</f>
        <v/>
      </c>
      <c r="N751">
        <f>_xlfn.XLOOKUP($B751,ChartOfAccounts!A750:A835,ChartOfAccounts!D750:D835,0,1)</f>
        <v>0</v>
      </c>
      <c r="O751" t="str">
        <f>_xlfn.XLOOKUP($B751,ChartOfAccounts!A750:A835,ChartOfAccounts!F750:F835,"",0,1)</f>
        <v/>
      </c>
      <c r="P751" t="str" cm="1">
        <f t="array" ref="P751">_xlfn.XLOOKUP($D751&amp;$C751,PreparerInfo!A750:A762&amp;PreparerInfo!C750:C762,PreparerInfo!B750:B762,"",0,1)</f>
        <v/>
      </c>
      <c r="Q751" t="str">
        <f>_xlfn.XLOOKUP($E751,Source!A750:A758,Source!B750:B758,"",0,1)</f>
        <v/>
      </c>
    </row>
    <row r="752" spans="1:17" x14ac:dyDescent="0.3">
      <c r="A752" s="3">
        <v>2033895</v>
      </c>
      <c r="B752">
        <v>71400</v>
      </c>
      <c r="C752">
        <v>1</v>
      </c>
      <c r="D752" s="9">
        <v>101</v>
      </c>
      <c r="E752">
        <v>1007</v>
      </c>
      <c r="F752" s="1">
        <v>44012</v>
      </c>
      <c r="G752" t="s">
        <v>88</v>
      </c>
      <c r="H752" s="4">
        <v>1184.94</v>
      </c>
      <c r="I752" s="4" t="s">
        <v>16</v>
      </c>
      <c r="J752" s="4">
        <v>1184.94</v>
      </c>
      <c r="K752" t="str">
        <f>_xlfn.XLOOKUP($C752,Table1[BusinessUnitID],Table1[BusinessUnit],"",0)</f>
        <v>FOOD SERVICE</v>
      </c>
      <c r="L752" t="str" cm="1">
        <f t="array" ref="L752">_xlfn.XLOOKUP($C752,Table1[[#All],[BusinessUnitID]],Table1[[#All],[Description]],"",0,1)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52" t="str">
        <f>_xlfn.XLOOKUP($B752,ChartOfAccounts!A751:A836,ChartOfAccounts!B751:B836,"",0,1)</f>
        <v/>
      </c>
      <c r="N752">
        <f>_xlfn.XLOOKUP($B752,ChartOfAccounts!A751:A836,ChartOfAccounts!D751:D836,0,1)</f>
        <v>0</v>
      </c>
      <c r="O752" t="str">
        <f>_xlfn.XLOOKUP($B752,ChartOfAccounts!A751:A836,ChartOfAccounts!F751:F836,"",0,1)</f>
        <v/>
      </c>
      <c r="P752" t="str" cm="1">
        <f t="array" ref="P752">_xlfn.XLOOKUP($D752&amp;$C752,PreparerInfo!A751:A763&amp;PreparerInfo!C751:C763,PreparerInfo!B751:B763,"",0,1)</f>
        <v/>
      </c>
      <c r="Q752" t="str">
        <f>_xlfn.XLOOKUP($E752,Source!A751:A759,Source!B751:B759,"",0,1)</f>
        <v/>
      </c>
    </row>
    <row r="753" spans="1:17" x14ac:dyDescent="0.3">
      <c r="A753" s="3">
        <v>2033895</v>
      </c>
      <c r="B753">
        <v>11845</v>
      </c>
      <c r="C753">
        <v>1</v>
      </c>
      <c r="D753" s="9">
        <v>101</v>
      </c>
      <c r="E753">
        <v>1007</v>
      </c>
      <c r="F753" s="1">
        <v>44012</v>
      </c>
      <c r="G753" t="s">
        <v>88</v>
      </c>
      <c r="H753" s="4" t="s">
        <v>16</v>
      </c>
      <c r="I753" s="4">
        <v>-1184.94</v>
      </c>
      <c r="J753" s="4">
        <v>-1184.94</v>
      </c>
      <c r="K753" t="str">
        <f>_xlfn.XLOOKUP($C753,Table1[BusinessUnitID],Table1[BusinessUnit],"",0)</f>
        <v>FOOD SERVICE</v>
      </c>
      <c r="L753" t="str" cm="1">
        <f t="array" ref="L753">_xlfn.XLOOKUP($C753,Table1[[#All],[BusinessUnitID]],Table1[[#All],[Description]],"",0,1)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53" t="str">
        <f>_xlfn.XLOOKUP($B753,ChartOfAccounts!A752:A837,ChartOfAccounts!B752:B837,"",0,1)</f>
        <v/>
      </c>
      <c r="N753">
        <f>_xlfn.XLOOKUP($B753,ChartOfAccounts!A752:A837,ChartOfAccounts!D752:D837,0,1)</f>
        <v>0</v>
      </c>
      <c r="O753" t="str">
        <f>_xlfn.XLOOKUP($B753,ChartOfAccounts!A752:A837,ChartOfAccounts!F752:F837,"",0,1)</f>
        <v/>
      </c>
      <c r="P753" t="str" cm="1">
        <f t="array" ref="P753">_xlfn.XLOOKUP($D753&amp;$C753,PreparerInfo!A752:A764&amp;PreparerInfo!C752:C764,PreparerInfo!B752:B764,"",0,1)</f>
        <v/>
      </c>
      <c r="Q753" t="str">
        <f>_xlfn.XLOOKUP($E753,Source!A752:A760,Source!B752:B760,"",0,1)</f>
        <v/>
      </c>
    </row>
    <row r="754" spans="1:17" x14ac:dyDescent="0.3">
      <c r="A754" s="3">
        <v>2033896</v>
      </c>
      <c r="B754">
        <v>71400</v>
      </c>
      <c r="C754">
        <v>1</v>
      </c>
      <c r="D754" s="9">
        <v>101</v>
      </c>
      <c r="E754">
        <v>1007</v>
      </c>
      <c r="F754" s="1">
        <v>44012</v>
      </c>
      <c r="G754" t="s">
        <v>95</v>
      </c>
      <c r="H754" s="4">
        <v>1382.47</v>
      </c>
      <c r="I754" s="4" t="s">
        <v>16</v>
      </c>
      <c r="J754" s="4">
        <v>1382.47</v>
      </c>
      <c r="K754" t="str">
        <f>_xlfn.XLOOKUP($C754,Table1[BusinessUnitID],Table1[BusinessUnit],"",0)</f>
        <v>FOOD SERVICE</v>
      </c>
      <c r="L754" t="str" cm="1">
        <f t="array" ref="L754">_xlfn.XLOOKUP($C754,Table1[[#All],[BusinessUnitID]],Table1[[#All],[Description]],"",0,1)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54" t="str">
        <f>_xlfn.XLOOKUP($B754,ChartOfAccounts!A753:A838,ChartOfAccounts!B753:B838,"",0,1)</f>
        <v/>
      </c>
      <c r="N754">
        <f>_xlfn.XLOOKUP($B754,ChartOfAccounts!A753:A838,ChartOfAccounts!D753:D838,0,1)</f>
        <v>0</v>
      </c>
      <c r="O754" t="str">
        <f>_xlfn.XLOOKUP($B754,ChartOfAccounts!A753:A838,ChartOfAccounts!F753:F838,"",0,1)</f>
        <v/>
      </c>
      <c r="P754" t="str" cm="1">
        <f t="array" ref="P754">_xlfn.XLOOKUP($D754&amp;$C754,PreparerInfo!A753:A765&amp;PreparerInfo!C753:C765,PreparerInfo!B753:B765,"",0,1)</f>
        <v/>
      </c>
      <c r="Q754" t="str">
        <f>_xlfn.XLOOKUP($E754,Source!A753:A761,Source!B753:B761,"",0,1)</f>
        <v/>
      </c>
    </row>
    <row r="755" spans="1:17" x14ac:dyDescent="0.3">
      <c r="A755" s="3">
        <v>2033896</v>
      </c>
      <c r="B755">
        <v>11845</v>
      </c>
      <c r="C755">
        <v>1</v>
      </c>
      <c r="D755" s="9">
        <v>101</v>
      </c>
      <c r="E755">
        <v>1007</v>
      </c>
      <c r="F755" s="1">
        <v>44012</v>
      </c>
      <c r="G755" t="s">
        <v>95</v>
      </c>
      <c r="H755" s="4" t="s">
        <v>16</v>
      </c>
      <c r="I755" s="4">
        <v>-1382.47</v>
      </c>
      <c r="J755" s="4">
        <v>-1382.47</v>
      </c>
      <c r="K755" t="str">
        <f>_xlfn.XLOOKUP($C755,Table1[BusinessUnitID],Table1[BusinessUnit],"",0)</f>
        <v>FOOD SERVICE</v>
      </c>
      <c r="L755" t="str" cm="1">
        <f t="array" ref="L755">_xlfn.XLOOKUP($C755,Table1[[#All],[BusinessUnitID]],Table1[[#All],[Description]],"",0,1)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55" t="str">
        <f>_xlfn.XLOOKUP($B755,ChartOfAccounts!A754:A839,ChartOfAccounts!B754:B839,"",0,1)</f>
        <v/>
      </c>
      <c r="N755">
        <f>_xlfn.XLOOKUP($B755,ChartOfAccounts!A754:A839,ChartOfAccounts!D754:D839,0,1)</f>
        <v>0</v>
      </c>
      <c r="O755" t="str">
        <f>_xlfn.XLOOKUP($B755,ChartOfAccounts!A754:A839,ChartOfAccounts!F754:F839,"",0,1)</f>
        <v/>
      </c>
      <c r="P755" t="str" cm="1">
        <f t="array" ref="P755">_xlfn.XLOOKUP($D755&amp;$C755,PreparerInfo!A754:A766&amp;PreparerInfo!C754:C766,PreparerInfo!B754:B766,"",0,1)</f>
        <v/>
      </c>
      <c r="Q755" t="str">
        <f>_xlfn.XLOOKUP($E755,Source!A754:A762,Source!B754:B762,"",0,1)</f>
        <v/>
      </c>
    </row>
    <row r="756" spans="1:17" x14ac:dyDescent="0.3">
      <c r="A756" s="3">
        <v>2033897</v>
      </c>
      <c r="B756">
        <v>71400</v>
      </c>
      <c r="C756">
        <v>1</v>
      </c>
      <c r="D756" s="9">
        <v>101</v>
      </c>
      <c r="E756">
        <v>1007</v>
      </c>
      <c r="F756" s="1">
        <v>44012</v>
      </c>
      <c r="G756" t="s">
        <v>88</v>
      </c>
      <c r="H756" s="4">
        <v>1386.24</v>
      </c>
      <c r="I756" s="4" t="s">
        <v>16</v>
      </c>
      <c r="J756" s="4">
        <v>1386.24</v>
      </c>
      <c r="K756" t="str">
        <f>_xlfn.XLOOKUP($C756,Table1[BusinessUnitID],Table1[BusinessUnit],"",0)</f>
        <v>FOOD SERVICE</v>
      </c>
      <c r="L756" t="str" cm="1">
        <f t="array" ref="L756">_xlfn.XLOOKUP($C756,Table1[[#All],[BusinessUnitID]],Table1[[#All],[Description]],"",0,1)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56" t="str">
        <f>_xlfn.XLOOKUP($B756,ChartOfAccounts!A755:A840,ChartOfAccounts!B755:B840,"",0,1)</f>
        <v/>
      </c>
      <c r="N756">
        <f>_xlfn.XLOOKUP($B756,ChartOfAccounts!A755:A840,ChartOfAccounts!D755:D840,0,1)</f>
        <v>0</v>
      </c>
      <c r="O756" t="str">
        <f>_xlfn.XLOOKUP($B756,ChartOfAccounts!A755:A840,ChartOfAccounts!F755:F840,"",0,1)</f>
        <v/>
      </c>
      <c r="P756" t="str" cm="1">
        <f t="array" ref="P756">_xlfn.XLOOKUP($D756&amp;$C756,PreparerInfo!A755:A767&amp;PreparerInfo!C755:C767,PreparerInfo!B755:B767,"",0,1)</f>
        <v/>
      </c>
      <c r="Q756" t="str">
        <f>_xlfn.XLOOKUP($E756,Source!A755:A763,Source!B755:B763,"",0,1)</f>
        <v/>
      </c>
    </row>
    <row r="757" spans="1:17" x14ac:dyDescent="0.3">
      <c r="A757" s="3">
        <v>2033897</v>
      </c>
      <c r="B757">
        <v>11845</v>
      </c>
      <c r="C757">
        <v>1</v>
      </c>
      <c r="D757" s="9">
        <v>101</v>
      </c>
      <c r="E757">
        <v>1007</v>
      </c>
      <c r="F757" s="1">
        <v>44012</v>
      </c>
      <c r="G757" t="s">
        <v>88</v>
      </c>
      <c r="H757" s="4" t="s">
        <v>16</v>
      </c>
      <c r="I757" s="4">
        <v>-1386.24</v>
      </c>
      <c r="J757" s="4">
        <v>-1386.24</v>
      </c>
      <c r="K757" t="str">
        <f>_xlfn.XLOOKUP($C757,Table1[BusinessUnitID],Table1[BusinessUnit],"",0)</f>
        <v>FOOD SERVICE</v>
      </c>
      <c r="L757" t="str" cm="1">
        <f t="array" ref="L757">_xlfn.XLOOKUP($C757,Table1[[#All],[BusinessUnitID]],Table1[[#All],[Description]],"",0,1)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57" t="str">
        <f>_xlfn.XLOOKUP($B757,ChartOfAccounts!A756:A841,ChartOfAccounts!B756:B841,"",0,1)</f>
        <v/>
      </c>
      <c r="N757">
        <f>_xlfn.XLOOKUP($B757,ChartOfAccounts!A756:A841,ChartOfAccounts!D756:D841,0,1)</f>
        <v>0</v>
      </c>
      <c r="O757" t="str">
        <f>_xlfn.XLOOKUP($B757,ChartOfAccounts!A756:A841,ChartOfAccounts!F756:F841,"",0,1)</f>
        <v/>
      </c>
      <c r="P757" t="str" cm="1">
        <f t="array" ref="P757">_xlfn.XLOOKUP($D757&amp;$C757,PreparerInfo!A756:A768&amp;PreparerInfo!C756:C768,PreparerInfo!B756:B768,"",0,1)</f>
        <v/>
      </c>
      <c r="Q757" t="str">
        <f>_xlfn.XLOOKUP($E757,Source!A756:A764,Source!B756:B764,"",0,1)</f>
        <v/>
      </c>
    </row>
    <row r="758" spans="1:17" x14ac:dyDescent="0.3">
      <c r="A758" s="3">
        <v>2033898</v>
      </c>
      <c r="B758">
        <v>71400</v>
      </c>
      <c r="C758">
        <v>1</v>
      </c>
      <c r="D758" s="9">
        <v>101</v>
      </c>
      <c r="E758">
        <v>1007</v>
      </c>
      <c r="F758" s="1">
        <v>44012</v>
      </c>
      <c r="G758" t="s">
        <v>88</v>
      </c>
      <c r="H758" s="4">
        <v>1944.24</v>
      </c>
      <c r="I758" s="4" t="s">
        <v>16</v>
      </c>
      <c r="J758" s="4">
        <v>1944.24</v>
      </c>
      <c r="K758" t="str">
        <f>_xlfn.XLOOKUP($C758,Table1[BusinessUnitID],Table1[BusinessUnit],"",0)</f>
        <v>FOOD SERVICE</v>
      </c>
      <c r="L758" t="str" cm="1">
        <f t="array" ref="L758">_xlfn.XLOOKUP($C758,Table1[[#All],[BusinessUnitID]],Table1[[#All],[Description]],"",0,1)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58" t="str">
        <f>_xlfn.XLOOKUP($B758,ChartOfAccounts!A757:A842,ChartOfAccounts!B757:B842,"",0,1)</f>
        <v/>
      </c>
      <c r="N758">
        <f>_xlfn.XLOOKUP($B758,ChartOfAccounts!A757:A842,ChartOfAccounts!D757:D842,0,1)</f>
        <v>0</v>
      </c>
      <c r="O758" t="str">
        <f>_xlfn.XLOOKUP($B758,ChartOfAccounts!A757:A842,ChartOfAccounts!F757:F842,"",0,1)</f>
        <v/>
      </c>
      <c r="P758" t="str" cm="1">
        <f t="array" ref="P758">_xlfn.XLOOKUP($D758&amp;$C758,PreparerInfo!A757:A769&amp;PreparerInfo!C757:C769,PreparerInfo!B757:B769,"",0,1)</f>
        <v/>
      </c>
      <c r="Q758" t="str">
        <f>_xlfn.XLOOKUP($E758,Source!A757:A765,Source!B757:B765,"",0,1)</f>
        <v/>
      </c>
    </row>
    <row r="759" spans="1:17" x14ac:dyDescent="0.3">
      <c r="A759" s="3">
        <v>2033898</v>
      </c>
      <c r="B759">
        <v>11845</v>
      </c>
      <c r="C759">
        <v>1</v>
      </c>
      <c r="D759" s="9">
        <v>101</v>
      </c>
      <c r="E759">
        <v>1007</v>
      </c>
      <c r="F759" s="1">
        <v>44012</v>
      </c>
      <c r="G759" t="s">
        <v>88</v>
      </c>
      <c r="H759" s="4" t="s">
        <v>16</v>
      </c>
      <c r="I759" s="4">
        <v>-1944.24</v>
      </c>
      <c r="J759" s="4">
        <v>-1944.24</v>
      </c>
      <c r="K759" t="str">
        <f>_xlfn.XLOOKUP($C759,Table1[BusinessUnitID],Table1[BusinessUnit],"",0)</f>
        <v>FOOD SERVICE</v>
      </c>
      <c r="L759" t="str" cm="1">
        <f t="array" ref="L759">_xlfn.XLOOKUP($C759,Table1[[#All],[BusinessUnitID]],Table1[[#All],[Description]],"",0,1)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59" t="str">
        <f>_xlfn.XLOOKUP($B759,ChartOfAccounts!A758:A843,ChartOfAccounts!B758:B843,"",0,1)</f>
        <v/>
      </c>
      <c r="N759">
        <f>_xlfn.XLOOKUP($B759,ChartOfAccounts!A758:A843,ChartOfAccounts!D758:D843,0,1)</f>
        <v>0</v>
      </c>
      <c r="O759" t="str">
        <f>_xlfn.XLOOKUP($B759,ChartOfAccounts!A758:A843,ChartOfAccounts!F758:F843,"",0,1)</f>
        <v/>
      </c>
      <c r="P759" t="str" cm="1">
        <f t="array" ref="P759">_xlfn.XLOOKUP($D759&amp;$C759,PreparerInfo!A758:A770&amp;PreparerInfo!C758:C770,PreparerInfo!B758:B770,"",0,1)</f>
        <v/>
      </c>
      <c r="Q759" t="str">
        <f>_xlfn.XLOOKUP($E759,Source!A758:A766,Source!B758:B766,"",0,1)</f>
        <v/>
      </c>
    </row>
    <row r="760" spans="1:17" x14ac:dyDescent="0.3">
      <c r="A760" s="3">
        <v>2033899</v>
      </c>
      <c r="B760">
        <v>14260</v>
      </c>
      <c r="C760">
        <v>1</v>
      </c>
      <c r="D760" s="9">
        <v>101</v>
      </c>
      <c r="E760">
        <v>1007</v>
      </c>
      <c r="F760" s="1">
        <v>44012</v>
      </c>
      <c r="G760" t="s">
        <v>216</v>
      </c>
      <c r="H760" s="4">
        <v>1964.6</v>
      </c>
      <c r="I760" s="4" t="s">
        <v>16</v>
      </c>
      <c r="J760" s="4">
        <v>1964.6</v>
      </c>
      <c r="K760" t="str">
        <f>_xlfn.XLOOKUP($C760,Table1[BusinessUnitID],Table1[BusinessUnit],"",0)</f>
        <v>FOOD SERVICE</v>
      </c>
      <c r="L760" t="str" cm="1">
        <f t="array" ref="L760">_xlfn.XLOOKUP($C760,Table1[[#All],[BusinessUnitID]],Table1[[#All],[Description]],"",0,1)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60" t="str">
        <f>_xlfn.XLOOKUP($B760,ChartOfAccounts!A759:A844,ChartOfAccounts!B759:B844,"",0,1)</f>
        <v/>
      </c>
      <c r="N760">
        <f>_xlfn.XLOOKUP($B760,ChartOfAccounts!A759:A844,ChartOfAccounts!D759:D844,0,1)</f>
        <v>0</v>
      </c>
      <c r="O760" t="str">
        <f>_xlfn.XLOOKUP($B760,ChartOfAccounts!A759:A844,ChartOfAccounts!F759:F844,"",0,1)</f>
        <v/>
      </c>
      <c r="P760" t="str" cm="1">
        <f t="array" ref="P760">_xlfn.XLOOKUP($D760&amp;$C760,PreparerInfo!A759:A771&amp;PreparerInfo!C759:C771,PreparerInfo!B759:B771,"",0,1)</f>
        <v/>
      </c>
      <c r="Q760" t="str">
        <f>_xlfn.XLOOKUP($E760,Source!A759:A767,Source!B759:B767,"",0,1)</f>
        <v/>
      </c>
    </row>
    <row r="761" spans="1:17" x14ac:dyDescent="0.3">
      <c r="A761" s="3">
        <v>2033899</v>
      </c>
      <c r="B761">
        <v>11845</v>
      </c>
      <c r="C761">
        <v>1</v>
      </c>
      <c r="D761" s="9">
        <v>101</v>
      </c>
      <c r="E761">
        <v>1007</v>
      </c>
      <c r="F761" s="1">
        <v>44012</v>
      </c>
      <c r="G761" t="s">
        <v>216</v>
      </c>
      <c r="H761" s="4" t="s">
        <v>16</v>
      </c>
      <c r="I761" s="4">
        <v>-1964.6</v>
      </c>
      <c r="J761" s="4">
        <v>-1964.6</v>
      </c>
      <c r="K761" t="str">
        <f>_xlfn.XLOOKUP($C761,Table1[BusinessUnitID],Table1[BusinessUnit],"",0)</f>
        <v>FOOD SERVICE</v>
      </c>
      <c r="L761" t="str" cm="1">
        <f t="array" ref="L761">_xlfn.XLOOKUP($C761,Table1[[#All],[BusinessUnitID]],Table1[[#All],[Description]],"",0,1)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61" t="str">
        <f>_xlfn.XLOOKUP($B761,ChartOfAccounts!A760:A845,ChartOfAccounts!B760:B845,"",0,1)</f>
        <v/>
      </c>
      <c r="N761">
        <f>_xlfn.XLOOKUP($B761,ChartOfAccounts!A760:A845,ChartOfAccounts!D760:D845,0,1)</f>
        <v>0</v>
      </c>
      <c r="O761" t="str">
        <f>_xlfn.XLOOKUP($B761,ChartOfAccounts!A760:A845,ChartOfAccounts!F760:F845,"",0,1)</f>
        <v/>
      </c>
      <c r="P761" t="str" cm="1">
        <f t="array" ref="P761">_xlfn.XLOOKUP($D761&amp;$C761,PreparerInfo!A760:A772&amp;PreparerInfo!C760:C772,PreparerInfo!B760:B772,"",0,1)</f>
        <v/>
      </c>
      <c r="Q761" t="str">
        <f>_xlfn.XLOOKUP($E761,Source!A760:A768,Source!B760:B768,"",0,1)</f>
        <v/>
      </c>
    </row>
    <row r="762" spans="1:17" x14ac:dyDescent="0.3">
      <c r="A762" s="3">
        <v>2033900</v>
      </c>
      <c r="B762">
        <v>71400</v>
      </c>
      <c r="C762">
        <v>1</v>
      </c>
      <c r="D762" s="9">
        <v>101</v>
      </c>
      <c r="E762">
        <v>1007</v>
      </c>
      <c r="F762" s="1">
        <v>44012</v>
      </c>
      <c r="G762" t="s">
        <v>216</v>
      </c>
      <c r="H762" s="4">
        <v>2308.65</v>
      </c>
      <c r="I762" s="4" t="s">
        <v>16</v>
      </c>
      <c r="J762" s="4">
        <v>2308.65</v>
      </c>
      <c r="K762" t="str">
        <f>_xlfn.XLOOKUP($C762,Table1[BusinessUnitID],Table1[BusinessUnit],"",0)</f>
        <v>FOOD SERVICE</v>
      </c>
      <c r="L762" t="str" cm="1">
        <f t="array" ref="L762">_xlfn.XLOOKUP($C762,Table1[[#All],[BusinessUnitID]],Table1[[#All],[Description]],"",0,1)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62" t="str">
        <f>_xlfn.XLOOKUP($B762,ChartOfAccounts!A761:A846,ChartOfAccounts!B761:B846,"",0,1)</f>
        <v/>
      </c>
      <c r="N762">
        <f>_xlfn.XLOOKUP($B762,ChartOfAccounts!A761:A846,ChartOfAccounts!D761:D846,0,1)</f>
        <v>0</v>
      </c>
      <c r="O762" t="str">
        <f>_xlfn.XLOOKUP($B762,ChartOfAccounts!A761:A846,ChartOfAccounts!F761:F846,"",0,1)</f>
        <v/>
      </c>
      <c r="P762" t="str" cm="1">
        <f t="array" ref="P762">_xlfn.XLOOKUP($D762&amp;$C762,PreparerInfo!A761:A773&amp;PreparerInfo!C761:C773,PreparerInfo!B761:B773,"",0,1)</f>
        <v/>
      </c>
      <c r="Q762" t="str">
        <f>_xlfn.XLOOKUP($E762,Source!A761:A769,Source!B761:B769,"",0,1)</f>
        <v/>
      </c>
    </row>
    <row r="763" spans="1:17" x14ac:dyDescent="0.3">
      <c r="A763" s="3">
        <v>2033900</v>
      </c>
      <c r="B763">
        <v>11845</v>
      </c>
      <c r="C763">
        <v>1</v>
      </c>
      <c r="D763" s="9">
        <v>101</v>
      </c>
      <c r="E763">
        <v>1007</v>
      </c>
      <c r="F763" s="1">
        <v>44012</v>
      </c>
      <c r="G763" t="s">
        <v>216</v>
      </c>
      <c r="H763" s="4" t="s">
        <v>16</v>
      </c>
      <c r="I763" s="4">
        <v>-2308.65</v>
      </c>
      <c r="J763" s="4">
        <v>-2308.65</v>
      </c>
      <c r="K763" t="str">
        <f>_xlfn.XLOOKUP($C763,Table1[BusinessUnitID],Table1[BusinessUnit],"",0)</f>
        <v>FOOD SERVICE</v>
      </c>
      <c r="L763" t="str" cm="1">
        <f t="array" ref="L763">_xlfn.XLOOKUP($C763,Table1[[#All],[BusinessUnitID]],Table1[[#All],[Description]],"",0,1)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63" t="str">
        <f>_xlfn.XLOOKUP($B763,ChartOfAccounts!A762:A847,ChartOfAccounts!B762:B847,"",0,1)</f>
        <v/>
      </c>
      <c r="N763">
        <f>_xlfn.XLOOKUP($B763,ChartOfAccounts!A762:A847,ChartOfAccounts!D762:D847,0,1)</f>
        <v>0</v>
      </c>
      <c r="O763" t="str">
        <f>_xlfn.XLOOKUP($B763,ChartOfAccounts!A762:A847,ChartOfAccounts!F762:F847,"",0,1)</f>
        <v/>
      </c>
      <c r="P763" t="str" cm="1">
        <f t="array" ref="P763">_xlfn.XLOOKUP($D763&amp;$C763,PreparerInfo!A762:A774&amp;PreparerInfo!C762:C774,PreparerInfo!B762:B774,"",0,1)</f>
        <v/>
      </c>
      <c r="Q763" t="str">
        <f>_xlfn.XLOOKUP($E763,Source!A762:A770,Source!B762:B770,"",0,1)</f>
        <v/>
      </c>
    </row>
    <row r="764" spans="1:17" x14ac:dyDescent="0.3">
      <c r="A764" s="3">
        <v>2033901</v>
      </c>
      <c r="B764">
        <v>71400</v>
      </c>
      <c r="C764">
        <v>1</v>
      </c>
      <c r="D764" s="9">
        <v>101</v>
      </c>
      <c r="E764">
        <v>1007</v>
      </c>
      <c r="F764" s="1">
        <v>44012</v>
      </c>
      <c r="G764" t="s">
        <v>145</v>
      </c>
      <c r="H764" s="4">
        <v>2415.8200000000002</v>
      </c>
      <c r="I764" s="4" t="s">
        <v>16</v>
      </c>
      <c r="J764" s="4">
        <v>2415.8200000000002</v>
      </c>
      <c r="K764" t="str">
        <f>_xlfn.XLOOKUP($C764,Table1[BusinessUnitID],Table1[BusinessUnit],"",0)</f>
        <v>FOOD SERVICE</v>
      </c>
      <c r="L764" t="str" cm="1">
        <f t="array" ref="L764">_xlfn.XLOOKUP($C764,Table1[[#All],[BusinessUnitID]],Table1[[#All],[Description]],"",0,1)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64" t="str">
        <f>_xlfn.XLOOKUP($B764,ChartOfAccounts!A763:A848,ChartOfAccounts!B763:B848,"",0,1)</f>
        <v/>
      </c>
      <c r="N764">
        <f>_xlfn.XLOOKUP($B764,ChartOfAccounts!A763:A848,ChartOfAccounts!D763:D848,0,1)</f>
        <v>0</v>
      </c>
      <c r="O764" t="str">
        <f>_xlfn.XLOOKUP($B764,ChartOfAccounts!A763:A848,ChartOfAccounts!F763:F848,"",0,1)</f>
        <v/>
      </c>
      <c r="P764" t="str" cm="1">
        <f t="array" ref="P764">_xlfn.XLOOKUP($D764&amp;$C764,PreparerInfo!A763:A775&amp;PreparerInfo!C763:C775,PreparerInfo!B763:B775,"",0,1)</f>
        <v/>
      </c>
      <c r="Q764" t="str">
        <f>_xlfn.XLOOKUP($E764,Source!A763:A771,Source!B763:B771,"",0,1)</f>
        <v/>
      </c>
    </row>
    <row r="765" spans="1:17" x14ac:dyDescent="0.3">
      <c r="A765" s="3">
        <v>2033901</v>
      </c>
      <c r="B765">
        <v>11845</v>
      </c>
      <c r="C765">
        <v>1</v>
      </c>
      <c r="D765" s="9">
        <v>101</v>
      </c>
      <c r="E765">
        <v>1007</v>
      </c>
      <c r="F765" s="1">
        <v>44012</v>
      </c>
      <c r="G765" t="s">
        <v>145</v>
      </c>
      <c r="H765" s="4" t="s">
        <v>16</v>
      </c>
      <c r="I765" s="4">
        <v>-2415.8200000000002</v>
      </c>
      <c r="J765" s="4">
        <v>-2415.8200000000002</v>
      </c>
      <c r="K765" t="str">
        <f>_xlfn.XLOOKUP($C765,Table1[BusinessUnitID],Table1[BusinessUnit],"",0)</f>
        <v>FOOD SERVICE</v>
      </c>
      <c r="L765" t="str" cm="1">
        <f t="array" ref="L765">_xlfn.XLOOKUP($C765,Table1[[#All],[BusinessUnitID]],Table1[[#All],[Description]],"",0,1)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65" t="str">
        <f>_xlfn.XLOOKUP($B765,ChartOfAccounts!A764:A849,ChartOfAccounts!B764:B849,"",0,1)</f>
        <v/>
      </c>
      <c r="N765">
        <f>_xlfn.XLOOKUP($B765,ChartOfAccounts!A764:A849,ChartOfAccounts!D764:D849,0,1)</f>
        <v>0</v>
      </c>
      <c r="O765" t="str">
        <f>_xlfn.XLOOKUP($B765,ChartOfAccounts!A764:A849,ChartOfAccounts!F764:F849,"",0,1)</f>
        <v/>
      </c>
      <c r="P765" t="str" cm="1">
        <f t="array" ref="P765">_xlfn.XLOOKUP($D765&amp;$C765,PreparerInfo!A764:A776&amp;PreparerInfo!C764:C776,PreparerInfo!B764:B776,"",0,1)</f>
        <v/>
      </c>
      <c r="Q765" t="str">
        <f>_xlfn.XLOOKUP($E765,Source!A764:A772,Source!B764:B772,"",0,1)</f>
        <v/>
      </c>
    </row>
    <row r="766" spans="1:17" x14ac:dyDescent="0.3">
      <c r="A766" s="3">
        <v>2033902</v>
      </c>
      <c r="B766">
        <v>71500</v>
      </c>
      <c r="C766">
        <v>6</v>
      </c>
      <c r="D766" s="9">
        <v>101</v>
      </c>
      <c r="E766">
        <v>1002</v>
      </c>
      <c r="F766" s="1">
        <v>44012</v>
      </c>
      <c r="G766" t="s">
        <v>186</v>
      </c>
      <c r="H766" s="4">
        <v>3381</v>
      </c>
      <c r="I766" s="4" t="s">
        <v>16</v>
      </c>
      <c r="J766" s="4">
        <v>3381</v>
      </c>
      <c r="K766" t="str">
        <f>_xlfn.XLOOKUP($C766,Table1[BusinessUnitID],Table1[BusinessUnit],"",0)</f>
        <v>MAINTENANCE</v>
      </c>
      <c r="L766" t="str" cm="1">
        <f t="array" ref="L766">_xlfn.XLOOKUP($C766,Table1[[#All],[BusinessUnitID]],Table1[[#All],[Description]],"",0,1)</f>
        <v>Transactions related to the hotel Maintenance Department. Primarily includes payroll for maintenance, grounds keepers and related supplies.</v>
      </c>
      <c r="M766" t="str">
        <f>_xlfn.XLOOKUP($B766,ChartOfAccounts!A765:A850,ChartOfAccounts!B765:B850,"",0,1)</f>
        <v/>
      </c>
      <c r="N766">
        <f>_xlfn.XLOOKUP($B766,ChartOfAccounts!A765:A850,ChartOfAccounts!D765:D850,0,1)</f>
        <v>0</v>
      </c>
      <c r="O766" t="str">
        <f>_xlfn.XLOOKUP($B766,ChartOfAccounts!A765:A850,ChartOfAccounts!F765:F850,"",0,1)</f>
        <v/>
      </c>
      <c r="P766" t="str" cm="1">
        <f t="array" ref="P766">_xlfn.XLOOKUP($D766&amp;$C766,PreparerInfo!A765:A777&amp;PreparerInfo!C765:C777,PreparerInfo!B765:B777,"",0,1)</f>
        <v/>
      </c>
      <c r="Q766" t="str">
        <f>_xlfn.XLOOKUP($E766,Source!A765:A773,Source!B765:B773,"",0,1)</f>
        <v/>
      </c>
    </row>
    <row r="767" spans="1:17" x14ac:dyDescent="0.3">
      <c r="A767" s="3">
        <v>2033902</v>
      </c>
      <c r="B767">
        <v>11845</v>
      </c>
      <c r="C767">
        <v>6</v>
      </c>
      <c r="D767" s="9">
        <v>101</v>
      </c>
      <c r="E767">
        <v>1002</v>
      </c>
      <c r="F767" s="1">
        <v>44012</v>
      </c>
      <c r="G767" t="s">
        <v>186</v>
      </c>
      <c r="H767" s="4" t="s">
        <v>16</v>
      </c>
      <c r="I767" s="4">
        <v>-3381</v>
      </c>
      <c r="J767" s="4">
        <v>-3381</v>
      </c>
      <c r="K767" t="str">
        <f>_xlfn.XLOOKUP($C767,Table1[BusinessUnitID],Table1[BusinessUnit],"",0)</f>
        <v>MAINTENANCE</v>
      </c>
      <c r="L767" t="str" cm="1">
        <f t="array" ref="L767">_xlfn.XLOOKUP($C767,Table1[[#All],[BusinessUnitID]],Table1[[#All],[Description]],"",0,1)</f>
        <v>Transactions related to the hotel Maintenance Department. Primarily includes payroll for maintenance, grounds keepers and related supplies.</v>
      </c>
      <c r="M767" t="str">
        <f>_xlfn.XLOOKUP($B767,ChartOfAccounts!A766:A851,ChartOfAccounts!B766:B851,"",0,1)</f>
        <v/>
      </c>
      <c r="N767">
        <f>_xlfn.XLOOKUP($B767,ChartOfAccounts!A766:A851,ChartOfAccounts!D766:D851,0,1)</f>
        <v>0</v>
      </c>
      <c r="O767" t="str">
        <f>_xlfn.XLOOKUP($B767,ChartOfAccounts!A766:A851,ChartOfAccounts!F766:F851,"",0,1)</f>
        <v/>
      </c>
      <c r="P767" t="str" cm="1">
        <f t="array" ref="P767">_xlfn.XLOOKUP($D767&amp;$C767,PreparerInfo!A766:A778&amp;PreparerInfo!C766:C778,PreparerInfo!B766:B778,"",0,1)</f>
        <v/>
      </c>
      <c r="Q767" t="str">
        <f>_xlfn.XLOOKUP($E767,Source!A766:A774,Source!B766:B774,"",0,1)</f>
        <v/>
      </c>
    </row>
    <row r="768" spans="1:17" x14ac:dyDescent="0.3">
      <c r="A768" s="3">
        <v>2033903</v>
      </c>
      <c r="B768">
        <v>74201</v>
      </c>
      <c r="C768">
        <v>2</v>
      </c>
      <c r="D768" s="9">
        <v>101</v>
      </c>
      <c r="E768">
        <v>1002</v>
      </c>
      <c r="F768" s="1">
        <v>44012</v>
      </c>
      <c r="G768" t="s">
        <v>183</v>
      </c>
      <c r="H768" s="4">
        <v>3864.84</v>
      </c>
      <c r="I768" s="4" t="s">
        <v>16</v>
      </c>
      <c r="J768" s="4">
        <v>3864.84</v>
      </c>
      <c r="K768" t="str">
        <f>_xlfn.XLOOKUP($C768,Table1[BusinessUnitID],Table1[BusinessUnit],"",0)</f>
        <v>HOTEL</v>
      </c>
      <c r="L768" t="str" cm="1">
        <f t="array" ref="L768">_xlfn.XLOOKUP($C768,Table1[[#All],[BusinessUnitID]],Table1[[#All],[Description]],"",0,1)</f>
        <v xml:space="preserve">Transactions related to guest rooms and overall hotel operations. Includes payroll for administrative staff, clerks and interns. </v>
      </c>
      <c r="M768" t="str">
        <f>_xlfn.XLOOKUP($B768,ChartOfAccounts!A767:A852,ChartOfAccounts!B767:B852,"",0,1)</f>
        <v/>
      </c>
      <c r="N768">
        <f>_xlfn.XLOOKUP($B768,ChartOfAccounts!A767:A852,ChartOfAccounts!D767:D852,0,1)</f>
        <v>0</v>
      </c>
      <c r="O768" t="str">
        <f>_xlfn.XLOOKUP($B768,ChartOfAccounts!A767:A852,ChartOfAccounts!F767:F852,"",0,1)</f>
        <v/>
      </c>
      <c r="P768" t="str" cm="1">
        <f t="array" ref="P768">_xlfn.XLOOKUP($D768&amp;$C768,PreparerInfo!A767:A779&amp;PreparerInfo!C767:C779,PreparerInfo!B767:B779,"",0,1)</f>
        <v/>
      </c>
      <c r="Q768" t="str">
        <f>_xlfn.XLOOKUP($E768,Source!A767:A775,Source!B767:B775,"",0,1)</f>
        <v/>
      </c>
    </row>
    <row r="769" spans="1:17" x14ac:dyDescent="0.3">
      <c r="A769" s="3">
        <v>2033903</v>
      </c>
      <c r="B769">
        <v>11845</v>
      </c>
      <c r="C769">
        <v>2</v>
      </c>
      <c r="D769" s="9">
        <v>101</v>
      </c>
      <c r="E769">
        <v>1002</v>
      </c>
      <c r="F769" s="1">
        <v>44012</v>
      </c>
      <c r="G769" t="s">
        <v>183</v>
      </c>
      <c r="H769" s="4" t="s">
        <v>16</v>
      </c>
      <c r="I769" s="4">
        <v>-3864.84</v>
      </c>
      <c r="J769" s="4">
        <v>-3864.84</v>
      </c>
      <c r="K769" t="str">
        <f>_xlfn.XLOOKUP($C769,Table1[BusinessUnitID],Table1[BusinessUnit],"",0)</f>
        <v>HOTEL</v>
      </c>
      <c r="L769" t="str" cm="1">
        <f t="array" ref="L769">_xlfn.XLOOKUP($C769,Table1[[#All],[BusinessUnitID]],Table1[[#All],[Description]],"",0,1)</f>
        <v xml:space="preserve">Transactions related to guest rooms and overall hotel operations. Includes payroll for administrative staff, clerks and interns. </v>
      </c>
      <c r="M769" t="str">
        <f>_xlfn.XLOOKUP($B769,ChartOfAccounts!A768:A853,ChartOfAccounts!B768:B853,"",0,1)</f>
        <v/>
      </c>
      <c r="N769">
        <f>_xlfn.XLOOKUP($B769,ChartOfAccounts!A768:A853,ChartOfAccounts!D768:D853,0,1)</f>
        <v>0</v>
      </c>
      <c r="O769" t="str">
        <f>_xlfn.XLOOKUP($B769,ChartOfAccounts!A768:A853,ChartOfAccounts!F768:F853,"",0,1)</f>
        <v/>
      </c>
      <c r="P769" t="str" cm="1">
        <f t="array" ref="P769">_xlfn.XLOOKUP($D769&amp;$C769,PreparerInfo!A768:A780&amp;PreparerInfo!C768:C780,PreparerInfo!B768:B780,"",0,1)</f>
        <v/>
      </c>
      <c r="Q769" t="str">
        <f>_xlfn.XLOOKUP($E769,Source!A768:A776,Source!B768:B776,"",0,1)</f>
        <v/>
      </c>
    </row>
    <row r="770" spans="1:17" x14ac:dyDescent="0.3">
      <c r="A770" s="3">
        <v>2033904</v>
      </c>
      <c r="B770">
        <v>11845</v>
      </c>
      <c r="C770">
        <v>2</v>
      </c>
      <c r="D770" s="9">
        <v>104</v>
      </c>
      <c r="E770">
        <v>1003</v>
      </c>
      <c r="F770" s="1">
        <v>44012</v>
      </c>
      <c r="G770" t="s">
        <v>41</v>
      </c>
      <c r="H770" s="4">
        <v>4600</v>
      </c>
      <c r="I770" s="4" t="s">
        <v>16</v>
      </c>
      <c r="J770" s="4">
        <v>4600</v>
      </c>
      <c r="K770" t="str">
        <f>_xlfn.XLOOKUP($C770,Table1[BusinessUnitID],Table1[BusinessUnit],"",0)</f>
        <v>HOTEL</v>
      </c>
      <c r="L770" t="str" cm="1">
        <f t="array" ref="L770">_xlfn.XLOOKUP($C770,Table1[[#All],[BusinessUnitID]],Table1[[#All],[Description]],"",0,1)</f>
        <v xml:space="preserve">Transactions related to guest rooms and overall hotel operations. Includes payroll for administrative staff, clerks and interns. </v>
      </c>
      <c r="M770" t="str">
        <f>_xlfn.XLOOKUP($B770,ChartOfAccounts!A769:A854,ChartOfAccounts!B769:B854,"",0,1)</f>
        <v/>
      </c>
      <c r="N770">
        <f>_xlfn.XLOOKUP($B770,ChartOfAccounts!A769:A854,ChartOfAccounts!D769:D854,0,1)</f>
        <v>0</v>
      </c>
      <c r="O770" t="str">
        <f>_xlfn.XLOOKUP($B770,ChartOfAccounts!A769:A854,ChartOfAccounts!F769:F854,"",0,1)</f>
        <v/>
      </c>
      <c r="P770" t="str" cm="1">
        <f t="array" ref="P770">_xlfn.XLOOKUP($D770&amp;$C770,PreparerInfo!A769:A781&amp;PreparerInfo!C769:C781,PreparerInfo!B769:B781,"",0,1)</f>
        <v/>
      </c>
      <c r="Q770" t="str">
        <f>_xlfn.XLOOKUP($E770,Source!A769:A777,Source!B769:B777,"",0,1)</f>
        <v/>
      </c>
    </row>
    <row r="771" spans="1:17" x14ac:dyDescent="0.3">
      <c r="A771" s="3">
        <v>2033904</v>
      </c>
      <c r="B771">
        <v>43180</v>
      </c>
      <c r="C771">
        <v>2</v>
      </c>
      <c r="D771" s="9">
        <v>104</v>
      </c>
      <c r="E771">
        <v>1003</v>
      </c>
      <c r="F771" s="1">
        <v>44012</v>
      </c>
      <c r="G771" t="s">
        <v>41</v>
      </c>
      <c r="H771" s="4" t="s">
        <v>16</v>
      </c>
      <c r="I771" s="4">
        <v>-4600</v>
      </c>
      <c r="J771" s="4">
        <v>-4600</v>
      </c>
      <c r="K771" t="str">
        <f>_xlfn.XLOOKUP($C771,Table1[BusinessUnitID],Table1[BusinessUnit],"",0)</f>
        <v>HOTEL</v>
      </c>
      <c r="L771" t="str" cm="1">
        <f t="array" ref="L771">_xlfn.XLOOKUP($C771,Table1[[#All],[BusinessUnitID]],Table1[[#All],[Description]],"",0,1)</f>
        <v xml:space="preserve">Transactions related to guest rooms and overall hotel operations. Includes payroll for administrative staff, clerks and interns. </v>
      </c>
      <c r="M771" t="str">
        <f>_xlfn.XLOOKUP($B771,ChartOfAccounts!A770:A855,ChartOfAccounts!B770:B855,"",0,1)</f>
        <v/>
      </c>
      <c r="N771">
        <f>_xlfn.XLOOKUP($B771,ChartOfAccounts!A770:A855,ChartOfAccounts!D770:D855,0,1)</f>
        <v>0</v>
      </c>
      <c r="O771" t="str">
        <f>_xlfn.XLOOKUP($B771,ChartOfAccounts!A770:A855,ChartOfAccounts!F770:F855,"",0,1)</f>
        <v/>
      </c>
      <c r="P771" t="str" cm="1">
        <f t="array" ref="P771">_xlfn.XLOOKUP($D771&amp;$C771,PreparerInfo!A770:A782&amp;PreparerInfo!C770:C782,PreparerInfo!B770:B782,"",0,1)</f>
        <v/>
      </c>
      <c r="Q771" t="str">
        <f>_xlfn.XLOOKUP($E771,Source!A770:A778,Source!B770:B778,"",0,1)</f>
        <v/>
      </c>
    </row>
    <row r="772" spans="1:17" x14ac:dyDescent="0.3">
      <c r="A772" s="3">
        <v>2033905</v>
      </c>
      <c r="B772">
        <v>11845</v>
      </c>
      <c r="C772">
        <v>2</v>
      </c>
      <c r="D772" s="9">
        <v>104</v>
      </c>
      <c r="E772">
        <v>1003</v>
      </c>
      <c r="F772" s="1">
        <v>44012</v>
      </c>
      <c r="G772" t="s">
        <v>15</v>
      </c>
      <c r="H772" s="4">
        <v>5000</v>
      </c>
      <c r="I772" s="4" t="s">
        <v>16</v>
      </c>
      <c r="J772" s="4">
        <v>5000</v>
      </c>
      <c r="K772" t="str">
        <f>_xlfn.XLOOKUP($C772,Table1[BusinessUnitID],Table1[BusinessUnit],"",0)</f>
        <v>HOTEL</v>
      </c>
      <c r="L772" t="str" cm="1">
        <f t="array" ref="L772">_xlfn.XLOOKUP($C772,Table1[[#All],[BusinessUnitID]],Table1[[#All],[Description]],"",0,1)</f>
        <v xml:space="preserve">Transactions related to guest rooms and overall hotel operations. Includes payroll for administrative staff, clerks and interns. </v>
      </c>
      <c r="M772" t="str">
        <f>_xlfn.XLOOKUP($B772,ChartOfAccounts!A771:A856,ChartOfAccounts!B771:B856,"",0,1)</f>
        <v/>
      </c>
      <c r="N772">
        <f>_xlfn.XLOOKUP($B772,ChartOfAccounts!A771:A856,ChartOfAccounts!D771:D856,0,1)</f>
        <v>0</v>
      </c>
      <c r="O772" t="str">
        <f>_xlfn.XLOOKUP($B772,ChartOfAccounts!A771:A856,ChartOfAccounts!F771:F856,"",0,1)</f>
        <v/>
      </c>
      <c r="P772" t="str" cm="1">
        <f t="array" ref="P772">_xlfn.XLOOKUP($D772&amp;$C772,PreparerInfo!A771:A783&amp;PreparerInfo!C771:C783,PreparerInfo!B771:B783,"",0,1)</f>
        <v/>
      </c>
      <c r="Q772" t="str">
        <f>_xlfn.XLOOKUP($E772,Source!A771:A779,Source!B771:B779,"",0,1)</f>
        <v/>
      </c>
    </row>
    <row r="773" spans="1:17" x14ac:dyDescent="0.3">
      <c r="A773" s="3">
        <v>2033905</v>
      </c>
      <c r="B773">
        <v>43180</v>
      </c>
      <c r="C773">
        <v>2</v>
      </c>
      <c r="D773" s="9">
        <v>104</v>
      </c>
      <c r="E773">
        <v>1003</v>
      </c>
      <c r="F773" s="1">
        <v>44012</v>
      </c>
      <c r="G773" t="s">
        <v>15</v>
      </c>
      <c r="H773" s="4" t="s">
        <v>16</v>
      </c>
      <c r="I773" s="4">
        <v>-5000</v>
      </c>
      <c r="J773" s="4">
        <v>-5000</v>
      </c>
      <c r="K773" t="str">
        <f>_xlfn.XLOOKUP($C773,Table1[BusinessUnitID],Table1[BusinessUnit],"",0)</f>
        <v>HOTEL</v>
      </c>
      <c r="L773" t="str" cm="1">
        <f t="array" ref="L773">_xlfn.XLOOKUP($C773,Table1[[#All],[BusinessUnitID]],Table1[[#All],[Description]],"",0,1)</f>
        <v xml:space="preserve">Transactions related to guest rooms and overall hotel operations. Includes payroll for administrative staff, clerks and interns. </v>
      </c>
      <c r="M773" t="str">
        <f>_xlfn.XLOOKUP($B773,ChartOfAccounts!A772:A857,ChartOfAccounts!B772:B857,"",0,1)</f>
        <v/>
      </c>
      <c r="N773">
        <f>_xlfn.XLOOKUP($B773,ChartOfAccounts!A772:A857,ChartOfAccounts!D772:D857,0,1)</f>
        <v>0</v>
      </c>
      <c r="O773" t="str">
        <f>_xlfn.XLOOKUP($B773,ChartOfAccounts!A772:A857,ChartOfAccounts!F772:F857,"",0,1)</f>
        <v/>
      </c>
      <c r="P773" t="str" cm="1">
        <f t="array" ref="P773">_xlfn.XLOOKUP($D773&amp;$C773,PreparerInfo!A772:A784&amp;PreparerInfo!C772:C784,PreparerInfo!B772:B784,"",0,1)</f>
        <v/>
      </c>
      <c r="Q773" t="str">
        <f>_xlfn.XLOOKUP($E773,Source!A772:A780,Source!B772:B780,"",0,1)</f>
        <v/>
      </c>
    </row>
    <row r="774" spans="1:17" x14ac:dyDescent="0.3">
      <c r="A774" s="3">
        <v>2033906</v>
      </c>
      <c r="B774">
        <v>11845</v>
      </c>
      <c r="C774">
        <v>2</v>
      </c>
      <c r="D774" s="9">
        <v>104</v>
      </c>
      <c r="E774">
        <v>1003</v>
      </c>
      <c r="F774" s="1">
        <v>44012</v>
      </c>
      <c r="G774" t="s">
        <v>248</v>
      </c>
      <c r="H774" s="4">
        <v>12375</v>
      </c>
      <c r="I774" s="4" t="s">
        <v>16</v>
      </c>
      <c r="J774" s="4">
        <v>12375</v>
      </c>
      <c r="K774" t="str">
        <f>_xlfn.XLOOKUP($C774,Table1[BusinessUnitID],Table1[BusinessUnit],"",0)</f>
        <v>HOTEL</v>
      </c>
      <c r="L774" t="str" cm="1">
        <f t="array" ref="L774">_xlfn.XLOOKUP($C774,Table1[[#All],[BusinessUnitID]],Table1[[#All],[Description]],"",0,1)</f>
        <v xml:space="preserve">Transactions related to guest rooms and overall hotel operations. Includes payroll for administrative staff, clerks and interns. </v>
      </c>
      <c r="M774" t="str">
        <f>_xlfn.XLOOKUP($B774,ChartOfAccounts!A773:A858,ChartOfAccounts!B773:B858,"",0,1)</f>
        <v/>
      </c>
      <c r="N774">
        <f>_xlfn.XLOOKUP($B774,ChartOfAccounts!A773:A858,ChartOfAccounts!D773:D858,0,1)</f>
        <v>0</v>
      </c>
      <c r="O774" t="str">
        <f>_xlfn.XLOOKUP($B774,ChartOfAccounts!A773:A858,ChartOfAccounts!F773:F858,"",0,1)</f>
        <v/>
      </c>
      <c r="P774" t="str" cm="1">
        <f t="array" ref="P774">_xlfn.XLOOKUP($D774&amp;$C774,PreparerInfo!A773:A785&amp;PreparerInfo!C773:C785,PreparerInfo!B773:B785,"",0,1)</f>
        <v/>
      </c>
      <c r="Q774" t="str">
        <f>_xlfn.XLOOKUP($E774,Source!A773:A781,Source!B773:B781,"",0,1)</f>
        <v/>
      </c>
    </row>
    <row r="775" spans="1:17" x14ac:dyDescent="0.3">
      <c r="A775" s="3">
        <v>2033906</v>
      </c>
      <c r="B775">
        <v>43180</v>
      </c>
      <c r="C775">
        <v>2</v>
      </c>
      <c r="D775" s="9">
        <v>104</v>
      </c>
      <c r="E775">
        <v>1003</v>
      </c>
      <c r="F775" s="1">
        <v>44012</v>
      </c>
      <c r="G775" t="s">
        <v>248</v>
      </c>
      <c r="H775" s="4" t="s">
        <v>16</v>
      </c>
      <c r="I775" s="4">
        <v>-12375</v>
      </c>
      <c r="J775" s="4">
        <v>-12375</v>
      </c>
      <c r="K775" t="str">
        <f>_xlfn.XLOOKUP($C775,Table1[BusinessUnitID],Table1[BusinessUnit],"",0)</f>
        <v>HOTEL</v>
      </c>
      <c r="L775" t="str" cm="1">
        <f t="array" ref="L775">_xlfn.XLOOKUP($C775,Table1[[#All],[BusinessUnitID]],Table1[[#All],[Description]],"",0,1)</f>
        <v xml:space="preserve">Transactions related to guest rooms and overall hotel operations. Includes payroll for administrative staff, clerks and interns. </v>
      </c>
      <c r="M775" t="str">
        <f>_xlfn.XLOOKUP($B775,ChartOfAccounts!A774:A859,ChartOfAccounts!B774:B859,"",0,1)</f>
        <v/>
      </c>
      <c r="N775">
        <f>_xlfn.XLOOKUP($B775,ChartOfAccounts!A774:A859,ChartOfAccounts!D774:D859,0,1)</f>
        <v>0</v>
      </c>
      <c r="O775" t="str">
        <f>_xlfn.XLOOKUP($B775,ChartOfAccounts!A774:A859,ChartOfAccounts!F774:F859,"",0,1)</f>
        <v/>
      </c>
      <c r="P775" t="str" cm="1">
        <f t="array" ref="P775">_xlfn.XLOOKUP($D775&amp;$C775,PreparerInfo!A774:A786&amp;PreparerInfo!C774:C786,PreparerInfo!B774:B786,"",0,1)</f>
        <v/>
      </c>
      <c r="Q775" t="str">
        <f>_xlfn.XLOOKUP($E775,Source!A774:A782,Source!B774:B782,"",0,1)</f>
        <v/>
      </c>
    </row>
    <row r="776" spans="1:17" x14ac:dyDescent="0.3">
      <c r="A776" s="3">
        <v>2033907</v>
      </c>
      <c r="B776">
        <v>11845</v>
      </c>
      <c r="C776">
        <v>3</v>
      </c>
      <c r="D776" s="9">
        <v>102</v>
      </c>
      <c r="E776">
        <v>1003</v>
      </c>
      <c r="F776" s="1">
        <v>44012</v>
      </c>
      <c r="G776" t="s">
        <v>15</v>
      </c>
      <c r="H776" s="4">
        <v>75.52</v>
      </c>
      <c r="I776" s="4" t="s">
        <v>16</v>
      </c>
      <c r="J776" s="4">
        <v>75.52</v>
      </c>
      <c r="K776" t="str">
        <f>_xlfn.XLOOKUP($C776,Table1[BusinessUnitID],Table1[BusinessUnit],"",0)</f>
        <v>HOTEL PANTRY</v>
      </c>
      <c r="L776" t="str" cm="1">
        <f t="array" ref="L776">_xlfn.XLOOKUP($C776,Table1[[#All],[BusinessUnitID]],Table1[[#All],[Description]],"",0,1)</f>
        <v>Transactions related to the hotel convenience store, including some food and beverage costs.</v>
      </c>
      <c r="M776" t="str">
        <f>_xlfn.XLOOKUP($B776,ChartOfAccounts!A775:A860,ChartOfAccounts!B775:B860,"",0,1)</f>
        <v/>
      </c>
      <c r="N776">
        <f>_xlfn.XLOOKUP($B776,ChartOfAccounts!A775:A860,ChartOfAccounts!D775:D860,0,1)</f>
        <v>0</v>
      </c>
      <c r="O776" t="str">
        <f>_xlfn.XLOOKUP($B776,ChartOfAccounts!A775:A860,ChartOfAccounts!F775:F860,"",0,1)</f>
        <v/>
      </c>
      <c r="P776" t="str" cm="1">
        <f t="array" ref="P776">_xlfn.XLOOKUP($D776&amp;$C776,PreparerInfo!A775:A787&amp;PreparerInfo!C775:C787,PreparerInfo!B775:B787,"",0,1)</f>
        <v/>
      </c>
      <c r="Q776" t="str">
        <f>_xlfn.XLOOKUP($E776,Source!A775:A783,Source!B775:B783,"",0,1)</f>
        <v/>
      </c>
    </row>
    <row r="777" spans="1:17" x14ac:dyDescent="0.3">
      <c r="A777" s="3">
        <v>2033907</v>
      </c>
      <c r="B777">
        <v>43440</v>
      </c>
      <c r="C777">
        <v>3</v>
      </c>
      <c r="D777" s="9">
        <v>102</v>
      </c>
      <c r="E777">
        <v>1003</v>
      </c>
      <c r="F777" s="1">
        <v>44012</v>
      </c>
      <c r="G777" t="s">
        <v>15</v>
      </c>
      <c r="H777" s="4" t="s">
        <v>16</v>
      </c>
      <c r="I777" s="4">
        <v>-75.52</v>
      </c>
      <c r="J777" s="4">
        <v>-75.52</v>
      </c>
      <c r="K777" t="str">
        <f>_xlfn.XLOOKUP($C777,Table1[BusinessUnitID],Table1[BusinessUnit],"",0)</f>
        <v>HOTEL PANTRY</v>
      </c>
      <c r="L777" t="str" cm="1">
        <f t="array" ref="L777">_xlfn.XLOOKUP($C777,Table1[[#All],[BusinessUnitID]],Table1[[#All],[Description]],"",0,1)</f>
        <v>Transactions related to the hotel convenience store, including some food and beverage costs.</v>
      </c>
      <c r="M777" t="str">
        <f>_xlfn.XLOOKUP($B777,ChartOfAccounts!A776:A861,ChartOfAccounts!B776:B861,"",0,1)</f>
        <v/>
      </c>
      <c r="N777">
        <f>_xlfn.XLOOKUP($B777,ChartOfAccounts!A776:A861,ChartOfAccounts!D776:D861,0,1)</f>
        <v>0</v>
      </c>
      <c r="O777" t="str">
        <f>_xlfn.XLOOKUP($B777,ChartOfAccounts!A776:A861,ChartOfAccounts!F776:F861,"",0,1)</f>
        <v/>
      </c>
      <c r="P777" t="str" cm="1">
        <f t="array" ref="P777">_xlfn.XLOOKUP($D777&amp;$C777,PreparerInfo!A776:A788&amp;PreparerInfo!C776:C788,PreparerInfo!B776:B788,"",0,1)</f>
        <v/>
      </c>
      <c r="Q777" t="str">
        <f>_xlfn.XLOOKUP($E777,Source!A776:A784,Source!B776:B784,"",0,1)</f>
        <v/>
      </c>
    </row>
    <row r="778" spans="1:17" x14ac:dyDescent="0.3">
      <c r="A778" s="3">
        <v>2033908</v>
      </c>
      <c r="B778">
        <v>11845</v>
      </c>
      <c r="C778">
        <v>1</v>
      </c>
      <c r="D778" s="9">
        <v>102</v>
      </c>
      <c r="E778">
        <v>1003</v>
      </c>
      <c r="F778" s="1">
        <v>44012</v>
      </c>
      <c r="G778" t="s">
        <v>15</v>
      </c>
      <c r="H778" s="4">
        <v>478.89</v>
      </c>
      <c r="I778" s="4" t="s">
        <v>16</v>
      </c>
      <c r="J778" s="4">
        <v>478.89</v>
      </c>
      <c r="K778" t="str">
        <f>_xlfn.XLOOKUP($C778,Table1[BusinessUnitID],Table1[BusinessUnit],"",0)</f>
        <v>FOOD SERVICE</v>
      </c>
      <c r="L778" t="str" cm="1">
        <f t="array" ref="L778">_xlfn.XLOOKUP($C778,Table1[[#All],[BusinessUnitID]],Table1[[#All],[Description]],"",0,1)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78" t="str">
        <f>_xlfn.XLOOKUP($B778,ChartOfAccounts!A777:A862,ChartOfAccounts!B777:B862,"",0,1)</f>
        <v/>
      </c>
      <c r="N778">
        <f>_xlfn.XLOOKUP($B778,ChartOfAccounts!A777:A862,ChartOfAccounts!D777:D862,0,1)</f>
        <v>0</v>
      </c>
      <c r="O778" t="str">
        <f>_xlfn.XLOOKUP($B778,ChartOfAccounts!A777:A862,ChartOfAccounts!F777:F862,"",0,1)</f>
        <v/>
      </c>
      <c r="P778" t="str" cm="1">
        <f t="array" ref="P778">_xlfn.XLOOKUP($D778&amp;$C778,PreparerInfo!A777:A789&amp;PreparerInfo!C777:C789,PreparerInfo!B777:B789,"",0,1)</f>
        <v/>
      </c>
      <c r="Q778" t="str">
        <f>_xlfn.XLOOKUP($E778,Source!A777:A785,Source!B777:B785,"",0,1)</f>
        <v/>
      </c>
    </row>
    <row r="779" spans="1:17" x14ac:dyDescent="0.3">
      <c r="A779" s="3">
        <v>2033908</v>
      </c>
      <c r="B779">
        <v>43310</v>
      </c>
      <c r="C779">
        <v>1</v>
      </c>
      <c r="D779" s="9">
        <v>102</v>
      </c>
      <c r="E779">
        <v>1003</v>
      </c>
      <c r="F779" s="1">
        <v>44012</v>
      </c>
      <c r="G779" t="s">
        <v>15</v>
      </c>
      <c r="H779" s="4" t="s">
        <v>16</v>
      </c>
      <c r="I779" s="4">
        <v>-478.89</v>
      </c>
      <c r="J779" s="4">
        <v>-478.89</v>
      </c>
      <c r="K779" t="str">
        <f>_xlfn.XLOOKUP($C779,Table1[BusinessUnitID],Table1[BusinessUnit],"",0)</f>
        <v>FOOD SERVICE</v>
      </c>
      <c r="L779" t="str" cm="1">
        <f t="array" ref="L779">_xlfn.XLOOKUP($C779,Table1[[#All],[BusinessUnitID]],Table1[[#All],[Description]],"",0,1)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79" t="str">
        <f>_xlfn.XLOOKUP($B779,ChartOfAccounts!A778:A863,ChartOfAccounts!B778:B863,"",0,1)</f>
        <v/>
      </c>
      <c r="N779">
        <f>_xlfn.XLOOKUP($B779,ChartOfAccounts!A778:A863,ChartOfAccounts!D778:D863,0,1)</f>
        <v>0</v>
      </c>
      <c r="O779" t="str">
        <f>_xlfn.XLOOKUP($B779,ChartOfAccounts!A778:A863,ChartOfAccounts!F778:F863,"",0,1)</f>
        <v/>
      </c>
      <c r="P779" t="str" cm="1">
        <f t="array" ref="P779">_xlfn.XLOOKUP($D779&amp;$C779,PreparerInfo!A778:A790&amp;PreparerInfo!C778:C790,PreparerInfo!B778:B790,"",0,1)</f>
        <v/>
      </c>
      <c r="Q779" t="str">
        <f>_xlfn.XLOOKUP($E779,Source!A778:A786,Source!B778:B786,"",0,1)</f>
        <v/>
      </c>
    </row>
    <row r="780" spans="1:17" x14ac:dyDescent="0.3">
      <c r="A780" s="3">
        <v>2033909</v>
      </c>
      <c r="B780">
        <v>11845</v>
      </c>
      <c r="C780">
        <v>2</v>
      </c>
      <c r="D780" s="9">
        <v>104</v>
      </c>
      <c r="E780">
        <v>1003</v>
      </c>
      <c r="F780" s="1">
        <v>44012</v>
      </c>
      <c r="G780" t="s">
        <v>15</v>
      </c>
      <c r="H780" s="4">
        <v>1497</v>
      </c>
      <c r="I780" s="4" t="s">
        <v>16</v>
      </c>
      <c r="J780" s="4">
        <v>1497</v>
      </c>
      <c r="K780" t="str">
        <f>_xlfn.XLOOKUP($C780,Table1[BusinessUnitID],Table1[BusinessUnit],"",0)</f>
        <v>HOTEL</v>
      </c>
      <c r="L780" t="str" cm="1">
        <f t="array" ref="L780">_xlfn.XLOOKUP($C780,Table1[[#All],[BusinessUnitID]],Table1[[#All],[Description]],"",0,1)</f>
        <v xml:space="preserve">Transactions related to guest rooms and overall hotel operations. Includes payroll for administrative staff, clerks and interns. </v>
      </c>
      <c r="M780" t="str">
        <f>_xlfn.XLOOKUP($B780,ChartOfAccounts!A779:A864,ChartOfAccounts!B779:B864,"",0,1)</f>
        <v/>
      </c>
      <c r="N780">
        <f>_xlfn.XLOOKUP($B780,ChartOfAccounts!A779:A864,ChartOfAccounts!D779:D864,0,1)</f>
        <v>0</v>
      </c>
      <c r="O780" t="str">
        <f>_xlfn.XLOOKUP($B780,ChartOfAccounts!A779:A864,ChartOfAccounts!F779:F864,"",0,1)</f>
        <v/>
      </c>
      <c r="P780" t="str" cm="1">
        <f t="array" ref="P780">_xlfn.XLOOKUP($D780&amp;$C780,PreparerInfo!A779:A791&amp;PreparerInfo!C779:C791,PreparerInfo!B779:B791,"",0,1)</f>
        <v/>
      </c>
      <c r="Q780" t="str">
        <f>_xlfn.XLOOKUP($E780,Source!A779:A787,Source!B779:B787,"",0,1)</f>
        <v/>
      </c>
    </row>
    <row r="781" spans="1:17" x14ac:dyDescent="0.3">
      <c r="A781" s="3">
        <v>2033909</v>
      </c>
      <c r="B781">
        <v>43180</v>
      </c>
      <c r="C781">
        <v>2</v>
      </c>
      <c r="D781" s="9">
        <v>104</v>
      </c>
      <c r="E781">
        <v>1003</v>
      </c>
      <c r="F781" s="1">
        <v>44012</v>
      </c>
      <c r="G781" t="s">
        <v>15</v>
      </c>
      <c r="H781" s="4" t="s">
        <v>16</v>
      </c>
      <c r="I781" s="4">
        <v>-1497</v>
      </c>
      <c r="J781" s="4">
        <v>-1497</v>
      </c>
      <c r="K781" t="str">
        <f>_xlfn.XLOOKUP($C781,Table1[BusinessUnitID],Table1[BusinessUnit],"",0)</f>
        <v>HOTEL</v>
      </c>
      <c r="L781" t="str" cm="1">
        <f t="array" ref="L781">_xlfn.XLOOKUP($C781,Table1[[#All],[BusinessUnitID]],Table1[[#All],[Description]],"",0,1)</f>
        <v xml:space="preserve">Transactions related to guest rooms and overall hotel operations. Includes payroll for administrative staff, clerks and interns. </v>
      </c>
      <c r="M781" t="str">
        <f>_xlfn.XLOOKUP($B781,ChartOfAccounts!A780:A865,ChartOfAccounts!B780:B865,"",0,1)</f>
        <v/>
      </c>
      <c r="N781">
        <f>_xlfn.XLOOKUP($B781,ChartOfAccounts!A780:A865,ChartOfAccounts!D780:D865,0,1)</f>
        <v>0</v>
      </c>
      <c r="O781" t="str">
        <f>_xlfn.XLOOKUP($B781,ChartOfAccounts!A780:A865,ChartOfAccounts!F780:F865,"",0,1)</f>
        <v/>
      </c>
      <c r="P781" t="str" cm="1">
        <f t="array" ref="P781">_xlfn.XLOOKUP($D781&amp;$C781,PreparerInfo!A780:A792&amp;PreparerInfo!C780:C792,PreparerInfo!B780:B792,"",0,1)</f>
        <v/>
      </c>
      <c r="Q781" t="str">
        <f>_xlfn.XLOOKUP($E781,Source!A780:A788,Source!B780:B788,"",0,1)</f>
        <v/>
      </c>
    </row>
    <row r="782" spans="1:17" x14ac:dyDescent="0.3">
      <c r="A782" s="3">
        <v>2033910</v>
      </c>
      <c r="B782">
        <v>40910</v>
      </c>
      <c r="C782">
        <v>5</v>
      </c>
      <c r="D782" s="9">
        <v>103</v>
      </c>
      <c r="E782">
        <v>1008</v>
      </c>
      <c r="F782" s="1">
        <v>44012</v>
      </c>
      <c r="G782" t="s">
        <v>281</v>
      </c>
      <c r="H782" s="4">
        <v>6770.96</v>
      </c>
      <c r="I782" s="4" t="s">
        <v>16</v>
      </c>
      <c r="J782" s="4">
        <v>6770.96</v>
      </c>
      <c r="K782" t="str">
        <f>_xlfn.XLOOKUP($C782,Table1[BusinessUnitID],Table1[BusinessUnit],"",0)</f>
        <v>INTEREST</v>
      </c>
      <c r="L782" t="str" cm="1">
        <f t="array" ref="L782">_xlfn.XLOOKUP($C782,Table1[[#All],[BusinessUnitID]],Table1[[#All],[Description]],"",0,1)</f>
        <v>Interest from the cash operations account.</v>
      </c>
      <c r="M782" t="str">
        <f>_xlfn.XLOOKUP($B782,ChartOfAccounts!A781:A866,ChartOfAccounts!B781:B866,"",0,1)</f>
        <v/>
      </c>
      <c r="N782">
        <f>_xlfn.XLOOKUP($B782,ChartOfAccounts!A781:A866,ChartOfAccounts!D781:D866,0,1)</f>
        <v>0</v>
      </c>
      <c r="O782" t="str">
        <f>_xlfn.XLOOKUP($B782,ChartOfAccounts!A781:A866,ChartOfAccounts!F781:F866,"",0,1)</f>
        <v/>
      </c>
      <c r="P782" t="str" cm="1">
        <f t="array" ref="P782">_xlfn.XLOOKUP($D782&amp;$C782,PreparerInfo!A781:A793&amp;PreparerInfo!C781:C793,PreparerInfo!B781:B793,"",0,1)</f>
        <v/>
      </c>
      <c r="Q782" t="str">
        <f>_xlfn.XLOOKUP($E782,Source!A781:A789,Source!B781:B789,"",0,1)</f>
        <v/>
      </c>
    </row>
    <row r="783" spans="1:17" x14ac:dyDescent="0.3">
      <c r="A783" s="3">
        <v>2033910</v>
      </c>
      <c r="B783">
        <v>40910</v>
      </c>
      <c r="C783">
        <v>2</v>
      </c>
      <c r="D783" s="9">
        <v>103</v>
      </c>
      <c r="E783">
        <v>1008</v>
      </c>
      <c r="F783" s="1">
        <v>44012</v>
      </c>
      <c r="G783" t="s">
        <v>249</v>
      </c>
      <c r="H783" s="4" t="s">
        <v>16</v>
      </c>
      <c r="I783" s="4">
        <v>-3385.48</v>
      </c>
      <c r="J783" s="4">
        <v>-3385.48</v>
      </c>
      <c r="K783" t="str">
        <f>_xlfn.XLOOKUP($C783,Table1[BusinessUnitID],Table1[BusinessUnit],"",0)</f>
        <v>HOTEL</v>
      </c>
      <c r="L783" t="str" cm="1">
        <f t="array" ref="L783">_xlfn.XLOOKUP($C783,Table1[[#All],[BusinessUnitID]],Table1[[#All],[Description]],"",0,1)</f>
        <v xml:space="preserve">Transactions related to guest rooms and overall hotel operations. Includes payroll for administrative staff, clerks and interns. </v>
      </c>
      <c r="M783" t="str">
        <f>_xlfn.XLOOKUP($B783,ChartOfAccounts!A782:A867,ChartOfAccounts!B782:B867,"",0,1)</f>
        <v/>
      </c>
      <c r="N783">
        <f>_xlfn.XLOOKUP($B783,ChartOfAccounts!A782:A867,ChartOfAccounts!D782:D867,0,1)</f>
        <v>0</v>
      </c>
      <c r="O783" t="str">
        <f>_xlfn.XLOOKUP($B783,ChartOfAccounts!A782:A867,ChartOfAccounts!F782:F867,"",0,1)</f>
        <v/>
      </c>
      <c r="P783" t="str" cm="1">
        <f t="array" ref="P783">_xlfn.XLOOKUP($D783&amp;$C783,PreparerInfo!A782:A794&amp;PreparerInfo!C782:C794,PreparerInfo!B782:B794,"",0,1)</f>
        <v/>
      </c>
      <c r="Q783" t="str">
        <f>_xlfn.XLOOKUP($E783,Source!A782:A790,Source!B782:B790,"",0,1)</f>
        <v/>
      </c>
    </row>
    <row r="784" spans="1:17" x14ac:dyDescent="0.3">
      <c r="A784" s="3">
        <v>2033910</v>
      </c>
      <c r="B784">
        <v>40910</v>
      </c>
      <c r="C784">
        <v>1</v>
      </c>
      <c r="D784" s="9">
        <v>103</v>
      </c>
      <c r="E784">
        <v>1008</v>
      </c>
      <c r="F784" s="1">
        <v>44012</v>
      </c>
      <c r="G784" t="s">
        <v>249</v>
      </c>
      <c r="H784" s="4" t="s">
        <v>16</v>
      </c>
      <c r="I784" s="4">
        <v>-3385.48</v>
      </c>
      <c r="J784" s="4">
        <v>-3385.48</v>
      </c>
      <c r="K784" t="str">
        <f>_xlfn.XLOOKUP($C784,Table1[BusinessUnitID],Table1[BusinessUnit],"",0)</f>
        <v>FOOD SERVICE</v>
      </c>
      <c r="L784" t="str" cm="1">
        <f t="array" ref="L784">_xlfn.XLOOKUP($C784,Table1[[#All],[BusinessUnitID]],Table1[[#All],[Description]],"",0,1)</f>
        <v xml:space="preserve">Transactions related to food and beverage service. Includes all guest transactions in the hotel restaurants, catering-related transactions and food service payroll. </v>
      </c>
      <c r="M784" t="str">
        <f>_xlfn.XLOOKUP($B784,ChartOfAccounts!A783:A868,ChartOfAccounts!B783:B868,"",0,1)</f>
        <v/>
      </c>
      <c r="N784">
        <f>_xlfn.XLOOKUP($B784,ChartOfAccounts!A783:A868,ChartOfAccounts!D783:D868,0,1)</f>
        <v>0</v>
      </c>
      <c r="O784" t="str">
        <f>_xlfn.XLOOKUP($B784,ChartOfAccounts!A783:A868,ChartOfAccounts!F783:F868,"",0,1)</f>
        <v/>
      </c>
      <c r="P784" t="str" cm="1">
        <f t="array" ref="P784">_xlfn.XLOOKUP($D784&amp;$C784,PreparerInfo!A783:A795&amp;PreparerInfo!C783:C795,PreparerInfo!B783:B795,"",0,1)</f>
        <v/>
      </c>
      <c r="Q784" t="str">
        <f>_xlfn.XLOOKUP($E784,Source!A783:A791,Source!B783:B791,"",0,1)</f>
        <v/>
      </c>
    </row>
    <row r="785" spans="1:17" x14ac:dyDescent="0.3">
      <c r="A785" s="3">
        <v>2033911</v>
      </c>
      <c r="B785">
        <v>86100</v>
      </c>
      <c r="C785">
        <v>7</v>
      </c>
      <c r="D785" s="9">
        <v>103</v>
      </c>
      <c r="E785">
        <v>1008</v>
      </c>
      <c r="F785" s="1">
        <v>44012</v>
      </c>
      <c r="G785" t="s">
        <v>103</v>
      </c>
      <c r="H785" s="4">
        <v>66957.22</v>
      </c>
      <c r="I785" s="4" t="s">
        <v>16</v>
      </c>
      <c r="J785" s="4">
        <v>66957.22</v>
      </c>
      <c r="K785" t="str">
        <f>_xlfn.XLOOKUP($C785,Table1[BusinessUnitID],Table1[BusinessUnit],"",0)</f>
        <v>OPER - GENERAL</v>
      </c>
      <c r="L785" t="str" cm="1">
        <f t="array" ref="L785">_xlfn.XLOOKUP($C785,Table1[[#All],[BusinessUnitID]],Table1[[#All],[Description]],"",0,1)</f>
        <v>Transactions related to corporate accounting functions, e.g., monthly depreciation entries.</v>
      </c>
      <c r="M785" t="str">
        <f>_xlfn.XLOOKUP($B785,ChartOfAccounts!A784:A869,ChartOfAccounts!B784:B869,"",0,1)</f>
        <v/>
      </c>
      <c r="N785">
        <f>_xlfn.XLOOKUP($B785,ChartOfAccounts!A784:A869,ChartOfAccounts!D784:D869,0,1)</f>
        <v>0</v>
      </c>
      <c r="O785" t="str">
        <f>_xlfn.XLOOKUP($B785,ChartOfAccounts!A784:A869,ChartOfAccounts!F784:F869,"",0,1)</f>
        <v/>
      </c>
      <c r="P785" t="str" cm="1">
        <f t="array" ref="P785">_xlfn.XLOOKUP($D785&amp;$C785,PreparerInfo!A784:A796&amp;PreparerInfo!C784:C796,PreparerInfo!B784:B796,"",0,1)</f>
        <v/>
      </c>
      <c r="Q785" t="str">
        <f>_xlfn.XLOOKUP($E785,Source!A784:A792,Source!B784:B792,"",0,1)</f>
        <v/>
      </c>
    </row>
    <row r="786" spans="1:17" x14ac:dyDescent="0.3">
      <c r="A786" s="3">
        <v>2033911</v>
      </c>
      <c r="B786">
        <v>16290</v>
      </c>
      <c r="C786">
        <v>7</v>
      </c>
      <c r="D786" s="9">
        <v>103</v>
      </c>
      <c r="E786">
        <v>1008</v>
      </c>
      <c r="F786" s="1">
        <v>44012</v>
      </c>
      <c r="G786" t="s">
        <v>103</v>
      </c>
      <c r="H786" s="4" t="s">
        <v>16</v>
      </c>
      <c r="I786" s="4">
        <v>-66957.22</v>
      </c>
      <c r="J786" s="4">
        <v>-66957.22</v>
      </c>
      <c r="K786" t="str">
        <f>_xlfn.XLOOKUP($C786,Table1[BusinessUnitID],Table1[BusinessUnit],"",0)</f>
        <v>OPER - GENERAL</v>
      </c>
      <c r="L786" t="str" cm="1">
        <f t="array" ref="L786">_xlfn.XLOOKUP($C786,Table1[[#All],[BusinessUnitID]],Table1[[#All],[Description]],"",0,1)</f>
        <v>Transactions related to corporate accounting functions, e.g., monthly depreciation entries.</v>
      </c>
      <c r="M786" t="str">
        <f>_xlfn.XLOOKUP($B786,ChartOfAccounts!A785:A870,ChartOfAccounts!B785:B870,"",0,1)</f>
        <v/>
      </c>
      <c r="N786">
        <f>_xlfn.XLOOKUP($B786,ChartOfAccounts!A785:A870,ChartOfAccounts!D785:D870,0,1)</f>
        <v>0</v>
      </c>
      <c r="O786" t="str">
        <f>_xlfn.XLOOKUP($B786,ChartOfAccounts!A785:A870,ChartOfAccounts!F785:F870,"",0,1)</f>
        <v/>
      </c>
      <c r="P786" t="str" cm="1">
        <f t="array" ref="P786">_xlfn.XLOOKUP($D786&amp;$C786,PreparerInfo!A785:A797&amp;PreparerInfo!C785:C797,PreparerInfo!B785:B797,"",0,1)</f>
        <v/>
      </c>
      <c r="Q786" t="str">
        <f>_xlfn.XLOOKUP($E786,Source!A785:A793,Source!B785:B793,"",0,1)</f>
        <v/>
      </c>
    </row>
    <row r="787" spans="1:17" x14ac:dyDescent="0.3">
      <c r="A787" s="3">
        <v>2033912</v>
      </c>
      <c r="B787">
        <v>86200</v>
      </c>
      <c r="C787">
        <v>7</v>
      </c>
      <c r="D787" s="9">
        <v>103</v>
      </c>
      <c r="E787">
        <v>1008</v>
      </c>
      <c r="F787" s="1">
        <v>44012</v>
      </c>
      <c r="G787" t="s">
        <v>108</v>
      </c>
      <c r="H787" s="4">
        <v>12035.24</v>
      </c>
      <c r="I787" s="4" t="s">
        <v>16</v>
      </c>
      <c r="J787" s="4">
        <v>12035.24</v>
      </c>
      <c r="K787" t="str">
        <f>_xlfn.XLOOKUP($C787,Table1[BusinessUnitID],Table1[BusinessUnit],"",0)</f>
        <v>OPER - GENERAL</v>
      </c>
      <c r="L787" t="str" cm="1">
        <f t="array" ref="L787">_xlfn.XLOOKUP($C787,Table1[[#All],[BusinessUnitID]],Table1[[#All],[Description]],"",0,1)</f>
        <v>Transactions related to corporate accounting functions, e.g., monthly depreciation entries.</v>
      </c>
      <c r="M787" t="str">
        <f>_xlfn.XLOOKUP($B787,ChartOfAccounts!A786:A871,ChartOfAccounts!B786:B871,"",0,1)</f>
        <v/>
      </c>
      <c r="N787">
        <f>_xlfn.XLOOKUP($B787,ChartOfAccounts!A786:A871,ChartOfAccounts!D786:D871,0,1)</f>
        <v>0</v>
      </c>
      <c r="O787" t="str">
        <f>_xlfn.XLOOKUP($B787,ChartOfAccounts!A786:A871,ChartOfAccounts!F786:F871,"",0,1)</f>
        <v/>
      </c>
      <c r="P787" t="str" cm="1">
        <f t="array" ref="P787">_xlfn.XLOOKUP($D787&amp;$C787,PreparerInfo!A786:A798&amp;PreparerInfo!C786:C798,PreparerInfo!B786:B798,"",0,1)</f>
        <v/>
      </c>
      <c r="Q787" t="str">
        <f>_xlfn.XLOOKUP($E787,Source!A786:A794,Source!B786:B794,"",0,1)</f>
        <v/>
      </c>
    </row>
    <row r="788" spans="1:17" x14ac:dyDescent="0.3">
      <c r="A788" s="3">
        <v>2033912</v>
      </c>
      <c r="B788">
        <v>16590</v>
      </c>
      <c r="C788">
        <v>7</v>
      </c>
      <c r="D788" s="9">
        <v>103</v>
      </c>
      <c r="E788">
        <v>1008</v>
      </c>
      <c r="F788" s="1">
        <v>44012</v>
      </c>
      <c r="G788" t="s">
        <v>108</v>
      </c>
      <c r="H788" s="4" t="s">
        <v>16</v>
      </c>
      <c r="I788" s="4">
        <v>-12035.24</v>
      </c>
      <c r="J788" s="4">
        <v>-12035.24</v>
      </c>
      <c r="K788" t="str">
        <f>_xlfn.XLOOKUP($C788,Table1[BusinessUnitID],Table1[BusinessUnit],"",0)</f>
        <v>OPER - GENERAL</v>
      </c>
      <c r="L788" t="str" cm="1">
        <f t="array" ref="L788">_xlfn.XLOOKUP($C788,Table1[[#All],[BusinessUnitID]],Table1[[#All],[Description]],"",0,1)</f>
        <v>Transactions related to corporate accounting functions, e.g., monthly depreciation entries.</v>
      </c>
      <c r="M788" t="str">
        <f>_xlfn.XLOOKUP($B788,ChartOfAccounts!A787:A872,ChartOfAccounts!B787:B872,"",0,1)</f>
        <v/>
      </c>
      <c r="N788">
        <f>_xlfn.XLOOKUP($B788,ChartOfAccounts!A787:A872,ChartOfAccounts!D787:D872,0,1)</f>
        <v>0</v>
      </c>
      <c r="O788" t="str">
        <f>_xlfn.XLOOKUP($B788,ChartOfAccounts!A787:A872,ChartOfAccounts!F787:F872,"",0,1)</f>
        <v/>
      </c>
      <c r="P788" t="str" cm="1">
        <f t="array" ref="P788">_xlfn.XLOOKUP($D788&amp;$C788,PreparerInfo!A787:A799&amp;PreparerInfo!C787:C799,PreparerInfo!B787:B799,"",0,1)</f>
        <v/>
      </c>
      <c r="Q788" t="str">
        <f>_xlfn.XLOOKUP($E788,Source!A787:A795,Source!B787:B795,"",0,1)</f>
        <v/>
      </c>
    </row>
    <row r="789" spans="1:17" x14ac:dyDescent="0.3">
      <c r="A789" s="3">
        <v>2033913</v>
      </c>
      <c r="B789">
        <v>22110</v>
      </c>
      <c r="C789">
        <v>8</v>
      </c>
      <c r="D789" s="9">
        <v>103</v>
      </c>
      <c r="E789">
        <v>1002</v>
      </c>
      <c r="F789" s="1">
        <v>44012</v>
      </c>
      <c r="G789" t="s">
        <v>31</v>
      </c>
      <c r="H789" s="4">
        <v>57357.63</v>
      </c>
      <c r="I789" s="4" t="s">
        <v>16</v>
      </c>
      <c r="J789" s="4">
        <v>57357.63</v>
      </c>
      <c r="K789" t="str">
        <f>_xlfn.XLOOKUP($C789,Table1[BusinessUnitID],Table1[BusinessUnit],"",0)</f>
        <v>PAYROLL S/B JV</v>
      </c>
      <c r="L789" t="str" cm="1">
        <f t="array" ref="L789">_xlfn.XLOOKUP($C789,Table1[[#All],[BusinessUnitID]],Table1[[#All],[Description]],"",0,1)</f>
        <v>Transactions related to payroll for employees.</v>
      </c>
      <c r="M789" t="str">
        <f>_xlfn.XLOOKUP($B789,ChartOfAccounts!A788:A873,ChartOfAccounts!B788:B873,"",0,1)</f>
        <v/>
      </c>
      <c r="N789">
        <f>_xlfn.XLOOKUP($B789,ChartOfAccounts!A788:A873,ChartOfAccounts!D788:D873,0,1)</f>
        <v>0</v>
      </c>
      <c r="O789" t="str">
        <f>_xlfn.XLOOKUP($B789,ChartOfAccounts!A788:A873,ChartOfAccounts!F788:F873,"",0,1)</f>
        <v/>
      </c>
      <c r="P789" t="str" cm="1">
        <f t="array" ref="P789">_xlfn.XLOOKUP($D789&amp;$C789,PreparerInfo!A788:A800&amp;PreparerInfo!C788:C800,PreparerInfo!B788:B800,"",0,1)</f>
        <v/>
      </c>
      <c r="Q789" t="str">
        <f>_xlfn.XLOOKUP($E789,Source!A788:A796,Source!B788:B796,"",0,1)</f>
        <v/>
      </c>
    </row>
    <row r="790" spans="1:17" x14ac:dyDescent="0.3">
      <c r="A790" s="3">
        <v>2033913</v>
      </c>
      <c r="B790">
        <v>11845</v>
      </c>
      <c r="C790">
        <v>8</v>
      </c>
      <c r="D790" s="9">
        <v>103</v>
      </c>
      <c r="E790">
        <v>1002</v>
      </c>
      <c r="F790" s="1">
        <v>44012</v>
      </c>
      <c r="G790" t="s">
        <v>31</v>
      </c>
      <c r="H790" s="4" t="s">
        <v>16</v>
      </c>
      <c r="I790" s="4">
        <v>-57357.63</v>
      </c>
      <c r="J790" s="4">
        <v>-57357.63</v>
      </c>
      <c r="K790" t="str">
        <f>_xlfn.XLOOKUP($C790,Table1[BusinessUnitID],Table1[BusinessUnit],"",0)</f>
        <v>PAYROLL S/B JV</v>
      </c>
      <c r="L790" t="str" cm="1">
        <f t="array" ref="L790">_xlfn.XLOOKUP($C790,Table1[[#All],[BusinessUnitID]],Table1[[#All],[Description]],"",0,1)</f>
        <v>Transactions related to payroll for employees.</v>
      </c>
      <c r="M790" t="str">
        <f>_xlfn.XLOOKUP($B790,ChartOfAccounts!A789:A874,ChartOfAccounts!B789:B874,"",0,1)</f>
        <v/>
      </c>
      <c r="N790">
        <f>_xlfn.XLOOKUP($B790,ChartOfAccounts!A789:A874,ChartOfAccounts!D789:D874,0,1)</f>
        <v>0</v>
      </c>
      <c r="O790" t="str">
        <f>_xlfn.XLOOKUP($B790,ChartOfAccounts!A789:A874,ChartOfAccounts!F789:F874,"",0,1)</f>
        <v/>
      </c>
      <c r="P790" t="str" cm="1">
        <f t="array" ref="P790">_xlfn.XLOOKUP($D790&amp;$C790,PreparerInfo!A789:A801&amp;PreparerInfo!C789:C801,PreparerInfo!B789:B801,"",0,1)</f>
        <v/>
      </c>
      <c r="Q790" t="str">
        <f>_xlfn.XLOOKUP($E790,Source!A789:A797,Source!B789:B797,"",0,1)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853DB-2FEA-426D-B7CB-D802E5CE6325}">
  <dimension ref="A1:Q790"/>
  <sheetViews>
    <sheetView tabSelected="1" workbookViewId="0">
      <selection activeCell="R14" sqref="R14"/>
    </sheetView>
  </sheetViews>
  <sheetFormatPr defaultRowHeight="14.4" x14ac:dyDescent="0.3"/>
  <cols>
    <col min="3" max="3" width="13.21875" bestFit="1" customWidth="1"/>
    <col min="6" max="6" width="11.21875" bestFit="1" customWidth="1"/>
    <col min="12" max="12" width="16.88671875" customWidth="1"/>
  </cols>
  <sheetData>
    <row r="1" spans="1:17" x14ac:dyDescent="0.3">
      <c r="A1" t="s">
        <v>0</v>
      </c>
      <c r="B1" t="s">
        <v>1</v>
      </c>
      <c r="C1" t="s">
        <v>285</v>
      </c>
      <c r="D1" s="2" t="s">
        <v>3</v>
      </c>
      <c r="E1" t="s">
        <v>287</v>
      </c>
      <c r="F1" s="1" t="s">
        <v>2</v>
      </c>
      <c r="G1" t="s">
        <v>6</v>
      </c>
      <c r="H1" s="4" t="s">
        <v>7</v>
      </c>
      <c r="I1" s="4" t="s">
        <v>8</v>
      </c>
      <c r="J1" s="4" t="s">
        <v>9</v>
      </c>
      <c r="K1" t="s">
        <v>5</v>
      </c>
      <c r="L1" t="s">
        <v>300</v>
      </c>
      <c r="M1" t="s">
        <v>12</v>
      </c>
      <c r="N1" t="s">
        <v>10</v>
      </c>
      <c r="O1" t="s">
        <v>11</v>
      </c>
      <c r="P1" s="2" t="s">
        <v>286</v>
      </c>
      <c r="Q1" t="s">
        <v>4</v>
      </c>
    </row>
    <row r="2" spans="1:17" x14ac:dyDescent="0.3">
      <c r="A2" s="3">
        <v>2033520</v>
      </c>
      <c r="B2">
        <v>76930</v>
      </c>
      <c r="C2">
        <v>1</v>
      </c>
      <c r="D2" s="9">
        <v>101</v>
      </c>
      <c r="E2">
        <v>1002</v>
      </c>
      <c r="F2" s="1">
        <v>44002</v>
      </c>
      <c r="G2" t="s">
        <v>212</v>
      </c>
      <c r="H2" s="4">
        <v>36.9</v>
      </c>
      <c r="I2" s="4" t="s">
        <v>16</v>
      </c>
      <c r="J2" s="4">
        <v>36.9</v>
      </c>
      <c r="K2" t="str">
        <f>VLOOKUP($C2,Table1[#All],2,FALSE)</f>
        <v>FOOD SERVICE</v>
      </c>
      <c r="L2" t="str">
        <f>VLOOKUP($C2,Table1[#All],3,FALSE)</f>
        <v xml:space="preserve">Transactions related to food and beverage service. Includes all guest transactions in the hotel restaurants, catering-related transactions and food service payroll. </v>
      </c>
      <c r="M2" t="str">
        <f>IFERROR(VLOOKUP($B2,ChartOfAccounts!A1:B86,2,FALSE),"")</f>
        <v>Telecommunications - Other</v>
      </c>
      <c r="N2" t="str">
        <f>IFERROR(VLOOKUP($B2,ChartOfAccounts!C1:D86,2,FALSE),"")</f>
        <v>Expenses</v>
      </c>
      <c r="O2" t="str">
        <f>IFERROR(VLOOKUP($B2,ChartOfAccounts!E1:F86,2,FALSE),"")</f>
        <v>SG&amp;A</v>
      </c>
      <c r="P2" t="str">
        <f>IFERROR(VLOOKUP(D2,PreparerInfo!A1:B13,2,FALSE),"")</f>
        <v xml:space="preserve">Carolyn Slater|Food Operations Manager       </v>
      </c>
      <c r="Q2" t="str">
        <f>IFERROR(VLOOKUP(E2,Source!A1:B9,2,FALSE),"")</f>
        <v>CHECK</v>
      </c>
    </row>
    <row r="3" spans="1:17" x14ac:dyDescent="0.3">
      <c r="A3" s="3">
        <v>2033520</v>
      </c>
      <c r="B3">
        <v>11845</v>
      </c>
      <c r="C3">
        <v>1</v>
      </c>
      <c r="D3" s="9">
        <v>101</v>
      </c>
      <c r="E3">
        <v>1002</v>
      </c>
      <c r="F3" s="1">
        <v>44002</v>
      </c>
      <c r="G3" t="s">
        <v>212</v>
      </c>
      <c r="H3" s="4" t="s">
        <v>16</v>
      </c>
      <c r="I3" s="4">
        <v>-36.9</v>
      </c>
      <c r="J3" s="4">
        <v>-36.9</v>
      </c>
      <c r="K3" t="str">
        <f>VLOOKUP($C3,Table1[#All],2,FALSE)</f>
        <v>FOOD SERVICE</v>
      </c>
      <c r="L3" t="str">
        <f>VLOOKUP($C3,Table1[#All],3,FALSE)</f>
        <v xml:space="preserve">Transactions related to food and beverage service. Includes all guest transactions in the hotel restaurants, catering-related transactions and food service payroll. </v>
      </c>
      <c r="M3" t="str">
        <f>IFERROR(VLOOKUP($B3,ChartOfAccounts!A2:B87,2,FALSE),"")</f>
        <v>Operating Bank Account</v>
      </c>
      <c r="N3" t="str">
        <f>IFERROR(VLOOKUP($B3,ChartOfAccounts!C2:D87,2,FALSE),"")</f>
        <v>Assets</v>
      </c>
      <c r="O3" t="str">
        <f>IFERROR(VLOOKUP($B3,ChartOfAccounts!E2:F87,2,FALSE),"")</f>
        <v>Cash</v>
      </c>
      <c r="P3" t="str">
        <f>IFERROR(VLOOKUP(D3,PreparerInfo!A2:B14,2,FALSE),"")</f>
        <v xml:space="preserve">Carolyn Slater|Food Operations Manager       </v>
      </c>
      <c r="Q3" t="str">
        <f>IFERROR(VLOOKUP(E3,Source!A2:B10,2,FALSE),"")</f>
        <v>CHECK</v>
      </c>
    </row>
    <row r="4" spans="1:17" x14ac:dyDescent="0.3">
      <c r="A4" s="3">
        <v>2033521</v>
      </c>
      <c r="B4">
        <v>11845</v>
      </c>
      <c r="C4">
        <v>3</v>
      </c>
      <c r="D4" s="9">
        <v>102</v>
      </c>
      <c r="E4">
        <v>1001</v>
      </c>
      <c r="F4" s="1">
        <v>44002</v>
      </c>
      <c r="G4" t="s">
        <v>41</v>
      </c>
      <c r="H4" s="4">
        <v>63.1</v>
      </c>
      <c r="I4" s="4" t="s">
        <v>16</v>
      </c>
      <c r="J4" s="4">
        <v>63.1</v>
      </c>
      <c r="K4" t="str">
        <f>VLOOKUP($C4,Table1[#All],2,FALSE)</f>
        <v>HOTEL PANTRY</v>
      </c>
      <c r="L4" t="str">
        <f>VLOOKUP($C4,Table1[#All],3,FALSE)</f>
        <v>Transactions related to the hotel convenience store, including some food and beverage costs.</v>
      </c>
      <c r="M4" t="str">
        <f>IFERROR(VLOOKUP($B4,ChartOfAccounts!A3:B88,2,FALSE),"")</f>
        <v>Operating Bank Account</v>
      </c>
      <c r="N4" t="str">
        <f>IFERROR(VLOOKUP($B4,ChartOfAccounts!C3:D88,2,FALSE),"")</f>
        <v>Assets</v>
      </c>
      <c r="O4" t="str">
        <f>IFERROR(VLOOKUP($B4,ChartOfAccounts!E3:F88,2,FALSE),"")</f>
        <v>Cash</v>
      </c>
      <c r="P4" t="str">
        <f>IFERROR(VLOOKUP(D4,PreparerInfo!A3:B15,2,FALSE),"")</f>
        <v xml:space="preserve">Elizabeth Rees|Food Operations Manager       </v>
      </c>
      <c r="Q4" t="str">
        <f>IFERROR(VLOOKUP(E4,Source!A3:B11,2,FALSE),"")</f>
        <v/>
      </c>
    </row>
    <row r="5" spans="1:17" x14ac:dyDescent="0.3">
      <c r="A5" s="3">
        <v>2033521</v>
      </c>
      <c r="B5">
        <v>43440</v>
      </c>
      <c r="C5">
        <v>3</v>
      </c>
      <c r="D5" s="9">
        <v>102</v>
      </c>
      <c r="E5">
        <v>1001</v>
      </c>
      <c r="F5" s="1">
        <v>44002</v>
      </c>
      <c r="G5" t="s">
        <v>41</v>
      </c>
      <c r="H5" s="4" t="s">
        <v>16</v>
      </c>
      <c r="I5" s="4">
        <v>-63.1</v>
      </c>
      <c r="J5" s="4">
        <v>-63.1</v>
      </c>
      <c r="K5" t="str">
        <f>VLOOKUP($C5,Table1[#All],2,FALSE)</f>
        <v>HOTEL PANTRY</v>
      </c>
      <c r="L5" t="str">
        <f>VLOOKUP($C5,Table1[#All],3,FALSE)</f>
        <v>Transactions related to the hotel convenience store, including some food and beverage costs.</v>
      </c>
      <c r="M5" t="str">
        <f>IFERROR(VLOOKUP($B5,ChartOfAccounts!A4:B89,2,FALSE),"")</f>
        <v>Sales - Other</v>
      </c>
      <c r="N5" t="str">
        <f>IFERROR(VLOOKUP($B5,ChartOfAccounts!C4:D89,2,FALSE),"")</f>
        <v>Revenue</v>
      </c>
      <c r="O5" t="str">
        <f>IFERROR(VLOOKUP($B5,ChartOfAccounts!E4:F89,2,FALSE),"")</f>
        <v>Sales-Other</v>
      </c>
      <c r="P5" t="str">
        <f>IFERROR(VLOOKUP(D5,PreparerInfo!A4:B16,2,FALSE),"")</f>
        <v xml:space="preserve">Elizabeth Rees|Food Operations Manager       </v>
      </c>
      <c r="Q5" t="str">
        <f>IFERROR(VLOOKUP(E5,Source!A4:B12,2,FALSE),"")</f>
        <v/>
      </c>
    </row>
    <row r="6" spans="1:17" x14ac:dyDescent="0.3">
      <c r="A6" s="3">
        <v>2033522</v>
      </c>
      <c r="B6">
        <v>11845</v>
      </c>
      <c r="C6">
        <v>1</v>
      </c>
      <c r="D6" s="9">
        <v>102</v>
      </c>
      <c r="E6">
        <v>1003</v>
      </c>
      <c r="F6" s="1">
        <v>44002</v>
      </c>
      <c r="G6" t="s">
        <v>15</v>
      </c>
      <c r="H6" s="4">
        <v>68.28</v>
      </c>
      <c r="I6" s="4" t="s">
        <v>16</v>
      </c>
      <c r="J6" s="4">
        <v>68.28</v>
      </c>
      <c r="K6" t="str">
        <f>VLOOKUP($C6,Table1[#All],2,FALSE)</f>
        <v>FOOD SERVICE</v>
      </c>
      <c r="L6" t="str">
        <f>VLOOKUP($C6,Table1[#All],3,FALSE)</f>
        <v xml:space="preserve">Transactions related to food and beverage service. Includes all guest transactions in the hotel restaurants, catering-related transactions and food service payroll. </v>
      </c>
      <c r="M6" t="str">
        <f>IFERROR(VLOOKUP($B6,ChartOfAccounts!A5:B90,2,FALSE),"")</f>
        <v/>
      </c>
      <c r="N6" t="str">
        <f>IFERROR(VLOOKUP($B6,ChartOfAccounts!C5:D90,2,FALSE),"")</f>
        <v/>
      </c>
      <c r="O6" t="str">
        <f>IFERROR(VLOOKUP($B6,ChartOfAccounts!E5:F90,2,FALSE),"")</f>
        <v/>
      </c>
      <c r="P6" t="str">
        <f>IFERROR(VLOOKUP(D6,PreparerInfo!A5:B17,2,FALSE),"")</f>
        <v xml:space="preserve">Elizabeth Rees|Food Operations Manager       </v>
      </c>
      <c r="Q6" t="str">
        <f>IFERROR(VLOOKUP(E6,Source!A5:B13,2,FALSE),"")</f>
        <v/>
      </c>
    </row>
    <row r="7" spans="1:17" x14ac:dyDescent="0.3">
      <c r="A7" s="3">
        <v>2033522</v>
      </c>
      <c r="B7">
        <v>43310</v>
      </c>
      <c r="C7">
        <v>1</v>
      </c>
      <c r="D7" s="9">
        <v>102</v>
      </c>
      <c r="E7">
        <v>1003</v>
      </c>
      <c r="F7" s="1">
        <v>44002</v>
      </c>
      <c r="G7" t="s">
        <v>15</v>
      </c>
      <c r="H7" s="4" t="s">
        <v>16</v>
      </c>
      <c r="I7" s="4">
        <v>-68.28</v>
      </c>
      <c r="J7" s="4">
        <v>-68.28</v>
      </c>
      <c r="K7" t="str">
        <f>VLOOKUP($C7,Table1[#All],2,FALSE)</f>
        <v>FOOD SERVICE</v>
      </c>
      <c r="L7" t="str">
        <f>VLOOKUP($C7,Table1[#All],3,FALSE)</f>
        <v xml:space="preserve">Transactions related to food and beverage service. Includes all guest transactions in the hotel restaurants, catering-related transactions and food service payroll. </v>
      </c>
      <c r="M7" t="str">
        <f>IFERROR(VLOOKUP($B7,ChartOfAccounts!A6:B91,2,FALSE),"")</f>
        <v>Sales - Dining Halls</v>
      </c>
      <c r="N7" t="str">
        <f>IFERROR(VLOOKUP($B7,ChartOfAccounts!C6:D91,2,FALSE),"")</f>
        <v>Revenue</v>
      </c>
      <c r="O7" t="str">
        <f>IFERROR(VLOOKUP($B7,ChartOfAccounts!E6:F91,2,FALSE),"")</f>
        <v>Sales-Dining</v>
      </c>
      <c r="P7" t="str">
        <f>IFERROR(VLOOKUP(D7,PreparerInfo!A6:B18,2,FALSE),"")</f>
        <v xml:space="preserve">Elizabeth Rees|Food Operations Manager       </v>
      </c>
      <c r="Q7" t="str">
        <f>IFERROR(VLOOKUP(E7,Source!A6:B14,2,FALSE),"")</f>
        <v/>
      </c>
    </row>
    <row r="8" spans="1:17" x14ac:dyDescent="0.3">
      <c r="A8" s="3">
        <v>2033523</v>
      </c>
      <c r="B8">
        <v>11845</v>
      </c>
      <c r="C8">
        <v>2</v>
      </c>
      <c r="D8" s="9">
        <v>106</v>
      </c>
      <c r="E8">
        <v>1003</v>
      </c>
      <c r="F8" s="1">
        <v>44002</v>
      </c>
      <c r="G8" t="s">
        <v>81</v>
      </c>
      <c r="H8" s="4">
        <v>99</v>
      </c>
      <c r="I8" s="4" t="s">
        <v>16</v>
      </c>
      <c r="J8" s="4">
        <v>99</v>
      </c>
      <c r="K8" t="str">
        <f>VLOOKUP($C8,Table1[#All],2,FALSE)</f>
        <v>HOTEL</v>
      </c>
      <c r="L8" t="str">
        <f>VLOOKUP($C8,Table1[#All],3,FALSE)</f>
        <v xml:space="preserve">Transactions related to guest rooms and overall hotel operations. Includes payroll for administrative staff, clerks and interns. </v>
      </c>
      <c r="M8" t="str">
        <f>IFERROR(VLOOKUP($B8,ChartOfAccounts!A7:B92,2,FALSE),"")</f>
        <v/>
      </c>
      <c r="N8" t="str">
        <f>IFERROR(VLOOKUP($B8,ChartOfAccounts!C7:D92,2,FALSE),"")</f>
        <v/>
      </c>
      <c r="O8" t="str">
        <f>IFERROR(VLOOKUP($B8,ChartOfAccounts!E7:F92,2,FALSE),"")</f>
        <v/>
      </c>
      <c r="P8" t="str">
        <f>IFERROR(VLOOKUP(D8,PreparerInfo!A7:B19,2,FALSE),"")</f>
        <v>Yvonne Chapman|Catering Manager              </v>
      </c>
      <c r="Q8" t="str">
        <f>IFERROR(VLOOKUP(E8,Source!A7:B15,2,FALSE),"")</f>
        <v/>
      </c>
    </row>
    <row r="9" spans="1:17" x14ac:dyDescent="0.3">
      <c r="A9" s="3">
        <v>2033523</v>
      </c>
      <c r="B9">
        <v>43180</v>
      </c>
      <c r="C9">
        <v>2</v>
      </c>
      <c r="D9" s="9">
        <v>106</v>
      </c>
      <c r="E9">
        <v>1003</v>
      </c>
      <c r="F9" s="1">
        <v>44002</v>
      </c>
      <c r="G9" t="s">
        <v>81</v>
      </c>
      <c r="H9" s="4" t="s">
        <v>16</v>
      </c>
      <c r="I9" s="4">
        <v>-99</v>
      </c>
      <c r="J9" s="4">
        <v>-99</v>
      </c>
      <c r="K9" t="str">
        <f>VLOOKUP($C9,Table1[#All],2,FALSE)</f>
        <v>HOTEL</v>
      </c>
      <c r="L9" t="str">
        <f>VLOOKUP($C9,Table1[#All],3,FALSE)</f>
        <v xml:space="preserve">Transactions related to guest rooms and overall hotel operations. Includes payroll for administrative staff, clerks and interns. </v>
      </c>
      <c r="M9" t="str">
        <f>IFERROR(VLOOKUP($B9,ChartOfAccounts!A8:B93,2,FALSE),"")</f>
        <v>Rents - Hotels</v>
      </c>
      <c r="N9" t="str">
        <f>IFERROR(VLOOKUP($B9,ChartOfAccounts!C8:D93,2,FALSE),"")</f>
        <v>Revenue</v>
      </c>
      <c r="O9" t="str">
        <f>IFERROR(VLOOKUP($B9,ChartOfAccounts!E8:F93,2,FALSE),"")</f>
        <v>Sales-Hotel</v>
      </c>
      <c r="P9" t="str">
        <f>IFERROR(VLOOKUP(D9,PreparerInfo!A8:B20,2,FALSE),"")</f>
        <v>Yvonne Chapman|Catering Manager              </v>
      </c>
      <c r="Q9" t="str">
        <f>IFERROR(VLOOKUP(E9,Source!A8:B16,2,FALSE),"")</f>
        <v/>
      </c>
    </row>
    <row r="10" spans="1:17" x14ac:dyDescent="0.3">
      <c r="A10" s="3">
        <v>2033524</v>
      </c>
      <c r="B10">
        <v>11845</v>
      </c>
      <c r="C10">
        <v>3</v>
      </c>
      <c r="D10" s="9">
        <v>102</v>
      </c>
      <c r="E10">
        <v>1003</v>
      </c>
      <c r="F10" s="1">
        <v>44002</v>
      </c>
      <c r="G10" t="s">
        <v>15</v>
      </c>
      <c r="H10" s="4">
        <v>107.21</v>
      </c>
      <c r="I10" s="4" t="s">
        <v>16</v>
      </c>
      <c r="J10" s="4">
        <v>107.21</v>
      </c>
      <c r="K10" t="str">
        <f>VLOOKUP($C10,Table1[#All],2,FALSE)</f>
        <v>HOTEL PANTRY</v>
      </c>
      <c r="L10" t="str">
        <f>VLOOKUP($C10,Table1[#All],3,FALSE)</f>
        <v>Transactions related to the hotel convenience store, including some food and beverage costs.</v>
      </c>
      <c r="M10" t="str">
        <f>IFERROR(VLOOKUP($B10,ChartOfAccounts!A9:B94,2,FALSE),"")</f>
        <v/>
      </c>
      <c r="N10" t="str">
        <f>IFERROR(VLOOKUP($B10,ChartOfAccounts!C9:D94,2,FALSE),"")</f>
        <v/>
      </c>
      <c r="O10" t="str">
        <f>IFERROR(VLOOKUP($B10,ChartOfAccounts!E9:F94,2,FALSE),"")</f>
        <v/>
      </c>
      <c r="P10" t="str">
        <f>IFERROR(VLOOKUP(D10,PreparerInfo!A9:B21,2,FALSE),"")</f>
        <v>POS</v>
      </c>
      <c r="Q10" t="str">
        <f>IFERROR(VLOOKUP(E10,Source!A9:B17,2,FALSE),"")</f>
        <v/>
      </c>
    </row>
    <row r="11" spans="1:17" x14ac:dyDescent="0.3">
      <c r="A11" s="3">
        <v>2033524</v>
      </c>
      <c r="B11">
        <v>43440</v>
      </c>
      <c r="C11">
        <v>3</v>
      </c>
      <c r="D11" s="9">
        <v>102</v>
      </c>
      <c r="E11">
        <v>1003</v>
      </c>
      <c r="F11" s="1">
        <v>44002</v>
      </c>
      <c r="G11" t="s">
        <v>15</v>
      </c>
      <c r="H11" s="4" t="s">
        <v>16</v>
      </c>
      <c r="I11" s="4">
        <v>-107.21</v>
      </c>
      <c r="J11" s="4">
        <v>-107.21</v>
      </c>
      <c r="K11" t="str">
        <f>VLOOKUP($C11,Table1[#All],2,FALSE)</f>
        <v>HOTEL PANTRY</v>
      </c>
      <c r="L11" t="str">
        <f>VLOOKUP($C11,Table1[#All],3,FALSE)</f>
        <v>Transactions related to the hotel convenience store, including some food and beverage costs.</v>
      </c>
      <c r="M11" t="str">
        <f>IFERROR(VLOOKUP($B11,ChartOfAccounts!A10:B95,2,FALSE),"")</f>
        <v>Sales - Other</v>
      </c>
      <c r="N11" t="str">
        <f>IFERROR(VLOOKUP($B11,ChartOfAccounts!C10:D95,2,FALSE),"")</f>
        <v>Revenue</v>
      </c>
      <c r="O11" t="str">
        <f>IFERROR(VLOOKUP($B11,ChartOfAccounts!E10:F95,2,FALSE),"")</f>
        <v>Sales-Other</v>
      </c>
      <c r="P11" t="str">
        <f>IFERROR(VLOOKUP(D11,PreparerInfo!A10:B22,2,FALSE),"")</f>
        <v/>
      </c>
      <c r="Q11" t="str">
        <f>IFERROR(VLOOKUP(E11,Source!A10:B18,2,FALSE),"")</f>
        <v/>
      </c>
    </row>
    <row r="12" spans="1:17" x14ac:dyDescent="0.3">
      <c r="A12" s="3">
        <v>2033525</v>
      </c>
      <c r="B12">
        <v>11845</v>
      </c>
      <c r="C12">
        <v>2</v>
      </c>
      <c r="D12" s="9">
        <v>104</v>
      </c>
      <c r="E12">
        <v>1003</v>
      </c>
      <c r="F12" s="1">
        <v>44002</v>
      </c>
      <c r="G12" t="s">
        <v>220</v>
      </c>
      <c r="H12" s="4">
        <v>129</v>
      </c>
      <c r="I12" s="4" t="s">
        <v>16</v>
      </c>
      <c r="J12" s="4">
        <v>129</v>
      </c>
      <c r="K12" t="str">
        <f>VLOOKUP($C12,Table1[#All],2,FALSE)</f>
        <v>HOTEL</v>
      </c>
      <c r="L12" t="str">
        <f>VLOOKUP($C12,Table1[#All],3,FALSE)</f>
        <v xml:space="preserve">Transactions related to guest rooms and overall hotel operations. Includes payroll for administrative staff, clerks and interns. </v>
      </c>
      <c r="M12" t="str">
        <f>IFERROR(VLOOKUP($B12,ChartOfAccounts!A11:B96,2,FALSE),"")</f>
        <v/>
      </c>
      <c r="N12" t="str">
        <f>IFERROR(VLOOKUP($B12,ChartOfAccounts!C11:D96,2,FALSE),"")</f>
        <v/>
      </c>
      <c r="O12" t="str">
        <f>IFERROR(VLOOKUP($B12,ChartOfAccounts!E11:F96,2,FALSE),"")</f>
        <v/>
      </c>
      <c r="P12" t="str">
        <f>IFERROR(VLOOKUP(D12,PreparerInfo!A11:B23,2,FALSE),"")</f>
        <v>GUESTSYS</v>
      </c>
      <c r="Q12" t="str">
        <f>IFERROR(VLOOKUP(E12,Source!A11:B19,2,FALSE),"")</f>
        <v/>
      </c>
    </row>
    <row r="13" spans="1:17" x14ac:dyDescent="0.3">
      <c r="A13" s="3">
        <v>2033525</v>
      </c>
      <c r="B13">
        <v>43180</v>
      </c>
      <c r="C13">
        <v>2</v>
      </c>
      <c r="D13" s="9">
        <v>104</v>
      </c>
      <c r="E13">
        <v>1003</v>
      </c>
      <c r="F13" s="1">
        <v>44002</v>
      </c>
      <c r="G13" t="s">
        <v>220</v>
      </c>
      <c r="H13" s="4" t="s">
        <v>16</v>
      </c>
      <c r="I13" s="4">
        <v>-129</v>
      </c>
      <c r="J13" s="4">
        <v>-129</v>
      </c>
      <c r="K13" t="str">
        <f>VLOOKUP($C13,Table1[#All],2,FALSE)</f>
        <v>HOTEL</v>
      </c>
      <c r="L13" t="str">
        <f>VLOOKUP($C13,Table1[#All],3,FALSE)</f>
        <v xml:space="preserve">Transactions related to guest rooms and overall hotel operations. Includes payroll for administrative staff, clerks and interns. </v>
      </c>
      <c r="M13" t="str">
        <f>IFERROR(VLOOKUP($B13,ChartOfAccounts!A12:B97,2,FALSE),"")</f>
        <v>Rents - Hotels</v>
      </c>
      <c r="N13" t="str">
        <f>IFERROR(VLOOKUP($B13,ChartOfAccounts!C12:D97,2,FALSE),"")</f>
        <v>Revenue</v>
      </c>
      <c r="O13" t="str">
        <f>IFERROR(VLOOKUP($B13,ChartOfAccounts!E12:F97,2,FALSE),"")</f>
        <v>Sales-Hotel</v>
      </c>
      <c r="P13" t="str">
        <f>IFERROR(VLOOKUP(D13,PreparerInfo!A12:B24,2,FALSE),"")</f>
        <v/>
      </c>
      <c r="Q13" t="str">
        <f>IFERROR(VLOOKUP(E13,Source!A12:B20,2,FALSE),"")</f>
        <v/>
      </c>
    </row>
    <row r="14" spans="1:17" x14ac:dyDescent="0.3">
      <c r="A14" s="3">
        <v>2033526</v>
      </c>
      <c r="B14">
        <v>11845</v>
      </c>
      <c r="C14">
        <v>2</v>
      </c>
      <c r="D14" s="9">
        <v>104</v>
      </c>
      <c r="E14">
        <v>1003</v>
      </c>
      <c r="F14" s="1">
        <v>44002</v>
      </c>
      <c r="G14" t="s">
        <v>125</v>
      </c>
      <c r="H14" s="4">
        <v>258</v>
      </c>
      <c r="I14" s="4" t="s">
        <v>16</v>
      </c>
      <c r="J14" s="4">
        <v>258</v>
      </c>
      <c r="K14" t="str">
        <f>VLOOKUP($C14,Table1[#All],2,FALSE)</f>
        <v>HOTEL</v>
      </c>
      <c r="L14" t="str">
        <f>VLOOKUP($C14,Table1[#All],3,FALSE)</f>
        <v xml:space="preserve">Transactions related to guest rooms and overall hotel operations. Includes payroll for administrative staff, clerks and interns. </v>
      </c>
      <c r="M14" t="str">
        <f>IFERROR(VLOOKUP($B14,ChartOfAccounts!A13:B98,2,FALSE),"")</f>
        <v/>
      </c>
      <c r="N14" t="str">
        <f>IFERROR(VLOOKUP($B14,ChartOfAccounts!C13:D98,2,FALSE),"")</f>
        <v/>
      </c>
      <c r="O14" t="str">
        <f>IFERROR(VLOOKUP($B14,ChartOfAccounts!E13:F98,2,FALSE),"")</f>
        <v/>
      </c>
      <c r="P14" t="str">
        <f>IFERROR(VLOOKUP(D14,PreparerInfo!A13:B25,2,FALSE),"")</f>
        <v/>
      </c>
      <c r="Q14" t="str">
        <f>IFERROR(VLOOKUP(E14,Source!A13:B21,2,FALSE),"")</f>
        <v/>
      </c>
    </row>
    <row r="15" spans="1:17" x14ac:dyDescent="0.3">
      <c r="A15" s="3">
        <v>2033526</v>
      </c>
      <c r="B15">
        <v>43180</v>
      </c>
      <c r="C15">
        <v>2</v>
      </c>
      <c r="D15" s="9">
        <v>104</v>
      </c>
      <c r="E15">
        <v>1003</v>
      </c>
      <c r="F15" s="1">
        <v>44002</v>
      </c>
      <c r="G15" t="s">
        <v>125</v>
      </c>
      <c r="H15" s="4" t="s">
        <v>16</v>
      </c>
      <c r="I15" s="4">
        <v>-258</v>
      </c>
      <c r="J15" s="4">
        <v>-258</v>
      </c>
      <c r="K15" t="str">
        <f>VLOOKUP($C15,Table1[#All],2,FALSE)</f>
        <v>HOTEL</v>
      </c>
      <c r="L15" t="str">
        <f>VLOOKUP($C15,Table1[#All],3,FALSE)</f>
        <v xml:space="preserve">Transactions related to guest rooms and overall hotel operations. Includes payroll for administrative staff, clerks and interns. </v>
      </c>
      <c r="M15" t="str">
        <f>IFERROR(VLOOKUP($B15,ChartOfAccounts!A14:B99,2,FALSE),"")</f>
        <v>Rents - Hotels</v>
      </c>
      <c r="N15" t="str">
        <f>IFERROR(VLOOKUP($B15,ChartOfAccounts!C14:D99,2,FALSE),"")</f>
        <v>Revenue</v>
      </c>
      <c r="O15" t="str">
        <f>IFERROR(VLOOKUP($B15,ChartOfAccounts!E14:F99,2,FALSE),"")</f>
        <v>Sales-Hotel</v>
      </c>
      <c r="P15" t="str">
        <f>IFERROR(VLOOKUP(D15,PreparerInfo!A14:B26,2,FALSE),"")</f>
        <v/>
      </c>
      <c r="Q15" t="str">
        <f>IFERROR(VLOOKUP(E15,Source!A14:B22,2,FALSE),"")</f>
        <v/>
      </c>
    </row>
    <row r="16" spans="1:17" x14ac:dyDescent="0.3">
      <c r="A16" s="3">
        <v>2033527</v>
      </c>
      <c r="B16">
        <v>11845</v>
      </c>
      <c r="C16">
        <v>2</v>
      </c>
      <c r="D16" s="9">
        <v>104</v>
      </c>
      <c r="E16">
        <v>1003</v>
      </c>
      <c r="F16" s="1">
        <v>44002</v>
      </c>
      <c r="G16" t="s">
        <v>221</v>
      </c>
      <c r="H16" s="4">
        <v>418</v>
      </c>
      <c r="I16" s="4" t="s">
        <v>16</v>
      </c>
      <c r="J16" s="4">
        <v>418</v>
      </c>
      <c r="K16" t="str">
        <f>VLOOKUP($C16,Table1[#All],2,FALSE)</f>
        <v>HOTEL</v>
      </c>
      <c r="L16" t="str">
        <f>VLOOKUP($C16,Table1[#All],3,FALSE)</f>
        <v xml:space="preserve">Transactions related to guest rooms and overall hotel operations. Includes payroll for administrative staff, clerks and interns. </v>
      </c>
      <c r="M16" t="str">
        <f>IFERROR(VLOOKUP($B16,ChartOfAccounts!A15:B100,2,FALSE),"")</f>
        <v/>
      </c>
      <c r="N16" t="str">
        <f>IFERROR(VLOOKUP($B16,ChartOfAccounts!C15:D100,2,FALSE),"")</f>
        <v/>
      </c>
      <c r="O16" t="str">
        <f>IFERROR(VLOOKUP($B16,ChartOfAccounts!E15:F100,2,FALSE),"")</f>
        <v/>
      </c>
      <c r="P16" t="str">
        <f>IFERROR(VLOOKUP(D16,PreparerInfo!A15:B27,2,FALSE),"")</f>
        <v/>
      </c>
      <c r="Q16" t="str">
        <f>IFERROR(VLOOKUP(E16,Source!A15:B23,2,FALSE),"")</f>
        <v/>
      </c>
    </row>
    <row r="17" spans="1:17" x14ac:dyDescent="0.3">
      <c r="A17" s="3">
        <v>2033527</v>
      </c>
      <c r="B17">
        <v>43180</v>
      </c>
      <c r="C17">
        <v>2</v>
      </c>
      <c r="D17" s="9">
        <v>104</v>
      </c>
      <c r="E17">
        <v>1003</v>
      </c>
      <c r="F17" s="1">
        <v>44002</v>
      </c>
      <c r="G17" t="s">
        <v>221</v>
      </c>
      <c r="H17" s="4" t="s">
        <v>16</v>
      </c>
      <c r="I17" s="4">
        <v>-418</v>
      </c>
      <c r="J17" s="4">
        <v>-418</v>
      </c>
      <c r="K17" t="str">
        <f>VLOOKUP($C17,Table1[#All],2,FALSE)</f>
        <v>HOTEL</v>
      </c>
      <c r="L17" t="str">
        <f>VLOOKUP($C17,Table1[#All],3,FALSE)</f>
        <v xml:space="preserve">Transactions related to guest rooms and overall hotel operations. Includes payroll for administrative staff, clerks and interns. </v>
      </c>
      <c r="M17" t="str">
        <f>IFERROR(VLOOKUP($B17,ChartOfAccounts!A16:B101,2,FALSE),"")</f>
        <v>Rents - Hotels</v>
      </c>
      <c r="N17" t="str">
        <f>IFERROR(VLOOKUP($B17,ChartOfAccounts!C16:D101,2,FALSE),"")</f>
        <v>Revenue</v>
      </c>
      <c r="O17" t="str">
        <f>IFERROR(VLOOKUP($B17,ChartOfAccounts!E16:F101,2,FALSE),"")</f>
        <v>Sales-Hotel</v>
      </c>
      <c r="P17" t="str">
        <f>IFERROR(VLOOKUP(D17,PreparerInfo!A16:B28,2,FALSE),"")</f>
        <v/>
      </c>
      <c r="Q17" t="str">
        <f>IFERROR(VLOOKUP(E17,Source!A16:B24,2,FALSE),"")</f>
        <v/>
      </c>
    </row>
    <row r="18" spans="1:17" x14ac:dyDescent="0.3">
      <c r="A18" s="3">
        <v>2033528</v>
      </c>
      <c r="B18">
        <v>71900</v>
      </c>
      <c r="C18">
        <v>1</v>
      </c>
      <c r="D18" s="9">
        <v>102</v>
      </c>
      <c r="E18">
        <v>1002</v>
      </c>
      <c r="F18" s="1">
        <v>44002</v>
      </c>
      <c r="G18" t="s">
        <v>36</v>
      </c>
      <c r="H18" s="4">
        <v>431.8</v>
      </c>
      <c r="I18" s="4" t="s">
        <v>16</v>
      </c>
      <c r="J18" s="4">
        <v>431.8</v>
      </c>
      <c r="K18" t="str">
        <f>VLOOKUP($C18,Table1[#All],2,FALSE)</f>
        <v>FOOD SERVICE</v>
      </c>
      <c r="L18" t="str">
        <f>VLOOKUP($C18,Table1[#All],3,FALSE)</f>
        <v xml:space="preserve">Transactions related to food and beverage service. Includes all guest transactions in the hotel restaurants, catering-related transactions and food service payroll. </v>
      </c>
      <c r="M18" t="str">
        <f>IFERROR(VLOOKUP($B18,ChartOfAccounts!A17:B102,2,FALSE),"")</f>
        <v>Rents - Other Than Real Estate</v>
      </c>
      <c r="N18" t="str">
        <f>IFERROR(VLOOKUP($B18,ChartOfAccounts!C17:D102,2,FALSE),"")</f>
        <v>Expenses</v>
      </c>
      <c r="O18" t="str">
        <f>IFERROR(VLOOKUP($B18,ChartOfAccounts!E17:F102,2,FALSE),"")</f>
        <v>SG&amp;A</v>
      </c>
      <c r="P18" t="str">
        <f>IFERROR(VLOOKUP(D18,PreparerInfo!A17:B29,2,FALSE),"")</f>
        <v/>
      </c>
      <c r="Q18" t="str">
        <f>IFERROR(VLOOKUP(E18,Source!A17:B25,2,FALSE),"")</f>
        <v/>
      </c>
    </row>
    <row r="19" spans="1:17" x14ac:dyDescent="0.3">
      <c r="A19" s="3">
        <v>2033528</v>
      </c>
      <c r="B19">
        <v>11845</v>
      </c>
      <c r="C19">
        <v>1</v>
      </c>
      <c r="D19" s="9">
        <v>102</v>
      </c>
      <c r="E19">
        <v>1002</v>
      </c>
      <c r="F19" s="1">
        <v>44002</v>
      </c>
      <c r="G19" t="s">
        <v>36</v>
      </c>
      <c r="H19" s="4" t="s">
        <v>16</v>
      </c>
      <c r="I19" s="4">
        <v>-431.8</v>
      </c>
      <c r="J19" s="4">
        <v>-431.8</v>
      </c>
      <c r="K19" t="str">
        <f>VLOOKUP($C19,Table1[#All],2,FALSE)</f>
        <v>FOOD SERVICE</v>
      </c>
      <c r="L19" t="str">
        <f>VLOOKUP($C19,Table1[#All],3,FALSE)</f>
        <v xml:space="preserve">Transactions related to food and beverage service. Includes all guest transactions in the hotel restaurants, catering-related transactions and food service payroll. </v>
      </c>
      <c r="M19" t="str">
        <f>IFERROR(VLOOKUP($B19,ChartOfAccounts!A18:B103,2,FALSE),"")</f>
        <v/>
      </c>
      <c r="N19" t="str">
        <f>IFERROR(VLOOKUP($B19,ChartOfAccounts!C18:D103,2,FALSE),"")</f>
        <v/>
      </c>
      <c r="O19" t="str">
        <f>IFERROR(VLOOKUP($B19,ChartOfAccounts!E18:F103,2,FALSE),"")</f>
        <v/>
      </c>
      <c r="P19" t="str">
        <f>IFERROR(VLOOKUP(D19,PreparerInfo!A18:B30,2,FALSE),"")</f>
        <v/>
      </c>
      <c r="Q19" t="str">
        <f>IFERROR(VLOOKUP(E19,Source!A18:B26,2,FALSE),"")</f>
        <v/>
      </c>
    </row>
    <row r="20" spans="1:17" x14ac:dyDescent="0.3">
      <c r="A20" s="3">
        <v>2033529</v>
      </c>
      <c r="B20">
        <v>11845</v>
      </c>
      <c r="C20">
        <v>1</v>
      </c>
      <c r="D20" s="9">
        <v>102</v>
      </c>
      <c r="E20">
        <v>1001</v>
      </c>
      <c r="F20" s="1">
        <v>44002</v>
      </c>
      <c r="G20" t="s">
        <v>41</v>
      </c>
      <c r="H20" s="4">
        <v>612.54</v>
      </c>
      <c r="I20" s="4" t="s">
        <v>16</v>
      </c>
      <c r="J20" s="4">
        <v>612.54</v>
      </c>
      <c r="K20" t="str">
        <f>VLOOKUP($C20,Table1[#All],2,FALSE)</f>
        <v>FOOD SERVICE</v>
      </c>
      <c r="L20" t="str">
        <f>VLOOKUP($C20,Table1[#All],3,FALSE)</f>
        <v xml:space="preserve">Transactions related to food and beverage service. Includes all guest transactions in the hotel restaurants, catering-related transactions and food service payroll. </v>
      </c>
      <c r="M20" t="str">
        <f>IFERROR(VLOOKUP($B20,ChartOfAccounts!A19:B104,2,FALSE),"")</f>
        <v/>
      </c>
      <c r="N20" t="str">
        <f>IFERROR(VLOOKUP($B20,ChartOfAccounts!C19:D104,2,FALSE),"")</f>
        <v/>
      </c>
      <c r="O20" t="str">
        <f>IFERROR(VLOOKUP($B20,ChartOfAccounts!E19:F104,2,FALSE),"")</f>
        <v/>
      </c>
      <c r="P20" t="str">
        <f>IFERROR(VLOOKUP(D20,PreparerInfo!A19:B31,2,FALSE),"")</f>
        <v/>
      </c>
      <c r="Q20" t="str">
        <f>IFERROR(VLOOKUP(E20,Source!A19:B27,2,FALSE),"")</f>
        <v/>
      </c>
    </row>
    <row r="21" spans="1:17" x14ac:dyDescent="0.3">
      <c r="A21" s="3">
        <v>2033529</v>
      </c>
      <c r="B21">
        <v>43310</v>
      </c>
      <c r="C21">
        <v>1</v>
      </c>
      <c r="D21" s="9">
        <v>102</v>
      </c>
      <c r="E21">
        <v>1001</v>
      </c>
      <c r="F21" s="1">
        <v>44002</v>
      </c>
      <c r="G21" t="s">
        <v>41</v>
      </c>
      <c r="H21" s="4" t="s">
        <v>16</v>
      </c>
      <c r="I21" s="4">
        <v>-612.54</v>
      </c>
      <c r="J21" s="4">
        <v>-612.54</v>
      </c>
      <c r="K21" t="str">
        <f>VLOOKUP($C21,Table1[#All],2,FALSE)</f>
        <v>FOOD SERVICE</v>
      </c>
      <c r="L21" t="str">
        <f>VLOOKUP($C21,Table1[#All],3,FALSE)</f>
        <v xml:space="preserve">Transactions related to food and beverage service. Includes all guest transactions in the hotel restaurants, catering-related transactions and food service payroll. </v>
      </c>
      <c r="M21" t="str">
        <f>IFERROR(VLOOKUP($B21,ChartOfAccounts!A20:B105,2,FALSE),"")</f>
        <v>Sales - Dining Halls</v>
      </c>
      <c r="N21" t="str">
        <f>IFERROR(VLOOKUP($B21,ChartOfAccounts!C20:D105,2,FALSE),"")</f>
        <v>Revenue</v>
      </c>
      <c r="O21" t="str">
        <f>IFERROR(VLOOKUP($B21,ChartOfAccounts!E20:F105,2,FALSE),"")</f>
        <v>Sales-Dining</v>
      </c>
      <c r="P21" t="str">
        <f>IFERROR(VLOOKUP(D21,PreparerInfo!A20:B32,2,FALSE),"")</f>
        <v/>
      </c>
      <c r="Q21" t="str">
        <f>IFERROR(VLOOKUP(E21,Source!A20:B28,2,FALSE),"")</f>
        <v/>
      </c>
    </row>
    <row r="22" spans="1:17" x14ac:dyDescent="0.3">
      <c r="A22" s="3">
        <v>2033530</v>
      </c>
      <c r="B22">
        <v>76930</v>
      </c>
      <c r="C22">
        <v>2</v>
      </c>
      <c r="D22" s="9">
        <v>101</v>
      </c>
      <c r="E22">
        <v>1002</v>
      </c>
      <c r="F22" s="1">
        <v>44002</v>
      </c>
      <c r="G22" t="s">
        <v>212</v>
      </c>
      <c r="H22" s="4">
        <v>1015.21</v>
      </c>
      <c r="I22" s="4" t="s">
        <v>16</v>
      </c>
      <c r="J22" s="4">
        <v>1015.21</v>
      </c>
      <c r="K22" t="str">
        <f>VLOOKUP($C22,Table1[#All],2,FALSE)</f>
        <v>HOTEL</v>
      </c>
      <c r="L22" t="str">
        <f>VLOOKUP($C22,Table1[#All],3,FALSE)</f>
        <v xml:space="preserve">Transactions related to guest rooms and overall hotel operations. Includes payroll for administrative staff, clerks and interns. </v>
      </c>
      <c r="M22" t="str">
        <f>IFERROR(VLOOKUP($B22,ChartOfAccounts!A21:B106,2,FALSE),"")</f>
        <v>Telecommunications - Other</v>
      </c>
      <c r="N22" t="str">
        <f>IFERROR(VLOOKUP($B22,ChartOfAccounts!C21:D106,2,FALSE),"")</f>
        <v>Expenses</v>
      </c>
      <c r="O22" t="str">
        <f>IFERROR(VLOOKUP($B22,ChartOfAccounts!E21:F106,2,FALSE),"")</f>
        <v>SG&amp;A</v>
      </c>
      <c r="P22" t="str">
        <f>IFERROR(VLOOKUP(D22,PreparerInfo!A21:B33,2,FALSE),"")</f>
        <v/>
      </c>
      <c r="Q22" t="str">
        <f>IFERROR(VLOOKUP(E22,Source!A21:B29,2,FALSE),"")</f>
        <v/>
      </c>
    </row>
    <row r="23" spans="1:17" x14ac:dyDescent="0.3">
      <c r="A23" s="3">
        <v>2033530</v>
      </c>
      <c r="B23">
        <v>11845</v>
      </c>
      <c r="C23">
        <v>2</v>
      </c>
      <c r="D23" s="9">
        <v>101</v>
      </c>
      <c r="E23">
        <v>1002</v>
      </c>
      <c r="F23" s="1">
        <v>44002</v>
      </c>
      <c r="G23" t="s">
        <v>212</v>
      </c>
      <c r="H23" s="4" t="s">
        <v>16</v>
      </c>
      <c r="I23" s="4">
        <v>-1015.21</v>
      </c>
      <c r="J23" s="4">
        <v>-1015.21</v>
      </c>
      <c r="K23" t="str">
        <f>VLOOKUP($C23,Table1[#All],2,FALSE)</f>
        <v>HOTEL</v>
      </c>
      <c r="L23" t="str">
        <f>VLOOKUP($C23,Table1[#All],3,FALSE)</f>
        <v xml:space="preserve">Transactions related to guest rooms and overall hotel operations. Includes payroll for administrative staff, clerks and interns. </v>
      </c>
      <c r="M23" t="str">
        <f>IFERROR(VLOOKUP($B23,ChartOfAccounts!A22:B107,2,FALSE),"")</f>
        <v/>
      </c>
      <c r="N23" t="str">
        <f>IFERROR(VLOOKUP($B23,ChartOfAccounts!C22:D107,2,FALSE),"")</f>
        <v/>
      </c>
      <c r="O23" t="str">
        <f>IFERROR(VLOOKUP($B23,ChartOfAccounts!E22:F107,2,FALSE),"")</f>
        <v/>
      </c>
      <c r="P23" t="str">
        <f>IFERROR(VLOOKUP(D23,PreparerInfo!A22:B34,2,FALSE),"")</f>
        <v/>
      </c>
      <c r="Q23" t="str">
        <f>IFERROR(VLOOKUP(E23,Source!A22:B30,2,FALSE),"")</f>
        <v/>
      </c>
    </row>
    <row r="24" spans="1:17" x14ac:dyDescent="0.3">
      <c r="A24" s="3">
        <v>2033531</v>
      </c>
      <c r="B24">
        <v>11845</v>
      </c>
      <c r="C24">
        <v>1</v>
      </c>
      <c r="D24" s="9">
        <v>102</v>
      </c>
      <c r="E24">
        <v>1003</v>
      </c>
      <c r="F24" s="1">
        <v>44002</v>
      </c>
      <c r="G24" t="s">
        <v>15</v>
      </c>
      <c r="H24" s="4">
        <v>2157.2199999999998</v>
      </c>
      <c r="I24" s="4" t="s">
        <v>16</v>
      </c>
      <c r="J24" s="4">
        <v>2157.2199999999998</v>
      </c>
      <c r="K24" t="str">
        <f>VLOOKUP($C24,Table1[#All],2,FALSE)</f>
        <v>FOOD SERVICE</v>
      </c>
      <c r="L24" t="str">
        <f>VLOOKUP($C24,Table1[#All],3,FALSE)</f>
        <v xml:space="preserve">Transactions related to food and beverage service. Includes all guest transactions in the hotel restaurants, catering-related transactions and food service payroll. </v>
      </c>
      <c r="M24" t="str">
        <f>IFERROR(VLOOKUP($B24,ChartOfAccounts!A23:B108,2,FALSE),"")</f>
        <v/>
      </c>
      <c r="N24" t="str">
        <f>IFERROR(VLOOKUP($B24,ChartOfAccounts!C23:D108,2,FALSE),"")</f>
        <v/>
      </c>
      <c r="O24" t="str">
        <f>IFERROR(VLOOKUP($B24,ChartOfAccounts!E23:F108,2,FALSE),"")</f>
        <v/>
      </c>
      <c r="P24" t="str">
        <f>IFERROR(VLOOKUP(D24,PreparerInfo!A23:B35,2,FALSE),"")</f>
        <v/>
      </c>
      <c r="Q24" t="str">
        <f>IFERROR(VLOOKUP(E24,Source!A23:B31,2,FALSE),"")</f>
        <v/>
      </c>
    </row>
    <row r="25" spans="1:17" x14ac:dyDescent="0.3">
      <c r="A25" s="3">
        <v>2033531</v>
      </c>
      <c r="B25">
        <v>43310</v>
      </c>
      <c r="C25">
        <v>1</v>
      </c>
      <c r="D25" s="9">
        <v>102</v>
      </c>
      <c r="E25">
        <v>1003</v>
      </c>
      <c r="F25" s="1">
        <v>44002</v>
      </c>
      <c r="G25" t="s">
        <v>15</v>
      </c>
      <c r="H25" s="4" t="s">
        <v>16</v>
      </c>
      <c r="I25" s="4">
        <v>-2157.2199999999998</v>
      </c>
      <c r="J25" s="4">
        <v>-2157.2199999999998</v>
      </c>
      <c r="K25" t="str">
        <f>VLOOKUP($C25,Table1[#All],2,FALSE)</f>
        <v>FOOD SERVICE</v>
      </c>
      <c r="L25" t="str">
        <f>VLOOKUP($C25,Table1[#All],3,FALSE)</f>
        <v xml:space="preserve">Transactions related to food and beverage service. Includes all guest transactions in the hotel restaurants, catering-related transactions and food service payroll. </v>
      </c>
      <c r="M25" t="str">
        <f>IFERROR(VLOOKUP($B25,ChartOfAccounts!A24:B109,2,FALSE),"")</f>
        <v/>
      </c>
      <c r="N25" t="str">
        <f>IFERROR(VLOOKUP($B25,ChartOfAccounts!C24:D109,2,FALSE),"")</f>
        <v/>
      </c>
      <c r="O25" t="str">
        <f>IFERROR(VLOOKUP($B25,ChartOfAccounts!E24:F109,2,FALSE),"")</f>
        <v/>
      </c>
      <c r="P25" t="str">
        <f>IFERROR(VLOOKUP(D25,PreparerInfo!A24:B36,2,FALSE),"")</f>
        <v/>
      </c>
      <c r="Q25" t="str">
        <f>IFERROR(VLOOKUP(E25,Source!A24:B32,2,FALSE),"")</f>
        <v/>
      </c>
    </row>
    <row r="26" spans="1:17" x14ac:dyDescent="0.3">
      <c r="A26" s="3">
        <v>2033532</v>
      </c>
      <c r="B26">
        <v>11845</v>
      </c>
      <c r="C26">
        <v>1</v>
      </c>
      <c r="D26" s="9">
        <v>106</v>
      </c>
      <c r="E26">
        <v>1003</v>
      </c>
      <c r="F26" s="1">
        <v>44002</v>
      </c>
      <c r="G26" t="s">
        <v>80</v>
      </c>
      <c r="H26" s="4">
        <v>4503.3</v>
      </c>
      <c r="I26" s="4" t="s">
        <v>16</v>
      </c>
      <c r="J26" s="4">
        <v>4503.3</v>
      </c>
      <c r="K26" t="str">
        <f>VLOOKUP($C26,Table1[#All],2,FALSE)</f>
        <v>FOOD SERVICE</v>
      </c>
      <c r="L26" t="str">
        <f>VLOOKUP($C26,Table1[#All],3,FALSE)</f>
        <v xml:space="preserve">Transactions related to food and beverage service. Includes all guest transactions in the hotel restaurants, catering-related transactions and food service payroll. </v>
      </c>
      <c r="M26" t="str">
        <f>IFERROR(VLOOKUP($B26,ChartOfAccounts!A25:B110,2,FALSE),"")</f>
        <v/>
      </c>
      <c r="N26" t="str">
        <f>IFERROR(VLOOKUP($B26,ChartOfAccounts!C25:D110,2,FALSE),"")</f>
        <v/>
      </c>
      <c r="O26" t="str">
        <f>IFERROR(VLOOKUP($B26,ChartOfAccounts!E25:F110,2,FALSE),"")</f>
        <v/>
      </c>
      <c r="P26" t="str">
        <f>IFERROR(VLOOKUP(D26,PreparerInfo!A25:B37,2,FALSE),"")</f>
        <v/>
      </c>
      <c r="Q26" t="str">
        <f>IFERROR(VLOOKUP(E26,Source!A25:B33,2,FALSE),"")</f>
        <v/>
      </c>
    </row>
    <row r="27" spans="1:17" x14ac:dyDescent="0.3">
      <c r="A27" s="3">
        <v>2033532</v>
      </c>
      <c r="B27">
        <v>43310</v>
      </c>
      <c r="C27">
        <v>1</v>
      </c>
      <c r="D27" s="9">
        <v>106</v>
      </c>
      <c r="E27">
        <v>1003</v>
      </c>
      <c r="F27" s="1">
        <v>44002</v>
      </c>
      <c r="G27" t="s">
        <v>80</v>
      </c>
      <c r="H27" s="4" t="s">
        <v>16</v>
      </c>
      <c r="I27" s="4">
        <v>-4503.3</v>
      </c>
      <c r="J27" s="4">
        <v>-4503.3</v>
      </c>
      <c r="K27" t="str">
        <f>VLOOKUP($C27,Table1[#All],2,FALSE)</f>
        <v>FOOD SERVICE</v>
      </c>
      <c r="L27" t="str">
        <f>VLOOKUP($C27,Table1[#All],3,FALSE)</f>
        <v xml:space="preserve">Transactions related to food and beverage service. Includes all guest transactions in the hotel restaurants, catering-related transactions and food service payroll. </v>
      </c>
      <c r="M27" t="str">
        <f>IFERROR(VLOOKUP($B27,ChartOfAccounts!A26:B111,2,FALSE),"")</f>
        <v/>
      </c>
      <c r="N27" t="str">
        <f>IFERROR(VLOOKUP($B27,ChartOfAccounts!C26:D111,2,FALSE),"")</f>
        <v/>
      </c>
      <c r="O27" t="str">
        <f>IFERROR(VLOOKUP($B27,ChartOfAccounts!E26:F111,2,FALSE),"")</f>
        <v/>
      </c>
      <c r="P27" t="str">
        <f>IFERROR(VLOOKUP(D27,PreparerInfo!A26:B38,2,FALSE),"")</f>
        <v/>
      </c>
      <c r="Q27" t="str">
        <f>IFERROR(VLOOKUP(E27,Source!A26:B34,2,FALSE),"")</f>
        <v/>
      </c>
    </row>
    <row r="28" spans="1:17" x14ac:dyDescent="0.3">
      <c r="A28" s="3">
        <v>2033533</v>
      </c>
      <c r="B28">
        <v>11845</v>
      </c>
      <c r="C28">
        <v>2</v>
      </c>
      <c r="D28" s="9">
        <v>104</v>
      </c>
      <c r="E28">
        <v>1003</v>
      </c>
      <c r="F28" s="1">
        <v>44002</v>
      </c>
      <c r="G28" t="s">
        <v>15</v>
      </c>
      <c r="H28" s="4">
        <v>6197</v>
      </c>
      <c r="I28" s="4" t="s">
        <v>16</v>
      </c>
      <c r="J28" s="4">
        <v>6197</v>
      </c>
      <c r="K28" t="str">
        <f>VLOOKUP($C28,Table1[#All],2,FALSE)</f>
        <v>HOTEL</v>
      </c>
      <c r="L28" t="str">
        <f>VLOOKUP($C28,Table1[#All],3,FALSE)</f>
        <v xml:space="preserve">Transactions related to guest rooms and overall hotel operations. Includes payroll for administrative staff, clerks and interns. </v>
      </c>
      <c r="M28" t="str">
        <f>IFERROR(VLOOKUP($B28,ChartOfAccounts!A27:B112,2,FALSE),"")</f>
        <v/>
      </c>
      <c r="N28" t="str">
        <f>IFERROR(VLOOKUP($B28,ChartOfAccounts!C27:D112,2,FALSE),"")</f>
        <v/>
      </c>
      <c r="O28" t="str">
        <f>IFERROR(VLOOKUP($B28,ChartOfAccounts!E27:F112,2,FALSE),"")</f>
        <v/>
      </c>
      <c r="P28" t="str">
        <f>IFERROR(VLOOKUP(D28,PreparerInfo!A27:B39,2,FALSE),"")</f>
        <v/>
      </c>
      <c r="Q28" t="str">
        <f>IFERROR(VLOOKUP(E28,Source!A27:B35,2,FALSE),"")</f>
        <v/>
      </c>
    </row>
    <row r="29" spans="1:17" x14ac:dyDescent="0.3">
      <c r="A29" s="3">
        <v>2033533</v>
      </c>
      <c r="B29">
        <v>43180</v>
      </c>
      <c r="C29">
        <v>2</v>
      </c>
      <c r="D29" s="9">
        <v>104</v>
      </c>
      <c r="E29">
        <v>1003</v>
      </c>
      <c r="F29" s="1">
        <v>44002</v>
      </c>
      <c r="G29" t="s">
        <v>15</v>
      </c>
      <c r="H29" s="4" t="s">
        <v>16</v>
      </c>
      <c r="I29" s="4">
        <v>-6197</v>
      </c>
      <c r="J29" s="4">
        <v>-6197</v>
      </c>
      <c r="K29" t="str">
        <f>VLOOKUP($C29,Table1[#All],2,FALSE)</f>
        <v>HOTEL</v>
      </c>
      <c r="L29" t="str">
        <f>VLOOKUP($C29,Table1[#All],3,FALSE)</f>
        <v xml:space="preserve">Transactions related to guest rooms and overall hotel operations. Includes payroll for administrative staff, clerks and interns. </v>
      </c>
      <c r="M29" t="str">
        <f>IFERROR(VLOOKUP($B29,ChartOfAccounts!A28:B113,2,FALSE),"")</f>
        <v/>
      </c>
      <c r="N29" t="str">
        <f>IFERROR(VLOOKUP($B29,ChartOfAccounts!C28:D113,2,FALSE),"")</f>
        <v/>
      </c>
      <c r="O29" t="str">
        <f>IFERROR(VLOOKUP($B29,ChartOfAccounts!E28:F113,2,FALSE),"")</f>
        <v/>
      </c>
      <c r="P29" t="str">
        <f>IFERROR(VLOOKUP(D29,PreparerInfo!A28:B40,2,FALSE),"")</f>
        <v/>
      </c>
      <c r="Q29" t="str">
        <f>IFERROR(VLOOKUP(E29,Source!A28:B36,2,FALSE),"")</f>
        <v/>
      </c>
    </row>
    <row r="30" spans="1:17" x14ac:dyDescent="0.3">
      <c r="A30" s="3">
        <v>2033534</v>
      </c>
      <c r="B30">
        <v>71400</v>
      </c>
      <c r="C30">
        <v>2</v>
      </c>
      <c r="D30" s="9">
        <v>101</v>
      </c>
      <c r="E30">
        <v>1002</v>
      </c>
      <c r="F30" s="1">
        <v>44002</v>
      </c>
      <c r="G30" t="s">
        <v>49</v>
      </c>
      <c r="H30" s="4">
        <v>26770</v>
      </c>
      <c r="I30" s="4" t="s">
        <v>16</v>
      </c>
      <c r="J30" s="4">
        <v>26770</v>
      </c>
      <c r="K30" t="str">
        <f>VLOOKUP($C30,Table1[#All],2,FALSE)</f>
        <v>HOTEL</v>
      </c>
      <c r="L30" t="str">
        <f>VLOOKUP($C30,Table1[#All],3,FALSE)</f>
        <v xml:space="preserve">Transactions related to guest rooms and overall hotel operations. Includes payroll for administrative staff, clerks and interns. </v>
      </c>
      <c r="M30" t="str">
        <f>IFERROR(VLOOKUP($B30,ChartOfAccounts!A29:B114,2,FALSE),"")</f>
        <v>Supplies and Materials</v>
      </c>
      <c r="N30" t="str">
        <f>IFERROR(VLOOKUP($B30,ChartOfAccounts!C29:D114,2,FALSE),"")</f>
        <v>Expenses</v>
      </c>
      <c r="O30" t="str">
        <f>IFERROR(VLOOKUP($B30,ChartOfAccounts!E29:F114,2,FALSE),"")</f>
        <v>SG&amp;A</v>
      </c>
      <c r="P30" t="str">
        <f>IFERROR(VLOOKUP(D30,PreparerInfo!A29:B41,2,FALSE),"")</f>
        <v/>
      </c>
      <c r="Q30" t="str">
        <f>IFERROR(VLOOKUP(E30,Source!A29:B37,2,FALSE),"")</f>
        <v/>
      </c>
    </row>
    <row r="31" spans="1:17" x14ac:dyDescent="0.3">
      <c r="A31" s="3">
        <v>2033534</v>
      </c>
      <c r="B31">
        <v>11845</v>
      </c>
      <c r="C31">
        <v>2</v>
      </c>
      <c r="D31" s="9">
        <v>101</v>
      </c>
      <c r="E31">
        <v>1002</v>
      </c>
      <c r="F31" s="1">
        <v>44002</v>
      </c>
      <c r="G31" t="s">
        <v>49</v>
      </c>
      <c r="H31" s="4" t="s">
        <v>16</v>
      </c>
      <c r="I31" s="4">
        <v>-26770</v>
      </c>
      <c r="J31" s="4">
        <v>-26770</v>
      </c>
      <c r="K31" t="str">
        <f>VLOOKUP($C31,Table1[#All],2,FALSE)</f>
        <v>HOTEL</v>
      </c>
      <c r="L31" t="str">
        <f>VLOOKUP($C31,Table1[#All],3,FALSE)</f>
        <v xml:space="preserve">Transactions related to guest rooms and overall hotel operations. Includes payroll for administrative staff, clerks and interns. </v>
      </c>
      <c r="M31" t="str">
        <f>IFERROR(VLOOKUP($B31,ChartOfAccounts!A30:B115,2,FALSE),"")</f>
        <v/>
      </c>
      <c r="N31" t="str">
        <f>IFERROR(VLOOKUP($B31,ChartOfAccounts!C30:D115,2,FALSE),"")</f>
        <v/>
      </c>
      <c r="O31" t="str">
        <f>IFERROR(VLOOKUP($B31,ChartOfAccounts!E30:F115,2,FALSE),"")</f>
        <v/>
      </c>
      <c r="P31" t="str">
        <f>IFERROR(VLOOKUP(D31,PreparerInfo!A30:B42,2,FALSE),"")</f>
        <v/>
      </c>
      <c r="Q31" t="str">
        <f>IFERROR(VLOOKUP(E31,Source!A30:B38,2,FALSE),"")</f>
        <v/>
      </c>
    </row>
    <row r="32" spans="1:17" x14ac:dyDescent="0.3">
      <c r="A32" s="3">
        <v>2033535</v>
      </c>
      <c r="B32">
        <v>11845</v>
      </c>
      <c r="C32">
        <v>3</v>
      </c>
      <c r="D32" s="9">
        <v>102</v>
      </c>
      <c r="E32">
        <v>1001</v>
      </c>
      <c r="F32" s="1">
        <v>44003</v>
      </c>
      <c r="G32" t="s">
        <v>41</v>
      </c>
      <c r="H32" s="4">
        <v>38.29</v>
      </c>
      <c r="I32" s="4" t="s">
        <v>16</v>
      </c>
      <c r="J32" s="4">
        <v>38.29</v>
      </c>
      <c r="K32" t="str">
        <f>VLOOKUP($C32,Table1[#All],2,FALSE)</f>
        <v>HOTEL PANTRY</v>
      </c>
      <c r="L32" t="str">
        <f>VLOOKUP($C32,Table1[#All],3,FALSE)</f>
        <v>Transactions related to the hotel convenience store, including some food and beverage costs.</v>
      </c>
      <c r="M32" t="str">
        <f>IFERROR(VLOOKUP($B32,ChartOfAccounts!A31:B116,2,FALSE),"")</f>
        <v/>
      </c>
      <c r="N32" t="str">
        <f>IFERROR(VLOOKUP($B32,ChartOfAccounts!C31:D116,2,FALSE),"")</f>
        <v/>
      </c>
      <c r="O32" t="str">
        <f>IFERROR(VLOOKUP($B32,ChartOfAccounts!E31:F116,2,FALSE),"")</f>
        <v/>
      </c>
      <c r="P32" t="str">
        <f>IFERROR(VLOOKUP(D32,PreparerInfo!A31:B43,2,FALSE),"")</f>
        <v/>
      </c>
      <c r="Q32" t="str">
        <f>IFERROR(VLOOKUP(E32,Source!A31:B39,2,FALSE),"")</f>
        <v/>
      </c>
    </row>
    <row r="33" spans="1:17" x14ac:dyDescent="0.3">
      <c r="A33" s="3">
        <v>2033535</v>
      </c>
      <c r="B33">
        <v>43440</v>
      </c>
      <c r="C33">
        <v>3</v>
      </c>
      <c r="D33" s="9">
        <v>102</v>
      </c>
      <c r="E33">
        <v>1001</v>
      </c>
      <c r="F33" s="1">
        <v>44003</v>
      </c>
      <c r="G33" t="s">
        <v>41</v>
      </c>
      <c r="H33" s="4" t="s">
        <v>16</v>
      </c>
      <c r="I33" s="4">
        <v>-38.29</v>
      </c>
      <c r="J33" s="4">
        <v>-38.29</v>
      </c>
      <c r="K33" t="str">
        <f>VLOOKUP($C33,Table1[#All],2,FALSE)</f>
        <v>HOTEL PANTRY</v>
      </c>
      <c r="L33" t="str">
        <f>VLOOKUP($C33,Table1[#All],3,FALSE)</f>
        <v>Transactions related to the hotel convenience store, including some food and beverage costs.</v>
      </c>
      <c r="M33" t="str">
        <f>IFERROR(VLOOKUP($B33,ChartOfAccounts!A32:B117,2,FALSE),"")</f>
        <v/>
      </c>
      <c r="N33" t="str">
        <f>IFERROR(VLOOKUP($B33,ChartOfAccounts!C32:D117,2,FALSE),"")</f>
        <v/>
      </c>
      <c r="O33" t="str">
        <f>IFERROR(VLOOKUP($B33,ChartOfAccounts!E32:F117,2,FALSE),"")</f>
        <v/>
      </c>
      <c r="P33" t="str">
        <f>IFERROR(VLOOKUP(D33,PreparerInfo!A32:B44,2,FALSE),"")</f>
        <v/>
      </c>
      <c r="Q33" t="str">
        <f>IFERROR(VLOOKUP(E33,Source!A32:B40,2,FALSE),"")</f>
        <v/>
      </c>
    </row>
    <row r="34" spans="1:17" x14ac:dyDescent="0.3">
      <c r="A34" s="3">
        <v>2033536</v>
      </c>
      <c r="B34">
        <v>11845</v>
      </c>
      <c r="C34">
        <v>3</v>
      </c>
      <c r="D34" s="9">
        <v>102</v>
      </c>
      <c r="E34">
        <v>1003</v>
      </c>
      <c r="F34" s="1">
        <v>44003</v>
      </c>
      <c r="G34" t="s">
        <v>15</v>
      </c>
      <c r="H34" s="4">
        <v>47.96</v>
      </c>
      <c r="I34" s="4" t="s">
        <v>16</v>
      </c>
      <c r="J34" s="4">
        <v>47.96</v>
      </c>
      <c r="K34" t="str">
        <f>VLOOKUP($C34,Table1[#All],2,FALSE)</f>
        <v>HOTEL PANTRY</v>
      </c>
      <c r="L34" t="str">
        <f>VLOOKUP($C34,Table1[#All],3,FALSE)</f>
        <v>Transactions related to the hotel convenience store, including some food and beverage costs.</v>
      </c>
      <c r="M34" t="str">
        <f>IFERROR(VLOOKUP($B34,ChartOfAccounts!A33:B118,2,FALSE),"")</f>
        <v/>
      </c>
      <c r="N34" t="str">
        <f>IFERROR(VLOOKUP($B34,ChartOfAccounts!C33:D118,2,FALSE),"")</f>
        <v/>
      </c>
      <c r="O34" t="str">
        <f>IFERROR(VLOOKUP($B34,ChartOfAccounts!E33:F118,2,FALSE),"")</f>
        <v/>
      </c>
      <c r="P34" t="str">
        <f>IFERROR(VLOOKUP(D34,PreparerInfo!A33:B45,2,FALSE),"")</f>
        <v/>
      </c>
      <c r="Q34" t="str">
        <f>IFERROR(VLOOKUP(E34,Source!A33:B41,2,FALSE),"")</f>
        <v/>
      </c>
    </row>
    <row r="35" spans="1:17" x14ac:dyDescent="0.3">
      <c r="A35" s="3">
        <v>2033536</v>
      </c>
      <c r="B35">
        <v>43440</v>
      </c>
      <c r="C35">
        <v>3</v>
      </c>
      <c r="D35" s="9">
        <v>102</v>
      </c>
      <c r="E35">
        <v>1003</v>
      </c>
      <c r="F35" s="1">
        <v>44003</v>
      </c>
      <c r="G35" t="s">
        <v>15</v>
      </c>
      <c r="H35" s="4" t="s">
        <v>16</v>
      </c>
      <c r="I35" s="4">
        <v>-47.96</v>
      </c>
      <c r="J35" s="4">
        <v>-47.96</v>
      </c>
      <c r="K35" t="str">
        <f>VLOOKUP($C35,Table1[#All],2,FALSE)</f>
        <v>HOTEL PANTRY</v>
      </c>
      <c r="L35" t="str">
        <f>VLOOKUP($C35,Table1[#All],3,FALSE)</f>
        <v>Transactions related to the hotel convenience store, including some food and beverage costs.</v>
      </c>
      <c r="M35" t="str">
        <f>IFERROR(VLOOKUP($B35,ChartOfAccounts!A34:B119,2,FALSE),"")</f>
        <v/>
      </c>
      <c r="N35" t="str">
        <f>IFERROR(VLOOKUP($B35,ChartOfAccounts!C34:D119,2,FALSE),"")</f>
        <v/>
      </c>
      <c r="O35" t="str">
        <f>IFERROR(VLOOKUP($B35,ChartOfAccounts!E34:F119,2,FALSE),"")</f>
        <v/>
      </c>
      <c r="P35" t="str">
        <f>IFERROR(VLOOKUP(D35,PreparerInfo!A34:B46,2,FALSE),"")</f>
        <v/>
      </c>
      <c r="Q35" t="str">
        <f>IFERROR(VLOOKUP(E35,Source!A34:B42,2,FALSE),"")</f>
        <v/>
      </c>
    </row>
    <row r="36" spans="1:17" x14ac:dyDescent="0.3">
      <c r="A36" s="3">
        <v>2033537</v>
      </c>
      <c r="B36">
        <v>14250</v>
      </c>
      <c r="C36">
        <v>3</v>
      </c>
      <c r="D36" s="9">
        <v>102</v>
      </c>
      <c r="E36">
        <v>1002</v>
      </c>
      <c r="F36" s="1">
        <v>44003</v>
      </c>
      <c r="G36" t="s">
        <v>47</v>
      </c>
      <c r="H36" s="4">
        <v>197.08</v>
      </c>
      <c r="I36" s="4" t="s">
        <v>16</v>
      </c>
      <c r="J36" s="4">
        <v>197.08</v>
      </c>
      <c r="K36" t="str">
        <f>VLOOKUP($C36,Table1[#All],2,FALSE)</f>
        <v>HOTEL PANTRY</v>
      </c>
      <c r="L36" t="str">
        <f>VLOOKUP($C36,Table1[#All],3,FALSE)</f>
        <v>Transactions related to the hotel convenience store, including some food and beverage costs.</v>
      </c>
      <c r="M36" t="str">
        <f>IFERROR(VLOOKUP($B36,ChartOfAccounts!A35:B120,2,FALSE),"")</f>
        <v/>
      </c>
      <c r="N36" t="str">
        <f>IFERROR(VLOOKUP($B36,ChartOfAccounts!C35:D120,2,FALSE),"")</f>
        <v/>
      </c>
      <c r="O36" t="str">
        <f>IFERROR(VLOOKUP($B36,ChartOfAccounts!E35:F120,2,FALSE),"")</f>
        <v/>
      </c>
      <c r="P36" t="str">
        <f>IFERROR(VLOOKUP(D36,PreparerInfo!A35:B47,2,FALSE),"")</f>
        <v/>
      </c>
      <c r="Q36" t="str">
        <f>IFERROR(VLOOKUP(E36,Source!A35:B43,2,FALSE),"")</f>
        <v/>
      </c>
    </row>
    <row r="37" spans="1:17" x14ac:dyDescent="0.3">
      <c r="A37" s="3">
        <v>2033537</v>
      </c>
      <c r="B37">
        <v>11845</v>
      </c>
      <c r="C37">
        <v>3</v>
      </c>
      <c r="D37" s="9">
        <v>102</v>
      </c>
      <c r="E37">
        <v>1002</v>
      </c>
      <c r="F37" s="1">
        <v>44003</v>
      </c>
      <c r="G37" t="s">
        <v>47</v>
      </c>
      <c r="H37" s="4" t="s">
        <v>16</v>
      </c>
      <c r="I37" s="4">
        <v>-197.08</v>
      </c>
      <c r="J37" s="4">
        <v>-197.08</v>
      </c>
      <c r="K37" t="str">
        <f>VLOOKUP($C37,Table1[#All],2,FALSE)</f>
        <v>HOTEL PANTRY</v>
      </c>
      <c r="L37" t="str">
        <f>VLOOKUP($C37,Table1[#All],3,FALSE)</f>
        <v>Transactions related to the hotel convenience store, including some food and beverage costs.</v>
      </c>
      <c r="M37" t="str">
        <f>IFERROR(VLOOKUP($B37,ChartOfAccounts!A36:B121,2,FALSE),"")</f>
        <v/>
      </c>
      <c r="N37" t="str">
        <f>IFERROR(VLOOKUP($B37,ChartOfAccounts!C36:D121,2,FALSE),"")</f>
        <v/>
      </c>
      <c r="O37" t="str">
        <f>IFERROR(VLOOKUP($B37,ChartOfAccounts!E36:F121,2,FALSE),"")</f>
        <v/>
      </c>
      <c r="P37" t="str">
        <f>IFERROR(VLOOKUP(D37,PreparerInfo!A36:B48,2,FALSE),"")</f>
        <v/>
      </c>
      <c r="Q37" t="str">
        <f>IFERROR(VLOOKUP(E37,Source!A36:B44,2,FALSE),"")</f>
        <v/>
      </c>
    </row>
    <row r="38" spans="1:17" x14ac:dyDescent="0.3">
      <c r="A38" s="3">
        <v>2033538</v>
      </c>
      <c r="B38">
        <v>72760</v>
      </c>
      <c r="C38">
        <v>6</v>
      </c>
      <c r="D38" s="9">
        <v>101</v>
      </c>
      <c r="E38">
        <v>1002</v>
      </c>
      <c r="F38" s="1">
        <v>44003</v>
      </c>
      <c r="G38" t="s">
        <v>135</v>
      </c>
      <c r="H38" s="4">
        <v>236.32</v>
      </c>
      <c r="I38" s="4" t="s">
        <v>16</v>
      </c>
      <c r="J38" s="4">
        <v>236.32</v>
      </c>
      <c r="K38" t="str">
        <f>VLOOKUP($C38,Table1[#All],2,FALSE)</f>
        <v>MAINTENANCE</v>
      </c>
      <c r="L38" t="str">
        <f>VLOOKUP($C38,Table1[#All],3,FALSE)</f>
        <v>Transactions related to the hotel Maintenance Department. Primarily includes payroll for maintenance, grounds keepers and related supplies.</v>
      </c>
      <c r="M38" t="str">
        <f>IFERROR(VLOOKUP($B38,ChartOfAccounts!A37:B122,2,FALSE),"")</f>
        <v>Other Services</v>
      </c>
      <c r="N38" t="str">
        <f>IFERROR(VLOOKUP($B38,ChartOfAccounts!C37:D122,2,FALSE),"")</f>
        <v>Expenses</v>
      </c>
      <c r="O38" t="str">
        <f>IFERROR(VLOOKUP($B38,ChartOfAccounts!E37:F122,2,FALSE),"")</f>
        <v>SG&amp;A</v>
      </c>
      <c r="P38" t="str">
        <f>IFERROR(VLOOKUP(D38,PreparerInfo!A37:B49,2,FALSE),"")</f>
        <v/>
      </c>
      <c r="Q38" t="str">
        <f>IFERROR(VLOOKUP(E38,Source!A37:B45,2,FALSE),"")</f>
        <v/>
      </c>
    </row>
    <row r="39" spans="1:17" x14ac:dyDescent="0.3">
      <c r="A39" s="3">
        <v>2033538</v>
      </c>
      <c r="B39">
        <v>11845</v>
      </c>
      <c r="C39">
        <v>6</v>
      </c>
      <c r="D39" s="9">
        <v>101</v>
      </c>
      <c r="E39">
        <v>1002</v>
      </c>
      <c r="F39" s="1">
        <v>44003</v>
      </c>
      <c r="G39" t="s">
        <v>135</v>
      </c>
      <c r="H39" s="4" t="s">
        <v>16</v>
      </c>
      <c r="I39" s="4">
        <v>-236.32</v>
      </c>
      <c r="J39" s="4">
        <v>-236.32</v>
      </c>
      <c r="K39" t="str">
        <f>VLOOKUP($C39,Table1[#All],2,FALSE)</f>
        <v>MAINTENANCE</v>
      </c>
      <c r="L39" t="str">
        <f>VLOOKUP($C39,Table1[#All],3,FALSE)</f>
        <v>Transactions related to the hotel Maintenance Department. Primarily includes payroll for maintenance, grounds keepers and related supplies.</v>
      </c>
      <c r="M39" t="str">
        <f>IFERROR(VLOOKUP($B39,ChartOfAccounts!A38:B123,2,FALSE),"")</f>
        <v/>
      </c>
      <c r="N39" t="str">
        <f>IFERROR(VLOOKUP($B39,ChartOfAccounts!C38:D123,2,FALSE),"")</f>
        <v/>
      </c>
      <c r="O39" t="str">
        <f>IFERROR(VLOOKUP($B39,ChartOfAccounts!E38:F123,2,FALSE),"")</f>
        <v/>
      </c>
      <c r="P39" t="str">
        <f>IFERROR(VLOOKUP(D39,PreparerInfo!A38:B50,2,FALSE),"")</f>
        <v/>
      </c>
      <c r="Q39" t="str">
        <f>IFERROR(VLOOKUP(E39,Source!A38:B46,2,FALSE),"")</f>
        <v/>
      </c>
    </row>
    <row r="40" spans="1:17" x14ac:dyDescent="0.3">
      <c r="A40" s="3">
        <v>2033539</v>
      </c>
      <c r="B40">
        <v>72760</v>
      </c>
      <c r="C40">
        <v>6</v>
      </c>
      <c r="D40" s="9">
        <v>101</v>
      </c>
      <c r="E40">
        <v>1002</v>
      </c>
      <c r="F40" s="1">
        <v>44003</v>
      </c>
      <c r="G40" t="s">
        <v>135</v>
      </c>
      <c r="H40" s="4">
        <v>236.32</v>
      </c>
      <c r="I40" s="4" t="s">
        <v>16</v>
      </c>
      <c r="J40" s="4">
        <v>236.32</v>
      </c>
      <c r="K40" t="str">
        <f>VLOOKUP($C40,Table1[#All],2,FALSE)</f>
        <v>MAINTENANCE</v>
      </c>
      <c r="L40" t="str">
        <f>VLOOKUP($C40,Table1[#All],3,FALSE)</f>
        <v>Transactions related to the hotel Maintenance Department. Primarily includes payroll for maintenance, grounds keepers and related supplies.</v>
      </c>
      <c r="M40" t="str">
        <f>IFERROR(VLOOKUP($B40,ChartOfAccounts!A39:B124,2,FALSE),"")</f>
        <v>Other Services</v>
      </c>
      <c r="N40" t="str">
        <f>IFERROR(VLOOKUP($B40,ChartOfAccounts!C39:D124,2,FALSE),"")</f>
        <v>Expenses</v>
      </c>
      <c r="O40" t="str">
        <f>IFERROR(VLOOKUP($B40,ChartOfAccounts!E39:F124,2,FALSE),"")</f>
        <v>SG&amp;A</v>
      </c>
      <c r="P40" t="str">
        <f>IFERROR(VLOOKUP(D40,PreparerInfo!A39:B51,2,FALSE),"")</f>
        <v/>
      </c>
      <c r="Q40" t="str">
        <f>IFERROR(VLOOKUP(E40,Source!A39:B47,2,FALSE),"")</f>
        <v/>
      </c>
    </row>
    <row r="41" spans="1:17" x14ac:dyDescent="0.3">
      <c r="A41" s="3">
        <v>2033539</v>
      </c>
      <c r="B41">
        <v>11845</v>
      </c>
      <c r="C41">
        <v>6</v>
      </c>
      <c r="D41" s="9">
        <v>101</v>
      </c>
      <c r="E41">
        <v>1002</v>
      </c>
      <c r="F41" s="1">
        <v>44003</v>
      </c>
      <c r="G41" t="s">
        <v>135</v>
      </c>
      <c r="H41" s="4" t="s">
        <v>16</v>
      </c>
      <c r="I41" s="4">
        <v>-236.32</v>
      </c>
      <c r="J41" s="4">
        <v>-236.32</v>
      </c>
      <c r="K41" t="str">
        <f>VLOOKUP($C41,Table1[#All],2,FALSE)</f>
        <v>MAINTENANCE</v>
      </c>
      <c r="L41" t="str">
        <f>VLOOKUP($C41,Table1[#All],3,FALSE)</f>
        <v>Transactions related to the hotel Maintenance Department. Primarily includes payroll for maintenance, grounds keepers and related supplies.</v>
      </c>
      <c r="M41" t="str">
        <f>IFERROR(VLOOKUP($B41,ChartOfAccounts!A40:B125,2,FALSE),"")</f>
        <v/>
      </c>
      <c r="N41" t="str">
        <f>IFERROR(VLOOKUP($B41,ChartOfAccounts!C40:D125,2,FALSE),"")</f>
        <v/>
      </c>
      <c r="O41" t="str">
        <f>IFERROR(VLOOKUP($B41,ChartOfAccounts!E40:F125,2,FALSE),"")</f>
        <v/>
      </c>
      <c r="P41" t="str">
        <f>IFERROR(VLOOKUP(D41,PreparerInfo!A40:B52,2,FALSE),"")</f>
        <v/>
      </c>
      <c r="Q41" t="str">
        <f>IFERROR(VLOOKUP(E41,Source!A40:B48,2,FALSE),"")</f>
        <v/>
      </c>
    </row>
    <row r="42" spans="1:17" x14ac:dyDescent="0.3">
      <c r="A42" s="3">
        <v>2033540</v>
      </c>
      <c r="B42">
        <v>14250</v>
      </c>
      <c r="C42">
        <v>3</v>
      </c>
      <c r="D42" s="9">
        <v>102</v>
      </c>
      <c r="E42">
        <v>1002</v>
      </c>
      <c r="F42" s="1">
        <v>44003</v>
      </c>
      <c r="G42" t="s">
        <v>214</v>
      </c>
      <c r="H42" s="4">
        <v>328.56</v>
      </c>
      <c r="I42" s="4" t="s">
        <v>16</v>
      </c>
      <c r="J42" s="4">
        <v>328.56</v>
      </c>
      <c r="K42" t="str">
        <f>VLOOKUP($C42,Table1[#All],2,FALSE)</f>
        <v>HOTEL PANTRY</v>
      </c>
      <c r="L42" t="str">
        <f>VLOOKUP($C42,Table1[#All],3,FALSE)</f>
        <v>Transactions related to the hotel convenience store, including some food and beverage costs.</v>
      </c>
      <c r="M42" t="str">
        <f>IFERROR(VLOOKUP($B42,ChartOfAccounts!A41:B126,2,FALSE),"")</f>
        <v/>
      </c>
      <c r="N42" t="str">
        <f>IFERROR(VLOOKUP($B42,ChartOfAccounts!C41:D126,2,FALSE),"")</f>
        <v/>
      </c>
      <c r="O42" t="str">
        <f>IFERROR(VLOOKUP($B42,ChartOfAccounts!E41:F126,2,FALSE),"")</f>
        <v/>
      </c>
      <c r="P42" t="str">
        <f>IFERROR(VLOOKUP(D42,PreparerInfo!A41:B53,2,FALSE),"")</f>
        <v/>
      </c>
      <c r="Q42" t="str">
        <f>IFERROR(VLOOKUP(E42,Source!A41:B49,2,FALSE),"")</f>
        <v/>
      </c>
    </row>
    <row r="43" spans="1:17" x14ac:dyDescent="0.3">
      <c r="A43" s="3">
        <v>2033540</v>
      </c>
      <c r="B43">
        <v>11845</v>
      </c>
      <c r="C43">
        <v>3</v>
      </c>
      <c r="D43" s="9">
        <v>102</v>
      </c>
      <c r="E43">
        <v>1002</v>
      </c>
      <c r="F43" s="1">
        <v>44003</v>
      </c>
      <c r="G43" t="s">
        <v>214</v>
      </c>
      <c r="H43" s="4" t="s">
        <v>16</v>
      </c>
      <c r="I43" s="4">
        <v>-328.56</v>
      </c>
      <c r="J43" s="4">
        <v>-328.56</v>
      </c>
      <c r="K43" t="str">
        <f>VLOOKUP($C43,Table1[#All],2,FALSE)</f>
        <v>HOTEL PANTRY</v>
      </c>
      <c r="L43" t="str">
        <f>VLOOKUP($C43,Table1[#All],3,FALSE)</f>
        <v>Transactions related to the hotel convenience store, including some food and beverage costs.</v>
      </c>
      <c r="M43" t="str">
        <f>IFERROR(VLOOKUP($B43,ChartOfAccounts!A42:B127,2,FALSE),"")</f>
        <v/>
      </c>
      <c r="N43" t="str">
        <f>IFERROR(VLOOKUP($B43,ChartOfAccounts!C42:D127,2,FALSE),"")</f>
        <v/>
      </c>
      <c r="O43" t="str">
        <f>IFERROR(VLOOKUP($B43,ChartOfAccounts!E42:F127,2,FALSE),"")</f>
        <v/>
      </c>
      <c r="P43" t="str">
        <f>IFERROR(VLOOKUP(D43,PreparerInfo!A42:B54,2,FALSE),"")</f>
        <v/>
      </c>
      <c r="Q43" t="str">
        <f>IFERROR(VLOOKUP(E43,Source!A42:B50,2,FALSE),"")</f>
        <v/>
      </c>
    </row>
    <row r="44" spans="1:17" x14ac:dyDescent="0.3">
      <c r="A44" s="3">
        <v>2033541</v>
      </c>
      <c r="B44">
        <v>11845</v>
      </c>
      <c r="C44">
        <v>1</v>
      </c>
      <c r="D44" s="9">
        <v>102</v>
      </c>
      <c r="E44">
        <v>1001</v>
      </c>
      <c r="F44" s="1">
        <v>44003</v>
      </c>
      <c r="G44" t="s">
        <v>41</v>
      </c>
      <c r="H44" s="4">
        <v>603.45000000000005</v>
      </c>
      <c r="I44" s="4" t="s">
        <v>16</v>
      </c>
      <c r="J44" s="4">
        <v>603.45000000000005</v>
      </c>
      <c r="K44" t="str">
        <f>VLOOKUP($C44,Table1[#All],2,FALSE)</f>
        <v>FOOD SERVICE</v>
      </c>
      <c r="L44" t="str">
        <f>VLOOKUP($C44,Table1[#All],3,FALSE)</f>
        <v xml:space="preserve">Transactions related to food and beverage service. Includes all guest transactions in the hotel restaurants, catering-related transactions and food service payroll. </v>
      </c>
      <c r="M44" t="str">
        <f>IFERROR(VLOOKUP($B44,ChartOfAccounts!A43:B128,2,FALSE),"")</f>
        <v/>
      </c>
      <c r="N44" t="str">
        <f>IFERROR(VLOOKUP($B44,ChartOfAccounts!C43:D128,2,FALSE),"")</f>
        <v/>
      </c>
      <c r="O44" t="str">
        <f>IFERROR(VLOOKUP($B44,ChartOfAccounts!E43:F128,2,FALSE),"")</f>
        <v/>
      </c>
      <c r="P44" t="str">
        <f>IFERROR(VLOOKUP(D44,PreparerInfo!A43:B55,2,FALSE),"")</f>
        <v/>
      </c>
      <c r="Q44" t="str">
        <f>IFERROR(VLOOKUP(E44,Source!A43:B51,2,FALSE),"")</f>
        <v/>
      </c>
    </row>
    <row r="45" spans="1:17" x14ac:dyDescent="0.3">
      <c r="A45" s="3">
        <v>2033541</v>
      </c>
      <c r="B45">
        <v>43310</v>
      </c>
      <c r="C45">
        <v>1</v>
      </c>
      <c r="D45" s="9">
        <v>102</v>
      </c>
      <c r="E45">
        <v>1001</v>
      </c>
      <c r="F45" s="1">
        <v>44003</v>
      </c>
      <c r="G45" t="s">
        <v>41</v>
      </c>
      <c r="H45" s="4" t="s">
        <v>16</v>
      </c>
      <c r="I45" s="4">
        <v>-603.45000000000005</v>
      </c>
      <c r="J45" s="4">
        <v>-603.45000000000005</v>
      </c>
      <c r="K45" t="str">
        <f>VLOOKUP($C45,Table1[#All],2,FALSE)</f>
        <v>FOOD SERVICE</v>
      </c>
      <c r="L45" t="str">
        <f>VLOOKUP($C45,Table1[#All],3,FALSE)</f>
        <v xml:space="preserve">Transactions related to food and beverage service. Includes all guest transactions in the hotel restaurants, catering-related transactions and food service payroll. </v>
      </c>
      <c r="M45" t="str">
        <f>IFERROR(VLOOKUP($B45,ChartOfAccounts!A44:B129,2,FALSE),"")</f>
        <v/>
      </c>
      <c r="N45" t="str">
        <f>IFERROR(VLOOKUP($B45,ChartOfAccounts!C44:D129,2,FALSE),"")</f>
        <v/>
      </c>
      <c r="O45" t="str">
        <f>IFERROR(VLOOKUP($B45,ChartOfAccounts!E44:F129,2,FALSE),"")</f>
        <v/>
      </c>
      <c r="P45" t="str">
        <f>IFERROR(VLOOKUP(D45,PreparerInfo!A44:B56,2,FALSE),"")</f>
        <v/>
      </c>
      <c r="Q45" t="str">
        <f>IFERROR(VLOOKUP(E45,Source!A44:B52,2,FALSE),"")</f>
        <v/>
      </c>
    </row>
    <row r="46" spans="1:17" x14ac:dyDescent="0.3">
      <c r="A46" s="3">
        <v>2033542</v>
      </c>
      <c r="B46">
        <v>11845</v>
      </c>
      <c r="C46">
        <v>1</v>
      </c>
      <c r="D46" s="9">
        <v>102</v>
      </c>
      <c r="E46">
        <v>1003</v>
      </c>
      <c r="F46" s="1">
        <v>44003</v>
      </c>
      <c r="G46" t="s">
        <v>15</v>
      </c>
      <c r="H46" s="4">
        <v>2422.96</v>
      </c>
      <c r="I46" s="4" t="s">
        <v>16</v>
      </c>
      <c r="J46" s="4">
        <v>2422.96</v>
      </c>
      <c r="K46" t="str">
        <f>VLOOKUP($C46,Table1[#All],2,FALSE)</f>
        <v>FOOD SERVICE</v>
      </c>
      <c r="L46" t="str">
        <f>VLOOKUP($C46,Table1[#All],3,FALSE)</f>
        <v xml:space="preserve">Transactions related to food and beverage service. Includes all guest transactions in the hotel restaurants, catering-related transactions and food service payroll. </v>
      </c>
      <c r="M46" t="str">
        <f>IFERROR(VLOOKUP($B46,ChartOfAccounts!A45:B130,2,FALSE),"")</f>
        <v/>
      </c>
      <c r="N46" t="str">
        <f>IFERROR(VLOOKUP($B46,ChartOfAccounts!C45:D130,2,FALSE),"")</f>
        <v/>
      </c>
      <c r="O46" t="str">
        <f>IFERROR(VLOOKUP($B46,ChartOfAccounts!E45:F130,2,FALSE),"")</f>
        <v/>
      </c>
      <c r="P46" t="str">
        <f>IFERROR(VLOOKUP(D46,PreparerInfo!A45:B57,2,FALSE),"")</f>
        <v/>
      </c>
      <c r="Q46" t="str">
        <f>IFERROR(VLOOKUP(E46,Source!A45:B53,2,FALSE),"")</f>
        <v/>
      </c>
    </row>
    <row r="47" spans="1:17" x14ac:dyDescent="0.3">
      <c r="A47" s="3">
        <v>2033542</v>
      </c>
      <c r="B47">
        <v>43310</v>
      </c>
      <c r="C47">
        <v>1</v>
      </c>
      <c r="D47" s="9">
        <v>102</v>
      </c>
      <c r="E47">
        <v>1003</v>
      </c>
      <c r="F47" s="1">
        <v>44003</v>
      </c>
      <c r="G47" t="s">
        <v>15</v>
      </c>
      <c r="H47" s="4" t="s">
        <v>16</v>
      </c>
      <c r="I47" s="4">
        <v>-2422.96</v>
      </c>
      <c r="J47" s="4">
        <v>-2422.96</v>
      </c>
      <c r="K47" t="str">
        <f>VLOOKUP($C47,Table1[#All],2,FALSE)</f>
        <v>FOOD SERVICE</v>
      </c>
      <c r="L47" t="str">
        <f>VLOOKUP($C47,Table1[#All],3,FALSE)</f>
        <v xml:space="preserve">Transactions related to food and beverage service. Includes all guest transactions in the hotel restaurants, catering-related transactions and food service payroll. </v>
      </c>
      <c r="M47" t="str">
        <f>IFERROR(VLOOKUP($B47,ChartOfAccounts!A46:B131,2,FALSE),"")</f>
        <v/>
      </c>
      <c r="N47" t="str">
        <f>IFERROR(VLOOKUP($B47,ChartOfAccounts!C46:D131,2,FALSE),"")</f>
        <v/>
      </c>
      <c r="O47" t="str">
        <f>IFERROR(VLOOKUP($B47,ChartOfAccounts!E46:F131,2,FALSE),"")</f>
        <v/>
      </c>
      <c r="P47" t="str">
        <f>IFERROR(VLOOKUP(D47,PreparerInfo!A46:B58,2,FALSE),"")</f>
        <v/>
      </c>
      <c r="Q47" t="str">
        <f>IFERROR(VLOOKUP(E47,Source!A46:B54,2,FALSE),"")</f>
        <v/>
      </c>
    </row>
    <row r="48" spans="1:17" x14ac:dyDescent="0.3">
      <c r="A48" s="3">
        <v>2033543</v>
      </c>
      <c r="B48">
        <v>11845</v>
      </c>
      <c r="C48">
        <v>2</v>
      </c>
      <c r="D48" s="9">
        <v>104</v>
      </c>
      <c r="E48">
        <v>1003</v>
      </c>
      <c r="F48" s="1">
        <v>44003</v>
      </c>
      <c r="G48" t="s">
        <v>15</v>
      </c>
      <c r="H48" s="4">
        <v>3400</v>
      </c>
      <c r="I48" s="4" t="s">
        <v>16</v>
      </c>
      <c r="J48" s="4">
        <v>3400</v>
      </c>
      <c r="K48" t="str">
        <f>VLOOKUP($C48,Table1[#All],2,FALSE)</f>
        <v>HOTEL</v>
      </c>
      <c r="L48" t="str">
        <f>VLOOKUP($C48,Table1[#All],3,FALSE)</f>
        <v xml:space="preserve">Transactions related to guest rooms and overall hotel operations. Includes payroll for administrative staff, clerks and interns. </v>
      </c>
      <c r="M48" t="str">
        <f>IFERROR(VLOOKUP($B48,ChartOfAccounts!A47:B132,2,FALSE),"")</f>
        <v/>
      </c>
      <c r="N48" t="str">
        <f>IFERROR(VLOOKUP($B48,ChartOfAccounts!C47:D132,2,FALSE),"")</f>
        <v/>
      </c>
      <c r="O48" t="str">
        <f>IFERROR(VLOOKUP($B48,ChartOfAccounts!E47:F132,2,FALSE),"")</f>
        <v/>
      </c>
      <c r="P48" t="str">
        <f>IFERROR(VLOOKUP(D48,PreparerInfo!A47:B59,2,FALSE),"")</f>
        <v/>
      </c>
      <c r="Q48" t="str">
        <f>IFERROR(VLOOKUP(E48,Source!A47:B55,2,FALSE),"")</f>
        <v/>
      </c>
    </row>
    <row r="49" spans="1:17" x14ac:dyDescent="0.3">
      <c r="A49" s="3">
        <v>2033543</v>
      </c>
      <c r="B49">
        <v>43180</v>
      </c>
      <c r="C49">
        <v>2</v>
      </c>
      <c r="D49" s="9">
        <v>104</v>
      </c>
      <c r="E49">
        <v>1003</v>
      </c>
      <c r="F49" s="1">
        <v>44003</v>
      </c>
      <c r="G49" t="s">
        <v>15</v>
      </c>
      <c r="H49" s="4" t="s">
        <v>16</v>
      </c>
      <c r="I49" s="4">
        <v>-3400</v>
      </c>
      <c r="J49" s="4">
        <v>-3400</v>
      </c>
      <c r="K49" t="str">
        <f>VLOOKUP($C49,Table1[#All],2,FALSE)</f>
        <v>HOTEL</v>
      </c>
      <c r="L49" t="str">
        <f>VLOOKUP($C49,Table1[#All],3,FALSE)</f>
        <v xml:space="preserve">Transactions related to guest rooms and overall hotel operations. Includes payroll for administrative staff, clerks and interns. </v>
      </c>
      <c r="M49" t="str">
        <f>IFERROR(VLOOKUP($B49,ChartOfAccounts!A48:B133,2,FALSE),"")</f>
        <v/>
      </c>
      <c r="N49" t="str">
        <f>IFERROR(VLOOKUP($B49,ChartOfAccounts!C48:D133,2,FALSE),"")</f>
        <v/>
      </c>
      <c r="O49" t="str">
        <f>IFERROR(VLOOKUP($B49,ChartOfAccounts!E48:F133,2,FALSE),"")</f>
        <v/>
      </c>
      <c r="P49" t="str">
        <f>IFERROR(VLOOKUP(D49,PreparerInfo!A48:B60,2,FALSE),"")</f>
        <v/>
      </c>
      <c r="Q49" t="str">
        <f>IFERROR(VLOOKUP(E49,Source!A48:B56,2,FALSE),"")</f>
        <v/>
      </c>
    </row>
    <row r="50" spans="1:17" x14ac:dyDescent="0.3">
      <c r="A50" s="3">
        <v>2033544</v>
      </c>
      <c r="B50">
        <v>16200</v>
      </c>
      <c r="C50">
        <v>2</v>
      </c>
      <c r="D50" s="9">
        <v>102</v>
      </c>
      <c r="E50">
        <v>1002</v>
      </c>
      <c r="F50" s="1">
        <v>44003</v>
      </c>
      <c r="G50" t="s">
        <v>284</v>
      </c>
      <c r="H50" s="4">
        <v>3000</v>
      </c>
      <c r="I50" s="4"/>
      <c r="J50" s="4">
        <v>3000</v>
      </c>
      <c r="K50" t="str">
        <f>VLOOKUP($C50,Table1[#All],2,FALSE)</f>
        <v>HOTEL</v>
      </c>
      <c r="L50" t="str">
        <f>VLOOKUP($C50,Table1[#All],3,FALSE)</f>
        <v xml:space="preserve">Transactions related to guest rooms and overall hotel operations. Includes payroll for administrative staff, clerks and interns. </v>
      </c>
      <c r="M50" t="str">
        <f>IFERROR(VLOOKUP($B50,ChartOfAccounts!A49:B134,2,FALSE),"")</f>
        <v/>
      </c>
      <c r="N50" t="str">
        <f>IFERROR(VLOOKUP($B50,ChartOfAccounts!C49:D134,2,FALSE),"")</f>
        <v/>
      </c>
      <c r="O50" t="str">
        <f>IFERROR(VLOOKUP($B50,ChartOfAccounts!E49:F134,2,FALSE),"")</f>
        <v/>
      </c>
      <c r="P50" t="str">
        <f>IFERROR(VLOOKUP(D50,PreparerInfo!A49:B61,2,FALSE),"")</f>
        <v/>
      </c>
      <c r="Q50" t="str">
        <f>IFERROR(VLOOKUP(E50,Source!A49:B57,2,FALSE),"")</f>
        <v/>
      </c>
    </row>
    <row r="51" spans="1:17" x14ac:dyDescent="0.3">
      <c r="A51" s="3">
        <v>2033544</v>
      </c>
      <c r="B51" s="2">
        <v>11845</v>
      </c>
      <c r="C51">
        <v>2</v>
      </c>
      <c r="D51" s="9">
        <v>102</v>
      </c>
      <c r="E51">
        <v>1002</v>
      </c>
      <c r="F51" s="1">
        <v>44003</v>
      </c>
      <c r="G51" t="s">
        <v>284</v>
      </c>
      <c r="H51" s="4"/>
      <c r="I51" s="4">
        <v>-3000</v>
      </c>
      <c r="J51" s="4">
        <v>-3000</v>
      </c>
      <c r="K51" t="str">
        <f>VLOOKUP($C51,Table1[#All],2,FALSE)</f>
        <v>HOTEL</v>
      </c>
      <c r="L51" t="str">
        <f>VLOOKUP($C51,Table1[#All],3,FALSE)</f>
        <v xml:space="preserve">Transactions related to guest rooms and overall hotel operations. Includes payroll for administrative staff, clerks and interns. </v>
      </c>
      <c r="M51" t="str">
        <f>IFERROR(VLOOKUP($B51,ChartOfAccounts!A50:B135,2,FALSE),"")</f>
        <v/>
      </c>
      <c r="N51" t="str">
        <f>IFERROR(VLOOKUP($B51,ChartOfAccounts!C50:D135,2,FALSE),"")</f>
        <v/>
      </c>
      <c r="O51" t="str">
        <f>IFERROR(VLOOKUP($B51,ChartOfAccounts!E50:F135,2,FALSE),"")</f>
        <v/>
      </c>
      <c r="P51" t="str">
        <f>IFERROR(VLOOKUP(D51,PreparerInfo!A50:B62,2,FALSE),"")</f>
        <v/>
      </c>
      <c r="Q51" t="str">
        <f>IFERROR(VLOOKUP(E51,Source!A50:B58,2,FALSE),"")</f>
        <v/>
      </c>
    </row>
    <row r="52" spans="1:17" x14ac:dyDescent="0.3">
      <c r="A52" s="3">
        <v>2033545</v>
      </c>
      <c r="B52">
        <v>71400</v>
      </c>
      <c r="C52">
        <v>1</v>
      </c>
      <c r="D52" s="9">
        <v>101</v>
      </c>
      <c r="E52">
        <v>1002</v>
      </c>
      <c r="F52" s="1">
        <v>44004</v>
      </c>
      <c r="G52" t="s">
        <v>222</v>
      </c>
      <c r="H52" s="4">
        <v>6.37</v>
      </c>
      <c r="I52" s="4" t="s">
        <v>16</v>
      </c>
      <c r="J52" s="4">
        <v>6.37</v>
      </c>
      <c r="K52" t="str">
        <f>VLOOKUP($C52,Table1[#All],2,FALSE)</f>
        <v>FOOD SERVICE</v>
      </c>
      <c r="L52" t="str">
        <f>VLOOKUP($C52,Table1[#All],3,FALSE)</f>
        <v xml:space="preserve">Transactions related to food and beverage service. Includes all guest transactions in the hotel restaurants, catering-related transactions and food service payroll. </v>
      </c>
      <c r="M52" t="str">
        <f>IFERROR(VLOOKUP($B52,ChartOfAccounts!A51:B136,2,FALSE),"")</f>
        <v/>
      </c>
      <c r="N52" t="str">
        <f>IFERROR(VLOOKUP($B52,ChartOfAccounts!C51:D136,2,FALSE),"")</f>
        <v/>
      </c>
      <c r="O52" t="str">
        <f>IFERROR(VLOOKUP($B52,ChartOfAccounts!E51:F136,2,FALSE),"")</f>
        <v/>
      </c>
      <c r="P52" t="str">
        <f>IFERROR(VLOOKUP(D52,PreparerInfo!A51:B63,2,FALSE),"")</f>
        <v/>
      </c>
      <c r="Q52" t="str">
        <f>IFERROR(VLOOKUP(E52,Source!A51:B59,2,FALSE),"")</f>
        <v/>
      </c>
    </row>
    <row r="53" spans="1:17" x14ac:dyDescent="0.3">
      <c r="A53" s="3">
        <v>2033545</v>
      </c>
      <c r="B53">
        <v>11845</v>
      </c>
      <c r="C53">
        <v>1</v>
      </c>
      <c r="D53" s="9">
        <v>101</v>
      </c>
      <c r="E53">
        <v>1002</v>
      </c>
      <c r="F53" s="1">
        <v>44004</v>
      </c>
      <c r="G53" t="s">
        <v>222</v>
      </c>
      <c r="H53" s="4" t="s">
        <v>16</v>
      </c>
      <c r="I53" s="4">
        <v>-6.37</v>
      </c>
      <c r="J53" s="4">
        <v>-6.37</v>
      </c>
      <c r="K53" t="str">
        <f>VLOOKUP($C53,Table1[#All],2,FALSE)</f>
        <v>FOOD SERVICE</v>
      </c>
      <c r="L53" t="str">
        <f>VLOOKUP($C53,Table1[#All],3,FALSE)</f>
        <v xml:space="preserve">Transactions related to food and beverage service. Includes all guest transactions in the hotel restaurants, catering-related transactions and food service payroll. </v>
      </c>
      <c r="M53" t="str">
        <f>IFERROR(VLOOKUP($B53,ChartOfAccounts!A52:B137,2,FALSE),"")</f>
        <v/>
      </c>
      <c r="N53" t="str">
        <f>IFERROR(VLOOKUP($B53,ChartOfAccounts!C52:D137,2,FALSE),"")</f>
        <v/>
      </c>
      <c r="O53" t="str">
        <f>IFERROR(VLOOKUP($B53,ChartOfAccounts!E52:F137,2,FALSE),"")</f>
        <v/>
      </c>
      <c r="P53" t="str">
        <f>IFERROR(VLOOKUP(D53,PreparerInfo!A52:B64,2,FALSE),"")</f>
        <v/>
      </c>
      <c r="Q53" t="str">
        <f>IFERROR(VLOOKUP(E53,Source!A52:B60,2,FALSE),"")</f>
        <v/>
      </c>
    </row>
    <row r="54" spans="1:17" x14ac:dyDescent="0.3">
      <c r="A54" s="3">
        <v>2033546</v>
      </c>
      <c r="B54">
        <v>11845</v>
      </c>
      <c r="C54">
        <v>1</v>
      </c>
      <c r="D54" s="9">
        <v>102</v>
      </c>
      <c r="E54">
        <v>1001</v>
      </c>
      <c r="F54" s="1">
        <v>44004</v>
      </c>
      <c r="G54" t="s">
        <v>223</v>
      </c>
      <c r="H54" s="4">
        <v>7.66</v>
      </c>
      <c r="I54" s="4" t="s">
        <v>16</v>
      </c>
      <c r="J54" s="4">
        <v>7.66</v>
      </c>
      <c r="K54" t="str">
        <f>VLOOKUP($C54,Table1[#All],2,FALSE)</f>
        <v>FOOD SERVICE</v>
      </c>
      <c r="L54" t="str">
        <f>VLOOKUP($C54,Table1[#All],3,FALSE)</f>
        <v xml:space="preserve">Transactions related to food and beverage service. Includes all guest transactions in the hotel restaurants, catering-related transactions and food service payroll. </v>
      </c>
      <c r="M54" t="str">
        <f>IFERROR(VLOOKUP($B54,ChartOfAccounts!A53:B138,2,FALSE),"")</f>
        <v/>
      </c>
      <c r="N54" t="str">
        <f>IFERROR(VLOOKUP($B54,ChartOfAccounts!C53:D138,2,FALSE),"")</f>
        <v/>
      </c>
      <c r="O54" t="str">
        <f>IFERROR(VLOOKUP($B54,ChartOfAccounts!E53:F138,2,FALSE),"")</f>
        <v/>
      </c>
      <c r="P54" t="str">
        <f>IFERROR(VLOOKUP(D54,PreparerInfo!A53:B65,2,FALSE),"")</f>
        <v/>
      </c>
      <c r="Q54" t="str">
        <f>IFERROR(VLOOKUP(E54,Source!A53:B61,2,FALSE),"")</f>
        <v/>
      </c>
    </row>
    <row r="55" spans="1:17" x14ac:dyDescent="0.3">
      <c r="A55" s="3">
        <v>2033546</v>
      </c>
      <c r="B55">
        <v>43310</v>
      </c>
      <c r="C55">
        <v>1</v>
      </c>
      <c r="D55" s="9">
        <v>102</v>
      </c>
      <c r="E55">
        <v>1001</v>
      </c>
      <c r="F55" s="1">
        <v>44004</v>
      </c>
      <c r="G55" t="s">
        <v>223</v>
      </c>
      <c r="H55" s="4" t="s">
        <v>16</v>
      </c>
      <c r="I55" s="4">
        <v>-7.66</v>
      </c>
      <c r="J55" s="4">
        <v>-7.66</v>
      </c>
      <c r="K55" t="str">
        <f>VLOOKUP($C55,Table1[#All],2,FALSE)</f>
        <v>FOOD SERVICE</v>
      </c>
      <c r="L55" t="str">
        <f>VLOOKUP($C55,Table1[#All],3,FALSE)</f>
        <v xml:space="preserve">Transactions related to food and beverage service. Includes all guest transactions in the hotel restaurants, catering-related transactions and food service payroll. </v>
      </c>
      <c r="M55" t="str">
        <f>IFERROR(VLOOKUP($B55,ChartOfAccounts!A54:B139,2,FALSE),"")</f>
        <v/>
      </c>
      <c r="N55" t="str">
        <f>IFERROR(VLOOKUP($B55,ChartOfAccounts!C54:D139,2,FALSE),"")</f>
        <v/>
      </c>
      <c r="O55" t="str">
        <f>IFERROR(VLOOKUP($B55,ChartOfAccounts!E54:F139,2,FALSE),"")</f>
        <v/>
      </c>
      <c r="P55" t="str">
        <f>IFERROR(VLOOKUP(D55,PreparerInfo!A54:B66,2,FALSE),"")</f>
        <v/>
      </c>
      <c r="Q55" t="str">
        <f>IFERROR(VLOOKUP(E55,Source!A54:B62,2,FALSE),"")</f>
        <v/>
      </c>
    </row>
    <row r="56" spans="1:17" x14ac:dyDescent="0.3">
      <c r="A56" s="3">
        <v>2033547</v>
      </c>
      <c r="B56">
        <v>11845</v>
      </c>
      <c r="C56">
        <v>3</v>
      </c>
      <c r="D56" s="9">
        <v>102</v>
      </c>
      <c r="E56">
        <v>1003</v>
      </c>
      <c r="F56" s="1">
        <v>44004</v>
      </c>
      <c r="G56" t="s">
        <v>15</v>
      </c>
      <c r="H56" s="4">
        <v>17.21</v>
      </c>
      <c r="I56" s="4" t="s">
        <v>16</v>
      </c>
      <c r="J56" s="4">
        <v>17.21</v>
      </c>
      <c r="K56" t="str">
        <f>VLOOKUP($C56,Table1[#All],2,FALSE)</f>
        <v>HOTEL PANTRY</v>
      </c>
      <c r="L56" t="str">
        <f>VLOOKUP($C56,Table1[#All],3,FALSE)</f>
        <v>Transactions related to the hotel convenience store, including some food and beverage costs.</v>
      </c>
      <c r="M56" t="str">
        <f>IFERROR(VLOOKUP($B56,ChartOfAccounts!A55:B140,2,FALSE),"")</f>
        <v/>
      </c>
      <c r="N56" t="str">
        <f>IFERROR(VLOOKUP($B56,ChartOfAccounts!C55:D140,2,FALSE),"")</f>
        <v/>
      </c>
      <c r="O56" t="str">
        <f>IFERROR(VLOOKUP($B56,ChartOfAccounts!E55:F140,2,FALSE),"")</f>
        <v/>
      </c>
      <c r="P56" t="str">
        <f>IFERROR(VLOOKUP(D56,PreparerInfo!A55:B67,2,FALSE),"")</f>
        <v/>
      </c>
      <c r="Q56" t="str">
        <f>IFERROR(VLOOKUP(E56,Source!A55:B63,2,FALSE),"")</f>
        <v/>
      </c>
    </row>
    <row r="57" spans="1:17" x14ac:dyDescent="0.3">
      <c r="A57" s="3">
        <v>2033547</v>
      </c>
      <c r="B57">
        <v>43440</v>
      </c>
      <c r="C57">
        <v>3</v>
      </c>
      <c r="D57" s="9">
        <v>102</v>
      </c>
      <c r="E57">
        <v>1003</v>
      </c>
      <c r="F57" s="1">
        <v>44004</v>
      </c>
      <c r="G57" t="s">
        <v>15</v>
      </c>
      <c r="H57" s="4" t="s">
        <v>16</v>
      </c>
      <c r="I57" s="4">
        <v>-17.21</v>
      </c>
      <c r="J57" s="4">
        <v>-17.21</v>
      </c>
      <c r="K57" t="str">
        <f>VLOOKUP($C57,Table1[#All],2,FALSE)</f>
        <v>HOTEL PANTRY</v>
      </c>
      <c r="L57" t="str">
        <f>VLOOKUP($C57,Table1[#All],3,FALSE)</f>
        <v>Transactions related to the hotel convenience store, including some food and beverage costs.</v>
      </c>
      <c r="M57" t="str">
        <f>IFERROR(VLOOKUP($B57,ChartOfAccounts!A56:B141,2,FALSE),"")</f>
        <v/>
      </c>
      <c r="N57" t="str">
        <f>IFERROR(VLOOKUP($B57,ChartOfAccounts!C56:D141,2,FALSE),"")</f>
        <v/>
      </c>
      <c r="O57" t="str">
        <f>IFERROR(VLOOKUP($B57,ChartOfAccounts!E56:F141,2,FALSE),"")</f>
        <v/>
      </c>
      <c r="P57" t="str">
        <f>IFERROR(VLOOKUP(D57,PreparerInfo!A56:B68,2,FALSE),"")</f>
        <v/>
      </c>
      <c r="Q57" t="str">
        <f>IFERROR(VLOOKUP(E57,Source!A56:B64,2,FALSE),"")</f>
        <v/>
      </c>
    </row>
    <row r="58" spans="1:17" x14ac:dyDescent="0.3">
      <c r="A58" s="3">
        <v>2033548</v>
      </c>
      <c r="B58">
        <v>11845</v>
      </c>
      <c r="C58">
        <v>1</v>
      </c>
      <c r="D58" s="9">
        <v>102</v>
      </c>
      <c r="E58">
        <v>1003</v>
      </c>
      <c r="F58" s="1">
        <v>44004</v>
      </c>
      <c r="G58" t="s">
        <v>15</v>
      </c>
      <c r="H58" s="4">
        <v>26.98</v>
      </c>
      <c r="I58" s="4" t="s">
        <v>16</v>
      </c>
      <c r="J58" s="4">
        <v>26.98</v>
      </c>
      <c r="K58" t="str">
        <f>VLOOKUP($C58,Table1[#All],2,FALSE)</f>
        <v>FOOD SERVICE</v>
      </c>
      <c r="L58" t="str">
        <f>VLOOKUP($C58,Table1[#All],3,FALSE)</f>
        <v xml:space="preserve">Transactions related to food and beverage service. Includes all guest transactions in the hotel restaurants, catering-related transactions and food service payroll. </v>
      </c>
      <c r="M58" t="str">
        <f>IFERROR(VLOOKUP($B58,ChartOfAccounts!A57:B142,2,FALSE),"")</f>
        <v/>
      </c>
      <c r="N58" t="str">
        <f>IFERROR(VLOOKUP($B58,ChartOfAccounts!C57:D142,2,FALSE),"")</f>
        <v/>
      </c>
      <c r="O58" t="str">
        <f>IFERROR(VLOOKUP($B58,ChartOfAccounts!E57:F142,2,FALSE),"")</f>
        <v/>
      </c>
      <c r="P58" t="str">
        <f>IFERROR(VLOOKUP(D58,PreparerInfo!A57:B69,2,FALSE),"")</f>
        <v/>
      </c>
      <c r="Q58" t="str">
        <f>IFERROR(VLOOKUP(E58,Source!A57:B65,2,FALSE),"")</f>
        <v/>
      </c>
    </row>
    <row r="59" spans="1:17" x14ac:dyDescent="0.3">
      <c r="A59" s="3">
        <v>2033548</v>
      </c>
      <c r="B59">
        <v>43310</v>
      </c>
      <c r="C59">
        <v>1</v>
      </c>
      <c r="D59" s="9">
        <v>102</v>
      </c>
      <c r="E59">
        <v>1003</v>
      </c>
      <c r="F59" s="1">
        <v>44004</v>
      </c>
      <c r="G59" t="s">
        <v>15</v>
      </c>
      <c r="H59" s="4" t="s">
        <v>16</v>
      </c>
      <c r="I59" s="4">
        <v>-26.98</v>
      </c>
      <c r="J59" s="4">
        <v>-26.98</v>
      </c>
      <c r="K59" t="str">
        <f>VLOOKUP($C59,Table1[#All],2,FALSE)</f>
        <v>FOOD SERVICE</v>
      </c>
      <c r="L59" t="str">
        <f>VLOOKUP($C59,Table1[#All],3,FALSE)</f>
        <v xml:space="preserve">Transactions related to food and beverage service. Includes all guest transactions in the hotel restaurants, catering-related transactions and food service payroll. </v>
      </c>
      <c r="M59" t="str">
        <f>IFERROR(VLOOKUP($B59,ChartOfAccounts!A58:B143,2,FALSE),"")</f>
        <v/>
      </c>
      <c r="N59" t="str">
        <f>IFERROR(VLOOKUP($B59,ChartOfAccounts!C58:D143,2,FALSE),"")</f>
        <v/>
      </c>
      <c r="O59" t="str">
        <f>IFERROR(VLOOKUP($B59,ChartOfAccounts!E58:F143,2,FALSE),"")</f>
        <v/>
      </c>
      <c r="P59" t="str">
        <f>IFERROR(VLOOKUP(D59,PreparerInfo!A58:B70,2,FALSE),"")</f>
        <v/>
      </c>
      <c r="Q59" t="str">
        <f>IFERROR(VLOOKUP(E59,Source!A58:B66,2,FALSE),"")</f>
        <v/>
      </c>
    </row>
    <row r="60" spans="1:17" x14ac:dyDescent="0.3">
      <c r="A60" s="3">
        <v>2033549</v>
      </c>
      <c r="B60">
        <v>71400</v>
      </c>
      <c r="C60">
        <v>2</v>
      </c>
      <c r="D60" s="9">
        <v>101</v>
      </c>
      <c r="E60">
        <v>1002</v>
      </c>
      <c r="F60" s="1">
        <v>44004</v>
      </c>
      <c r="G60" t="s">
        <v>224</v>
      </c>
      <c r="H60" s="4">
        <v>40</v>
      </c>
      <c r="I60" s="4" t="s">
        <v>16</v>
      </c>
      <c r="J60" s="4">
        <v>40</v>
      </c>
      <c r="K60" t="str">
        <f>VLOOKUP($C60,Table1[#All],2,FALSE)</f>
        <v>HOTEL</v>
      </c>
      <c r="L60" t="str">
        <f>VLOOKUP($C60,Table1[#All],3,FALSE)</f>
        <v xml:space="preserve">Transactions related to guest rooms and overall hotel operations. Includes payroll for administrative staff, clerks and interns. </v>
      </c>
      <c r="M60" t="str">
        <f>IFERROR(VLOOKUP($B60,ChartOfAccounts!A59:B144,2,FALSE),"")</f>
        <v/>
      </c>
      <c r="N60" t="str">
        <f>IFERROR(VLOOKUP($B60,ChartOfAccounts!C59:D144,2,FALSE),"")</f>
        <v/>
      </c>
      <c r="O60" t="str">
        <f>IFERROR(VLOOKUP($B60,ChartOfAccounts!E59:F144,2,FALSE),"")</f>
        <v/>
      </c>
      <c r="P60" t="str">
        <f>IFERROR(VLOOKUP(D60,PreparerInfo!A59:B71,2,FALSE),"")</f>
        <v/>
      </c>
      <c r="Q60" t="str">
        <f>IFERROR(VLOOKUP(E60,Source!A59:B67,2,FALSE),"")</f>
        <v/>
      </c>
    </row>
    <row r="61" spans="1:17" x14ac:dyDescent="0.3">
      <c r="A61" s="3">
        <v>2033549</v>
      </c>
      <c r="B61">
        <v>11845</v>
      </c>
      <c r="C61">
        <v>2</v>
      </c>
      <c r="D61" s="9">
        <v>101</v>
      </c>
      <c r="E61">
        <v>1002</v>
      </c>
      <c r="F61" s="1">
        <v>44004</v>
      </c>
      <c r="G61" t="s">
        <v>224</v>
      </c>
      <c r="H61" s="4" t="s">
        <v>16</v>
      </c>
      <c r="I61" s="4">
        <v>-40</v>
      </c>
      <c r="J61" s="4">
        <v>-40</v>
      </c>
      <c r="K61" t="str">
        <f>VLOOKUP($C61,Table1[#All],2,FALSE)</f>
        <v>HOTEL</v>
      </c>
      <c r="L61" t="str">
        <f>VLOOKUP($C61,Table1[#All],3,FALSE)</f>
        <v xml:space="preserve">Transactions related to guest rooms and overall hotel operations. Includes payroll for administrative staff, clerks and interns. </v>
      </c>
      <c r="M61" t="str">
        <f>IFERROR(VLOOKUP($B61,ChartOfAccounts!A60:B145,2,FALSE),"")</f>
        <v/>
      </c>
      <c r="N61" t="str">
        <f>IFERROR(VLOOKUP($B61,ChartOfAccounts!C60:D145,2,FALSE),"")</f>
        <v/>
      </c>
      <c r="O61" t="str">
        <f>IFERROR(VLOOKUP($B61,ChartOfAccounts!E60:F145,2,FALSE),"")</f>
        <v/>
      </c>
      <c r="P61" t="str">
        <f>IFERROR(VLOOKUP(D61,PreparerInfo!A60:B72,2,FALSE),"")</f>
        <v/>
      </c>
      <c r="Q61" t="str">
        <f>IFERROR(VLOOKUP(E61,Source!A60:B68,2,FALSE),"")</f>
        <v/>
      </c>
    </row>
    <row r="62" spans="1:17" x14ac:dyDescent="0.3">
      <c r="A62" s="3">
        <v>2033550</v>
      </c>
      <c r="B62">
        <v>71400</v>
      </c>
      <c r="C62">
        <v>1</v>
      </c>
      <c r="D62" s="9">
        <v>101</v>
      </c>
      <c r="E62">
        <v>1002</v>
      </c>
      <c r="F62" s="1">
        <v>44004</v>
      </c>
      <c r="G62" t="s">
        <v>222</v>
      </c>
      <c r="H62" s="4">
        <v>45</v>
      </c>
      <c r="I62" s="4" t="s">
        <v>16</v>
      </c>
      <c r="J62" s="4">
        <v>45</v>
      </c>
      <c r="K62" t="str">
        <f>VLOOKUP($C62,Table1[#All],2,FALSE)</f>
        <v>FOOD SERVICE</v>
      </c>
      <c r="L62" t="str">
        <f>VLOOKUP($C62,Table1[#All],3,FALSE)</f>
        <v xml:space="preserve">Transactions related to food and beverage service. Includes all guest transactions in the hotel restaurants, catering-related transactions and food service payroll. </v>
      </c>
      <c r="M62" t="str">
        <f>IFERROR(VLOOKUP($B62,ChartOfAccounts!A61:B146,2,FALSE),"")</f>
        <v/>
      </c>
      <c r="N62" t="str">
        <f>IFERROR(VLOOKUP($B62,ChartOfAccounts!C61:D146,2,FALSE),"")</f>
        <v/>
      </c>
      <c r="O62" t="str">
        <f>IFERROR(VLOOKUP($B62,ChartOfAccounts!E61:F146,2,FALSE),"")</f>
        <v/>
      </c>
      <c r="P62" t="str">
        <f>IFERROR(VLOOKUP(D62,PreparerInfo!A61:B73,2,FALSE),"")</f>
        <v/>
      </c>
      <c r="Q62" t="str">
        <f>IFERROR(VLOOKUP(E62,Source!A61:B69,2,FALSE),"")</f>
        <v/>
      </c>
    </row>
    <row r="63" spans="1:17" x14ac:dyDescent="0.3">
      <c r="A63" s="3">
        <v>2033550</v>
      </c>
      <c r="B63">
        <v>11845</v>
      </c>
      <c r="C63">
        <v>1</v>
      </c>
      <c r="D63" s="9">
        <v>101</v>
      </c>
      <c r="E63">
        <v>1002</v>
      </c>
      <c r="F63" s="1">
        <v>44004</v>
      </c>
      <c r="G63" t="s">
        <v>222</v>
      </c>
      <c r="H63" s="4" t="s">
        <v>16</v>
      </c>
      <c r="I63" s="4">
        <v>-45</v>
      </c>
      <c r="J63" s="4">
        <v>-45</v>
      </c>
      <c r="K63" t="str">
        <f>VLOOKUP($C63,Table1[#All],2,FALSE)</f>
        <v>FOOD SERVICE</v>
      </c>
      <c r="L63" t="str">
        <f>VLOOKUP($C63,Table1[#All],3,FALSE)</f>
        <v xml:space="preserve">Transactions related to food and beverage service. Includes all guest transactions in the hotel restaurants, catering-related transactions and food service payroll. </v>
      </c>
      <c r="M63" t="str">
        <f>IFERROR(VLOOKUP($B63,ChartOfAccounts!A62:B147,2,FALSE),"")</f>
        <v/>
      </c>
      <c r="N63" t="str">
        <f>IFERROR(VLOOKUP($B63,ChartOfAccounts!C62:D147,2,FALSE),"")</f>
        <v/>
      </c>
      <c r="O63" t="str">
        <f>IFERROR(VLOOKUP($B63,ChartOfAccounts!E62:F147,2,FALSE),"")</f>
        <v/>
      </c>
      <c r="P63" t="str">
        <f>IFERROR(VLOOKUP(D63,PreparerInfo!A62:B74,2,FALSE),"")</f>
        <v/>
      </c>
      <c r="Q63" t="str">
        <f>IFERROR(VLOOKUP(E63,Source!A62:B70,2,FALSE),"")</f>
        <v/>
      </c>
    </row>
    <row r="64" spans="1:17" x14ac:dyDescent="0.3">
      <c r="A64" s="3">
        <v>2033551</v>
      </c>
      <c r="B64">
        <v>11845</v>
      </c>
      <c r="C64">
        <v>3</v>
      </c>
      <c r="D64" s="9">
        <v>102</v>
      </c>
      <c r="E64">
        <v>1001</v>
      </c>
      <c r="F64" s="1">
        <v>44004</v>
      </c>
      <c r="G64" t="s">
        <v>41</v>
      </c>
      <c r="H64" s="4">
        <v>49.51</v>
      </c>
      <c r="I64" s="4" t="s">
        <v>16</v>
      </c>
      <c r="J64" s="4">
        <v>49.51</v>
      </c>
      <c r="K64" t="str">
        <f>VLOOKUP($C64,Table1[#All],2,FALSE)</f>
        <v>HOTEL PANTRY</v>
      </c>
      <c r="L64" t="str">
        <f>VLOOKUP($C64,Table1[#All],3,FALSE)</f>
        <v>Transactions related to the hotel convenience store, including some food and beverage costs.</v>
      </c>
      <c r="M64" t="str">
        <f>IFERROR(VLOOKUP($B64,ChartOfAccounts!A63:B148,2,FALSE),"")</f>
        <v/>
      </c>
      <c r="N64" t="str">
        <f>IFERROR(VLOOKUP($B64,ChartOfAccounts!C63:D148,2,FALSE),"")</f>
        <v/>
      </c>
      <c r="O64" t="str">
        <f>IFERROR(VLOOKUP($B64,ChartOfAccounts!E63:F148,2,FALSE),"")</f>
        <v/>
      </c>
      <c r="P64" t="str">
        <f>IFERROR(VLOOKUP(D64,PreparerInfo!A63:B75,2,FALSE),"")</f>
        <v/>
      </c>
      <c r="Q64" t="str">
        <f>IFERROR(VLOOKUP(E64,Source!A63:B71,2,FALSE),"")</f>
        <v/>
      </c>
    </row>
    <row r="65" spans="1:17" x14ac:dyDescent="0.3">
      <c r="A65" s="3">
        <v>2033551</v>
      </c>
      <c r="B65">
        <v>43440</v>
      </c>
      <c r="C65">
        <v>3</v>
      </c>
      <c r="D65" s="9">
        <v>102</v>
      </c>
      <c r="E65">
        <v>1001</v>
      </c>
      <c r="F65" s="1">
        <v>44004</v>
      </c>
      <c r="G65" t="s">
        <v>41</v>
      </c>
      <c r="H65" s="4" t="s">
        <v>16</v>
      </c>
      <c r="I65" s="4">
        <v>-49.51</v>
      </c>
      <c r="J65" s="4">
        <v>-49.51</v>
      </c>
      <c r="K65" t="str">
        <f>VLOOKUP($C65,Table1[#All],2,FALSE)</f>
        <v>HOTEL PANTRY</v>
      </c>
      <c r="L65" t="str">
        <f>VLOOKUP($C65,Table1[#All],3,FALSE)</f>
        <v>Transactions related to the hotel convenience store, including some food and beverage costs.</v>
      </c>
      <c r="M65" t="str">
        <f>IFERROR(VLOOKUP($B65,ChartOfAccounts!A64:B149,2,FALSE),"")</f>
        <v/>
      </c>
      <c r="N65" t="str">
        <f>IFERROR(VLOOKUP($B65,ChartOfAccounts!C64:D149,2,FALSE),"")</f>
        <v/>
      </c>
      <c r="O65" t="str">
        <f>IFERROR(VLOOKUP($B65,ChartOfAccounts!E64:F149,2,FALSE),"")</f>
        <v/>
      </c>
      <c r="P65" t="str">
        <f>IFERROR(VLOOKUP(D65,PreparerInfo!A64:B76,2,FALSE),"")</f>
        <v/>
      </c>
      <c r="Q65" t="str">
        <f>IFERROR(VLOOKUP(E65,Source!A64:B72,2,FALSE),"")</f>
        <v/>
      </c>
    </row>
    <row r="66" spans="1:17" x14ac:dyDescent="0.3">
      <c r="A66" s="3">
        <v>2033552</v>
      </c>
      <c r="B66">
        <v>72732</v>
      </c>
      <c r="C66">
        <v>1</v>
      </c>
      <c r="D66" s="9">
        <v>101</v>
      </c>
      <c r="E66">
        <v>1002</v>
      </c>
      <c r="F66" s="1">
        <v>44004</v>
      </c>
      <c r="G66" t="s">
        <v>69</v>
      </c>
      <c r="H66" s="4">
        <v>55</v>
      </c>
      <c r="I66" s="4" t="s">
        <v>16</v>
      </c>
      <c r="J66" s="4">
        <v>55</v>
      </c>
      <c r="K66" t="str">
        <f>VLOOKUP($C66,Table1[#All],2,FALSE)</f>
        <v>FOOD SERVICE</v>
      </c>
      <c r="L66" t="str">
        <f>VLOOKUP($C66,Table1[#All],3,FALSE)</f>
        <v xml:space="preserve">Transactions related to food and beverage service. Includes all guest transactions in the hotel restaurants, catering-related transactions and food service payroll. </v>
      </c>
      <c r="M66" t="str">
        <f>IFERROR(VLOOKUP($B66,ChartOfAccounts!A65:B150,2,FALSE),"")</f>
        <v/>
      </c>
      <c r="N66" t="str">
        <f>IFERROR(VLOOKUP($B66,ChartOfAccounts!C65:D150,2,FALSE),"")</f>
        <v/>
      </c>
      <c r="O66" t="str">
        <f>IFERROR(VLOOKUP($B66,ChartOfAccounts!E65:F150,2,FALSE),"")</f>
        <v/>
      </c>
      <c r="P66" t="str">
        <f>IFERROR(VLOOKUP(D66,PreparerInfo!A65:B77,2,FALSE),"")</f>
        <v/>
      </c>
      <c r="Q66" t="str">
        <f>IFERROR(VLOOKUP(E66,Source!A65:B73,2,FALSE),"")</f>
        <v/>
      </c>
    </row>
    <row r="67" spans="1:17" x14ac:dyDescent="0.3">
      <c r="A67" s="3">
        <v>2033552</v>
      </c>
      <c r="B67">
        <v>11845</v>
      </c>
      <c r="C67">
        <v>1</v>
      </c>
      <c r="D67" s="9">
        <v>101</v>
      </c>
      <c r="E67">
        <v>1002</v>
      </c>
      <c r="F67" s="1">
        <v>44004</v>
      </c>
      <c r="G67" t="s">
        <v>69</v>
      </c>
      <c r="H67" s="4" t="s">
        <v>16</v>
      </c>
      <c r="I67" s="4">
        <v>-55</v>
      </c>
      <c r="J67" s="4">
        <v>-55</v>
      </c>
      <c r="K67" t="str">
        <f>VLOOKUP($C67,Table1[#All],2,FALSE)</f>
        <v>FOOD SERVICE</v>
      </c>
      <c r="L67" t="str">
        <f>VLOOKUP($C67,Table1[#All],3,FALSE)</f>
        <v xml:space="preserve">Transactions related to food and beverage service. Includes all guest transactions in the hotel restaurants, catering-related transactions and food service payroll. </v>
      </c>
      <c r="M67" t="str">
        <f>IFERROR(VLOOKUP($B67,ChartOfAccounts!A66:B151,2,FALSE),"")</f>
        <v/>
      </c>
      <c r="N67" t="str">
        <f>IFERROR(VLOOKUP($B67,ChartOfAccounts!C66:D151,2,FALSE),"")</f>
        <v/>
      </c>
      <c r="O67" t="str">
        <f>IFERROR(VLOOKUP($B67,ChartOfAccounts!E66:F151,2,FALSE),"")</f>
        <v/>
      </c>
      <c r="P67" t="str">
        <f>IFERROR(VLOOKUP(D67,PreparerInfo!A66:B78,2,FALSE),"")</f>
        <v/>
      </c>
      <c r="Q67" t="str">
        <f>IFERROR(VLOOKUP(E67,Source!A66:B74,2,FALSE),"")</f>
        <v/>
      </c>
    </row>
    <row r="68" spans="1:17" x14ac:dyDescent="0.3">
      <c r="A68" s="3">
        <v>2033553</v>
      </c>
      <c r="B68">
        <v>11845</v>
      </c>
      <c r="C68">
        <v>3</v>
      </c>
      <c r="D68" s="9">
        <v>102</v>
      </c>
      <c r="E68">
        <v>1003</v>
      </c>
      <c r="F68" s="1">
        <v>44004</v>
      </c>
      <c r="G68" t="s">
        <v>15</v>
      </c>
      <c r="H68" s="4">
        <v>58.02</v>
      </c>
      <c r="I68" s="4" t="s">
        <v>16</v>
      </c>
      <c r="J68" s="4">
        <v>58.02</v>
      </c>
      <c r="K68" t="str">
        <f>VLOOKUP($C68,Table1[#All],2,FALSE)</f>
        <v>HOTEL PANTRY</v>
      </c>
      <c r="L68" t="str">
        <f>VLOOKUP($C68,Table1[#All],3,FALSE)</f>
        <v>Transactions related to the hotel convenience store, including some food and beverage costs.</v>
      </c>
      <c r="M68" t="str">
        <f>IFERROR(VLOOKUP($B68,ChartOfAccounts!A67:B152,2,FALSE),"")</f>
        <v/>
      </c>
      <c r="N68" t="str">
        <f>IFERROR(VLOOKUP($B68,ChartOfAccounts!C67:D152,2,FALSE),"")</f>
        <v/>
      </c>
      <c r="O68" t="str">
        <f>IFERROR(VLOOKUP($B68,ChartOfAccounts!E67:F152,2,FALSE),"")</f>
        <v/>
      </c>
      <c r="P68" t="str">
        <f>IFERROR(VLOOKUP(D68,PreparerInfo!A67:B79,2,FALSE),"")</f>
        <v/>
      </c>
      <c r="Q68" t="str">
        <f>IFERROR(VLOOKUP(E68,Source!A67:B75,2,FALSE),"")</f>
        <v/>
      </c>
    </row>
    <row r="69" spans="1:17" x14ac:dyDescent="0.3">
      <c r="A69" s="3">
        <v>2033553</v>
      </c>
      <c r="B69">
        <v>43440</v>
      </c>
      <c r="C69">
        <v>3</v>
      </c>
      <c r="D69" s="9">
        <v>102</v>
      </c>
      <c r="E69">
        <v>1003</v>
      </c>
      <c r="F69" s="1">
        <v>44004</v>
      </c>
      <c r="G69" t="s">
        <v>15</v>
      </c>
      <c r="H69" s="4" t="s">
        <v>16</v>
      </c>
      <c r="I69" s="4">
        <v>-58.02</v>
      </c>
      <c r="J69" s="4">
        <v>-58.02</v>
      </c>
      <c r="K69" t="str">
        <f>VLOOKUP($C69,Table1[#All],2,FALSE)</f>
        <v>HOTEL PANTRY</v>
      </c>
      <c r="L69" t="str">
        <f>VLOOKUP($C69,Table1[#All],3,FALSE)</f>
        <v>Transactions related to the hotel convenience store, including some food and beverage costs.</v>
      </c>
      <c r="M69" t="str">
        <f>IFERROR(VLOOKUP($B69,ChartOfAccounts!A68:B153,2,FALSE),"")</f>
        <v/>
      </c>
      <c r="N69" t="str">
        <f>IFERROR(VLOOKUP($B69,ChartOfAccounts!C68:D153,2,FALSE),"")</f>
        <v/>
      </c>
      <c r="O69" t="str">
        <f>IFERROR(VLOOKUP($B69,ChartOfAccounts!E68:F153,2,FALSE),"")</f>
        <v/>
      </c>
      <c r="P69" t="str">
        <f>IFERROR(VLOOKUP(D69,PreparerInfo!A68:B80,2,FALSE),"")</f>
        <v/>
      </c>
      <c r="Q69" t="str">
        <f>IFERROR(VLOOKUP(E69,Source!A68:B76,2,FALSE),"")</f>
        <v/>
      </c>
    </row>
    <row r="70" spans="1:17" x14ac:dyDescent="0.3">
      <c r="A70" s="3">
        <v>2033554</v>
      </c>
      <c r="B70">
        <v>11845</v>
      </c>
      <c r="C70">
        <v>1</v>
      </c>
      <c r="D70" s="9">
        <v>102</v>
      </c>
      <c r="E70">
        <v>1003</v>
      </c>
      <c r="F70" s="1">
        <v>44004</v>
      </c>
      <c r="G70" t="s">
        <v>87</v>
      </c>
      <c r="H70" s="4">
        <v>80.239999999999995</v>
      </c>
      <c r="I70" s="4" t="s">
        <v>16</v>
      </c>
      <c r="J70" s="4">
        <v>80.239999999999995</v>
      </c>
      <c r="K70" t="str">
        <f>VLOOKUP($C70,Table1[#All],2,FALSE)</f>
        <v>FOOD SERVICE</v>
      </c>
      <c r="L70" t="str">
        <f>VLOOKUP($C70,Table1[#All],3,FALSE)</f>
        <v xml:space="preserve">Transactions related to food and beverage service. Includes all guest transactions in the hotel restaurants, catering-related transactions and food service payroll. </v>
      </c>
      <c r="M70" t="str">
        <f>IFERROR(VLOOKUP($B70,ChartOfAccounts!A69:B154,2,FALSE),"")</f>
        <v/>
      </c>
      <c r="N70" t="str">
        <f>IFERROR(VLOOKUP($B70,ChartOfAccounts!C69:D154,2,FALSE),"")</f>
        <v/>
      </c>
      <c r="O70" t="str">
        <f>IFERROR(VLOOKUP($B70,ChartOfAccounts!E69:F154,2,FALSE),"")</f>
        <v/>
      </c>
      <c r="P70" t="str">
        <f>IFERROR(VLOOKUP(D70,PreparerInfo!A69:B81,2,FALSE),"")</f>
        <v/>
      </c>
      <c r="Q70" t="str">
        <f>IFERROR(VLOOKUP(E70,Source!A69:B77,2,FALSE),"")</f>
        <v/>
      </c>
    </row>
    <row r="71" spans="1:17" x14ac:dyDescent="0.3">
      <c r="A71" s="3">
        <v>2033554</v>
      </c>
      <c r="B71">
        <v>43310</v>
      </c>
      <c r="C71">
        <v>1</v>
      </c>
      <c r="D71" s="9">
        <v>102</v>
      </c>
      <c r="E71">
        <v>1003</v>
      </c>
      <c r="F71" s="1">
        <v>44004</v>
      </c>
      <c r="G71" t="s">
        <v>87</v>
      </c>
      <c r="H71" s="4" t="s">
        <v>16</v>
      </c>
      <c r="I71" s="4">
        <v>-80.239999999999995</v>
      </c>
      <c r="J71" s="4">
        <v>-80.239999999999995</v>
      </c>
      <c r="K71" t="str">
        <f>VLOOKUP($C71,Table1[#All],2,FALSE)</f>
        <v>FOOD SERVICE</v>
      </c>
      <c r="L71" t="str">
        <f>VLOOKUP($C71,Table1[#All],3,FALSE)</f>
        <v xml:space="preserve">Transactions related to food and beverage service. Includes all guest transactions in the hotel restaurants, catering-related transactions and food service payroll. </v>
      </c>
      <c r="M71" t="str">
        <f>IFERROR(VLOOKUP($B71,ChartOfAccounts!A70:B155,2,FALSE),"")</f>
        <v/>
      </c>
      <c r="N71" t="str">
        <f>IFERROR(VLOOKUP($B71,ChartOfAccounts!C70:D155,2,FALSE),"")</f>
        <v/>
      </c>
      <c r="O71" t="str">
        <f>IFERROR(VLOOKUP($B71,ChartOfAccounts!E70:F155,2,FALSE),"")</f>
        <v/>
      </c>
      <c r="P71" t="str">
        <f>IFERROR(VLOOKUP(D71,PreparerInfo!A70:B82,2,FALSE),"")</f>
        <v/>
      </c>
      <c r="Q71" t="str">
        <f>IFERROR(VLOOKUP(E71,Source!A70:B78,2,FALSE),"")</f>
        <v/>
      </c>
    </row>
    <row r="72" spans="1:17" x14ac:dyDescent="0.3">
      <c r="A72" s="3">
        <v>2033555</v>
      </c>
      <c r="B72">
        <v>11845</v>
      </c>
      <c r="C72">
        <v>1</v>
      </c>
      <c r="D72" s="9">
        <v>102</v>
      </c>
      <c r="E72">
        <v>1003</v>
      </c>
      <c r="F72" s="1">
        <v>44004</v>
      </c>
      <c r="G72" t="s">
        <v>15</v>
      </c>
      <c r="H72" s="4">
        <v>91</v>
      </c>
      <c r="I72" s="4" t="s">
        <v>16</v>
      </c>
      <c r="J72" s="4">
        <v>91</v>
      </c>
      <c r="K72" t="str">
        <f>VLOOKUP($C72,Table1[#All],2,FALSE)</f>
        <v>FOOD SERVICE</v>
      </c>
      <c r="L72" t="str">
        <f>VLOOKUP($C72,Table1[#All],3,FALSE)</f>
        <v xml:space="preserve">Transactions related to food and beverage service. Includes all guest transactions in the hotel restaurants, catering-related transactions and food service payroll. </v>
      </c>
      <c r="M72" t="str">
        <f>IFERROR(VLOOKUP($B72,ChartOfAccounts!A71:B156,2,FALSE),"")</f>
        <v/>
      </c>
      <c r="N72" t="str">
        <f>IFERROR(VLOOKUP($B72,ChartOfAccounts!C71:D156,2,FALSE),"")</f>
        <v/>
      </c>
      <c r="O72" t="str">
        <f>IFERROR(VLOOKUP($B72,ChartOfAccounts!E71:F156,2,FALSE),"")</f>
        <v/>
      </c>
      <c r="P72" t="str">
        <f>IFERROR(VLOOKUP(D72,PreparerInfo!A71:B83,2,FALSE),"")</f>
        <v/>
      </c>
      <c r="Q72" t="str">
        <f>IFERROR(VLOOKUP(E72,Source!A71:B79,2,FALSE),"")</f>
        <v/>
      </c>
    </row>
    <row r="73" spans="1:17" x14ac:dyDescent="0.3">
      <c r="A73" s="3">
        <v>2033555</v>
      </c>
      <c r="B73">
        <v>43310</v>
      </c>
      <c r="C73">
        <v>1</v>
      </c>
      <c r="D73" s="9">
        <v>102</v>
      </c>
      <c r="E73">
        <v>1003</v>
      </c>
      <c r="F73" s="1">
        <v>44004</v>
      </c>
      <c r="G73" t="s">
        <v>15</v>
      </c>
      <c r="H73" s="4" t="s">
        <v>16</v>
      </c>
      <c r="I73" s="4">
        <v>-91</v>
      </c>
      <c r="J73" s="4">
        <v>-91</v>
      </c>
      <c r="K73" t="str">
        <f>VLOOKUP($C73,Table1[#All],2,FALSE)</f>
        <v>FOOD SERVICE</v>
      </c>
      <c r="L73" t="str">
        <f>VLOOKUP($C73,Table1[#All],3,FALSE)</f>
        <v xml:space="preserve">Transactions related to food and beverage service. Includes all guest transactions in the hotel restaurants, catering-related transactions and food service payroll. </v>
      </c>
      <c r="M73" t="str">
        <f>IFERROR(VLOOKUP($B73,ChartOfAccounts!A72:B157,2,FALSE),"")</f>
        <v/>
      </c>
      <c r="N73" t="str">
        <f>IFERROR(VLOOKUP($B73,ChartOfAccounts!C72:D157,2,FALSE),"")</f>
        <v/>
      </c>
      <c r="O73" t="str">
        <f>IFERROR(VLOOKUP($B73,ChartOfAccounts!E72:F157,2,FALSE),"")</f>
        <v/>
      </c>
      <c r="P73" t="str">
        <f>IFERROR(VLOOKUP(D73,PreparerInfo!A72:B84,2,FALSE),"")</f>
        <v/>
      </c>
      <c r="Q73" t="str">
        <f>IFERROR(VLOOKUP(E73,Source!A72:B80,2,FALSE),"")</f>
        <v/>
      </c>
    </row>
    <row r="74" spans="1:17" x14ac:dyDescent="0.3">
      <c r="A74" s="3">
        <v>2033556</v>
      </c>
      <c r="B74">
        <v>71400</v>
      </c>
      <c r="C74">
        <v>1</v>
      </c>
      <c r="D74" s="9">
        <v>101</v>
      </c>
      <c r="E74">
        <v>1002</v>
      </c>
      <c r="F74" s="1">
        <v>44004</v>
      </c>
      <c r="G74" t="s">
        <v>224</v>
      </c>
      <c r="H74" s="4">
        <v>100</v>
      </c>
      <c r="I74" s="4" t="s">
        <v>16</v>
      </c>
      <c r="J74" s="4">
        <v>100</v>
      </c>
      <c r="K74" t="str">
        <f>VLOOKUP($C74,Table1[#All],2,FALSE)</f>
        <v>FOOD SERVICE</v>
      </c>
      <c r="L74" t="str">
        <f>VLOOKUP($C74,Table1[#All],3,FALSE)</f>
        <v xml:space="preserve">Transactions related to food and beverage service. Includes all guest transactions in the hotel restaurants, catering-related transactions and food service payroll. </v>
      </c>
      <c r="M74" t="str">
        <f>IFERROR(VLOOKUP($B74,ChartOfAccounts!A73:B158,2,FALSE),"")</f>
        <v/>
      </c>
      <c r="N74" t="str">
        <f>IFERROR(VLOOKUP($B74,ChartOfAccounts!C73:D158,2,FALSE),"")</f>
        <v/>
      </c>
      <c r="O74" t="str">
        <f>IFERROR(VLOOKUP($B74,ChartOfAccounts!E73:F158,2,FALSE),"")</f>
        <v/>
      </c>
      <c r="P74" t="str">
        <f>IFERROR(VLOOKUP(D74,PreparerInfo!A73:B85,2,FALSE),"")</f>
        <v/>
      </c>
      <c r="Q74" t="str">
        <f>IFERROR(VLOOKUP(E74,Source!A73:B81,2,FALSE),"")</f>
        <v/>
      </c>
    </row>
    <row r="75" spans="1:17" x14ac:dyDescent="0.3">
      <c r="A75" s="3">
        <v>2033556</v>
      </c>
      <c r="B75">
        <v>11845</v>
      </c>
      <c r="C75">
        <v>1</v>
      </c>
      <c r="D75" s="9">
        <v>101</v>
      </c>
      <c r="E75">
        <v>1002</v>
      </c>
      <c r="F75" s="1">
        <v>44004</v>
      </c>
      <c r="G75" t="s">
        <v>224</v>
      </c>
      <c r="H75" s="4" t="s">
        <v>16</v>
      </c>
      <c r="I75" s="4">
        <v>-100</v>
      </c>
      <c r="J75" s="4">
        <v>-100</v>
      </c>
      <c r="K75" t="str">
        <f>VLOOKUP($C75,Table1[#All],2,FALSE)</f>
        <v>FOOD SERVICE</v>
      </c>
      <c r="L75" t="str">
        <f>VLOOKUP($C75,Table1[#All],3,FALSE)</f>
        <v xml:space="preserve">Transactions related to food and beverage service. Includes all guest transactions in the hotel restaurants, catering-related transactions and food service payroll. </v>
      </c>
      <c r="M75" t="str">
        <f>IFERROR(VLOOKUP($B75,ChartOfAccounts!A74:B159,2,FALSE),"")</f>
        <v/>
      </c>
      <c r="N75" t="str">
        <f>IFERROR(VLOOKUP($B75,ChartOfAccounts!C74:D159,2,FALSE),"")</f>
        <v/>
      </c>
      <c r="O75" t="str">
        <f>IFERROR(VLOOKUP($B75,ChartOfAccounts!E74:F159,2,FALSE),"")</f>
        <v/>
      </c>
      <c r="P75" t="str">
        <f>IFERROR(VLOOKUP(D75,PreparerInfo!A74:B86,2,FALSE),"")</f>
        <v/>
      </c>
      <c r="Q75" t="str">
        <f>IFERROR(VLOOKUP(E75,Source!A74:B82,2,FALSE),"")</f>
        <v/>
      </c>
    </row>
    <row r="76" spans="1:17" x14ac:dyDescent="0.3">
      <c r="A76" s="3">
        <v>2033557</v>
      </c>
      <c r="B76">
        <v>72702</v>
      </c>
      <c r="C76">
        <v>2</v>
      </c>
      <c r="D76" s="9">
        <v>101</v>
      </c>
      <c r="E76">
        <v>1002</v>
      </c>
      <c r="F76" s="1">
        <v>44004</v>
      </c>
      <c r="G76" t="s">
        <v>119</v>
      </c>
      <c r="H76" s="4">
        <v>111.15</v>
      </c>
      <c r="I76" s="4" t="s">
        <v>16</v>
      </c>
      <c r="J76" s="4">
        <v>111.15</v>
      </c>
      <c r="K76" t="str">
        <f>VLOOKUP($C76,Table1[#All],2,FALSE)</f>
        <v>HOTEL</v>
      </c>
      <c r="L76" t="str">
        <f>VLOOKUP($C76,Table1[#All],3,FALSE)</f>
        <v xml:space="preserve">Transactions related to guest rooms and overall hotel operations. Includes payroll for administrative staff, clerks and interns. </v>
      </c>
      <c r="M76" t="str">
        <f>IFERROR(VLOOKUP($B76,ChartOfAccounts!A75:B160,2,FALSE),"")</f>
        <v/>
      </c>
      <c r="N76" t="str">
        <f>IFERROR(VLOOKUP($B76,ChartOfAccounts!C75:D160,2,FALSE),"")</f>
        <v/>
      </c>
      <c r="O76" t="str">
        <f>IFERROR(VLOOKUP($B76,ChartOfAccounts!E75:F160,2,FALSE),"")</f>
        <v/>
      </c>
      <c r="P76" t="str">
        <f>IFERROR(VLOOKUP(D76,PreparerInfo!A75:B87,2,FALSE),"")</f>
        <v/>
      </c>
      <c r="Q76" t="str">
        <f>IFERROR(VLOOKUP(E76,Source!A75:B83,2,FALSE),"")</f>
        <v/>
      </c>
    </row>
    <row r="77" spans="1:17" x14ac:dyDescent="0.3">
      <c r="A77" s="3">
        <v>2033557</v>
      </c>
      <c r="B77">
        <v>11845</v>
      </c>
      <c r="C77">
        <v>2</v>
      </c>
      <c r="D77" s="9">
        <v>101</v>
      </c>
      <c r="E77">
        <v>1002</v>
      </c>
      <c r="F77" s="1">
        <v>44004</v>
      </c>
      <c r="G77" t="s">
        <v>119</v>
      </c>
      <c r="H77" s="4" t="s">
        <v>16</v>
      </c>
      <c r="I77" s="4">
        <v>-111.15</v>
      </c>
      <c r="J77" s="4">
        <v>-111.15</v>
      </c>
      <c r="K77" t="str">
        <f>VLOOKUP($C77,Table1[#All],2,FALSE)</f>
        <v>HOTEL</v>
      </c>
      <c r="L77" t="str">
        <f>VLOOKUP($C77,Table1[#All],3,FALSE)</f>
        <v xml:space="preserve">Transactions related to guest rooms and overall hotel operations. Includes payroll for administrative staff, clerks and interns. </v>
      </c>
      <c r="M77" t="str">
        <f>IFERROR(VLOOKUP($B77,ChartOfAccounts!A76:B161,2,FALSE),"")</f>
        <v/>
      </c>
      <c r="N77" t="str">
        <f>IFERROR(VLOOKUP($B77,ChartOfAccounts!C76:D161,2,FALSE),"")</f>
        <v/>
      </c>
      <c r="O77" t="str">
        <f>IFERROR(VLOOKUP($B77,ChartOfAccounts!E76:F161,2,FALSE),"")</f>
        <v/>
      </c>
      <c r="P77" t="str">
        <f>IFERROR(VLOOKUP(D77,PreparerInfo!A76:B88,2,FALSE),"")</f>
        <v/>
      </c>
      <c r="Q77" t="str">
        <f>IFERROR(VLOOKUP(E77,Source!A76:B84,2,FALSE),"")</f>
        <v/>
      </c>
    </row>
    <row r="78" spans="1:17" x14ac:dyDescent="0.3">
      <c r="A78" s="3">
        <v>2033558</v>
      </c>
      <c r="B78">
        <v>11845</v>
      </c>
      <c r="C78">
        <v>1</v>
      </c>
      <c r="D78" s="9">
        <v>106</v>
      </c>
      <c r="E78">
        <v>1003</v>
      </c>
      <c r="F78" s="1">
        <v>44004</v>
      </c>
      <c r="G78" t="s">
        <v>80</v>
      </c>
      <c r="H78" s="4">
        <v>138.16</v>
      </c>
      <c r="I78" s="4" t="s">
        <v>16</v>
      </c>
      <c r="J78" s="4">
        <v>138.16</v>
      </c>
      <c r="K78" t="str">
        <f>VLOOKUP($C78,Table1[#All],2,FALSE)</f>
        <v>FOOD SERVICE</v>
      </c>
      <c r="L78" t="str">
        <f>VLOOKUP($C78,Table1[#All],3,FALSE)</f>
        <v xml:space="preserve">Transactions related to food and beverage service. Includes all guest transactions in the hotel restaurants, catering-related transactions and food service payroll. </v>
      </c>
      <c r="M78" t="str">
        <f>IFERROR(VLOOKUP($B78,ChartOfAccounts!A77:B162,2,FALSE),"")</f>
        <v/>
      </c>
      <c r="N78" t="str">
        <f>IFERROR(VLOOKUP($B78,ChartOfAccounts!C77:D162,2,FALSE),"")</f>
        <v/>
      </c>
      <c r="O78" t="str">
        <f>IFERROR(VLOOKUP($B78,ChartOfAccounts!E77:F162,2,FALSE),"")</f>
        <v/>
      </c>
      <c r="P78" t="str">
        <f>IFERROR(VLOOKUP(D78,PreparerInfo!A77:B89,2,FALSE),"")</f>
        <v/>
      </c>
      <c r="Q78" t="str">
        <f>IFERROR(VLOOKUP(E78,Source!A77:B85,2,FALSE),"")</f>
        <v/>
      </c>
    </row>
    <row r="79" spans="1:17" x14ac:dyDescent="0.3">
      <c r="A79" s="3">
        <v>2033558</v>
      </c>
      <c r="B79">
        <v>43310</v>
      </c>
      <c r="C79">
        <v>1</v>
      </c>
      <c r="D79" s="9">
        <v>106</v>
      </c>
      <c r="E79">
        <v>1003</v>
      </c>
      <c r="F79" s="1">
        <v>44004</v>
      </c>
      <c r="G79" t="s">
        <v>80</v>
      </c>
      <c r="H79" s="4" t="s">
        <v>16</v>
      </c>
      <c r="I79" s="4">
        <v>-138.16</v>
      </c>
      <c r="J79" s="4">
        <v>-138.16</v>
      </c>
      <c r="K79" t="str">
        <f>VLOOKUP($C79,Table1[#All],2,FALSE)</f>
        <v>FOOD SERVICE</v>
      </c>
      <c r="L79" t="str">
        <f>VLOOKUP($C79,Table1[#All],3,FALSE)</f>
        <v xml:space="preserve">Transactions related to food and beverage service. Includes all guest transactions in the hotel restaurants, catering-related transactions and food service payroll. </v>
      </c>
      <c r="M79" t="str">
        <f>IFERROR(VLOOKUP($B79,ChartOfAccounts!A78:B163,2,FALSE),"")</f>
        <v/>
      </c>
      <c r="N79" t="str">
        <f>IFERROR(VLOOKUP($B79,ChartOfAccounts!C78:D163,2,FALSE),"")</f>
        <v/>
      </c>
      <c r="O79" t="str">
        <f>IFERROR(VLOOKUP($B79,ChartOfAccounts!E78:F163,2,FALSE),"")</f>
        <v/>
      </c>
      <c r="P79" t="str">
        <f>IFERROR(VLOOKUP(D79,PreparerInfo!A78:B90,2,FALSE),"")</f>
        <v/>
      </c>
      <c r="Q79" t="str">
        <f>IFERROR(VLOOKUP(E79,Source!A78:B86,2,FALSE),"")</f>
        <v/>
      </c>
    </row>
    <row r="80" spans="1:17" x14ac:dyDescent="0.3">
      <c r="A80" s="3">
        <v>2033559</v>
      </c>
      <c r="B80">
        <v>71400</v>
      </c>
      <c r="C80">
        <v>1</v>
      </c>
      <c r="D80" s="9">
        <v>101</v>
      </c>
      <c r="E80">
        <v>1002</v>
      </c>
      <c r="F80" s="1">
        <v>44004</v>
      </c>
      <c r="G80" t="s">
        <v>207</v>
      </c>
      <c r="H80" s="4">
        <v>159.9</v>
      </c>
      <c r="I80" s="4" t="s">
        <v>16</v>
      </c>
      <c r="J80" s="4">
        <v>159.9</v>
      </c>
      <c r="K80" t="str">
        <f>VLOOKUP($C80,Table1[#All],2,FALSE)</f>
        <v>FOOD SERVICE</v>
      </c>
      <c r="L80" t="str">
        <f>VLOOKUP($C80,Table1[#All],3,FALSE)</f>
        <v xml:space="preserve">Transactions related to food and beverage service. Includes all guest transactions in the hotel restaurants, catering-related transactions and food service payroll. </v>
      </c>
      <c r="M80" t="str">
        <f>IFERROR(VLOOKUP($B80,ChartOfAccounts!A79:B164,2,FALSE),"")</f>
        <v/>
      </c>
      <c r="N80" t="str">
        <f>IFERROR(VLOOKUP($B80,ChartOfAccounts!C79:D164,2,FALSE),"")</f>
        <v/>
      </c>
      <c r="O80" t="str">
        <f>IFERROR(VLOOKUP($B80,ChartOfAccounts!E79:F164,2,FALSE),"")</f>
        <v/>
      </c>
      <c r="P80" t="str">
        <f>IFERROR(VLOOKUP(D80,PreparerInfo!A79:B91,2,FALSE),"")</f>
        <v/>
      </c>
      <c r="Q80" t="str">
        <f>IFERROR(VLOOKUP(E80,Source!A79:B87,2,FALSE),"")</f>
        <v/>
      </c>
    </row>
    <row r="81" spans="1:17" x14ac:dyDescent="0.3">
      <c r="A81" s="3">
        <v>2033559</v>
      </c>
      <c r="B81">
        <v>11845</v>
      </c>
      <c r="C81">
        <v>1</v>
      </c>
      <c r="D81" s="9">
        <v>101</v>
      </c>
      <c r="E81">
        <v>1002</v>
      </c>
      <c r="F81" s="1">
        <v>44004</v>
      </c>
      <c r="G81" t="s">
        <v>207</v>
      </c>
      <c r="H81" s="4" t="s">
        <v>16</v>
      </c>
      <c r="I81" s="4">
        <v>-159.9</v>
      </c>
      <c r="J81" s="4">
        <v>-159.9</v>
      </c>
      <c r="K81" t="str">
        <f>VLOOKUP($C81,Table1[#All],2,FALSE)</f>
        <v>FOOD SERVICE</v>
      </c>
      <c r="L81" t="str">
        <f>VLOOKUP($C81,Table1[#All],3,FALSE)</f>
        <v xml:space="preserve">Transactions related to food and beverage service. Includes all guest transactions in the hotel restaurants, catering-related transactions and food service payroll. </v>
      </c>
      <c r="M81" t="str">
        <f>IFERROR(VLOOKUP($B81,ChartOfAccounts!A80:B165,2,FALSE),"")</f>
        <v/>
      </c>
      <c r="N81" t="str">
        <f>IFERROR(VLOOKUP($B81,ChartOfAccounts!C80:D165,2,FALSE),"")</f>
        <v/>
      </c>
      <c r="O81" t="str">
        <f>IFERROR(VLOOKUP($B81,ChartOfAccounts!E80:F165,2,FALSE),"")</f>
        <v/>
      </c>
      <c r="P81" t="str">
        <f>IFERROR(VLOOKUP(D81,PreparerInfo!A80:B92,2,FALSE),"")</f>
        <v/>
      </c>
      <c r="Q81" t="str">
        <f>IFERROR(VLOOKUP(E81,Source!A80:B88,2,FALSE),"")</f>
        <v/>
      </c>
    </row>
    <row r="82" spans="1:17" x14ac:dyDescent="0.3">
      <c r="A82" s="3">
        <v>2033560</v>
      </c>
      <c r="B82">
        <v>71400</v>
      </c>
      <c r="C82">
        <v>1</v>
      </c>
      <c r="D82" s="9">
        <v>101</v>
      </c>
      <c r="E82">
        <v>1002</v>
      </c>
      <c r="F82" s="1">
        <v>44004</v>
      </c>
      <c r="G82" t="s">
        <v>207</v>
      </c>
      <c r="H82" s="4">
        <v>159.9</v>
      </c>
      <c r="I82" s="4" t="s">
        <v>16</v>
      </c>
      <c r="J82" s="4">
        <v>159.9</v>
      </c>
      <c r="K82" t="str">
        <f>VLOOKUP($C82,Table1[#All],2,FALSE)</f>
        <v>FOOD SERVICE</v>
      </c>
      <c r="L82" t="str">
        <f>VLOOKUP($C82,Table1[#All],3,FALSE)</f>
        <v xml:space="preserve">Transactions related to food and beverage service. Includes all guest transactions in the hotel restaurants, catering-related transactions and food service payroll. </v>
      </c>
      <c r="M82" t="str">
        <f>IFERROR(VLOOKUP($B82,ChartOfAccounts!A81:B166,2,FALSE),"")</f>
        <v/>
      </c>
      <c r="N82" t="str">
        <f>IFERROR(VLOOKUP($B82,ChartOfAccounts!C81:D166,2,FALSE),"")</f>
        <v/>
      </c>
      <c r="O82" t="str">
        <f>IFERROR(VLOOKUP($B82,ChartOfAccounts!E81:F166,2,FALSE),"")</f>
        <v/>
      </c>
      <c r="P82" t="str">
        <f>IFERROR(VLOOKUP(D82,PreparerInfo!A81:B93,2,FALSE),"")</f>
        <v/>
      </c>
      <c r="Q82" t="str">
        <f>IFERROR(VLOOKUP(E82,Source!A81:B89,2,FALSE),"")</f>
        <v/>
      </c>
    </row>
    <row r="83" spans="1:17" x14ac:dyDescent="0.3">
      <c r="A83" s="3">
        <v>2033560</v>
      </c>
      <c r="B83">
        <v>11845</v>
      </c>
      <c r="C83">
        <v>1</v>
      </c>
      <c r="D83" s="9">
        <v>101</v>
      </c>
      <c r="E83">
        <v>1002</v>
      </c>
      <c r="F83" s="1">
        <v>44004</v>
      </c>
      <c r="G83" t="s">
        <v>207</v>
      </c>
      <c r="H83" s="4" t="s">
        <v>16</v>
      </c>
      <c r="I83" s="4">
        <v>-159.9</v>
      </c>
      <c r="J83" s="4">
        <v>-159.9</v>
      </c>
      <c r="K83" t="str">
        <f>VLOOKUP($C83,Table1[#All],2,FALSE)</f>
        <v>FOOD SERVICE</v>
      </c>
      <c r="L83" t="str">
        <f>VLOOKUP($C83,Table1[#All],3,FALSE)</f>
        <v xml:space="preserve">Transactions related to food and beverage service. Includes all guest transactions in the hotel restaurants, catering-related transactions and food service payroll. </v>
      </c>
      <c r="M83" t="str">
        <f>IFERROR(VLOOKUP($B83,ChartOfAccounts!A82:B167,2,FALSE),"")</f>
        <v/>
      </c>
      <c r="N83" t="str">
        <f>IFERROR(VLOOKUP($B83,ChartOfAccounts!C82:D167,2,FALSE),"")</f>
        <v/>
      </c>
      <c r="O83" t="str">
        <f>IFERROR(VLOOKUP($B83,ChartOfAccounts!E82:F167,2,FALSE),"")</f>
        <v/>
      </c>
      <c r="P83" t="str">
        <f>IFERROR(VLOOKUP(D83,PreparerInfo!A82:B94,2,FALSE),"")</f>
        <v/>
      </c>
      <c r="Q83" t="str">
        <f>IFERROR(VLOOKUP(E83,Source!A82:B90,2,FALSE),"")</f>
        <v/>
      </c>
    </row>
    <row r="84" spans="1:17" x14ac:dyDescent="0.3">
      <c r="A84" s="3">
        <v>2033561</v>
      </c>
      <c r="B84">
        <v>71400</v>
      </c>
      <c r="C84">
        <v>1</v>
      </c>
      <c r="D84" s="9">
        <v>101</v>
      </c>
      <c r="E84">
        <v>1002</v>
      </c>
      <c r="F84" s="1">
        <v>44004</v>
      </c>
      <c r="G84" t="s">
        <v>207</v>
      </c>
      <c r="H84" s="4">
        <v>159.9</v>
      </c>
      <c r="I84" s="4" t="s">
        <v>16</v>
      </c>
      <c r="J84" s="4">
        <v>159.9</v>
      </c>
      <c r="K84" t="str">
        <f>VLOOKUP($C84,Table1[#All],2,FALSE)</f>
        <v>FOOD SERVICE</v>
      </c>
      <c r="L84" t="str">
        <f>VLOOKUP($C84,Table1[#All],3,FALSE)</f>
        <v xml:space="preserve">Transactions related to food and beverage service. Includes all guest transactions in the hotel restaurants, catering-related transactions and food service payroll. </v>
      </c>
      <c r="M84" t="str">
        <f>IFERROR(VLOOKUP($B84,ChartOfAccounts!A83:B168,2,FALSE),"")</f>
        <v/>
      </c>
      <c r="N84" t="str">
        <f>IFERROR(VLOOKUP($B84,ChartOfAccounts!C83:D168,2,FALSE),"")</f>
        <v/>
      </c>
      <c r="O84" t="str">
        <f>IFERROR(VLOOKUP($B84,ChartOfAccounts!E83:F168,2,FALSE),"")</f>
        <v/>
      </c>
      <c r="P84" t="str">
        <f>IFERROR(VLOOKUP(D84,PreparerInfo!A83:B95,2,FALSE),"")</f>
        <v/>
      </c>
      <c r="Q84" t="str">
        <f>IFERROR(VLOOKUP(E84,Source!A83:B91,2,FALSE),"")</f>
        <v/>
      </c>
    </row>
    <row r="85" spans="1:17" x14ac:dyDescent="0.3">
      <c r="A85" s="3">
        <v>2033561</v>
      </c>
      <c r="B85">
        <v>11845</v>
      </c>
      <c r="C85">
        <v>1</v>
      </c>
      <c r="D85" s="9">
        <v>101</v>
      </c>
      <c r="E85">
        <v>1002</v>
      </c>
      <c r="F85" s="1">
        <v>44004</v>
      </c>
      <c r="G85" t="s">
        <v>207</v>
      </c>
      <c r="H85" s="4" t="s">
        <v>16</v>
      </c>
      <c r="I85" s="4">
        <v>-159.9</v>
      </c>
      <c r="J85" s="4">
        <v>-159.9</v>
      </c>
      <c r="K85" t="str">
        <f>VLOOKUP($C85,Table1[#All],2,FALSE)</f>
        <v>FOOD SERVICE</v>
      </c>
      <c r="L85" t="str">
        <f>VLOOKUP($C85,Table1[#All],3,FALSE)</f>
        <v xml:space="preserve">Transactions related to food and beverage service. Includes all guest transactions in the hotel restaurants, catering-related transactions and food service payroll. </v>
      </c>
      <c r="M85" t="str">
        <f>IFERROR(VLOOKUP($B85,ChartOfAccounts!A84:B169,2,FALSE),"")</f>
        <v/>
      </c>
      <c r="N85" t="str">
        <f>IFERROR(VLOOKUP($B85,ChartOfAccounts!C84:D169,2,FALSE),"")</f>
        <v/>
      </c>
      <c r="O85" t="str">
        <f>IFERROR(VLOOKUP($B85,ChartOfAccounts!E84:F169,2,FALSE),"")</f>
        <v/>
      </c>
      <c r="P85" t="str">
        <f>IFERROR(VLOOKUP(D85,PreparerInfo!A84:B96,2,FALSE),"")</f>
        <v/>
      </c>
      <c r="Q85" t="str">
        <f>IFERROR(VLOOKUP(E85,Source!A84:B92,2,FALSE),"")</f>
        <v/>
      </c>
    </row>
    <row r="86" spans="1:17" x14ac:dyDescent="0.3">
      <c r="A86" s="3">
        <v>2033562</v>
      </c>
      <c r="B86">
        <v>71400</v>
      </c>
      <c r="C86">
        <v>1</v>
      </c>
      <c r="D86" s="9">
        <v>101</v>
      </c>
      <c r="E86">
        <v>1002</v>
      </c>
      <c r="F86" s="1">
        <v>44004</v>
      </c>
      <c r="G86" t="s">
        <v>207</v>
      </c>
      <c r="H86" s="4">
        <v>159.9</v>
      </c>
      <c r="I86" s="4" t="s">
        <v>16</v>
      </c>
      <c r="J86" s="4">
        <v>159.9</v>
      </c>
      <c r="K86" t="str">
        <f>VLOOKUP($C86,Table1[#All],2,FALSE)</f>
        <v>FOOD SERVICE</v>
      </c>
      <c r="L86" t="str">
        <f>VLOOKUP($C86,Table1[#All],3,FALSE)</f>
        <v xml:space="preserve">Transactions related to food and beverage service. Includes all guest transactions in the hotel restaurants, catering-related transactions and food service payroll. </v>
      </c>
      <c r="M86" t="str">
        <f>IFERROR(VLOOKUP($B86,ChartOfAccounts!A85:B170,2,FALSE),"")</f>
        <v/>
      </c>
      <c r="N86" t="str">
        <f>IFERROR(VLOOKUP($B86,ChartOfAccounts!C85:D170,2,FALSE),"")</f>
        <v/>
      </c>
      <c r="O86" t="str">
        <f>IFERROR(VLOOKUP($B86,ChartOfAccounts!E85:F170,2,FALSE),"")</f>
        <v/>
      </c>
      <c r="P86" t="str">
        <f>IFERROR(VLOOKUP(D86,PreparerInfo!A85:B97,2,FALSE),"")</f>
        <v/>
      </c>
      <c r="Q86" t="str">
        <f>IFERROR(VLOOKUP(E86,Source!A85:B93,2,FALSE),"")</f>
        <v/>
      </c>
    </row>
    <row r="87" spans="1:17" x14ac:dyDescent="0.3">
      <c r="A87" s="3">
        <v>2033562</v>
      </c>
      <c r="B87">
        <v>11845</v>
      </c>
      <c r="C87">
        <v>1</v>
      </c>
      <c r="D87" s="9">
        <v>101</v>
      </c>
      <c r="E87">
        <v>1002</v>
      </c>
      <c r="F87" s="1">
        <v>44004</v>
      </c>
      <c r="G87" t="s">
        <v>207</v>
      </c>
      <c r="H87" s="4" t="s">
        <v>16</v>
      </c>
      <c r="I87" s="4">
        <v>-159.9</v>
      </c>
      <c r="J87" s="4">
        <v>-159.9</v>
      </c>
      <c r="K87" t="str">
        <f>VLOOKUP($C87,Table1[#All],2,FALSE)</f>
        <v>FOOD SERVICE</v>
      </c>
      <c r="L87" t="str">
        <f>VLOOKUP($C87,Table1[#All],3,FALSE)</f>
        <v xml:space="preserve">Transactions related to food and beverage service. Includes all guest transactions in the hotel restaurants, catering-related transactions and food service payroll. </v>
      </c>
      <c r="M87" t="str">
        <f>IFERROR(VLOOKUP($B87,ChartOfAccounts!A86:B171,2,FALSE),"")</f>
        <v/>
      </c>
      <c r="N87" t="str">
        <f>IFERROR(VLOOKUP($B87,ChartOfAccounts!C86:D171,2,FALSE),"")</f>
        <v/>
      </c>
      <c r="O87" t="str">
        <f>IFERROR(VLOOKUP($B87,ChartOfAccounts!E86:F171,2,FALSE),"")</f>
        <v/>
      </c>
      <c r="P87" t="str">
        <f>IFERROR(VLOOKUP(D87,PreparerInfo!A86:B98,2,FALSE),"")</f>
        <v/>
      </c>
      <c r="Q87" t="str">
        <f>IFERROR(VLOOKUP(E87,Source!A86:B94,2,FALSE),"")</f>
        <v/>
      </c>
    </row>
    <row r="88" spans="1:17" x14ac:dyDescent="0.3">
      <c r="A88" s="3">
        <v>2033563</v>
      </c>
      <c r="B88">
        <v>71400</v>
      </c>
      <c r="C88">
        <v>1</v>
      </c>
      <c r="D88" s="9">
        <v>101</v>
      </c>
      <c r="E88">
        <v>1002</v>
      </c>
      <c r="F88" s="1">
        <v>44004</v>
      </c>
      <c r="G88" t="s">
        <v>207</v>
      </c>
      <c r="H88" s="4">
        <v>159.9</v>
      </c>
      <c r="I88" s="4" t="s">
        <v>16</v>
      </c>
      <c r="J88" s="4">
        <v>159.9</v>
      </c>
      <c r="K88" t="str">
        <f>VLOOKUP($C88,Table1[#All],2,FALSE)</f>
        <v>FOOD SERVICE</v>
      </c>
      <c r="L88" t="str">
        <f>VLOOKUP($C88,Table1[#All],3,FALSE)</f>
        <v xml:space="preserve">Transactions related to food and beverage service. Includes all guest transactions in the hotel restaurants, catering-related transactions and food service payroll. </v>
      </c>
      <c r="M88" t="str">
        <f>IFERROR(VLOOKUP($B88,ChartOfAccounts!A87:B172,2,FALSE),"")</f>
        <v/>
      </c>
      <c r="N88" t="str">
        <f>IFERROR(VLOOKUP($B88,ChartOfAccounts!C87:D172,2,FALSE),"")</f>
        <v/>
      </c>
      <c r="O88" t="str">
        <f>IFERROR(VLOOKUP($B88,ChartOfAccounts!E87:F172,2,FALSE),"")</f>
        <v/>
      </c>
      <c r="P88" t="str">
        <f>IFERROR(VLOOKUP(D88,PreparerInfo!A87:B99,2,FALSE),"")</f>
        <v/>
      </c>
      <c r="Q88" t="str">
        <f>IFERROR(VLOOKUP(E88,Source!A87:B95,2,FALSE),"")</f>
        <v/>
      </c>
    </row>
    <row r="89" spans="1:17" x14ac:dyDescent="0.3">
      <c r="A89" s="3">
        <v>2033563</v>
      </c>
      <c r="B89">
        <v>11845</v>
      </c>
      <c r="C89">
        <v>1</v>
      </c>
      <c r="D89" s="9">
        <v>101</v>
      </c>
      <c r="E89">
        <v>1002</v>
      </c>
      <c r="F89" s="1">
        <v>44004</v>
      </c>
      <c r="G89" t="s">
        <v>207</v>
      </c>
      <c r="H89" s="4" t="s">
        <v>16</v>
      </c>
      <c r="I89" s="4">
        <v>-159.9</v>
      </c>
      <c r="J89" s="4">
        <v>-159.9</v>
      </c>
      <c r="K89" t="str">
        <f>VLOOKUP($C89,Table1[#All],2,FALSE)</f>
        <v>FOOD SERVICE</v>
      </c>
      <c r="L89" t="str">
        <f>VLOOKUP($C89,Table1[#All],3,FALSE)</f>
        <v xml:space="preserve">Transactions related to food and beverage service. Includes all guest transactions in the hotel restaurants, catering-related transactions and food service payroll. </v>
      </c>
      <c r="M89" t="str">
        <f>IFERROR(VLOOKUP($B89,ChartOfAccounts!A88:B173,2,FALSE),"")</f>
        <v/>
      </c>
      <c r="N89" t="str">
        <f>IFERROR(VLOOKUP($B89,ChartOfAccounts!C88:D173,2,FALSE),"")</f>
        <v/>
      </c>
      <c r="O89" t="str">
        <f>IFERROR(VLOOKUP($B89,ChartOfAccounts!E88:F173,2,FALSE),"")</f>
        <v/>
      </c>
      <c r="P89" t="str">
        <f>IFERROR(VLOOKUP(D89,PreparerInfo!A88:B100,2,FALSE),"")</f>
        <v/>
      </c>
      <c r="Q89" t="str">
        <f>IFERROR(VLOOKUP(E89,Source!A88:B96,2,FALSE),"")</f>
        <v/>
      </c>
    </row>
    <row r="90" spans="1:17" x14ac:dyDescent="0.3">
      <c r="A90" s="3">
        <v>2033564</v>
      </c>
      <c r="B90">
        <v>11845</v>
      </c>
      <c r="C90">
        <v>2</v>
      </c>
      <c r="D90" s="9">
        <v>104</v>
      </c>
      <c r="E90">
        <v>1003</v>
      </c>
      <c r="F90" s="1">
        <v>44004</v>
      </c>
      <c r="G90" t="s">
        <v>223</v>
      </c>
      <c r="H90" s="4">
        <v>198</v>
      </c>
      <c r="I90" s="4" t="s">
        <v>16</v>
      </c>
      <c r="J90" s="4">
        <v>198</v>
      </c>
      <c r="K90" t="str">
        <f>VLOOKUP($C90,Table1[#All],2,FALSE)</f>
        <v>HOTEL</v>
      </c>
      <c r="L90" t="str">
        <f>VLOOKUP($C90,Table1[#All],3,FALSE)</f>
        <v xml:space="preserve">Transactions related to guest rooms and overall hotel operations. Includes payroll for administrative staff, clerks and interns. </v>
      </c>
      <c r="M90" t="str">
        <f>IFERROR(VLOOKUP($B90,ChartOfAccounts!A89:B174,2,FALSE),"")</f>
        <v/>
      </c>
      <c r="N90" t="str">
        <f>IFERROR(VLOOKUP($B90,ChartOfAccounts!C89:D174,2,FALSE),"")</f>
        <v/>
      </c>
      <c r="O90" t="str">
        <f>IFERROR(VLOOKUP($B90,ChartOfAccounts!E89:F174,2,FALSE),"")</f>
        <v/>
      </c>
      <c r="P90" t="str">
        <f>IFERROR(VLOOKUP(D90,PreparerInfo!A89:B101,2,FALSE),"")</f>
        <v/>
      </c>
      <c r="Q90" t="str">
        <f>IFERROR(VLOOKUP(E90,Source!A89:B97,2,FALSE),"")</f>
        <v/>
      </c>
    </row>
    <row r="91" spans="1:17" x14ac:dyDescent="0.3">
      <c r="A91" s="3">
        <v>2033564</v>
      </c>
      <c r="B91">
        <v>43180</v>
      </c>
      <c r="C91">
        <v>2</v>
      </c>
      <c r="D91" s="9">
        <v>104</v>
      </c>
      <c r="E91">
        <v>1003</v>
      </c>
      <c r="F91" s="1">
        <v>44004</v>
      </c>
      <c r="G91" t="s">
        <v>223</v>
      </c>
      <c r="H91" s="4" t="s">
        <v>16</v>
      </c>
      <c r="I91" s="4">
        <v>-198</v>
      </c>
      <c r="J91" s="4">
        <v>-198</v>
      </c>
      <c r="K91" t="str">
        <f>VLOOKUP($C91,Table1[#All],2,FALSE)</f>
        <v>HOTEL</v>
      </c>
      <c r="L91" t="str">
        <f>VLOOKUP($C91,Table1[#All],3,FALSE)</f>
        <v xml:space="preserve">Transactions related to guest rooms and overall hotel operations. Includes payroll for administrative staff, clerks and interns. </v>
      </c>
      <c r="M91" t="str">
        <f>IFERROR(VLOOKUP($B91,ChartOfAccounts!A90:B175,2,FALSE),"")</f>
        <v/>
      </c>
      <c r="N91" t="str">
        <f>IFERROR(VLOOKUP($B91,ChartOfAccounts!C90:D175,2,FALSE),"")</f>
        <v/>
      </c>
      <c r="O91" t="str">
        <f>IFERROR(VLOOKUP($B91,ChartOfAccounts!E90:F175,2,FALSE),"")</f>
        <v/>
      </c>
      <c r="P91" t="str">
        <f>IFERROR(VLOOKUP(D91,PreparerInfo!A90:B102,2,FALSE),"")</f>
        <v/>
      </c>
      <c r="Q91" t="str">
        <f>IFERROR(VLOOKUP(E91,Source!A90:B98,2,FALSE),"")</f>
        <v/>
      </c>
    </row>
    <row r="92" spans="1:17" x14ac:dyDescent="0.3">
      <c r="A92" s="3">
        <v>2033565</v>
      </c>
      <c r="B92">
        <v>14260</v>
      </c>
      <c r="C92">
        <v>1</v>
      </c>
      <c r="D92" s="9">
        <v>101</v>
      </c>
      <c r="E92">
        <v>1002</v>
      </c>
      <c r="F92" s="1">
        <v>44004</v>
      </c>
      <c r="G92" t="s">
        <v>85</v>
      </c>
      <c r="H92" s="4">
        <v>223</v>
      </c>
      <c r="I92" s="4" t="s">
        <v>16</v>
      </c>
      <c r="J92" s="4">
        <v>223</v>
      </c>
      <c r="K92" t="str">
        <f>VLOOKUP($C92,Table1[#All],2,FALSE)</f>
        <v>FOOD SERVICE</v>
      </c>
      <c r="L92" t="str">
        <f>VLOOKUP($C92,Table1[#All],3,FALSE)</f>
        <v xml:space="preserve">Transactions related to food and beverage service. Includes all guest transactions in the hotel restaurants, catering-related transactions and food service payroll. </v>
      </c>
      <c r="M92" t="str">
        <f>IFERROR(VLOOKUP($B92,ChartOfAccounts!A91:B176,2,FALSE),"")</f>
        <v/>
      </c>
      <c r="N92" t="str">
        <f>IFERROR(VLOOKUP($B92,ChartOfAccounts!C91:D176,2,FALSE),"")</f>
        <v/>
      </c>
      <c r="O92" t="str">
        <f>IFERROR(VLOOKUP($B92,ChartOfAccounts!E91:F176,2,FALSE),"")</f>
        <v/>
      </c>
      <c r="P92" t="str">
        <f>IFERROR(VLOOKUP(D92,PreparerInfo!A91:B103,2,FALSE),"")</f>
        <v/>
      </c>
      <c r="Q92" t="str">
        <f>IFERROR(VLOOKUP(E92,Source!A91:B99,2,FALSE),"")</f>
        <v/>
      </c>
    </row>
    <row r="93" spans="1:17" x14ac:dyDescent="0.3">
      <c r="A93" s="3">
        <v>2033565</v>
      </c>
      <c r="B93">
        <v>11845</v>
      </c>
      <c r="C93">
        <v>1</v>
      </c>
      <c r="D93" s="9">
        <v>101</v>
      </c>
      <c r="E93">
        <v>1002</v>
      </c>
      <c r="F93" s="1">
        <v>44004</v>
      </c>
      <c r="G93" t="s">
        <v>85</v>
      </c>
      <c r="H93" s="4" t="s">
        <v>16</v>
      </c>
      <c r="I93" s="4">
        <v>-223</v>
      </c>
      <c r="J93" s="4">
        <v>-223</v>
      </c>
      <c r="K93" t="str">
        <f>VLOOKUP($C93,Table1[#All],2,FALSE)</f>
        <v>FOOD SERVICE</v>
      </c>
      <c r="L93" t="str">
        <f>VLOOKUP($C93,Table1[#All],3,FALSE)</f>
        <v xml:space="preserve">Transactions related to food and beverage service. Includes all guest transactions in the hotel restaurants, catering-related transactions and food service payroll. </v>
      </c>
      <c r="M93" t="str">
        <f>IFERROR(VLOOKUP($B93,ChartOfAccounts!A92:B177,2,FALSE),"")</f>
        <v/>
      </c>
      <c r="N93" t="str">
        <f>IFERROR(VLOOKUP($B93,ChartOfAccounts!C92:D177,2,FALSE),"")</f>
        <v/>
      </c>
      <c r="O93" t="str">
        <f>IFERROR(VLOOKUP($B93,ChartOfAccounts!E92:F177,2,FALSE),"")</f>
        <v/>
      </c>
      <c r="P93" t="str">
        <f>IFERROR(VLOOKUP(D93,PreparerInfo!A92:B104,2,FALSE),"")</f>
        <v/>
      </c>
      <c r="Q93" t="str">
        <f>IFERROR(VLOOKUP(E93,Source!A92:B100,2,FALSE),"")</f>
        <v/>
      </c>
    </row>
    <row r="94" spans="1:17" x14ac:dyDescent="0.3">
      <c r="A94" s="3">
        <v>2033566</v>
      </c>
      <c r="B94">
        <v>11845</v>
      </c>
      <c r="C94">
        <v>1</v>
      </c>
      <c r="D94" s="9">
        <v>102</v>
      </c>
      <c r="E94">
        <v>1003</v>
      </c>
      <c r="F94" s="1">
        <v>44004</v>
      </c>
      <c r="G94" t="s">
        <v>15</v>
      </c>
      <c r="H94" s="4">
        <v>228.59</v>
      </c>
      <c r="I94" s="4" t="s">
        <v>16</v>
      </c>
      <c r="J94" s="4">
        <v>228.59</v>
      </c>
      <c r="K94" t="str">
        <f>VLOOKUP($C94,Table1[#All],2,FALSE)</f>
        <v>FOOD SERVICE</v>
      </c>
      <c r="L94" t="str">
        <f>VLOOKUP($C94,Table1[#All],3,FALSE)</f>
        <v xml:space="preserve">Transactions related to food and beverage service. Includes all guest transactions in the hotel restaurants, catering-related transactions and food service payroll. </v>
      </c>
      <c r="M94" t="str">
        <f>IFERROR(VLOOKUP($B94,ChartOfAccounts!A93:B178,2,FALSE),"")</f>
        <v/>
      </c>
      <c r="N94" t="str">
        <f>IFERROR(VLOOKUP($B94,ChartOfAccounts!C93:D178,2,FALSE),"")</f>
        <v/>
      </c>
      <c r="O94" t="str">
        <f>IFERROR(VLOOKUP($B94,ChartOfAccounts!E93:F178,2,FALSE),"")</f>
        <v/>
      </c>
      <c r="P94" t="str">
        <f>IFERROR(VLOOKUP(D94,PreparerInfo!A93:B105,2,FALSE),"")</f>
        <v/>
      </c>
      <c r="Q94" t="str">
        <f>IFERROR(VLOOKUP(E94,Source!A93:B101,2,FALSE),"")</f>
        <v/>
      </c>
    </row>
    <row r="95" spans="1:17" x14ac:dyDescent="0.3">
      <c r="A95" s="3">
        <v>2033566</v>
      </c>
      <c r="B95">
        <v>43310</v>
      </c>
      <c r="C95">
        <v>1</v>
      </c>
      <c r="D95" s="9">
        <v>102</v>
      </c>
      <c r="E95">
        <v>1003</v>
      </c>
      <c r="F95" s="1">
        <v>44004</v>
      </c>
      <c r="G95" t="s">
        <v>15</v>
      </c>
      <c r="H95" s="4" t="s">
        <v>16</v>
      </c>
      <c r="I95" s="4">
        <v>-228.59</v>
      </c>
      <c r="J95" s="4">
        <v>-228.59</v>
      </c>
      <c r="K95" t="str">
        <f>VLOOKUP($C95,Table1[#All],2,FALSE)</f>
        <v>FOOD SERVICE</v>
      </c>
      <c r="L95" t="str">
        <f>VLOOKUP($C95,Table1[#All],3,FALSE)</f>
        <v xml:space="preserve">Transactions related to food and beverage service. Includes all guest transactions in the hotel restaurants, catering-related transactions and food service payroll. </v>
      </c>
      <c r="M95" t="str">
        <f>IFERROR(VLOOKUP($B95,ChartOfAccounts!A94:B179,2,FALSE),"")</f>
        <v/>
      </c>
      <c r="N95" t="str">
        <f>IFERROR(VLOOKUP($B95,ChartOfAccounts!C94:D179,2,FALSE),"")</f>
        <v/>
      </c>
      <c r="O95" t="str">
        <f>IFERROR(VLOOKUP($B95,ChartOfAccounts!E94:F179,2,FALSE),"")</f>
        <v/>
      </c>
      <c r="P95" t="str">
        <f>IFERROR(VLOOKUP(D95,PreparerInfo!A94:B106,2,FALSE),"")</f>
        <v/>
      </c>
      <c r="Q95" t="str">
        <f>IFERROR(VLOOKUP(E95,Source!A94:B102,2,FALSE),"")</f>
        <v/>
      </c>
    </row>
    <row r="96" spans="1:17" x14ac:dyDescent="0.3">
      <c r="A96" s="3">
        <v>2033567</v>
      </c>
      <c r="B96">
        <v>71400</v>
      </c>
      <c r="C96">
        <v>2</v>
      </c>
      <c r="D96" s="9">
        <v>101</v>
      </c>
      <c r="E96">
        <v>1002</v>
      </c>
      <c r="F96" s="1">
        <v>44004</v>
      </c>
      <c r="G96" t="s">
        <v>208</v>
      </c>
      <c r="H96" s="4">
        <v>240.73</v>
      </c>
      <c r="I96" s="4" t="s">
        <v>16</v>
      </c>
      <c r="J96" s="4">
        <v>240.73</v>
      </c>
      <c r="K96" t="str">
        <f>VLOOKUP($C96,Table1[#All],2,FALSE)</f>
        <v>HOTEL</v>
      </c>
      <c r="L96" t="str">
        <f>VLOOKUP($C96,Table1[#All],3,FALSE)</f>
        <v xml:space="preserve">Transactions related to guest rooms and overall hotel operations. Includes payroll for administrative staff, clerks and interns. </v>
      </c>
      <c r="M96" t="str">
        <f>IFERROR(VLOOKUP($B96,ChartOfAccounts!A95:B180,2,FALSE),"")</f>
        <v/>
      </c>
      <c r="N96" t="str">
        <f>IFERROR(VLOOKUP($B96,ChartOfAccounts!C95:D180,2,FALSE),"")</f>
        <v/>
      </c>
      <c r="O96" t="str">
        <f>IFERROR(VLOOKUP($B96,ChartOfAccounts!E95:F180,2,FALSE),"")</f>
        <v/>
      </c>
      <c r="P96" t="str">
        <f>IFERROR(VLOOKUP(D96,PreparerInfo!A95:B107,2,FALSE),"")</f>
        <v/>
      </c>
      <c r="Q96" t="str">
        <f>IFERROR(VLOOKUP(E96,Source!A95:B103,2,FALSE),"")</f>
        <v/>
      </c>
    </row>
    <row r="97" spans="1:17" x14ac:dyDescent="0.3">
      <c r="A97" s="3">
        <v>2033567</v>
      </c>
      <c r="B97">
        <v>11845</v>
      </c>
      <c r="C97">
        <v>2</v>
      </c>
      <c r="D97" s="9">
        <v>101</v>
      </c>
      <c r="E97">
        <v>1002</v>
      </c>
      <c r="F97" s="1">
        <v>44004</v>
      </c>
      <c r="G97" t="s">
        <v>208</v>
      </c>
      <c r="H97" s="4" t="s">
        <v>16</v>
      </c>
      <c r="I97" s="4">
        <v>-240.73</v>
      </c>
      <c r="J97" s="4">
        <v>-240.73</v>
      </c>
      <c r="K97" t="str">
        <f>VLOOKUP($C97,Table1[#All],2,FALSE)</f>
        <v>HOTEL</v>
      </c>
      <c r="L97" t="str">
        <f>VLOOKUP($C97,Table1[#All],3,FALSE)</f>
        <v xml:space="preserve">Transactions related to guest rooms and overall hotel operations. Includes payroll for administrative staff, clerks and interns. </v>
      </c>
      <c r="M97" t="str">
        <f>IFERROR(VLOOKUP($B97,ChartOfAccounts!A96:B181,2,FALSE),"")</f>
        <v/>
      </c>
      <c r="N97" t="str">
        <f>IFERROR(VLOOKUP($B97,ChartOfAccounts!C96:D181,2,FALSE),"")</f>
        <v/>
      </c>
      <c r="O97" t="str">
        <f>IFERROR(VLOOKUP($B97,ChartOfAccounts!E96:F181,2,FALSE),"")</f>
        <v/>
      </c>
      <c r="P97" t="str">
        <f>IFERROR(VLOOKUP(D97,PreparerInfo!A96:B108,2,FALSE),"")</f>
        <v/>
      </c>
      <c r="Q97" t="str">
        <f>IFERROR(VLOOKUP(E97,Source!A96:B104,2,FALSE),"")</f>
        <v/>
      </c>
    </row>
    <row r="98" spans="1:17" x14ac:dyDescent="0.3">
      <c r="A98" s="3">
        <v>2033568</v>
      </c>
      <c r="B98">
        <v>11845</v>
      </c>
      <c r="C98">
        <v>2</v>
      </c>
      <c r="D98" s="9">
        <v>104</v>
      </c>
      <c r="E98">
        <v>1003</v>
      </c>
      <c r="F98" s="1">
        <v>44004</v>
      </c>
      <c r="G98" t="s">
        <v>225</v>
      </c>
      <c r="H98" s="4">
        <v>258</v>
      </c>
      <c r="I98" s="4" t="s">
        <v>16</v>
      </c>
      <c r="J98" s="4">
        <v>258</v>
      </c>
      <c r="K98" t="str">
        <f>VLOOKUP($C98,Table1[#All],2,FALSE)</f>
        <v>HOTEL</v>
      </c>
      <c r="L98" t="str">
        <f>VLOOKUP($C98,Table1[#All],3,FALSE)</f>
        <v xml:space="preserve">Transactions related to guest rooms and overall hotel operations. Includes payroll for administrative staff, clerks and interns. </v>
      </c>
      <c r="M98" t="str">
        <f>IFERROR(VLOOKUP($B98,ChartOfAccounts!A97:B182,2,FALSE),"")</f>
        <v/>
      </c>
      <c r="N98" t="str">
        <f>IFERROR(VLOOKUP($B98,ChartOfAccounts!C97:D182,2,FALSE),"")</f>
        <v/>
      </c>
      <c r="O98" t="str">
        <f>IFERROR(VLOOKUP($B98,ChartOfAccounts!E97:F182,2,FALSE),"")</f>
        <v/>
      </c>
      <c r="P98" t="str">
        <f>IFERROR(VLOOKUP(D98,PreparerInfo!A97:B109,2,FALSE),"")</f>
        <v/>
      </c>
      <c r="Q98" t="str">
        <f>IFERROR(VLOOKUP(E98,Source!A97:B105,2,FALSE),"")</f>
        <v/>
      </c>
    </row>
    <row r="99" spans="1:17" x14ac:dyDescent="0.3">
      <c r="A99" s="3">
        <v>2033568</v>
      </c>
      <c r="B99">
        <v>43180</v>
      </c>
      <c r="C99">
        <v>2</v>
      </c>
      <c r="D99" s="9">
        <v>104</v>
      </c>
      <c r="E99">
        <v>1003</v>
      </c>
      <c r="F99" s="1">
        <v>44004</v>
      </c>
      <c r="G99" t="s">
        <v>225</v>
      </c>
      <c r="H99" s="4" t="s">
        <v>16</v>
      </c>
      <c r="I99" s="4">
        <v>-258</v>
      </c>
      <c r="J99" s="4">
        <v>-258</v>
      </c>
      <c r="K99" t="str">
        <f>VLOOKUP($C99,Table1[#All],2,FALSE)</f>
        <v>HOTEL</v>
      </c>
      <c r="L99" t="str">
        <f>VLOOKUP($C99,Table1[#All],3,FALSE)</f>
        <v xml:space="preserve">Transactions related to guest rooms and overall hotel operations. Includes payroll for administrative staff, clerks and interns. </v>
      </c>
      <c r="M99" t="str">
        <f>IFERROR(VLOOKUP($B99,ChartOfAccounts!A98:B183,2,FALSE),"")</f>
        <v/>
      </c>
      <c r="N99" t="str">
        <f>IFERROR(VLOOKUP($B99,ChartOfAccounts!C98:D183,2,FALSE),"")</f>
        <v/>
      </c>
      <c r="O99" t="str">
        <f>IFERROR(VLOOKUP($B99,ChartOfAccounts!E98:F183,2,FALSE),"")</f>
        <v/>
      </c>
      <c r="P99" t="str">
        <f>IFERROR(VLOOKUP(D99,PreparerInfo!A98:B110,2,FALSE),"")</f>
        <v/>
      </c>
      <c r="Q99" t="str">
        <f>IFERROR(VLOOKUP(E99,Source!A98:B106,2,FALSE),"")</f>
        <v/>
      </c>
    </row>
    <row r="100" spans="1:17" x14ac:dyDescent="0.3">
      <c r="A100" s="3">
        <v>2033569</v>
      </c>
      <c r="B100">
        <v>11845</v>
      </c>
      <c r="C100">
        <v>2</v>
      </c>
      <c r="D100" s="9">
        <v>104</v>
      </c>
      <c r="E100">
        <v>1003</v>
      </c>
      <c r="F100" s="1">
        <v>44004</v>
      </c>
      <c r="G100" t="s">
        <v>226</v>
      </c>
      <c r="H100" s="4">
        <v>258</v>
      </c>
      <c r="I100" s="4" t="s">
        <v>16</v>
      </c>
      <c r="J100" s="4">
        <v>258</v>
      </c>
      <c r="K100" t="str">
        <f>VLOOKUP($C100,Table1[#All],2,FALSE)</f>
        <v>HOTEL</v>
      </c>
      <c r="L100" t="str">
        <f>VLOOKUP($C100,Table1[#All],3,FALSE)</f>
        <v xml:space="preserve">Transactions related to guest rooms and overall hotel operations. Includes payroll for administrative staff, clerks and interns. </v>
      </c>
      <c r="M100" t="str">
        <f>IFERROR(VLOOKUP($B100,ChartOfAccounts!A99:B184,2,FALSE),"")</f>
        <v/>
      </c>
      <c r="N100" t="str">
        <f>IFERROR(VLOOKUP($B100,ChartOfAccounts!C99:D184,2,FALSE),"")</f>
        <v/>
      </c>
      <c r="O100" t="str">
        <f>IFERROR(VLOOKUP($B100,ChartOfAccounts!E99:F184,2,FALSE),"")</f>
        <v/>
      </c>
      <c r="P100" t="str">
        <f>IFERROR(VLOOKUP(D100,PreparerInfo!A99:B111,2,FALSE),"")</f>
        <v/>
      </c>
      <c r="Q100" t="str">
        <f>IFERROR(VLOOKUP(E100,Source!A99:B107,2,FALSE),"")</f>
        <v/>
      </c>
    </row>
    <row r="101" spans="1:17" x14ac:dyDescent="0.3">
      <c r="A101" s="3">
        <v>2033569</v>
      </c>
      <c r="B101">
        <v>43180</v>
      </c>
      <c r="C101">
        <v>2</v>
      </c>
      <c r="D101" s="9">
        <v>104</v>
      </c>
      <c r="E101">
        <v>1003</v>
      </c>
      <c r="F101" s="1">
        <v>44004</v>
      </c>
      <c r="G101" t="s">
        <v>226</v>
      </c>
      <c r="H101" s="4" t="s">
        <v>16</v>
      </c>
      <c r="I101" s="4">
        <v>-258</v>
      </c>
      <c r="J101" s="4">
        <v>-258</v>
      </c>
      <c r="K101" t="str">
        <f>VLOOKUP($C101,Table1[#All],2,FALSE)</f>
        <v>HOTEL</v>
      </c>
      <c r="L101" t="str">
        <f>VLOOKUP($C101,Table1[#All],3,FALSE)</f>
        <v xml:space="preserve">Transactions related to guest rooms and overall hotel operations. Includes payroll for administrative staff, clerks and interns. </v>
      </c>
      <c r="M101" t="str">
        <f>IFERROR(VLOOKUP($B101,ChartOfAccounts!A100:B185,2,FALSE),"")</f>
        <v/>
      </c>
      <c r="N101" t="str">
        <f>IFERROR(VLOOKUP($B101,ChartOfAccounts!C100:D185,2,FALSE),"")</f>
        <v/>
      </c>
      <c r="O101" t="str">
        <f>IFERROR(VLOOKUP($B101,ChartOfAccounts!E100:F185,2,FALSE),"")</f>
        <v/>
      </c>
      <c r="P101" t="str">
        <f>IFERROR(VLOOKUP(D101,PreparerInfo!A100:B112,2,FALSE),"")</f>
        <v/>
      </c>
      <c r="Q101" t="str">
        <f>IFERROR(VLOOKUP(E101,Source!A100:B108,2,FALSE),"")</f>
        <v/>
      </c>
    </row>
    <row r="102" spans="1:17" x14ac:dyDescent="0.3">
      <c r="A102" s="3">
        <v>2033570</v>
      </c>
      <c r="B102">
        <v>14260</v>
      </c>
      <c r="C102">
        <v>1</v>
      </c>
      <c r="D102" s="9">
        <v>101</v>
      </c>
      <c r="E102">
        <v>1002</v>
      </c>
      <c r="F102" s="1">
        <v>44004</v>
      </c>
      <c r="G102" t="s">
        <v>85</v>
      </c>
      <c r="H102" s="4">
        <v>268.39</v>
      </c>
      <c r="I102" s="4" t="s">
        <v>16</v>
      </c>
      <c r="J102" s="4">
        <v>268.39</v>
      </c>
      <c r="K102" t="str">
        <f>VLOOKUP($C102,Table1[#All],2,FALSE)</f>
        <v>FOOD SERVICE</v>
      </c>
      <c r="L102" t="str">
        <f>VLOOKUP($C102,Table1[#All],3,FALSE)</f>
        <v xml:space="preserve">Transactions related to food and beverage service. Includes all guest transactions in the hotel restaurants, catering-related transactions and food service payroll. </v>
      </c>
      <c r="M102" t="str">
        <f>IFERROR(VLOOKUP($B102,ChartOfAccounts!A101:B186,2,FALSE),"")</f>
        <v/>
      </c>
      <c r="N102" t="str">
        <f>IFERROR(VLOOKUP($B102,ChartOfAccounts!C101:D186,2,FALSE),"")</f>
        <v/>
      </c>
      <c r="O102" t="str">
        <f>IFERROR(VLOOKUP($B102,ChartOfAccounts!E101:F186,2,FALSE),"")</f>
        <v/>
      </c>
      <c r="P102" t="str">
        <f>IFERROR(VLOOKUP(D102,PreparerInfo!A101:B113,2,FALSE),"")</f>
        <v/>
      </c>
      <c r="Q102" t="str">
        <f>IFERROR(VLOOKUP(E102,Source!A101:B109,2,FALSE),"")</f>
        <v/>
      </c>
    </row>
    <row r="103" spans="1:17" x14ac:dyDescent="0.3">
      <c r="A103" s="3">
        <v>2033570</v>
      </c>
      <c r="B103">
        <v>11845</v>
      </c>
      <c r="C103">
        <v>1</v>
      </c>
      <c r="D103" s="9">
        <v>101</v>
      </c>
      <c r="E103">
        <v>1002</v>
      </c>
      <c r="F103" s="1">
        <v>44004</v>
      </c>
      <c r="G103" t="s">
        <v>85</v>
      </c>
      <c r="H103" s="4" t="s">
        <v>16</v>
      </c>
      <c r="I103" s="4">
        <v>-268.39</v>
      </c>
      <c r="J103" s="4">
        <v>-268.39</v>
      </c>
      <c r="K103" t="str">
        <f>VLOOKUP($C103,Table1[#All],2,FALSE)</f>
        <v>FOOD SERVICE</v>
      </c>
      <c r="L103" t="str">
        <f>VLOOKUP($C103,Table1[#All],3,FALSE)</f>
        <v xml:space="preserve">Transactions related to food and beverage service. Includes all guest transactions in the hotel restaurants, catering-related transactions and food service payroll. </v>
      </c>
      <c r="M103" t="str">
        <f>IFERROR(VLOOKUP($B103,ChartOfAccounts!A102:B187,2,FALSE),"")</f>
        <v/>
      </c>
      <c r="N103" t="str">
        <f>IFERROR(VLOOKUP($B103,ChartOfAccounts!C102:D187,2,FALSE),"")</f>
        <v/>
      </c>
      <c r="O103" t="str">
        <f>IFERROR(VLOOKUP($B103,ChartOfAccounts!E102:F187,2,FALSE),"")</f>
        <v/>
      </c>
      <c r="P103" t="str">
        <f>IFERROR(VLOOKUP(D103,PreparerInfo!A102:B114,2,FALSE),"")</f>
        <v/>
      </c>
      <c r="Q103" t="str">
        <f>IFERROR(VLOOKUP(E103,Source!A102:B110,2,FALSE),"")</f>
        <v/>
      </c>
    </row>
    <row r="104" spans="1:17" x14ac:dyDescent="0.3">
      <c r="A104" s="3">
        <v>2033571</v>
      </c>
      <c r="B104">
        <v>71900</v>
      </c>
      <c r="C104">
        <v>1</v>
      </c>
      <c r="D104" s="9">
        <v>102</v>
      </c>
      <c r="E104">
        <v>1002</v>
      </c>
      <c r="F104" s="1">
        <v>44004</v>
      </c>
      <c r="G104" t="s">
        <v>36</v>
      </c>
      <c r="H104" s="4">
        <v>308.2</v>
      </c>
      <c r="I104" s="4" t="s">
        <v>16</v>
      </c>
      <c r="J104" s="4">
        <v>308.2</v>
      </c>
      <c r="K104" t="str">
        <f>VLOOKUP($C104,Table1[#All],2,FALSE)</f>
        <v>FOOD SERVICE</v>
      </c>
      <c r="L104" t="str">
        <f>VLOOKUP($C104,Table1[#All],3,FALSE)</f>
        <v xml:space="preserve">Transactions related to food and beverage service. Includes all guest transactions in the hotel restaurants, catering-related transactions and food service payroll. </v>
      </c>
      <c r="M104" t="str">
        <f>IFERROR(VLOOKUP($B104,ChartOfAccounts!A103:B188,2,FALSE),"")</f>
        <v/>
      </c>
      <c r="N104" t="str">
        <f>IFERROR(VLOOKUP($B104,ChartOfAccounts!C103:D188,2,FALSE),"")</f>
        <v/>
      </c>
      <c r="O104" t="str">
        <f>IFERROR(VLOOKUP($B104,ChartOfAccounts!E103:F188,2,FALSE),"")</f>
        <v/>
      </c>
      <c r="P104" t="str">
        <f>IFERROR(VLOOKUP(D104,PreparerInfo!A103:B115,2,FALSE),"")</f>
        <v/>
      </c>
      <c r="Q104" t="str">
        <f>IFERROR(VLOOKUP(E104,Source!A103:B111,2,FALSE),"")</f>
        <v/>
      </c>
    </row>
    <row r="105" spans="1:17" x14ac:dyDescent="0.3">
      <c r="A105" s="3">
        <v>2033571</v>
      </c>
      <c r="B105">
        <v>11845</v>
      </c>
      <c r="C105">
        <v>1</v>
      </c>
      <c r="D105" s="9">
        <v>102</v>
      </c>
      <c r="E105">
        <v>1002</v>
      </c>
      <c r="F105" s="1">
        <v>44004</v>
      </c>
      <c r="G105" t="s">
        <v>36</v>
      </c>
      <c r="H105" s="4" t="s">
        <v>16</v>
      </c>
      <c r="I105" s="4">
        <v>-308.2</v>
      </c>
      <c r="J105" s="4">
        <v>-308.2</v>
      </c>
      <c r="K105" t="str">
        <f>VLOOKUP($C105,Table1[#All],2,FALSE)</f>
        <v>FOOD SERVICE</v>
      </c>
      <c r="L105" t="str">
        <f>VLOOKUP($C105,Table1[#All],3,FALSE)</f>
        <v xml:space="preserve">Transactions related to food and beverage service. Includes all guest transactions in the hotel restaurants, catering-related transactions and food service payroll. </v>
      </c>
      <c r="M105" t="str">
        <f>IFERROR(VLOOKUP($B105,ChartOfAccounts!A104:B189,2,FALSE),"")</f>
        <v/>
      </c>
      <c r="N105" t="str">
        <f>IFERROR(VLOOKUP($B105,ChartOfAccounts!C104:D189,2,FALSE),"")</f>
        <v/>
      </c>
      <c r="O105" t="str">
        <f>IFERROR(VLOOKUP($B105,ChartOfAccounts!E104:F189,2,FALSE),"")</f>
        <v/>
      </c>
      <c r="P105" t="str">
        <f>IFERROR(VLOOKUP(D105,PreparerInfo!A104:B116,2,FALSE),"")</f>
        <v/>
      </c>
      <c r="Q105" t="str">
        <f>IFERROR(VLOOKUP(E105,Source!A104:B112,2,FALSE),"")</f>
        <v/>
      </c>
    </row>
    <row r="106" spans="1:17" x14ac:dyDescent="0.3">
      <c r="A106" s="3">
        <v>2033572</v>
      </c>
      <c r="B106">
        <v>11845</v>
      </c>
      <c r="C106">
        <v>1</v>
      </c>
      <c r="D106" s="9">
        <v>106</v>
      </c>
      <c r="E106">
        <v>1003</v>
      </c>
      <c r="F106" s="1">
        <v>44004</v>
      </c>
      <c r="G106" t="s">
        <v>80</v>
      </c>
      <c r="H106" s="4">
        <v>386</v>
      </c>
      <c r="I106" s="4" t="s">
        <v>16</v>
      </c>
      <c r="J106" s="4">
        <v>386</v>
      </c>
      <c r="K106" t="str">
        <f>VLOOKUP($C106,Table1[#All],2,FALSE)</f>
        <v>FOOD SERVICE</v>
      </c>
      <c r="L106" t="str">
        <f>VLOOKUP($C106,Table1[#All],3,FALSE)</f>
        <v xml:space="preserve">Transactions related to food and beverage service. Includes all guest transactions in the hotel restaurants, catering-related transactions and food service payroll. </v>
      </c>
      <c r="M106" t="str">
        <f>IFERROR(VLOOKUP($B106,ChartOfAccounts!A105:B190,2,FALSE),"")</f>
        <v/>
      </c>
      <c r="N106" t="str">
        <f>IFERROR(VLOOKUP($B106,ChartOfAccounts!C105:D190,2,FALSE),"")</f>
        <v/>
      </c>
      <c r="O106" t="str">
        <f>IFERROR(VLOOKUP($B106,ChartOfAccounts!E105:F190,2,FALSE),"")</f>
        <v/>
      </c>
      <c r="P106" t="str">
        <f>IFERROR(VLOOKUP(D106,PreparerInfo!A105:B117,2,FALSE),"")</f>
        <v/>
      </c>
      <c r="Q106" t="str">
        <f>IFERROR(VLOOKUP(E106,Source!A105:B113,2,FALSE),"")</f>
        <v/>
      </c>
    </row>
    <row r="107" spans="1:17" x14ac:dyDescent="0.3">
      <c r="A107" s="3">
        <v>2033572</v>
      </c>
      <c r="B107">
        <v>43440</v>
      </c>
      <c r="C107">
        <v>1</v>
      </c>
      <c r="D107" s="9">
        <v>106</v>
      </c>
      <c r="E107">
        <v>1003</v>
      </c>
      <c r="F107" s="1">
        <v>44004</v>
      </c>
      <c r="G107" t="s">
        <v>80</v>
      </c>
      <c r="H107" s="4" t="s">
        <v>16</v>
      </c>
      <c r="I107" s="4">
        <v>-386</v>
      </c>
      <c r="J107" s="4">
        <v>-386</v>
      </c>
      <c r="K107" t="str">
        <f>VLOOKUP($C107,Table1[#All],2,FALSE)</f>
        <v>FOOD SERVICE</v>
      </c>
      <c r="L107" t="str">
        <f>VLOOKUP($C107,Table1[#All],3,FALSE)</f>
        <v xml:space="preserve">Transactions related to food and beverage service. Includes all guest transactions in the hotel restaurants, catering-related transactions and food service payroll. </v>
      </c>
      <c r="M107" t="str">
        <f>IFERROR(VLOOKUP($B107,ChartOfAccounts!A106:B191,2,FALSE),"")</f>
        <v/>
      </c>
      <c r="N107" t="str">
        <f>IFERROR(VLOOKUP($B107,ChartOfAccounts!C106:D191,2,FALSE),"")</f>
        <v/>
      </c>
      <c r="O107" t="str">
        <f>IFERROR(VLOOKUP($B107,ChartOfAccounts!E106:F191,2,FALSE),"")</f>
        <v/>
      </c>
      <c r="P107" t="str">
        <f>IFERROR(VLOOKUP(D107,PreparerInfo!A106:B118,2,FALSE),"")</f>
        <v/>
      </c>
      <c r="Q107" t="str">
        <f>IFERROR(VLOOKUP(E107,Source!A106:B114,2,FALSE),"")</f>
        <v/>
      </c>
    </row>
    <row r="108" spans="1:17" x14ac:dyDescent="0.3">
      <c r="A108" s="3">
        <v>2033573</v>
      </c>
      <c r="B108">
        <v>11845</v>
      </c>
      <c r="C108">
        <v>1</v>
      </c>
      <c r="D108" s="9">
        <v>106</v>
      </c>
      <c r="E108">
        <v>1003</v>
      </c>
      <c r="F108" s="1">
        <v>44004</v>
      </c>
      <c r="G108" t="s">
        <v>80</v>
      </c>
      <c r="H108" s="4">
        <v>393.24</v>
      </c>
      <c r="I108" s="4" t="s">
        <v>16</v>
      </c>
      <c r="J108" s="4">
        <v>393.24</v>
      </c>
      <c r="K108" t="str">
        <f>VLOOKUP($C108,Table1[#All],2,FALSE)</f>
        <v>FOOD SERVICE</v>
      </c>
      <c r="L108" t="str">
        <f>VLOOKUP($C108,Table1[#All],3,FALSE)</f>
        <v xml:space="preserve">Transactions related to food and beverage service. Includes all guest transactions in the hotel restaurants, catering-related transactions and food service payroll. </v>
      </c>
      <c r="M108" t="str">
        <f>IFERROR(VLOOKUP($B108,ChartOfAccounts!A107:B192,2,FALSE),"")</f>
        <v/>
      </c>
      <c r="N108" t="str">
        <f>IFERROR(VLOOKUP($B108,ChartOfAccounts!C107:D192,2,FALSE),"")</f>
        <v/>
      </c>
      <c r="O108" t="str">
        <f>IFERROR(VLOOKUP($B108,ChartOfAccounts!E107:F192,2,FALSE),"")</f>
        <v/>
      </c>
      <c r="P108" t="str">
        <f>IFERROR(VLOOKUP(D108,PreparerInfo!A107:B119,2,FALSE),"")</f>
        <v/>
      </c>
      <c r="Q108" t="str">
        <f>IFERROR(VLOOKUP(E108,Source!A107:B115,2,FALSE),"")</f>
        <v/>
      </c>
    </row>
    <row r="109" spans="1:17" x14ac:dyDescent="0.3">
      <c r="A109" s="3">
        <v>2033573</v>
      </c>
      <c r="B109">
        <v>43310</v>
      </c>
      <c r="C109">
        <v>1</v>
      </c>
      <c r="D109" s="9">
        <v>106</v>
      </c>
      <c r="E109">
        <v>1003</v>
      </c>
      <c r="F109" s="1">
        <v>44004</v>
      </c>
      <c r="G109" t="s">
        <v>80</v>
      </c>
      <c r="H109" s="4" t="s">
        <v>16</v>
      </c>
      <c r="I109" s="4">
        <v>-393.24</v>
      </c>
      <c r="J109" s="4">
        <v>-393.24</v>
      </c>
      <c r="K109" t="str">
        <f>VLOOKUP($C109,Table1[#All],2,FALSE)</f>
        <v>FOOD SERVICE</v>
      </c>
      <c r="L109" t="str">
        <f>VLOOKUP($C109,Table1[#All],3,FALSE)</f>
        <v xml:space="preserve">Transactions related to food and beverage service. Includes all guest transactions in the hotel restaurants, catering-related transactions and food service payroll. </v>
      </c>
      <c r="M109" t="str">
        <f>IFERROR(VLOOKUP($B109,ChartOfAccounts!A108:B193,2,FALSE),"")</f>
        <v/>
      </c>
      <c r="N109" t="str">
        <f>IFERROR(VLOOKUP($B109,ChartOfAccounts!C108:D193,2,FALSE),"")</f>
        <v/>
      </c>
      <c r="O109" t="str">
        <f>IFERROR(VLOOKUP($B109,ChartOfAccounts!E108:F193,2,FALSE),"")</f>
        <v/>
      </c>
      <c r="P109" t="str">
        <f>IFERROR(VLOOKUP(D109,PreparerInfo!A108:B120,2,FALSE),"")</f>
        <v/>
      </c>
      <c r="Q109" t="str">
        <f>IFERROR(VLOOKUP(E109,Source!A108:B116,2,FALSE),"")</f>
        <v/>
      </c>
    </row>
    <row r="110" spans="1:17" x14ac:dyDescent="0.3">
      <c r="A110" s="3">
        <v>2033574</v>
      </c>
      <c r="B110">
        <v>11845</v>
      </c>
      <c r="C110">
        <v>1</v>
      </c>
      <c r="D110" s="9">
        <v>106</v>
      </c>
      <c r="E110">
        <v>1003</v>
      </c>
      <c r="F110" s="1">
        <v>44004</v>
      </c>
      <c r="G110" t="s">
        <v>80</v>
      </c>
      <c r="H110" s="4">
        <v>566.70000000000005</v>
      </c>
      <c r="I110" s="4" t="s">
        <v>16</v>
      </c>
      <c r="J110" s="4">
        <v>566.70000000000005</v>
      </c>
      <c r="K110" t="str">
        <f>VLOOKUP($C110,Table1[#All],2,FALSE)</f>
        <v>FOOD SERVICE</v>
      </c>
      <c r="L110" t="str">
        <f>VLOOKUP($C110,Table1[#All],3,FALSE)</f>
        <v xml:space="preserve">Transactions related to food and beverage service. Includes all guest transactions in the hotel restaurants, catering-related transactions and food service payroll. </v>
      </c>
      <c r="M110" t="str">
        <f>IFERROR(VLOOKUP($B110,ChartOfAccounts!A109:B194,2,FALSE),"")</f>
        <v/>
      </c>
      <c r="N110" t="str">
        <f>IFERROR(VLOOKUP($B110,ChartOfAccounts!C109:D194,2,FALSE),"")</f>
        <v/>
      </c>
      <c r="O110" t="str">
        <f>IFERROR(VLOOKUP($B110,ChartOfAccounts!E109:F194,2,FALSE),"")</f>
        <v/>
      </c>
      <c r="P110" t="str">
        <f>IFERROR(VLOOKUP(D110,PreparerInfo!A109:B121,2,FALSE),"")</f>
        <v/>
      </c>
      <c r="Q110" t="str">
        <f>IFERROR(VLOOKUP(E110,Source!A109:B117,2,FALSE),"")</f>
        <v/>
      </c>
    </row>
    <row r="111" spans="1:17" x14ac:dyDescent="0.3">
      <c r="A111" s="3">
        <v>2033574</v>
      </c>
      <c r="B111">
        <v>43310</v>
      </c>
      <c r="C111">
        <v>1</v>
      </c>
      <c r="D111" s="9">
        <v>106</v>
      </c>
      <c r="E111">
        <v>1003</v>
      </c>
      <c r="F111" s="1">
        <v>44004</v>
      </c>
      <c r="G111" t="s">
        <v>80</v>
      </c>
      <c r="H111" s="4" t="s">
        <v>16</v>
      </c>
      <c r="I111" s="4">
        <v>-566.70000000000005</v>
      </c>
      <c r="J111" s="4">
        <v>-566.70000000000005</v>
      </c>
      <c r="K111" t="str">
        <f>VLOOKUP($C111,Table1[#All],2,FALSE)</f>
        <v>FOOD SERVICE</v>
      </c>
      <c r="L111" t="str">
        <f>VLOOKUP($C111,Table1[#All],3,FALSE)</f>
        <v xml:space="preserve">Transactions related to food and beverage service. Includes all guest transactions in the hotel restaurants, catering-related transactions and food service payroll. </v>
      </c>
      <c r="M111" t="str">
        <f>IFERROR(VLOOKUP($B111,ChartOfAccounts!A110:B195,2,FALSE),"")</f>
        <v/>
      </c>
      <c r="N111" t="str">
        <f>IFERROR(VLOOKUP($B111,ChartOfAccounts!C110:D195,2,FALSE),"")</f>
        <v/>
      </c>
      <c r="O111" t="str">
        <f>IFERROR(VLOOKUP($B111,ChartOfAccounts!E110:F195,2,FALSE),"")</f>
        <v/>
      </c>
      <c r="P111" t="str">
        <f>IFERROR(VLOOKUP(D111,PreparerInfo!A110:B122,2,FALSE),"")</f>
        <v/>
      </c>
      <c r="Q111" t="str">
        <f>IFERROR(VLOOKUP(E111,Source!A110:B118,2,FALSE),"")</f>
        <v/>
      </c>
    </row>
    <row r="112" spans="1:17" x14ac:dyDescent="0.3">
      <c r="A112" s="3">
        <v>2033575</v>
      </c>
      <c r="B112">
        <v>71740</v>
      </c>
      <c r="C112">
        <v>1</v>
      </c>
      <c r="D112" s="9">
        <v>101</v>
      </c>
      <c r="E112">
        <v>1002</v>
      </c>
      <c r="F112" s="1">
        <v>44004</v>
      </c>
      <c r="G112" t="s">
        <v>82</v>
      </c>
      <c r="H112" s="4">
        <v>579.15</v>
      </c>
      <c r="I112" s="4" t="s">
        <v>16</v>
      </c>
      <c r="J112" s="4">
        <v>579.15</v>
      </c>
      <c r="K112" t="str">
        <f>VLOOKUP($C112,Table1[#All],2,FALSE)</f>
        <v>FOOD SERVICE</v>
      </c>
      <c r="L112" t="str">
        <f>VLOOKUP($C112,Table1[#All],3,FALSE)</f>
        <v xml:space="preserve">Transactions related to food and beverage service. Includes all guest transactions in the hotel restaurants, catering-related transactions and food service payroll. </v>
      </c>
      <c r="M112" t="str">
        <f>IFERROR(VLOOKUP($B112,ChartOfAccounts!A111:B196,2,FALSE),"")</f>
        <v/>
      </c>
      <c r="N112" t="str">
        <f>IFERROR(VLOOKUP($B112,ChartOfAccounts!C111:D196,2,FALSE),"")</f>
        <v/>
      </c>
      <c r="O112" t="str">
        <f>IFERROR(VLOOKUP($B112,ChartOfAccounts!E111:F196,2,FALSE),"")</f>
        <v/>
      </c>
      <c r="P112" t="str">
        <f>IFERROR(VLOOKUP(D112,PreparerInfo!A111:B123,2,FALSE),"")</f>
        <v/>
      </c>
      <c r="Q112" t="str">
        <f>IFERROR(VLOOKUP(E112,Source!A111:B119,2,FALSE),"")</f>
        <v/>
      </c>
    </row>
    <row r="113" spans="1:17" x14ac:dyDescent="0.3">
      <c r="A113" s="3">
        <v>2033575</v>
      </c>
      <c r="B113">
        <v>11845</v>
      </c>
      <c r="C113">
        <v>1</v>
      </c>
      <c r="D113" s="9">
        <v>101</v>
      </c>
      <c r="E113">
        <v>1002</v>
      </c>
      <c r="F113" s="1">
        <v>44004</v>
      </c>
      <c r="G113" t="s">
        <v>82</v>
      </c>
      <c r="H113" s="4" t="s">
        <v>16</v>
      </c>
      <c r="I113" s="4">
        <v>-579.15</v>
      </c>
      <c r="J113" s="4">
        <v>-579.15</v>
      </c>
      <c r="K113" t="str">
        <f>VLOOKUP($C113,Table1[#All],2,FALSE)</f>
        <v>FOOD SERVICE</v>
      </c>
      <c r="L113" t="str">
        <f>VLOOKUP($C113,Table1[#All],3,FALSE)</f>
        <v xml:space="preserve">Transactions related to food and beverage service. Includes all guest transactions in the hotel restaurants, catering-related transactions and food service payroll. </v>
      </c>
      <c r="M113" t="str">
        <f>IFERROR(VLOOKUP($B113,ChartOfAccounts!A112:B197,2,FALSE),"")</f>
        <v/>
      </c>
      <c r="N113" t="str">
        <f>IFERROR(VLOOKUP($B113,ChartOfAccounts!C112:D197,2,FALSE),"")</f>
        <v/>
      </c>
      <c r="O113" t="str">
        <f>IFERROR(VLOOKUP($B113,ChartOfAccounts!E112:F197,2,FALSE),"")</f>
        <v/>
      </c>
      <c r="P113" t="str">
        <f>IFERROR(VLOOKUP(D113,PreparerInfo!A112:B124,2,FALSE),"")</f>
        <v/>
      </c>
      <c r="Q113" t="str">
        <f>IFERROR(VLOOKUP(E113,Source!A112:B120,2,FALSE),"")</f>
        <v/>
      </c>
    </row>
    <row r="114" spans="1:17" x14ac:dyDescent="0.3">
      <c r="A114" s="3">
        <v>2033576</v>
      </c>
      <c r="B114">
        <v>72725</v>
      </c>
      <c r="C114">
        <v>1</v>
      </c>
      <c r="D114" s="9">
        <v>101</v>
      </c>
      <c r="E114">
        <v>1002</v>
      </c>
      <c r="F114" s="1">
        <v>44004</v>
      </c>
      <c r="G114" t="s">
        <v>177</v>
      </c>
      <c r="H114" s="4">
        <v>695</v>
      </c>
      <c r="I114" s="4" t="s">
        <v>16</v>
      </c>
      <c r="J114" s="4">
        <v>695</v>
      </c>
      <c r="K114" t="str">
        <f>VLOOKUP($C114,Table1[#All],2,FALSE)</f>
        <v>FOOD SERVICE</v>
      </c>
      <c r="L114" t="str">
        <f>VLOOKUP($C114,Table1[#All],3,FALSE)</f>
        <v xml:space="preserve">Transactions related to food and beverage service. Includes all guest transactions in the hotel restaurants, catering-related transactions and food service payroll. </v>
      </c>
      <c r="M114" t="str">
        <f>IFERROR(VLOOKUP($B114,ChartOfAccounts!A113:B198,2,FALSE),"")</f>
        <v/>
      </c>
      <c r="N114" t="str">
        <f>IFERROR(VLOOKUP($B114,ChartOfAccounts!C113:D198,2,FALSE),"")</f>
        <v/>
      </c>
      <c r="O114" t="str">
        <f>IFERROR(VLOOKUP($B114,ChartOfAccounts!E113:F198,2,FALSE),"")</f>
        <v/>
      </c>
      <c r="P114" t="str">
        <f>IFERROR(VLOOKUP(D114,PreparerInfo!A113:B125,2,FALSE),"")</f>
        <v/>
      </c>
      <c r="Q114" t="str">
        <f>IFERROR(VLOOKUP(E114,Source!A113:B121,2,FALSE),"")</f>
        <v/>
      </c>
    </row>
    <row r="115" spans="1:17" x14ac:dyDescent="0.3">
      <c r="A115" s="3">
        <v>2033576</v>
      </c>
      <c r="B115">
        <v>11845</v>
      </c>
      <c r="C115">
        <v>1</v>
      </c>
      <c r="D115" s="9">
        <v>101</v>
      </c>
      <c r="E115">
        <v>1002</v>
      </c>
      <c r="F115" s="1">
        <v>44004</v>
      </c>
      <c r="G115" t="s">
        <v>177</v>
      </c>
      <c r="H115" s="4" t="s">
        <v>16</v>
      </c>
      <c r="I115" s="4">
        <v>-695</v>
      </c>
      <c r="J115" s="4">
        <v>-695</v>
      </c>
      <c r="K115" t="str">
        <f>VLOOKUP($C115,Table1[#All],2,FALSE)</f>
        <v>FOOD SERVICE</v>
      </c>
      <c r="L115" t="str">
        <f>VLOOKUP($C115,Table1[#All],3,FALSE)</f>
        <v xml:space="preserve">Transactions related to food and beverage service. Includes all guest transactions in the hotel restaurants, catering-related transactions and food service payroll. </v>
      </c>
      <c r="M115" t="str">
        <f>IFERROR(VLOOKUP($B115,ChartOfAccounts!A114:B199,2,FALSE),"")</f>
        <v/>
      </c>
      <c r="N115" t="str">
        <f>IFERROR(VLOOKUP($B115,ChartOfAccounts!C114:D199,2,FALSE),"")</f>
        <v/>
      </c>
      <c r="O115" t="str">
        <f>IFERROR(VLOOKUP($B115,ChartOfAccounts!E114:F199,2,FALSE),"")</f>
        <v/>
      </c>
      <c r="P115" t="str">
        <f>IFERROR(VLOOKUP(D115,PreparerInfo!A114:B126,2,FALSE),"")</f>
        <v/>
      </c>
      <c r="Q115" t="str">
        <f>IFERROR(VLOOKUP(E115,Source!A114:B122,2,FALSE),"")</f>
        <v/>
      </c>
    </row>
    <row r="116" spans="1:17" x14ac:dyDescent="0.3">
      <c r="A116" s="3">
        <v>2033577</v>
      </c>
      <c r="B116">
        <v>11845</v>
      </c>
      <c r="C116">
        <v>1</v>
      </c>
      <c r="D116" s="9">
        <v>102</v>
      </c>
      <c r="E116">
        <v>1001</v>
      </c>
      <c r="F116" s="1">
        <v>44004</v>
      </c>
      <c r="G116" t="s">
        <v>41</v>
      </c>
      <c r="H116" s="4">
        <v>714.13</v>
      </c>
      <c r="I116" s="4" t="s">
        <v>16</v>
      </c>
      <c r="J116" s="4">
        <v>714.13</v>
      </c>
      <c r="K116" t="str">
        <f>VLOOKUP($C116,Table1[#All],2,FALSE)</f>
        <v>FOOD SERVICE</v>
      </c>
      <c r="L116" t="str">
        <f>VLOOKUP($C116,Table1[#All],3,FALSE)</f>
        <v xml:space="preserve">Transactions related to food and beverage service. Includes all guest transactions in the hotel restaurants, catering-related transactions and food service payroll. </v>
      </c>
      <c r="M116" t="str">
        <f>IFERROR(VLOOKUP($B116,ChartOfAccounts!A115:B200,2,FALSE),"")</f>
        <v/>
      </c>
      <c r="N116" t="str">
        <f>IFERROR(VLOOKUP($B116,ChartOfAccounts!C115:D200,2,FALSE),"")</f>
        <v/>
      </c>
      <c r="O116" t="str">
        <f>IFERROR(VLOOKUP($B116,ChartOfAccounts!E115:F200,2,FALSE),"")</f>
        <v/>
      </c>
      <c r="P116" t="str">
        <f>IFERROR(VLOOKUP(D116,PreparerInfo!A115:B127,2,FALSE),"")</f>
        <v/>
      </c>
      <c r="Q116" t="str">
        <f>IFERROR(VLOOKUP(E116,Source!A115:B123,2,FALSE),"")</f>
        <v/>
      </c>
    </row>
    <row r="117" spans="1:17" x14ac:dyDescent="0.3">
      <c r="A117" s="3">
        <v>2033577</v>
      </c>
      <c r="B117">
        <v>43310</v>
      </c>
      <c r="C117">
        <v>1</v>
      </c>
      <c r="D117" s="9">
        <v>102</v>
      </c>
      <c r="E117">
        <v>1001</v>
      </c>
      <c r="F117" s="1">
        <v>44004</v>
      </c>
      <c r="G117" t="s">
        <v>41</v>
      </c>
      <c r="H117" s="4" t="s">
        <v>16</v>
      </c>
      <c r="I117" s="4">
        <v>-714.13</v>
      </c>
      <c r="J117" s="4">
        <v>-714.13</v>
      </c>
      <c r="K117" t="str">
        <f>VLOOKUP($C117,Table1[#All],2,FALSE)</f>
        <v>FOOD SERVICE</v>
      </c>
      <c r="L117" t="str">
        <f>VLOOKUP($C117,Table1[#All],3,FALSE)</f>
        <v xml:space="preserve">Transactions related to food and beverage service. Includes all guest transactions in the hotel restaurants, catering-related transactions and food service payroll. </v>
      </c>
      <c r="M117" t="str">
        <f>IFERROR(VLOOKUP($B117,ChartOfAccounts!A116:B201,2,FALSE),"")</f>
        <v/>
      </c>
      <c r="N117" t="str">
        <f>IFERROR(VLOOKUP($B117,ChartOfAccounts!C116:D201,2,FALSE),"")</f>
        <v/>
      </c>
      <c r="O117" t="str">
        <f>IFERROR(VLOOKUP($B117,ChartOfAccounts!E116:F201,2,FALSE),"")</f>
        <v/>
      </c>
      <c r="P117" t="str">
        <f>IFERROR(VLOOKUP(D117,PreparerInfo!A116:B128,2,FALSE),"")</f>
        <v/>
      </c>
      <c r="Q117" t="str">
        <f>IFERROR(VLOOKUP(E117,Source!A116:B124,2,FALSE),"")</f>
        <v/>
      </c>
    </row>
    <row r="118" spans="1:17" x14ac:dyDescent="0.3">
      <c r="A118" s="3">
        <v>2033578</v>
      </c>
      <c r="B118">
        <v>71500</v>
      </c>
      <c r="C118">
        <v>6</v>
      </c>
      <c r="D118" s="9">
        <v>101</v>
      </c>
      <c r="E118">
        <v>1002</v>
      </c>
      <c r="F118" s="1">
        <v>44004</v>
      </c>
      <c r="G118" t="s">
        <v>187</v>
      </c>
      <c r="H118" s="4">
        <v>740</v>
      </c>
      <c r="I118" s="4" t="s">
        <v>16</v>
      </c>
      <c r="J118" s="4">
        <v>740</v>
      </c>
      <c r="K118" t="str">
        <f>VLOOKUP($C118,Table1[#All],2,FALSE)</f>
        <v>MAINTENANCE</v>
      </c>
      <c r="L118" t="str">
        <f>VLOOKUP($C118,Table1[#All],3,FALSE)</f>
        <v>Transactions related to the hotel Maintenance Department. Primarily includes payroll for maintenance, grounds keepers and related supplies.</v>
      </c>
      <c r="M118" t="str">
        <f>IFERROR(VLOOKUP($B118,ChartOfAccounts!A117:B202,2,FALSE),"")</f>
        <v/>
      </c>
      <c r="N118" t="str">
        <f>IFERROR(VLOOKUP($B118,ChartOfAccounts!C117:D202,2,FALSE),"")</f>
        <v/>
      </c>
      <c r="O118" t="str">
        <f>IFERROR(VLOOKUP($B118,ChartOfAccounts!E117:F202,2,FALSE),"")</f>
        <v/>
      </c>
      <c r="P118" t="str">
        <f>IFERROR(VLOOKUP(D118,PreparerInfo!A117:B129,2,FALSE),"")</f>
        <v/>
      </c>
      <c r="Q118" t="str">
        <f>IFERROR(VLOOKUP(E118,Source!A117:B125,2,FALSE),"")</f>
        <v/>
      </c>
    </row>
    <row r="119" spans="1:17" x14ac:dyDescent="0.3">
      <c r="A119" s="3">
        <v>2033578</v>
      </c>
      <c r="B119">
        <v>11845</v>
      </c>
      <c r="C119">
        <v>6</v>
      </c>
      <c r="D119" s="9">
        <v>101</v>
      </c>
      <c r="E119">
        <v>1002</v>
      </c>
      <c r="F119" s="1">
        <v>44004</v>
      </c>
      <c r="G119" t="s">
        <v>187</v>
      </c>
      <c r="H119" s="4" t="s">
        <v>16</v>
      </c>
      <c r="I119" s="4">
        <v>-740</v>
      </c>
      <c r="J119" s="4">
        <v>-740</v>
      </c>
      <c r="K119" t="str">
        <f>VLOOKUP($C119,Table1[#All],2,FALSE)</f>
        <v>MAINTENANCE</v>
      </c>
      <c r="L119" t="str">
        <f>VLOOKUP($C119,Table1[#All],3,FALSE)</f>
        <v>Transactions related to the hotel Maintenance Department. Primarily includes payroll for maintenance, grounds keepers and related supplies.</v>
      </c>
      <c r="M119" t="str">
        <f>IFERROR(VLOOKUP($B119,ChartOfAccounts!A118:B203,2,FALSE),"")</f>
        <v/>
      </c>
      <c r="N119" t="str">
        <f>IFERROR(VLOOKUP($B119,ChartOfAccounts!C118:D203,2,FALSE),"")</f>
        <v/>
      </c>
      <c r="O119" t="str">
        <f>IFERROR(VLOOKUP($B119,ChartOfAccounts!E118:F203,2,FALSE),"")</f>
        <v/>
      </c>
      <c r="P119" t="str">
        <f>IFERROR(VLOOKUP(D119,PreparerInfo!A118:B130,2,FALSE),"")</f>
        <v/>
      </c>
      <c r="Q119" t="str">
        <f>IFERROR(VLOOKUP(E119,Source!A118:B126,2,FALSE),"")</f>
        <v/>
      </c>
    </row>
    <row r="120" spans="1:17" x14ac:dyDescent="0.3">
      <c r="A120" s="3">
        <v>2033579</v>
      </c>
      <c r="B120">
        <v>11845</v>
      </c>
      <c r="C120">
        <v>2</v>
      </c>
      <c r="D120" s="9">
        <v>104</v>
      </c>
      <c r="E120">
        <v>1003</v>
      </c>
      <c r="F120" s="1">
        <v>44004</v>
      </c>
      <c r="G120" t="s">
        <v>227</v>
      </c>
      <c r="H120" s="4">
        <v>774</v>
      </c>
      <c r="I120" s="4" t="s">
        <v>16</v>
      </c>
      <c r="J120" s="4">
        <v>774</v>
      </c>
      <c r="K120" t="str">
        <f>VLOOKUP($C120,Table1[#All],2,FALSE)</f>
        <v>HOTEL</v>
      </c>
      <c r="L120" t="str">
        <f>VLOOKUP($C120,Table1[#All],3,FALSE)</f>
        <v xml:space="preserve">Transactions related to guest rooms and overall hotel operations. Includes payroll for administrative staff, clerks and interns. </v>
      </c>
      <c r="M120" t="str">
        <f>IFERROR(VLOOKUP($B120,ChartOfAccounts!A119:B204,2,FALSE),"")</f>
        <v/>
      </c>
      <c r="N120" t="str">
        <f>IFERROR(VLOOKUP($B120,ChartOfAccounts!C119:D204,2,FALSE),"")</f>
        <v/>
      </c>
      <c r="O120" t="str">
        <f>IFERROR(VLOOKUP($B120,ChartOfAccounts!E119:F204,2,FALSE),"")</f>
        <v/>
      </c>
      <c r="P120" t="str">
        <f>IFERROR(VLOOKUP(D120,PreparerInfo!A119:B131,2,FALSE),"")</f>
        <v/>
      </c>
      <c r="Q120" t="str">
        <f>IFERROR(VLOOKUP(E120,Source!A119:B127,2,FALSE),"")</f>
        <v/>
      </c>
    </row>
    <row r="121" spans="1:17" x14ac:dyDescent="0.3">
      <c r="A121" s="3">
        <v>2033579</v>
      </c>
      <c r="B121">
        <v>43180</v>
      </c>
      <c r="C121">
        <v>2</v>
      </c>
      <c r="D121" s="9">
        <v>104</v>
      </c>
      <c r="E121">
        <v>1003</v>
      </c>
      <c r="F121" s="1">
        <v>44004</v>
      </c>
      <c r="G121" t="s">
        <v>227</v>
      </c>
      <c r="H121" s="4" t="s">
        <v>16</v>
      </c>
      <c r="I121" s="4">
        <v>-774</v>
      </c>
      <c r="J121" s="4">
        <v>-774</v>
      </c>
      <c r="K121" t="str">
        <f>VLOOKUP($C121,Table1[#All],2,FALSE)</f>
        <v>HOTEL</v>
      </c>
      <c r="L121" t="str">
        <f>VLOOKUP($C121,Table1[#All],3,FALSE)</f>
        <v xml:space="preserve">Transactions related to guest rooms and overall hotel operations. Includes payroll for administrative staff, clerks and interns. </v>
      </c>
      <c r="M121" t="str">
        <f>IFERROR(VLOOKUP($B121,ChartOfAccounts!A120:B205,2,FALSE),"")</f>
        <v/>
      </c>
      <c r="N121" t="str">
        <f>IFERROR(VLOOKUP($B121,ChartOfAccounts!C120:D205,2,FALSE),"")</f>
        <v/>
      </c>
      <c r="O121" t="str">
        <f>IFERROR(VLOOKUP($B121,ChartOfAccounts!E120:F205,2,FALSE),"")</f>
        <v/>
      </c>
      <c r="P121" t="str">
        <f>IFERROR(VLOOKUP(D121,PreparerInfo!A120:B132,2,FALSE),"")</f>
        <v/>
      </c>
      <c r="Q121" t="str">
        <f>IFERROR(VLOOKUP(E121,Source!A120:B128,2,FALSE),"")</f>
        <v/>
      </c>
    </row>
    <row r="122" spans="1:17" x14ac:dyDescent="0.3">
      <c r="A122" s="3">
        <v>2033580</v>
      </c>
      <c r="B122">
        <v>72760</v>
      </c>
      <c r="C122">
        <v>1</v>
      </c>
      <c r="D122" s="9">
        <v>101</v>
      </c>
      <c r="E122">
        <v>1002</v>
      </c>
      <c r="F122" s="1">
        <v>44004</v>
      </c>
      <c r="G122" t="s">
        <v>164</v>
      </c>
      <c r="H122" s="4">
        <v>900</v>
      </c>
      <c r="I122" s="4" t="s">
        <v>16</v>
      </c>
      <c r="J122" s="4">
        <v>900</v>
      </c>
      <c r="K122" t="str">
        <f>VLOOKUP($C122,Table1[#All],2,FALSE)</f>
        <v>FOOD SERVICE</v>
      </c>
      <c r="L122" t="str">
        <f>VLOOKUP($C122,Table1[#All],3,FALSE)</f>
        <v xml:space="preserve">Transactions related to food and beverage service. Includes all guest transactions in the hotel restaurants, catering-related transactions and food service payroll. </v>
      </c>
      <c r="M122" t="str">
        <f>IFERROR(VLOOKUP($B122,ChartOfAccounts!A121:B206,2,FALSE),"")</f>
        <v/>
      </c>
      <c r="N122" t="str">
        <f>IFERROR(VLOOKUP($B122,ChartOfAccounts!C121:D206,2,FALSE),"")</f>
        <v/>
      </c>
      <c r="O122" t="str">
        <f>IFERROR(VLOOKUP($B122,ChartOfAccounts!E121:F206,2,FALSE),"")</f>
        <v/>
      </c>
      <c r="P122" t="str">
        <f>IFERROR(VLOOKUP(D122,PreparerInfo!A121:B133,2,FALSE),"")</f>
        <v/>
      </c>
      <c r="Q122" t="str">
        <f>IFERROR(VLOOKUP(E122,Source!A121:B129,2,FALSE),"")</f>
        <v/>
      </c>
    </row>
    <row r="123" spans="1:17" x14ac:dyDescent="0.3">
      <c r="A123" s="3">
        <v>2033580</v>
      </c>
      <c r="B123">
        <v>11845</v>
      </c>
      <c r="C123">
        <v>1</v>
      </c>
      <c r="D123" s="9">
        <v>101</v>
      </c>
      <c r="E123">
        <v>1002</v>
      </c>
      <c r="F123" s="1">
        <v>44004</v>
      </c>
      <c r="G123" t="s">
        <v>164</v>
      </c>
      <c r="H123" s="4" t="s">
        <v>16</v>
      </c>
      <c r="I123" s="4">
        <v>-900</v>
      </c>
      <c r="J123" s="4">
        <v>-900</v>
      </c>
      <c r="K123" t="str">
        <f>VLOOKUP($C123,Table1[#All],2,FALSE)</f>
        <v>FOOD SERVICE</v>
      </c>
      <c r="L123" t="str">
        <f>VLOOKUP($C123,Table1[#All],3,FALSE)</f>
        <v xml:space="preserve">Transactions related to food and beverage service. Includes all guest transactions in the hotel restaurants, catering-related transactions and food service payroll. </v>
      </c>
      <c r="M123" t="str">
        <f>IFERROR(VLOOKUP($B123,ChartOfAccounts!A122:B207,2,FALSE),"")</f>
        <v/>
      </c>
      <c r="N123" t="str">
        <f>IFERROR(VLOOKUP($B123,ChartOfAccounts!C122:D207,2,FALSE),"")</f>
        <v/>
      </c>
      <c r="O123" t="str">
        <f>IFERROR(VLOOKUP($B123,ChartOfAccounts!E122:F207,2,FALSE),"")</f>
        <v/>
      </c>
      <c r="P123" t="str">
        <f>IFERROR(VLOOKUP(D123,PreparerInfo!A122:B134,2,FALSE),"")</f>
        <v/>
      </c>
      <c r="Q123" t="str">
        <f>IFERROR(VLOOKUP(E123,Source!A122:B130,2,FALSE),"")</f>
        <v/>
      </c>
    </row>
    <row r="124" spans="1:17" x14ac:dyDescent="0.3">
      <c r="A124" s="3">
        <v>2033581</v>
      </c>
      <c r="B124">
        <v>11845</v>
      </c>
      <c r="C124">
        <v>1</v>
      </c>
      <c r="D124" s="9">
        <v>106</v>
      </c>
      <c r="E124">
        <v>1003</v>
      </c>
      <c r="F124" s="1">
        <v>44004</v>
      </c>
      <c r="G124" t="s">
        <v>80</v>
      </c>
      <c r="H124" s="4">
        <v>1408.75</v>
      </c>
      <c r="I124" s="4" t="s">
        <v>16</v>
      </c>
      <c r="J124" s="4">
        <v>1408.75</v>
      </c>
      <c r="K124" t="str">
        <f>VLOOKUP($C124,Table1[#All],2,FALSE)</f>
        <v>FOOD SERVICE</v>
      </c>
      <c r="L124" t="str">
        <f>VLOOKUP($C124,Table1[#All],3,FALSE)</f>
        <v xml:space="preserve">Transactions related to food and beverage service. Includes all guest transactions in the hotel restaurants, catering-related transactions and food service payroll. </v>
      </c>
      <c r="M124" t="str">
        <f>IFERROR(VLOOKUP($B124,ChartOfAccounts!A123:B208,2,FALSE),"")</f>
        <v/>
      </c>
      <c r="N124" t="str">
        <f>IFERROR(VLOOKUP($B124,ChartOfAccounts!C123:D208,2,FALSE),"")</f>
        <v/>
      </c>
      <c r="O124" t="str">
        <f>IFERROR(VLOOKUP($B124,ChartOfAccounts!E123:F208,2,FALSE),"")</f>
        <v/>
      </c>
      <c r="P124" t="str">
        <f>IFERROR(VLOOKUP(D124,PreparerInfo!A123:B135,2,FALSE),"")</f>
        <v/>
      </c>
      <c r="Q124" t="str">
        <f>IFERROR(VLOOKUP(E124,Source!A123:B131,2,FALSE),"")</f>
        <v/>
      </c>
    </row>
    <row r="125" spans="1:17" x14ac:dyDescent="0.3">
      <c r="A125" s="3">
        <v>2033581</v>
      </c>
      <c r="B125">
        <v>43440</v>
      </c>
      <c r="C125">
        <v>1</v>
      </c>
      <c r="D125" s="9">
        <v>106</v>
      </c>
      <c r="E125">
        <v>1003</v>
      </c>
      <c r="F125" s="1">
        <v>44004</v>
      </c>
      <c r="G125" t="s">
        <v>80</v>
      </c>
      <c r="H125" s="4" t="s">
        <v>16</v>
      </c>
      <c r="I125" s="4">
        <v>-1408.75</v>
      </c>
      <c r="J125" s="4">
        <v>-1408.75</v>
      </c>
      <c r="K125" t="str">
        <f>VLOOKUP($C125,Table1[#All],2,FALSE)</f>
        <v>FOOD SERVICE</v>
      </c>
      <c r="L125" t="str">
        <f>VLOOKUP($C125,Table1[#All],3,FALSE)</f>
        <v xml:space="preserve">Transactions related to food and beverage service. Includes all guest transactions in the hotel restaurants, catering-related transactions and food service payroll. </v>
      </c>
      <c r="M125" t="str">
        <f>IFERROR(VLOOKUP($B125,ChartOfAccounts!A124:B209,2,FALSE),"")</f>
        <v/>
      </c>
      <c r="N125" t="str">
        <f>IFERROR(VLOOKUP($B125,ChartOfAccounts!C124:D209,2,FALSE),"")</f>
        <v/>
      </c>
      <c r="O125" t="str">
        <f>IFERROR(VLOOKUP($B125,ChartOfAccounts!E124:F209,2,FALSE),"")</f>
        <v/>
      </c>
      <c r="P125" t="str">
        <f>IFERROR(VLOOKUP(D125,PreparerInfo!A124:B136,2,FALSE),"")</f>
        <v/>
      </c>
      <c r="Q125" t="str">
        <f>IFERROR(VLOOKUP(E125,Source!A124:B132,2,FALSE),"")</f>
        <v/>
      </c>
    </row>
    <row r="126" spans="1:17" x14ac:dyDescent="0.3">
      <c r="A126" s="3">
        <v>2033582</v>
      </c>
      <c r="B126">
        <v>11845</v>
      </c>
      <c r="C126">
        <v>2</v>
      </c>
      <c r="D126" s="9">
        <v>106</v>
      </c>
      <c r="E126">
        <v>1003</v>
      </c>
      <c r="F126" s="1">
        <v>44004</v>
      </c>
      <c r="G126" t="s">
        <v>81</v>
      </c>
      <c r="H126" s="4">
        <v>1785</v>
      </c>
      <c r="I126" s="4" t="s">
        <v>16</v>
      </c>
      <c r="J126" s="4">
        <v>1785</v>
      </c>
      <c r="K126" t="str">
        <f>VLOOKUP($C126,Table1[#All],2,FALSE)</f>
        <v>HOTEL</v>
      </c>
      <c r="L126" t="str">
        <f>VLOOKUP($C126,Table1[#All],3,FALSE)</f>
        <v xml:space="preserve">Transactions related to guest rooms and overall hotel operations. Includes payroll for administrative staff, clerks and interns. </v>
      </c>
      <c r="M126" t="str">
        <f>IFERROR(VLOOKUP($B126,ChartOfAccounts!A125:B210,2,FALSE),"")</f>
        <v/>
      </c>
      <c r="N126" t="str">
        <f>IFERROR(VLOOKUP($B126,ChartOfAccounts!C125:D210,2,FALSE),"")</f>
        <v/>
      </c>
      <c r="O126" t="str">
        <f>IFERROR(VLOOKUP($B126,ChartOfAccounts!E125:F210,2,FALSE),"")</f>
        <v/>
      </c>
      <c r="P126" t="str">
        <f>IFERROR(VLOOKUP(D126,PreparerInfo!A125:B137,2,FALSE),"")</f>
        <v/>
      </c>
      <c r="Q126" t="str">
        <f>IFERROR(VLOOKUP(E126,Source!A125:B133,2,FALSE),"")</f>
        <v/>
      </c>
    </row>
    <row r="127" spans="1:17" x14ac:dyDescent="0.3">
      <c r="A127" s="3">
        <v>2033582</v>
      </c>
      <c r="B127">
        <v>43180</v>
      </c>
      <c r="C127">
        <v>2</v>
      </c>
      <c r="D127" s="9">
        <v>106</v>
      </c>
      <c r="E127">
        <v>1003</v>
      </c>
      <c r="F127" s="1">
        <v>44004</v>
      </c>
      <c r="G127" t="s">
        <v>81</v>
      </c>
      <c r="H127" s="4" t="s">
        <v>16</v>
      </c>
      <c r="I127" s="4">
        <v>-1785</v>
      </c>
      <c r="J127" s="4">
        <v>-1785</v>
      </c>
      <c r="K127" t="str">
        <f>VLOOKUP($C127,Table1[#All],2,FALSE)</f>
        <v>HOTEL</v>
      </c>
      <c r="L127" t="str">
        <f>VLOOKUP($C127,Table1[#All],3,FALSE)</f>
        <v xml:space="preserve">Transactions related to guest rooms and overall hotel operations. Includes payroll for administrative staff, clerks and interns. </v>
      </c>
      <c r="M127" t="str">
        <f>IFERROR(VLOOKUP($B127,ChartOfAccounts!A126:B211,2,FALSE),"")</f>
        <v/>
      </c>
      <c r="N127" t="str">
        <f>IFERROR(VLOOKUP($B127,ChartOfAccounts!C126:D211,2,FALSE),"")</f>
        <v/>
      </c>
      <c r="O127" t="str">
        <f>IFERROR(VLOOKUP($B127,ChartOfAccounts!E126:F211,2,FALSE),"")</f>
        <v/>
      </c>
      <c r="P127" t="str">
        <f>IFERROR(VLOOKUP(D127,PreparerInfo!A126:B138,2,FALSE),"")</f>
        <v/>
      </c>
      <c r="Q127" t="str">
        <f>IFERROR(VLOOKUP(E127,Source!A126:B134,2,FALSE),"")</f>
        <v/>
      </c>
    </row>
    <row r="128" spans="1:17" x14ac:dyDescent="0.3">
      <c r="A128" s="3">
        <v>2033583</v>
      </c>
      <c r="B128">
        <v>11845</v>
      </c>
      <c r="C128">
        <v>1</v>
      </c>
      <c r="D128" s="9">
        <v>102</v>
      </c>
      <c r="E128">
        <v>1003</v>
      </c>
      <c r="F128" s="1">
        <v>44004</v>
      </c>
      <c r="G128" t="s">
        <v>15</v>
      </c>
      <c r="H128" s="4">
        <v>1875</v>
      </c>
      <c r="I128" s="4" t="s">
        <v>16</v>
      </c>
      <c r="J128" s="4">
        <v>1875</v>
      </c>
      <c r="K128" t="str">
        <f>VLOOKUP($C128,Table1[#All],2,FALSE)</f>
        <v>FOOD SERVICE</v>
      </c>
      <c r="L128" t="str">
        <f>VLOOKUP($C128,Table1[#All],3,FALSE)</f>
        <v xml:space="preserve">Transactions related to food and beverage service. Includes all guest transactions in the hotel restaurants, catering-related transactions and food service payroll. </v>
      </c>
      <c r="M128" t="str">
        <f>IFERROR(VLOOKUP($B128,ChartOfAccounts!A127:B212,2,FALSE),"")</f>
        <v/>
      </c>
      <c r="N128" t="str">
        <f>IFERROR(VLOOKUP($B128,ChartOfAccounts!C127:D212,2,FALSE),"")</f>
        <v/>
      </c>
      <c r="O128" t="str">
        <f>IFERROR(VLOOKUP($B128,ChartOfAccounts!E127:F212,2,FALSE),"")</f>
        <v/>
      </c>
      <c r="P128" t="str">
        <f>IFERROR(VLOOKUP(D128,PreparerInfo!A127:B139,2,FALSE),"")</f>
        <v/>
      </c>
      <c r="Q128" t="str">
        <f>IFERROR(VLOOKUP(E128,Source!A127:B135,2,FALSE),"")</f>
        <v/>
      </c>
    </row>
    <row r="129" spans="1:17" x14ac:dyDescent="0.3">
      <c r="A129" s="3">
        <v>2033583</v>
      </c>
      <c r="B129">
        <v>43310</v>
      </c>
      <c r="C129">
        <v>1</v>
      </c>
      <c r="D129" s="9">
        <v>102</v>
      </c>
      <c r="E129">
        <v>1003</v>
      </c>
      <c r="F129" s="1">
        <v>44004</v>
      </c>
      <c r="G129" t="s">
        <v>15</v>
      </c>
      <c r="H129" s="4" t="s">
        <v>16</v>
      </c>
      <c r="I129" s="4">
        <v>-1875</v>
      </c>
      <c r="J129" s="4">
        <v>-1875</v>
      </c>
      <c r="K129" t="str">
        <f>VLOOKUP($C129,Table1[#All],2,FALSE)</f>
        <v>FOOD SERVICE</v>
      </c>
      <c r="L129" t="str">
        <f>VLOOKUP($C129,Table1[#All],3,FALSE)</f>
        <v xml:space="preserve">Transactions related to food and beverage service. Includes all guest transactions in the hotel restaurants, catering-related transactions and food service payroll. </v>
      </c>
      <c r="M129" t="str">
        <f>IFERROR(VLOOKUP($B129,ChartOfAccounts!A128:B213,2,FALSE),"")</f>
        <v/>
      </c>
      <c r="N129" t="str">
        <f>IFERROR(VLOOKUP($B129,ChartOfAccounts!C128:D213,2,FALSE),"")</f>
        <v/>
      </c>
      <c r="O129" t="str">
        <f>IFERROR(VLOOKUP($B129,ChartOfAccounts!E128:F213,2,FALSE),"")</f>
        <v/>
      </c>
      <c r="P129" t="str">
        <f>IFERROR(VLOOKUP(D129,PreparerInfo!A128:B140,2,FALSE),"")</f>
        <v/>
      </c>
      <c r="Q129" t="str">
        <f>IFERROR(VLOOKUP(E129,Source!A128:B136,2,FALSE),"")</f>
        <v/>
      </c>
    </row>
    <row r="130" spans="1:17" x14ac:dyDescent="0.3">
      <c r="A130" s="3">
        <v>2033584</v>
      </c>
      <c r="B130">
        <v>11845</v>
      </c>
      <c r="C130">
        <v>1</v>
      </c>
      <c r="D130" s="9">
        <v>102</v>
      </c>
      <c r="E130">
        <v>1003</v>
      </c>
      <c r="F130" s="1">
        <v>44004</v>
      </c>
      <c r="G130" t="s">
        <v>15</v>
      </c>
      <c r="H130" s="4">
        <v>2134.79</v>
      </c>
      <c r="I130" s="4" t="s">
        <v>16</v>
      </c>
      <c r="J130" s="4">
        <v>2134.79</v>
      </c>
      <c r="K130" t="str">
        <f>VLOOKUP($C130,Table1[#All],2,FALSE)</f>
        <v>FOOD SERVICE</v>
      </c>
      <c r="L130" t="str">
        <f>VLOOKUP($C130,Table1[#All],3,FALSE)</f>
        <v xml:space="preserve">Transactions related to food and beverage service. Includes all guest transactions in the hotel restaurants, catering-related transactions and food service payroll. </v>
      </c>
      <c r="M130" t="str">
        <f>IFERROR(VLOOKUP($B130,ChartOfAccounts!A129:B214,2,FALSE),"")</f>
        <v/>
      </c>
      <c r="N130" t="str">
        <f>IFERROR(VLOOKUP($B130,ChartOfAccounts!C129:D214,2,FALSE),"")</f>
        <v/>
      </c>
      <c r="O130" t="str">
        <f>IFERROR(VLOOKUP($B130,ChartOfAccounts!E129:F214,2,FALSE),"")</f>
        <v/>
      </c>
      <c r="P130" t="str">
        <f>IFERROR(VLOOKUP(D130,PreparerInfo!A129:B141,2,FALSE),"")</f>
        <v/>
      </c>
      <c r="Q130" t="str">
        <f>IFERROR(VLOOKUP(E130,Source!A129:B137,2,FALSE),"")</f>
        <v/>
      </c>
    </row>
    <row r="131" spans="1:17" x14ac:dyDescent="0.3">
      <c r="A131" s="3">
        <v>2033584</v>
      </c>
      <c r="B131">
        <v>43310</v>
      </c>
      <c r="C131">
        <v>1</v>
      </c>
      <c r="D131" s="9">
        <v>102</v>
      </c>
      <c r="E131">
        <v>1003</v>
      </c>
      <c r="F131" s="1">
        <v>44004</v>
      </c>
      <c r="G131" t="s">
        <v>15</v>
      </c>
      <c r="H131" s="4" t="s">
        <v>16</v>
      </c>
      <c r="I131" s="4">
        <v>-2134.79</v>
      </c>
      <c r="J131" s="4">
        <v>-2134.79</v>
      </c>
      <c r="K131" t="str">
        <f>VLOOKUP($C131,Table1[#All],2,FALSE)</f>
        <v>FOOD SERVICE</v>
      </c>
      <c r="L131" t="str">
        <f>VLOOKUP($C131,Table1[#All],3,FALSE)</f>
        <v xml:space="preserve">Transactions related to food and beverage service. Includes all guest transactions in the hotel restaurants, catering-related transactions and food service payroll. </v>
      </c>
      <c r="M131" t="str">
        <f>IFERROR(VLOOKUP($B131,ChartOfAccounts!A130:B215,2,FALSE),"")</f>
        <v/>
      </c>
      <c r="N131" t="str">
        <f>IFERROR(VLOOKUP($B131,ChartOfAccounts!C130:D215,2,FALSE),"")</f>
        <v/>
      </c>
      <c r="O131" t="str">
        <f>IFERROR(VLOOKUP($B131,ChartOfAccounts!E130:F215,2,FALSE),"")</f>
        <v/>
      </c>
      <c r="P131" t="str">
        <f>IFERROR(VLOOKUP(D131,PreparerInfo!A130:B142,2,FALSE),"")</f>
        <v/>
      </c>
      <c r="Q131" t="str">
        <f>IFERROR(VLOOKUP(E131,Source!A130:B138,2,FALSE),"")</f>
        <v/>
      </c>
    </row>
    <row r="132" spans="1:17" x14ac:dyDescent="0.3">
      <c r="A132" s="3">
        <v>2033585</v>
      </c>
      <c r="B132">
        <v>11845</v>
      </c>
      <c r="C132">
        <v>2</v>
      </c>
      <c r="D132" s="9">
        <v>104</v>
      </c>
      <c r="E132">
        <v>1003</v>
      </c>
      <c r="F132" s="1">
        <v>44004</v>
      </c>
      <c r="G132" t="s">
        <v>41</v>
      </c>
      <c r="H132" s="4">
        <v>2663.75</v>
      </c>
      <c r="I132" s="4" t="s">
        <v>16</v>
      </c>
      <c r="J132" s="4">
        <v>2663.75</v>
      </c>
      <c r="K132" t="str">
        <f>VLOOKUP($C132,Table1[#All],2,FALSE)</f>
        <v>HOTEL</v>
      </c>
      <c r="L132" t="str">
        <f>VLOOKUP($C132,Table1[#All],3,FALSE)</f>
        <v xml:space="preserve">Transactions related to guest rooms and overall hotel operations. Includes payroll for administrative staff, clerks and interns. </v>
      </c>
      <c r="M132" t="str">
        <f>IFERROR(VLOOKUP($B132,ChartOfAccounts!A131:B216,2,FALSE),"")</f>
        <v/>
      </c>
      <c r="N132" t="str">
        <f>IFERROR(VLOOKUP($B132,ChartOfAccounts!C131:D216,2,FALSE),"")</f>
        <v/>
      </c>
      <c r="O132" t="str">
        <f>IFERROR(VLOOKUP($B132,ChartOfAccounts!E131:F216,2,FALSE),"")</f>
        <v/>
      </c>
      <c r="P132" t="str">
        <f>IFERROR(VLOOKUP(D132,PreparerInfo!A131:B143,2,FALSE),"")</f>
        <v/>
      </c>
      <c r="Q132" t="str">
        <f>IFERROR(VLOOKUP(E132,Source!A131:B139,2,FALSE),"")</f>
        <v/>
      </c>
    </row>
    <row r="133" spans="1:17" x14ac:dyDescent="0.3">
      <c r="A133" s="3">
        <v>2033585</v>
      </c>
      <c r="B133">
        <v>43180</v>
      </c>
      <c r="C133">
        <v>2</v>
      </c>
      <c r="D133" s="9">
        <v>104</v>
      </c>
      <c r="E133">
        <v>1003</v>
      </c>
      <c r="F133" s="1">
        <v>44004</v>
      </c>
      <c r="G133" t="s">
        <v>41</v>
      </c>
      <c r="H133" s="4" t="s">
        <v>16</v>
      </c>
      <c r="I133" s="4">
        <v>-2663.75</v>
      </c>
      <c r="J133" s="4">
        <v>-2663.75</v>
      </c>
      <c r="K133" t="str">
        <f>VLOOKUP($C133,Table1[#All],2,FALSE)</f>
        <v>HOTEL</v>
      </c>
      <c r="L133" t="str">
        <f>VLOOKUP($C133,Table1[#All],3,FALSE)</f>
        <v xml:space="preserve">Transactions related to guest rooms and overall hotel operations. Includes payroll for administrative staff, clerks and interns. </v>
      </c>
      <c r="M133" t="str">
        <f>IFERROR(VLOOKUP($B133,ChartOfAccounts!A132:B217,2,FALSE),"")</f>
        <v/>
      </c>
      <c r="N133" t="str">
        <f>IFERROR(VLOOKUP($B133,ChartOfAccounts!C132:D217,2,FALSE),"")</f>
        <v/>
      </c>
      <c r="O133" t="str">
        <f>IFERROR(VLOOKUP($B133,ChartOfAccounts!E132:F217,2,FALSE),"")</f>
        <v/>
      </c>
      <c r="P133" t="str">
        <f>IFERROR(VLOOKUP(D133,PreparerInfo!A132:B144,2,FALSE),"")</f>
        <v/>
      </c>
      <c r="Q133" t="str">
        <f>IFERROR(VLOOKUP(E133,Source!A132:B140,2,FALSE),"")</f>
        <v/>
      </c>
    </row>
    <row r="134" spans="1:17" x14ac:dyDescent="0.3">
      <c r="A134" s="3">
        <v>2033586</v>
      </c>
      <c r="B134">
        <v>72725</v>
      </c>
      <c r="C134">
        <v>1</v>
      </c>
      <c r="D134" s="9">
        <v>101</v>
      </c>
      <c r="E134">
        <v>1002</v>
      </c>
      <c r="F134" s="1">
        <v>44004</v>
      </c>
      <c r="G134" t="s">
        <v>177</v>
      </c>
      <c r="H134" s="4">
        <v>2780</v>
      </c>
      <c r="I134" s="4" t="s">
        <v>16</v>
      </c>
      <c r="J134" s="4">
        <v>2780</v>
      </c>
      <c r="K134" t="str">
        <f>VLOOKUP($C134,Table1[#All],2,FALSE)</f>
        <v>FOOD SERVICE</v>
      </c>
      <c r="L134" t="str">
        <f>VLOOKUP($C134,Table1[#All],3,FALSE)</f>
        <v xml:space="preserve">Transactions related to food and beverage service. Includes all guest transactions in the hotel restaurants, catering-related transactions and food service payroll. </v>
      </c>
      <c r="M134" t="str">
        <f>IFERROR(VLOOKUP($B134,ChartOfAccounts!A133:B218,2,FALSE),"")</f>
        <v/>
      </c>
      <c r="N134" t="str">
        <f>IFERROR(VLOOKUP($B134,ChartOfAccounts!C133:D218,2,FALSE),"")</f>
        <v/>
      </c>
      <c r="O134" t="str">
        <f>IFERROR(VLOOKUP($B134,ChartOfAccounts!E133:F218,2,FALSE),"")</f>
        <v/>
      </c>
      <c r="P134" t="str">
        <f>IFERROR(VLOOKUP(D134,PreparerInfo!A133:B145,2,FALSE),"")</f>
        <v/>
      </c>
      <c r="Q134" t="str">
        <f>IFERROR(VLOOKUP(E134,Source!A133:B141,2,FALSE),"")</f>
        <v/>
      </c>
    </row>
    <row r="135" spans="1:17" x14ac:dyDescent="0.3">
      <c r="A135" s="3">
        <v>2033586</v>
      </c>
      <c r="B135">
        <v>11845</v>
      </c>
      <c r="C135">
        <v>1</v>
      </c>
      <c r="D135" s="9">
        <v>101</v>
      </c>
      <c r="E135">
        <v>1002</v>
      </c>
      <c r="F135" s="1">
        <v>44004</v>
      </c>
      <c r="G135" t="s">
        <v>177</v>
      </c>
      <c r="H135" s="4" t="s">
        <v>16</v>
      </c>
      <c r="I135" s="4">
        <v>-2780</v>
      </c>
      <c r="J135" s="4">
        <v>-2780</v>
      </c>
      <c r="K135" t="str">
        <f>VLOOKUP($C135,Table1[#All],2,FALSE)</f>
        <v>FOOD SERVICE</v>
      </c>
      <c r="L135" t="str">
        <f>VLOOKUP($C135,Table1[#All],3,FALSE)</f>
        <v xml:space="preserve">Transactions related to food and beverage service. Includes all guest transactions in the hotel restaurants, catering-related transactions and food service payroll. </v>
      </c>
      <c r="M135" t="str">
        <f>IFERROR(VLOOKUP($B135,ChartOfAccounts!A134:B219,2,FALSE),"")</f>
        <v/>
      </c>
      <c r="N135" t="str">
        <f>IFERROR(VLOOKUP($B135,ChartOfAccounts!C134:D219,2,FALSE),"")</f>
        <v/>
      </c>
      <c r="O135" t="str">
        <f>IFERROR(VLOOKUP($B135,ChartOfAccounts!E134:F219,2,FALSE),"")</f>
        <v/>
      </c>
      <c r="P135" t="str">
        <f>IFERROR(VLOOKUP(D135,PreparerInfo!A134:B146,2,FALSE),"")</f>
        <v/>
      </c>
      <c r="Q135" t="str">
        <f>IFERROR(VLOOKUP(E135,Source!A134:B142,2,FALSE),"")</f>
        <v/>
      </c>
    </row>
    <row r="136" spans="1:17" x14ac:dyDescent="0.3">
      <c r="A136" s="3">
        <v>2033587</v>
      </c>
      <c r="B136">
        <v>11845</v>
      </c>
      <c r="C136">
        <v>2</v>
      </c>
      <c r="D136" s="9">
        <v>106</v>
      </c>
      <c r="E136">
        <v>1003</v>
      </c>
      <c r="F136" s="1">
        <v>44004</v>
      </c>
      <c r="G136" t="s">
        <v>81</v>
      </c>
      <c r="H136" s="4">
        <v>6438</v>
      </c>
      <c r="I136" s="4" t="s">
        <v>16</v>
      </c>
      <c r="J136" s="4">
        <v>6438</v>
      </c>
      <c r="K136" t="str">
        <f>VLOOKUP($C136,Table1[#All],2,FALSE)</f>
        <v>HOTEL</v>
      </c>
      <c r="L136" t="str">
        <f>VLOOKUP($C136,Table1[#All],3,FALSE)</f>
        <v xml:space="preserve">Transactions related to guest rooms and overall hotel operations. Includes payroll for administrative staff, clerks and interns. </v>
      </c>
      <c r="M136" t="str">
        <f>IFERROR(VLOOKUP($B136,ChartOfAccounts!A135:B220,2,FALSE),"")</f>
        <v/>
      </c>
      <c r="N136" t="str">
        <f>IFERROR(VLOOKUP($B136,ChartOfAccounts!C135:D220,2,FALSE),"")</f>
        <v/>
      </c>
      <c r="O136" t="str">
        <f>IFERROR(VLOOKUP($B136,ChartOfAccounts!E135:F220,2,FALSE),"")</f>
        <v/>
      </c>
      <c r="P136" t="str">
        <f>IFERROR(VLOOKUP(D136,PreparerInfo!A135:B147,2,FALSE),"")</f>
        <v/>
      </c>
      <c r="Q136" t="str">
        <f>IFERROR(VLOOKUP(E136,Source!A135:B143,2,FALSE),"")</f>
        <v/>
      </c>
    </row>
    <row r="137" spans="1:17" x14ac:dyDescent="0.3">
      <c r="A137" s="3">
        <v>2033587</v>
      </c>
      <c r="B137">
        <v>43180</v>
      </c>
      <c r="C137">
        <v>2</v>
      </c>
      <c r="D137" s="9">
        <v>106</v>
      </c>
      <c r="E137">
        <v>1003</v>
      </c>
      <c r="F137" s="1">
        <v>44004</v>
      </c>
      <c r="G137" t="s">
        <v>81</v>
      </c>
      <c r="H137" s="4" t="s">
        <v>16</v>
      </c>
      <c r="I137" s="4">
        <v>-6438</v>
      </c>
      <c r="J137" s="4">
        <v>-6438</v>
      </c>
      <c r="K137" t="str">
        <f>VLOOKUP($C137,Table1[#All],2,FALSE)</f>
        <v>HOTEL</v>
      </c>
      <c r="L137" t="str">
        <f>VLOOKUP($C137,Table1[#All],3,FALSE)</f>
        <v xml:space="preserve">Transactions related to guest rooms and overall hotel operations. Includes payroll for administrative staff, clerks and interns. </v>
      </c>
      <c r="M137" t="str">
        <f>IFERROR(VLOOKUP($B137,ChartOfAccounts!A136:B221,2,FALSE),"")</f>
        <v/>
      </c>
      <c r="N137" t="str">
        <f>IFERROR(VLOOKUP($B137,ChartOfAccounts!C136:D221,2,FALSE),"")</f>
        <v/>
      </c>
      <c r="O137" t="str">
        <f>IFERROR(VLOOKUP($B137,ChartOfAccounts!E136:F221,2,FALSE),"")</f>
        <v/>
      </c>
      <c r="P137" t="str">
        <f>IFERROR(VLOOKUP(D137,PreparerInfo!A136:B148,2,FALSE),"")</f>
        <v/>
      </c>
      <c r="Q137" t="str">
        <f>IFERROR(VLOOKUP(E137,Source!A136:B144,2,FALSE),"")</f>
        <v/>
      </c>
    </row>
    <row r="138" spans="1:17" x14ac:dyDescent="0.3">
      <c r="A138" s="3">
        <v>2033588</v>
      </c>
      <c r="B138">
        <v>11845</v>
      </c>
      <c r="C138">
        <v>2</v>
      </c>
      <c r="D138" s="9">
        <v>104</v>
      </c>
      <c r="E138">
        <v>1003</v>
      </c>
      <c r="F138" s="1">
        <v>44004</v>
      </c>
      <c r="G138" t="s">
        <v>15</v>
      </c>
      <c r="H138" s="4">
        <v>7550</v>
      </c>
      <c r="I138" s="4" t="s">
        <v>16</v>
      </c>
      <c r="J138" s="4">
        <v>7550</v>
      </c>
      <c r="K138" t="str">
        <f>VLOOKUP($C138,Table1[#All],2,FALSE)</f>
        <v>HOTEL</v>
      </c>
      <c r="L138" t="str">
        <f>VLOOKUP($C138,Table1[#All],3,FALSE)</f>
        <v xml:space="preserve">Transactions related to guest rooms and overall hotel operations. Includes payroll for administrative staff, clerks and interns. </v>
      </c>
      <c r="M138" t="str">
        <f>IFERROR(VLOOKUP($B138,ChartOfAccounts!A137:B222,2,FALSE),"")</f>
        <v/>
      </c>
      <c r="N138" t="str">
        <f>IFERROR(VLOOKUP($B138,ChartOfAccounts!C137:D222,2,FALSE),"")</f>
        <v/>
      </c>
      <c r="O138" t="str">
        <f>IFERROR(VLOOKUP($B138,ChartOfAccounts!E137:F222,2,FALSE),"")</f>
        <v/>
      </c>
      <c r="P138" t="str">
        <f>IFERROR(VLOOKUP(D138,PreparerInfo!A137:B149,2,FALSE),"")</f>
        <v/>
      </c>
      <c r="Q138" t="str">
        <f>IFERROR(VLOOKUP(E138,Source!A137:B145,2,FALSE),"")</f>
        <v/>
      </c>
    </row>
    <row r="139" spans="1:17" x14ac:dyDescent="0.3">
      <c r="A139" s="3">
        <v>2033588</v>
      </c>
      <c r="B139">
        <v>43180</v>
      </c>
      <c r="C139">
        <v>2</v>
      </c>
      <c r="D139" s="9">
        <v>104</v>
      </c>
      <c r="E139">
        <v>1003</v>
      </c>
      <c r="F139" s="1">
        <v>44004</v>
      </c>
      <c r="G139" t="s">
        <v>15</v>
      </c>
      <c r="H139" s="4" t="s">
        <v>16</v>
      </c>
      <c r="I139" s="4">
        <v>-7550</v>
      </c>
      <c r="J139" s="4">
        <v>-7550</v>
      </c>
      <c r="K139" t="str">
        <f>VLOOKUP($C139,Table1[#All],2,FALSE)</f>
        <v>HOTEL</v>
      </c>
      <c r="L139" t="str">
        <f>VLOOKUP($C139,Table1[#All],3,FALSE)</f>
        <v xml:space="preserve">Transactions related to guest rooms and overall hotel operations. Includes payroll for administrative staff, clerks and interns. </v>
      </c>
      <c r="M139" t="str">
        <f>IFERROR(VLOOKUP($B139,ChartOfAccounts!A138:B223,2,FALSE),"")</f>
        <v/>
      </c>
      <c r="N139" t="str">
        <f>IFERROR(VLOOKUP($B139,ChartOfAccounts!C138:D223,2,FALSE),"")</f>
        <v/>
      </c>
      <c r="O139" t="str">
        <f>IFERROR(VLOOKUP($B139,ChartOfAccounts!E138:F223,2,FALSE),"")</f>
        <v/>
      </c>
      <c r="P139" t="str">
        <f>IFERROR(VLOOKUP(D139,PreparerInfo!A138:B150,2,FALSE),"")</f>
        <v/>
      </c>
      <c r="Q139" t="str">
        <f>IFERROR(VLOOKUP(E139,Source!A138:B146,2,FALSE),"")</f>
        <v/>
      </c>
    </row>
    <row r="140" spans="1:17" x14ac:dyDescent="0.3">
      <c r="A140" s="3">
        <v>2033589</v>
      </c>
      <c r="B140">
        <v>11845</v>
      </c>
      <c r="C140">
        <v>1</v>
      </c>
      <c r="D140" s="9">
        <v>106</v>
      </c>
      <c r="E140">
        <v>1003</v>
      </c>
      <c r="F140" s="1">
        <v>44004</v>
      </c>
      <c r="G140" t="s">
        <v>80</v>
      </c>
      <c r="H140" s="4">
        <v>11410.75</v>
      </c>
      <c r="I140" s="4" t="s">
        <v>16</v>
      </c>
      <c r="J140" s="4">
        <v>11410.75</v>
      </c>
      <c r="K140" t="str">
        <f>VLOOKUP($C140,Table1[#All],2,FALSE)</f>
        <v>FOOD SERVICE</v>
      </c>
      <c r="L140" t="str">
        <f>VLOOKUP($C140,Table1[#All],3,FALSE)</f>
        <v xml:space="preserve">Transactions related to food and beverage service. Includes all guest transactions in the hotel restaurants, catering-related transactions and food service payroll. </v>
      </c>
      <c r="M140" t="str">
        <f>IFERROR(VLOOKUP($B140,ChartOfAccounts!A139:B224,2,FALSE),"")</f>
        <v/>
      </c>
      <c r="N140" t="str">
        <f>IFERROR(VLOOKUP($B140,ChartOfAccounts!C139:D224,2,FALSE),"")</f>
        <v/>
      </c>
      <c r="O140" t="str">
        <f>IFERROR(VLOOKUP($B140,ChartOfAccounts!E139:F224,2,FALSE),"")</f>
        <v/>
      </c>
      <c r="P140" t="str">
        <f>IFERROR(VLOOKUP(D140,PreparerInfo!A139:B151,2,FALSE),"")</f>
        <v/>
      </c>
      <c r="Q140" t="str">
        <f>IFERROR(VLOOKUP(E140,Source!A139:B147,2,FALSE),"")</f>
        <v/>
      </c>
    </row>
    <row r="141" spans="1:17" x14ac:dyDescent="0.3">
      <c r="A141" s="3">
        <v>2033589</v>
      </c>
      <c r="B141">
        <v>43310</v>
      </c>
      <c r="C141">
        <v>1</v>
      </c>
      <c r="D141" s="9">
        <v>106</v>
      </c>
      <c r="E141">
        <v>1003</v>
      </c>
      <c r="F141" s="1">
        <v>44004</v>
      </c>
      <c r="G141" t="s">
        <v>80</v>
      </c>
      <c r="H141" s="4" t="s">
        <v>16</v>
      </c>
      <c r="I141" s="4">
        <v>-11410.75</v>
      </c>
      <c r="J141" s="4">
        <v>-11410.75</v>
      </c>
      <c r="K141" t="str">
        <f>VLOOKUP($C141,Table1[#All],2,FALSE)</f>
        <v>FOOD SERVICE</v>
      </c>
      <c r="L141" t="str">
        <f>VLOOKUP($C141,Table1[#All],3,FALSE)</f>
        <v xml:space="preserve">Transactions related to food and beverage service. Includes all guest transactions in the hotel restaurants, catering-related transactions and food service payroll. </v>
      </c>
      <c r="M141" t="str">
        <f>IFERROR(VLOOKUP($B141,ChartOfAccounts!A140:B225,2,FALSE),"")</f>
        <v/>
      </c>
      <c r="N141" t="str">
        <f>IFERROR(VLOOKUP($B141,ChartOfAccounts!C140:D225,2,FALSE),"")</f>
        <v/>
      </c>
      <c r="O141" t="str">
        <f>IFERROR(VLOOKUP($B141,ChartOfAccounts!E140:F225,2,FALSE),"")</f>
        <v/>
      </c>
      <c r="P141" t="str">
        <f>IFERROR(VLOOKUP(D141,PreparerInfo!A140:B152,2,FALSE),"")</f>
        <v/>
      </c>
      <c r="Q141" t="str">
        <f>IFERROR(VLOOKUP(E141,Source!A140:B148,2,FALSE),"")</f>
        <v/>
      </c>
    </row>
    <row r="142" spans="1:17" x14ac:dyDescent="0.3">
      <c r="A142" s="3">
        <v>2033590</v>
      </c>
      <c r="B142">
        <v>11845</v>
      </c>
      <c r="C142">
        <v>1</v>
      </c>
      <c r="D142" s="9">
        <v>106</v>
      </c>
      <c r="E142">
        <v>1003</v>
      </c>
      <c r="F142" s="1">
        <v>44004</v>
      </c>
      <c r="G142" t="s">
        <v>80</v>
      </c>
      <c r="H142" s="4">
        <v>23600.86</v>
      </c>
      <c r="I142" s="4" t="s">
        <v>16</v>
      </c>
      <c r="J142" s="4">
        <v>23600.86</v>
      </c>
      <c r="K142" t="str">
        <f>VLOOKUP($C142,Table1[#All],2,FALSE)</f>
        <v>FOOD SERVICE</v>
      </c>
      <c r="L142" t="str">
        <f>VLOOKUP($C142,Table1[#All],3,FALSE)</f>
        <v xml:space="preserve">Transactions related to food and beverage service. Includes all guest transactions in the hotel restaurants, catering-related transactions and food service payroll. </v>
      </c>
      <c r="M142" t="str">
        <f>IFERROR(VLOOKUP($B142,ChartOfAccounts!A141:B226,2,FALSE),"")</f>
        <v/>
      </c>
      <c r="N142" t="str">
        <f>IFERROR(VLOOKUP($B142,ChartOfAccounts!C141:D226,2,FALSE),"")</f>
        <v/>
      </c>
      <c r="O142" t="str">
        <f>IFERROR(VLOOKUP($B142,ChartOfAccounts!E141:F226,2,FALSE),"")</f>
        <v/>
      </c>
      <c r="P142" t="str">
        <f>IFERROR(VLOOKUP(D142,PreparerInfo!A141:B153,2,FALSE),"")</f>
        <v/>
      </c>
      <c r="Q142" t="str">
        <f>IFERROR(VLOOKUP(E142,Source!A141:B149,2,FALSE),"")</f>
        <v/>
      </c>
    </row>
    <row r="143" spans="1:17" x14ac:dyDescent="0.3">
      <c r="A143" s="3">
        <v>2033590</v>
      </c>
      <c r="B143">
        <v>43310</v>
      </c>
      <c r="C143">
        <v>1</v>
      </c>
      <c r="D143" s="9">
        <v>106</v>
      </c>
      <c r="E143">
        <v>1003</v>
      </c>
      <c r="F143" s="1">
        <v>44004</v>
      </c>
      <c r="G143" t="s">
        <v>80</v>
      </c>
      <c r="H143" s="4" t="s">
        <v>16</v>
      </c>
      <c r="I143" s="4">
        <v>-23600.86</v>
      </c>
      <c r="J143" s="4">
        <v>-23600.86</v>
      </c>
      <c r="K143" t="str">
        <f>VLOOKUP($C143,Table1[#All],2,FALSE)</f>
        <v>FOOD SERVICE</v>
      </c>
      <c r="L143" t="str">
        <f>VLOOKUP($C143,Table1[#All],3,FALSE)</f>
        <v xml:space="preserve">Transactions related to food and beverage service. Includes all guest transactions in the hotel restaurants, catering-related transactions and food service payroll. </v>
      </c>
      <c r="M143" t="str">
        <f>IFERROR(VLOOKUP($B143,ChartOfAccounts!A142:B227,2,FALSE),"")</f>
        <v/>
      </c>
      <c r="N143" t="str">
        <f>IFERROR(VLOOKUP($B143,ChartOfAccounts!C142:D227,2,FALSE),"")</f>
        <v/>
      </c>
      <c r="O143" t="str">
        <f>IFERROR(VLOOKUP($B143,ChartOfAccounts!E142:F227,2,FALSE),"")</f>
        <v/>
      </c>
      <c r="P143" t="str">
        <f>IFERROR(VLOOKUP(D143,PreparerInfo!A142:B154,2,FALSE),"")</f>
        <v/>
      </c>
      <c r="Q143" t="str">
        <f>IFERROR(VLOOKUP(E143,Source!A142:B150,2,FALSE),"")</f>
        <v/>
      </c>
    </row>
    <row r="144" spans="1:17" x14ac:dyDescent="0.3">
      <c r="A144" s="3">
        <v>2033591</v>
      </c>
      <c r="B144">
        <v>11845</v>
      </c>
      <c r="C144">
        <v>2</v>
      </c>
      <c r="D144" s="9">
        <v>104</v>
      </c>
      <c r="E144">
        <v>1003</v>
      </c>
      <c r="F144" s="1">
        <v>44004</v>
      </c>
      <c r="G144" t="s">
        <v>15</v>
      </c>
      <c r="H144" s="4">
        <v>122671</v>
      </c>
      <c r="I144" s="4" t="s">
        <v>16</v>
      </c>
      <c r="J144" s="4">
        <v>122671</v>
      </c>
      <c r="K144" t="str">
        <f>VLOOKUP($C144,Table1[#All],2,FALSE)</f>
        <v>HOTEL</v>
      </c>
      <c r="L144" t="str">
        <f>VLOOKUP($C144,Table1[#All],3,FALSE)</f>
        <v xml:space="preserve">Transactions related to guest rooms and overall hotel operations. Includes payroll for administrative staff, clerks and interns. </v>
      </c>
      <c r="M144" t="str">
        <f>IFERROR(VLOOKUP($B144,ChartOfAccounts!A143:B228,2,FALSE),"")</f>
        <v/>
      </c>
      <c r="N144" t="str">
        <f>IFERROR(VLOOKUP($B144,ChartOfAccounts!C143:D228,2,FALSE),"")</f>
        <v/>
      </c>
      <c r="O144" t="str">
        <f>IFERROR(VLOOKUP($B144,ChartOfAccounts!E143:F228,2,FALSE),"")</f>
        <v/>
      </c>
      <c r="P144" t="str">
        <f>IFERROR(VLOOKUP(D144,PreparerInfo!A143:B155,2,FALSE),"")</f>
        <v/>
      </c>
      <c r="Q144" t="str">
        <f>IFERROR(VLOOKUP(E144,Source!A143:B151,2,FALSE),"")</f>
        <v/>
      </c>
    </row>
    <row r="145" spans="1:17" x14ac:dyDescent="0.3">
      <c r="A145" s="3">
        <v>2033591</v>
      </c>
      <c r="B145">
        <v>43180</v>
      </c>
      <c r="C145">
        <v>2</v>
      </c>
      <c r="D145" s="9">
        <v>104</v>
      </c>
      <c r="E145">
        <v>1003</v>
      </c>
      <c r="F145" s="1">
        <v>44004</v>
      </c>
      <c r="G145" t="s">
        <v>15</v>
      </c>
      <c r="H145" s="4" t="s">
        <v>16</v>
      </c>
      <c r="I145" s="4">
        <v>-122671</v>
      </c>
      <c r="J145" s="4">
        <v>-122671</v>
      </c>
      <c r="K145" t="str">
        <f>VLOOKUP($C145,Table1[#All],2,FALSE)</f>
        <v>HOTEL</v>
      </c>
      <c r="L145" t="str">
        <f>VLOOKUP($C145,Table1[#All],3,FALSE)</f>
        <v xml:space="preserve">Transactions related to guest rooms and overall hotel operations. Includes payroll for administrative staff, clerks and interns. </v>
      </c>
      <c r="M145" t="str">
        <f>IFERROR(VLOOKUP($B145,ChartOfAccounts!A144:B229,2,FALSE),"")</f>
        <v/>
      </c>
      <c r="N145" t="str">
        <f>IFERROR(VLOOKUP($B145,ChartOfAccounts!C144:D229,2,FALSE),"")</f>
        <v/>
      </c>
      <c r="O145" t="str">
        <f>IFERROR(VLOOKUP($B145,ChartOfAccounts!E144:F229,2,FALSE),"")</f>
        <v/>
      </c>
      <c r="P145" t="str">
        <f>IFERROR(VLOOKUP(D145,PreparerInfo!A144:B156,2,FALSE),"")</f>
        <v/>
      </c>
      <c r="Q145" t="str">
        <f>IFERROR(VLOOKUP(E145,Source!A144:B152,2,FALSE),"")</f>
        <v/>
      </c>
    </row>
    <row r="146" spans="1:17" x14ac:dyDescent="0.3">
      <c r="A146" s="3">
        <v>2033592</v>
      </c>
      <c r="B146">
        <v>16200</v>
      </c>
      <c r="C146">
        <v>2</v>
      </c>
      <c r="D146" s="9">
        <v>102</v>
      </c>
      <c r="E146">
        <v>1002</v>
      </c>
      <c r="F146" s="1">
        <v>44004</v>
      </c>
      <c r="G146" t="s">
        <v>283</v>
      </c>
      <c r="H146" s="4">
        <v>9515.5400000000009</v>
      </c>
      <c r="I146" s="4"/>
      <c r="J146" s="4">
        <v>9515.5400000000009</v>
      </c>
      <c r="K146" t="str">
        <f>VLOOKUP($C146,Table1[#All],2,FALSE)</f>
        <v>HOTEL</v>
      </c>
      <c r="L146" t="str">
        <f>VLOOKUP($C146,Table1[#All],3,FALSE)</f>
        <v xml:space="preserve">Transactions related to guest rooms and overall hotel operations. Includes payroll for administrative staff, clerks and interns. </v>
      </c>
      <c r="M146" t="str">
        <f>IFERROR(VLOOKUP($B146,ChartOfAccounts!A145:B230,2,FALSE),"")</f>
        <v/>
      </c>
      <c r="N146" t="str">
        <f>IFERROR(VLOOKUP($B146,ChartOfAccounts!C145:D230,2,FALSE),"")</f>
        <v/>
      </c>
      <c r="O146" t="str">
        <f>IFERROR(VLOOKUP($B146,ChartOfAccounts!E145:F230,2,FALSE),"")</f>
        <v/>
      </c>
      <c r="P146" t="str">
        <f>IFERROR(VLOOKUP(D146,PreparerInfo!A145:B157,2,FALSE),"")</f>
        <v/>
      </c>
      <c r="Q146" t="str">
        <f>IFERROR(VLOOKUP(E146,Source!A145:B153,2,FALSE),"")</f>
        <v/>
      </c>
    </row>
    <row r="147" spans="1:17" x14ac:dyDescent="0.3">
      <c r="A147" s="3">
        <v>2033592</v>
      </c>
      <c r="B147" s="2">
        <v>11845</v>
      </c>
      <c r="C147">
        <v>2</v>
      </c>
      <c r="D147" s="9">
        <v>102</v>
      </c>
      <c r="E147">
        <v>1002</v>
      </c>
      <c r="F147" s="1">
        <v>44004</v>
      </c>
      <c r="G147" t="s">
        <v>283</v>
      </c>
      <c r="H147" s="4"/>
      <c r="I147" s="4">
        <v>-9515.5400000000009</v>
      </c>
      <c r="J147" s="4">
        <v>-9515.5400000000009</v>
      </c>
      <c r="K147" t="str">
        <f>VLOOKUP($C147,Table1[#All],2,FALSE)</f>
        <v>HOTEL</v>
      </c>
      <c r="L147" t="str">
        <f>VLOOKUP($C147,Table1[#All],3,FALSE)</f>
        <v xml:space="preserve">Transactions related to guest rooms and overall hotel operations. Includes payroll for administrative staff, clerks and interns. </v>
      </c>
      <c r="M147" t="str">
        <f>IFERROR(VLOOKUP($B147,ChartOfAccounts!A146:B231,2,FALSE),"")</f>
        <v/>
      </c>
      <c r="N147" t="str">
        <f>IFERROR(VLOOKUP($B147,ChartOfAccounts!C146:D231,2,FALSE),"")</f>
        <v/>
      </c>
      <c r="O147" t="str">
        <f>IFERROR(VLOOKUP($B147,ChartOfAccounts!E146:F231,2,FALSE),"")</f>
        <v/>
      </c>
      <c r="P147" t="str">
        <f>IFERROR(VLOOKUP(D147,PreparerInfo!A146:B158,2,FALSE),"")</f>
        <v/>
      </c>
      <c r="Q147" t="str">
        <f>IFERROR(VLOOKUP(E147,Source!A146:B154,2,FALSE),"")</f>
        <v/>
      </c>
    </row>
    <row r="148" spans="1:17" x14ac:dyDescent="0.3">
      <c r="A148" s="3">
        <v>2033593</v>
      </c>
      <c r="B148">
        <v>11845</v>
      </c>
      <c r="C148">
        <v>2</v>
      </c>
      <c r="D148" s="9">
        <v>104</v>
      </c>
      <c r="E148">
        <v>1003</v>
      </c>
      <c r="F148" s="1">
        <v>44005</v>
      </c>
      <c r="G148" t="s">
        <v>41</v>
      </c>
      <c r="H148" s="4">
        <v>5</v>
      </c>
      <c r="I148" s="4" t="s">
        <v>16</v>
      </c>
      <c r="J148" s="4">
        <v>5</v>
      </c>
      <c r="K148" t="str">
        <f>VLOOKUP($C148,Table1[#All],2,FALSE)</f>
        <v>HOTEL</v>
      </c>
      <c r="L148" t="str">
        <f>VLOOKUP($C148,Table1[#All],3,FALSE)</f>
        <v xml:space="preserve">Transactions related to guest rooms and overall hotel operations. Includes payroll for administrative staff, clerks and interns. </v>
      </c>
      <c r="M148" t="str">
        <f>IFERROR(VLOOKUP($B148,ChartOfAccounts!A147:B232,2,FALSE),"")</f>
        <v/>
      </c>
      <c r="N148" t="str">
        <f>IFERROR(VLOOKUP($B148,ChartOfAccounts!C147:D232,2,FALSE),"")</f>
        <v/>
      </c>
      <c r="O148" t="str">
        <f>IFERROR(VLOOKUP($B148,ChartOfAccounts!E147:F232,2,FALSE),"")</f>
        <v/>
      </c>
      <c r="P148" t="str">
        <f>IFERROR(VLOOKUP(D148,PreparerInfo!A147:B159,2,FALSE),"")</f>
        <v/>
      </c>
      <c r="Q148" t="str">
        <f>IFERROR(VLOOKUP(E148,Source!A147:B155,2,FALSE),"")</f>
        <v/>
      </c>
    </row>
    <row r="149" spans="1:17" x14ac:dyDescent="0.3">
      <c r="A149" s="3">
        <v>2033593</v>
      </c>
      <c r="B149">
        <v>43180</v>
      </c>
      <c r="C149">
        <v>2</v>
      </c>
      <c r="D149" s="9">
        <v>104</v>
      </c>
      <c r="E149">
        <v>1003</v>
      </c>
      <c r="F149" s="1">
        <v>44005</v>
      </c>
      <c r="G149" t="s">
        <v>41</v>
      </c>
      <c r="H149" s="4" t="s">
        <v>16</v>
      </c>
      <c r="I149" s="4">
        <v>-5</v>
      </c>
      <c r="J149" s="4">
        <v>-5</v>
      </c>
      <c r="K149" t="str">
        <f>VLOOKUP($C149,Table1[#All],2,FALSE)</f>
        <v>HOTEL</v>
      </c>
      <c r="L149" t="str">
        <f>VLOOKUP($C149,Table1[#All],3,FALSE)</f>
        <v xml:space="preserve">Transactions related to guest rooms and overall hotel operations. Includes payroll for administrative staff, clerks and interns. </v>
      </c>
      <c r="M149" t="str">
        <f>IFERROR(VLOOKUP($B149,ChartOfAccounts!A148:B233,2,FALSE),"")</f>
        <v/>
      </c>
      <c r="N149" t="str">
        <f>IFERROR(VLOOKUP($B149,ChartOfAccounts!C148:D233,2,FALSE),"")</f>
        <v/>
      </c>
      <c r="O149" t="str">
        <f>IFERROR(VLOOKUP($B149,ChartOfAccounts!E148:F233,2,FALSE),"")</f>
        <v/>
      </c>
      <c r="P149" t="str">
        <f>IFERROR(VLOOKUP(D149,PreparerInfo!A148:B160,2,FALSE),"")</f>
        <v/>
      </c>
      <c r="Q149" t="str">
        <f>IFERROR(VLOOKUP(E149,Source!A148:B156,2,FALSE),"")</f>
        <v/>
      </c>
    </row>
    <row r="150" spans="1:17" x14ac:dyDescent="0.3">
      <c r="A150" s="3">
        <v>2033594</v>
      </c>
      <c r="B150">
        <v>11845</v>
      </c>
      <c r="C150">
        <v>3</v>
      </c>
      <c r="D150" s="9">
        <v>102</v>
      </c>
      <c r="E150">
        <v>1001</v>
      </c>
      <c r="F150" s="1">
        <v>44005</v>
      </c>
      <c r="G150" t="s">
        <v>41</v>
      </c>
      <c r="H150" s="4">
        <v>15.25</v>
      </c>
      <c r="I150" s="4" t="s">
        <v>16</v>
      </c>
      <c r="J150" s="4">
        <v>15.25</v>
      </c>
      <c r="K150" t="str">
        <f>VLOOKUP($C150,Table1[#All],2,FALSE)</f>
        <v>HOTEL PANTRY</v>
      </c>
      <c r="L150" t="str">
        <f>VLOOKUP($C150,Table1[#All],3,FALSE)</f>
        <v>Transactions related to the hotel convenience store, including some food and beverage costs.</v>
      </c>
      <c r="M150" t="str">
        <f>IFERROR(VLOOKUP($B150,ChartOfAccounts!A149:B234,2,FALSE),"")</f>
        <v/>
      </c>
      <c r="N150" t="str">
        <f>IFERROR(VLOOKUP($B150,ChartOfAccounts!C149:D234,2,FALSE),"")</f>
        <v/>
      </c>
      <c r="O150" t="str">
        <f>IFERROR(VLOOKUP($B150,ChartOfAccounts!E149:F234,2,FALSE),"")</f>
        <v/>
      </c>
      <c r="P150" t="str">
        <f>IFERROR(VLOOKUP(D150,PreparerInfo!A149:B161,2,FALSE),"")</f>
        <v/>
      </c>
      <c r="Q150" t="str">
        <f>IFERROR(VLOOKUP(E150,Source!A149:B157,2,FALSE),"")</f>
        <v/>
      </c>
    </row>
    <row r="151" spans="1:17" x14ac:dyDescent="0.3">
      <c r="A151" s="3">
        <v>2033594</v>
      </c>
      <c r="B151">
        <v>43440</v>
      </c>
      <c r="C151">
        <v>3</v>
      </c>
      <c r="D151" s="9">
        <v>102</v>
      </c>
      <c r="E151">
        <v>1001</v>
      </c>
      <c r="F151" s="1">
        <v>44005</v>
      </c>
      <c r="G151" t="s">
        <v>41</v>
      </c>
      <c r="H151" s="4" t="s">
        <v>16</v>
      </c>
      <c r="I151" s="4">
        <v>-15.25</v>
      </c>
      <c r="J151" s="4">
        <v>-15.25</v>
      </c>
      <c r="K151" t="str">
        <f>VLOOKUP($C151,Table1[#All],2,FALSE)</f>
        <v>HOTEL PANTRY</v>
      </c>
      <c r="L151" t="str">
        <f>VLOOKUP($C151,Table1[#All],3,FALSE)</f>
        <v>Transactions related to the hotel convenience store, including some food and beverage costs.</v>
      </c>
      <c r="M151" t="str">
        <f>IFERROR(VLOOKUP($B151,ChartOfAccounts!A150:B235,2,FALSE),"")</f>
        <v/>
      </c>
      <c r="N151" t="str">
        <f>IFERROR(VLOOKUP($B151,ChartOfAccounts!C150:D235,2,FALSE),"")</f>
        <v/>
      </c>
      <c r="O151" t="str">
        <f>IFERROR(VLOOKUP($B151,ChartOfAccounts!E150:F235,2,FALSE),"")</f>
        <v/>
      </c>
      <c r="P151" t="str">
        <f>IFERROR(VLOOKUP(D151,PreparerInfo!A150:B162,2,FALSE),"")</f>
        <v/>
      </c>
      <c r="Q151" t="str">
        <f>IFERROR(VLOOKUP(E151,Source!A150:B158,2,FALSE),"")</f>
        <v/>
      </c>
    </row>
    <row r="152" spans="1:17" x14ac:dyDescent="0.3">
      <c r="A152" s="3">
        <v>2033595</v>
      </c>
      <c r="B152">
        <v>51610</v>
      </c>
      <c r="C152">
        <v>2</v>
      </c>
      <c r="D152" s="9">
        <v>105</v>
      </c>
      <c r="E152">
        <v>1006</v>
      </c>
      <c r="F152" s="1">
        <v>44005</v>
      </c>
      <c r="G152" t="s">
        <v>53</v>
      </c>
      <c r="H152" s="4">
        <v>20</v>
      </c>
      <c r="I152" s="4" t="s">
        <v>16</v>
      </c>
      <c r="J152" s="4">
        <v>20</v>
      </c>
      <c r="K152" t="str">
        <f>VLOOKUP($C152,Table1[#All],2,FALSE)</f>
        <v>HOTEL</v>
      </c>
      <c r="L152" t="str">
        <f>VLOOKUP($C152,Table1[#All],3,FALSE)</f>
        <v xml:space="preserve">Transactions related to guest rooms and overall hotel operations. Includes payroll for administrative staff, clerks and interns. </v>
      </c>
      <c r="M152" t="str">
        <f>IFERROR(VLOOKUP($B152,ChartOfAccounts!A151:B236,2,FALSE),"")</f>
        <v/>
      </c>
      <c r="N152" t="str">
        <f>IFERROR(VLOOKUP($B152,ChartOfAccounts!C151:D236,2,FALSE),"")</f>
        <v/>
      </c>
      <c r="O152" t="str">
        <f>IFERROR(VLOOKUP($B152,ChartOfAccounts!E151:F236,2,FALSE),"")</f>
        <v/>
      </c>
      <c r="P152" t="str">
        <f>IFERROR(VLOOKUP(D152,PreparerInfo!A151:B163,2,FALSE),"")</f>
        <v/>
      </c>
      <c r="Q152" t="str">
        <f>IFERROR(VLOOKUP(E152,Source!A151:B159,2,FALSE),"")</f>
        <v/>
      </c>
    </row>
    <row r="153" spans="1:17" x14ac:dyDescent="0.3">
      <c r="A153" s="3">
        <v>2033595</v>
      </c>
      <c r="B153">
        <v>22110</v>
      </c>
      <c r="C153">
        <v>2</v>
      </c>
      <c r="D153" s="9">
        <v>105</v>
      </c>
      <c r="E153">
        <v>1006</v>
      </c>
      <c r="F153" s="1">
        <v>44005</v>
      </c>
      <c r="G153" t="s">
        <v>53</v>
      </c>
      <c r="H153" s="4" t="s">
        <v>16</v>
      </c>
      <c r="I153" s="4">
        <v>-20</v>
      </c>
      <c r="J153" s="4">
        <v>-20</v>
      </c>
      <c r="K153" t="str">
        <f>VLOOKUP($C153,Table1[#All],2,FALSE)</f>
        <v>HOTEL</v>
      </c>
      <c r="L153" t="str">
        <f>VLOOKUP($C153,Table1[#All],3,FALSE)</f>
        <v xml:space="preserve">Transactions related to guest rooms and overall hotel operations. Includes payroll for administrative staff, clerks and interns. </v>
      </c>
      <c r="M153" t="str">
        <f>IFERROR(VLOOKUP($B153,ChartOfAccounts!A152:B237,2,FALSE),"")</f>
        <v/>
      </c>
      <c r="N153" t="str">
        <f>IFERROR(VLOOKUP($B153,ChartOfAccounts!C152:D237,2,FALSE),"")</f>
        <v/>
      </c>
      <c r="O153" t="str">
        <f>IFERROR(VLOOKUP($B153,ChartOfAccounts!E152:F237,2,FALSE),"")</f>
        <v/>
      </c>
      <c r="P153" t="str">
        <f>IFERROR(VLOOKUP(D153,PreparerInfo!A152:B164,2,FALSE),"")</f>
        <v/>
      </c>
      <c r="Q153" t="str">
        <f>IFERROR(VLOOKUP(E153,Source!A152:B160,2,FALSE),"")</f>
        <v/>
      </c>
    </row>
    <row r="154" spans="1:17" x14ac:dyDescent="0.3">
      <c r="A154" s="3">
        <v>2033596</v>
      </c>
      <c r="B154">
        <v>11845</v>
      </c>
      <c r="C154">
        <v>1</v>
      </c>
      <c r="D154" s="9">
        <v>106</v>
      </c>
      <c r="E154">
        <v>1003</v>
      </c>
      <c r="F154" s="1">
        <v>44005</v>
      </c>
      <c r="G154" t="s">
        <v>80</v>
      </c>
      <c r="H154" s="4">
        <v>25</v>
      </c>
      <c r="I154" s="4" t="s">
        <v>16</v>
      </c>
      <c r="J154" s="4">
        <v>25</v>
      </c>
      <c r="K154" t="str">
        <f>VLOOKUP($C154,Table1[#All],2,FALSE)</f>
        <v>FOOD SERVICE</v>
      </c>
      <c r="L154" t="str">
        <f>VLOOKUP($C154,Table1[#All],3,FALSE)</f>
        <v xml:space="preserve">Transactions related to food and beverage service. Includes all guest transactions in the hotel restaurants, catering-related transactions and food service payroll. </v>
      </c>
      <c r="M154" t="str">
        <f>IFERROR(VLOOKUP($B154,ChartOfAccounts!A153:B238,2,FALSE),"")</f>
        <v/>
      </c>
      <c r="N154" t="str">
        <f>IFERROR(VLOOKUP($B154,ChartOfAccounts!C153:D238,2,FALSE),"")</f>
        <v/>
      </c>
      <c r="O154" t="str">
        <f>IFERROR(VLOOKUP($B154,ChartOfAccounts!E153:F238,2,FALSE),"")</f>
        <v/>
      </c>
      <c r="P154" t="str">
        <f>IFERROR(VLOOKUP(D154,PreparerInfo!A153:B165,2,FALSE),"")</f>
        <v/>
      </c>
      <c r="Q154" t="str">
        <f>IFERROR(VLOOKUP(E154,Source!A153:B161,2,FALSE),"")</f>
        <v/>
      </c>
    </row>
    <row r="155" spans="1:17" x14ac:dyDescent="0.3">
      <c r="A155" s="3">
        <v>2033596</v>
      </c>
      <c r="B155">
        <v>43440</v>
      </c>
      <c r="C155">
        <v>1</v>
      </c>
      <c r="D155" s="9">
        <v>106</v>
      </c>
      <c r="E155">
        <v>1003</v>
      </c>
      <c r="F155" s="1">
        <v>44005</v>
      </c>
      <c r="G155" t="s">
        <v>80</v>
      </c>
      <c r="H155" s="4" t="s">
        <v>16</v>
      </c>
      <c r="I155" s="4">
        <v>-25</v>
      </c>
      <c r="J155" s="4">
        <v>-25</v>
      </c>
      <c r="K155" t="str">
        <f>VLOOKUP($C155,Table1[#All],2,FALSE)</f>
        <v>FOOD SERVICE</v>
      </c>
      <c r="L155" t="str">
        <f>VLOOKUP($C155,Table1[#All],3,FALSE)</f>
        <v xml:space="preserve">Transactions related to food and beverage service. Includes all guest transactions in the hotel restaurants, catering-related transactions and food service payroll. </v>
      </c>
      <c r="M155" t="str">
        <f>IFERROR(VLOOKUP($B155,ChartOfAccounts!A154:B239,2,FALSE),"")</f>
        <v/>
      </c>
      <c r="N155" t="str">
        <f>IFERROR(VLOOKUP($B155,ChartOfAccounts!C154:D239,2,FALSE),"")</f>
        <v/>
      </c>
      <c r="O155" t="str">
        <f>IFERROR(VLOOKUP($B155,ChartOfAccounts!E154:F239,2,FALSE),"")</f>
        <v/>
      </c>
      <c r="P155" t="str">
        <f>IFERROR(VLOOKUP(D155,PreparerInfo!A154:B166,2,FALSE),"")</f>
        <v/>
      </c>
      <c r="Q155" t="str">
        <f>IFERROR(VLOOKUP(E155,Source!A154:B162,2,FALSE),"")</f>
        <v/>
      </c>
    </row>
    <row r="156" spans="1:17" x14ac:dyDescent="0.3">
      <c r="A156" s="3">
        <v>2033597</v>
      </c>
      <c r="B156">
        <v>51402</v>
      </c>
      <c r="C156">
        <v>6</v>
      </c>
      <c r="D156" s="9">
        <v>105</v>
      </c>
      <c r="E156">
        <v>1006</v>
      </c>
      <c r="F156" s="1">
        <v>44005</v>
      </c>
      <c r="G156" t="s">
        <v>55</v>
      </c>
      <c r="H156" s="4">
        <v>25.8</v>
      </c>
      <c r="I156" s="4" t="s">
        <v>16</v>
      </c>
      <c r="J156" s="4">
        <v>25.8</v>
      </c>
      <c r="K156" t="str">
        <f>VLOOKUP($C156,Table1[#All],2,FALSE)</f>
        <v>MAINTENANCE</v>
      </c>
      <c r="L156" t="str">
        <f>VLOOKUP($C156,Table1[#All],3,FALSE)</f>
        <v>Transactions related to the hotel Maintenance Department. Primarily includes payroll for maintenance, grounds keepers and related supplies.</v>
      </c>
      <c r="M156" t="str">
        <f>IFERROR(VLOOKUP($B156,ChartOfAccounts!A155:B240,2,FALSE),"")</f>
        <v/>
      </c>
      <c r="N156" t="str">
        <f>IFERROR(VLOOKUP($B156,ChartOfAccounts!C155:D240,2,FALSE),"")</f>
        <v/>
      </c>
      <c r="O156" t="str">
        <f>IFERROR(VLOOKUP($B156,ChartOfAccounts!E155:F240,2,FALSE),"")</f>
        <v/>
      </c>
      <c r="P156" t="str">
        <f>IFERROR(VLOOKUP(D156,PreparerInfo!A155:B167,2,FALSE),"")</f>
        <v/>
      </c>
      <c r="Q156" t="str">
        <f>IFERROR(VLOOKUP(E156,Source!A155:B163,2,FALSE),"")</f>
        <v/>
      </c>
    </row>
    <row r="157" spans="1:17" x14ac:dyDescent="0.3">
      <c r="A157" s="3">
        <v>2033597</v>
      </c>
      <c r="B157">
        <v>22110</v>
      </c>
      <c r="C157">
        <v>6</v>
      </c>
      <c r="D157" s="9">
        <v>105</v>
      </c>
      <c r="E157">
        <v>1006</v>
      </c>
      <c r="F157" s="1">
        <v>44005</v>
      </c>
      <c r="G157" t="s">
        <v>55</v>
      </c>
      <c r="H157" s="4" t="s">
        <v>16</v>
      </c>
      <c r="I157" s="4">
        <v>-25.8</v>
      </c>
      <c r="J157" s="4">
        <v>-25.8</v>
      </c>
      <c r="K157" t="str">
        <f>VLOOKUP($C157,Table1[#All],2,FALSE)</f>
        <v>MAINTENANCE</v>
      </c>
      <c r="L157" t="str">
        <f>VLOOKUP($C157,Table1[#All],3,FALSE)</f>
        <v>Transactions related to the hotel Maintenance Department. Primarily includes payroll for maintenance, grounds keepers and related supplies.</v>
      </c>
      <c r="M157" t="str">
        <f>IFERROR(VLOOKUP($B157,ChartOfAccounts!A156:B241,2,FALSE),"")</f>
        <v/>
      </c>
      <c r="N157" t="str">
        <f>IFERROR(VLOOKUP($B157,ChartOfAccounts!C156:D241,2,FALSE),"")</f>
        <v/>
      </c>
      <c r="O157" t="str">
        <f>IFERROR(VLOOKUP($B157,ChartOfAccounts!E156:F241,2,FALSE),"")</f>
        <v/>
      </c>
      <c r="P157" t="str">
        <f>IFERROR(VLOOKUP(D157,PreparerInfo!A156:B168,2,FALSE),"")</f>
        <v/>
      </c>
      <c r="Q157" t="str">
        <f>IFERROR(VLOOKUP(E157,Source!A156:B164,2,FALSE),"")</f>
        <v/>
      </c>
    </row>
    <row r="158" spans="1:17" x14ac:dyDescent="0.3">
      <c r="A158" s="3">
        <v>2033598</v>
      </c>
      <c r="B158">
        <v>11845</v>
      </c>
      <c r="C158">
        <v>3</v>
      </c>
      <c r="D158" s="9">
        <v>102</v>
      </c>
      <c r="E158">
        <v>1003</v>
      </c>
      <c r="F158" s="1">
        <v>44005</v>
      </c>
      <c r="G158" t="s">
        <v>15</v>
      </c>
      <c r="H158" s="4">
        <v>30.03</v>
      </c>
      <c r="I158" s="4" t="s">
        <v>16</v>
      </c>
      <c r="J158" s="4">
        <v>30.03</v>
      </c>
      <c r="K158" t="str">
        <f>VLOOKUP($C158,Table1[#All],2,FALSE)</f>
        <v>HOTEL PANTRY</v>
      </c>
      <c r="L158" t="str">
        <f>VLOOKUP($C158,Table1[#All],3,FALSE)</f>
        <v>Transactions related to the hotel convenience store, including some food and beverage costs.</v>
      </c>
      <c r="M158" t="str">
        <f>IFERROR(VLOOKUP($B158,ChartOfAccounts!A157:B242,2,FALSE),"")</f>
        <v/>
      </c>
      <c r="N158" t="str">
        <f>IFERROR(VLOOKUP($B158,ChartOfAccounts!C157:D242,2,FALSE),"")</f>
        <v/>
      </c>
      <c r="O158" t="str">
        <f>IFERROR(VLOOKUP($B158,ChartOfAccounts!E157:F242,2,FALSE),"")</f>
        <v/>
      </c>
      <c r="P158" t="str">
        <f>IFERROR(VLOOKUP(D158,PreparerInfo!A157:B169,2,FALSE),"")</f>
        <v/>
      </c>
      <c r="Q158" t="str">
        <f>IFERROR(VLOOKUP(E158,Source!A157:B165,2,FALSE),"")</f>
        <v/>
      </c>
    </row>
    <row r="159" spans="1:17" x14ac:dyDescent="0.3">
      <c r="A159" s="3">
        <v>2033598</v>
      </c>
      <c r="B159">
        <v>43440</v>
      </c>
      <c r="C159">
        <v>3</v>
      </c>
      <c r="D159" s="9">
        <v>102</v>
      </c>
      <c r="E159">
        <v>1003</v>
      </c>
      <c r="F159" s="1">
        <v>44005</v>
      </c>
      <c r="G159" t="s">
        <v>15</v>
      </c>
      <c r="H159" s="4" t="s">
        <v>16</v>
      </c>
      <c r="I159" s="4">
        <v>-30.03</v>
      </c>
      <c r="J159" s="4">
        <v>-30.03</v>
      </c>
      <c r="K159" t="str">
        <f>VLOOKUP($C159,Table1[#All],2,FALSE)</f>
        <v>HOTEL PANTRY</v>
      </c>
      <c r="L159" t="str">
        <f>VLOOKUP($C159,Table1[#All],3,FALSE)</f>
        <v>Transactions related to the hotel convenience store, including some food and beverage costs.</v>
      </c>
      <c r="M159" t="str">
        <f>IFERROR(VLOOKUP($B159,ChartOfAccounts!A158:B243,2,FALSE),"")</f>
        <v/>
      </c>
      <c r="N159" t="str">
        <f>IFERROR(VLOOKUP($B159,ChartOfAccounts!C158:D243,2,FALSE),"")</f>
        <v/>
      </c>
      <c r="O159" t="str">
        <f>IFERROR(VLOOKUP($B159,ChartOfAccounts!E158:F243,2,FALSE),"")</f>
        <v/>
      </c>
      <c r="P159" t="str">
        <f>IFERROR(VLOOKUP(D159,PreparerInfo!A158:B170,2,FALSE),"")</f>
        <v/>
      </c>
      <c r="Q159" t="str">
        <f>IFERROR(VLOOKUP(E159,Source!A158:B166,2,FALSE),"")</f>
        <v/>
      </c>
    </row>
    <row r="160" spans="1:17" x14ac:dyDescent="0.3">
      <c r="A160" s="3">
        <v>2033599</v>
      </c>
      <c r="B160">
        <v>51610</v>
      </c>
      <c r="C160">
        <v>4</v>
      </c>
      <c r="D160" s="9">
        <v>105</v>
      </c>
      <c r="E160">
        <v>1006</v>
      </c>
      <c r="F160" s="1">
        <v>44005</v>
      </c>
      <c r="G160" t="s">
        <v>53</v>
      </c>
      <c r="H160" s="4">
        <v>45</v>
      </c>
      <c r="I160" s="4" t="s">
        <v>16</v>
      </c>
      <c r="J160" s="4">
        <v>45</v>
      </c>
      <c r="K160" t="str">
        <f>VLOOKUP($C160,Table1[#All],2,FALSE)</f>
        <v>HOUSEKEEPING</v>
      </c>
      <c r="L160" t="str">
        <f>VLOOKUP($C160,Table1[#All],3,FALSE)</f>
        <v xml:space="preserve">Transactions related to the Housekeeping Department. Primarily includes payroll for housekeepers and housekeeping supplies. </v>
      </c>
      <c r="M160" t="str">
        <f>IFERROR(VLOOKUP($B160,ChartOfAccounts!A159:B244,2,FALSE),"")</f>
        <v/>
      </c>
      <c r="N160" t="str">
        <f>IFERROR(VLOOKUP($B160,ChartOfAccounts!C159:D244,2,FALSE),"")</f>
        <v/>
      </c>
      <c r="O160" t="str">
        <f>IFERROR(VLOOKUP($B160,ChartOfAccounts!E159:F244,2,FALSE),"")</f>
        <v/>
      </c>
      <c r="P160" t="str">
        <f>IFERROR(VLOOKUP(D160,PreparerInfo!A159:B171,2,FALSE),"")</f>
        <v/>
      </c>
      <c r="Q160" t="str">
        <f>IFERROR(VLOOKUP(E160,Source!A159:B167,2,FALSE),"")</f>
        <v/>
      </c>
    </row>
    <row r="161" spans="1:17" x14ac:dyDescent="0.3">
      <c r="A161" s="3">
        <v>2033599</v>
      </c>
      <c r="B161">
        <v>22110</v>
      </c>
      <c r="C161">
        <v>4</v>
      </c>
      <c r="D161" s="9">
        <v>105</v>
      </c>
      <c r="E161">
        <v>1006</v>
      </c>
      <c r="F161" s="1">
        <v>44005</v>
      </c>
      <c r="G161" t="s">
        <v>53</v>
      </c>
      <c r="H161" s="4" t="s">
        <v>16</v>
      </c>
      <c r="I161" s="4">
        <v>-45</v>
      </c>
      <c r="J161" s="4">
        <v>-45</v>
      </c>
      <c r="K161" t="str">
        <f>VLOOKUP($C161,Table1[#All],2,FALSE)</f>
        <v>HOUSEKEEPING</v>
      </c>
      <c r="L161" t="str">
        <f>VLOOKUP($C161,Table1[#All],3,FALSE)</f>
        <v xml:space="preserve">Transactions related to the Housekeeping Department. Primarily includes payroll for housekeepers and housekeeping supplies. </v>
      </c>
      <c r="M161" t="str">
        <f>IFERROR(VLOOKUP($B161,ChartOfAccounts!A160:B245,2,FALSE),"")</f>
        <v/>
      </c>
      <c r="N161" t="str">
        <f>IFERROR(VLOOKUP($B161,ChartOfAccounts!C160:D245,2,FALSE),"")</f>
        <v/>
      </c>
      <c r="O161" t="str">
        <f>IFERROR(VLOOKUP($B161,ChartOfAccounts!E160:F245,2,FALSE),"")</f>
        <v/>
      </c>
      <c r="P161" t="str">
        <f>IFERROR(VLOOKUP(D161,PreparerInfo!A160:B172,2,FALSE),"")</f>
        <v/>
      </c>
      <c r="Q161" t="str">
        <f>IFERROR(VLOOKUP(E161,Source!A160:B168,2,FALSE),"")</f>
        <v/>
      </c>
    </row>
    <row r="162" spans="1:17" x14ac:dyDescent="0.3">
      <c r="A162" s="3">
        <v>2033600</v>
      </c>
      <c r="B162">
        <v>11845</v>
      </c>
      <c r="C162">
        <v>3</v>
      </c>
      <c r="D162" s="9">
        <v>102</v>
      </c>
      <c r="E162">
        <v>1003</v>
      </c>
      <c r="F162" s="1">
        <v>44005</v>
      </c>
      <c r="G162" t="s">
        <v>15</v>
      </c>
      <c r="H162" s="4">
        <v>47.42</v>
      </c>
      <c r="I162" s="4" t="s">
        <v>16</v>
      </c>
      <c r="J162" s="4">
        <v>47.42</v>
      </c>
      <c r="K162" t="str">
        <f>VLOOKUP($C162,Table1[#All],2,FALSE)</f>
        <v>HOTEL PANTRY</v>
      </c>
      <c r="L162" t="str">
        <f>VLOOKUP($C162,Table1[#All],3,FALSE)</f>
        <v>Transactions related to the hotel convenience store, including some food and beverage costs.</v>
      </c>
      <c r="M162" t="str">
        <f>IFERROR(VLOOKUP($B162,ChartOfAccounts!A161:B246,2,FALSE),"")</f>
        <v/>
      </c>
      <c r="N162" t="str">
        <f>IFERROR(VLOOKUP($B162,ChartOfAccounts!C161:D246,2,FALSE),"")</f>
        <v/>
      </c>
      <c r="O162" t="str">
        <f>IFERROR(VLOOKUP($B162,ChartOfAccounts!E161:F246,2,FALSE),"")</f>
        <v/>
      </c>
      <c r="P162" t="str">
        <f>IFERROR(VLOOKUP(D162,PreparerInfo!A161:B173,2,FALSE),"")</f>
        <v/>
      </c>
      <c r="Q162" t="str">
        <f>IFERROR(VLOOKUP(E162,Source!A161:B169,2,FALSE),"")</f>
        <v/>
      </c>
    </row>
    <row r="163" spans="1:17" x14ac:dyDescent="0.3">
      <c r="A163" s="3">
        <v>2033600</v>
      </c>
      <c r="B163">
        <v>43440</v>
      </c>
      <c r="C163">
        <v>3</v>
      </c>
      <c r="D163" s="9">
        <v>102</v>
      </c>
      <c r="E163">
        <v>1003</v>
      </c>
      <c r="F163" s="1">
        <v>44005</v>
      </c>
      <c r="G163" t="s">
        <v>15</v>
      </c>
      <c r="H163" s="4" t="s">
        <v>16</v>
      </c>
      <c r="I163" s="4">
        <v>-47.42</v>
      </c>
      <c r="J163" s="4">
        <v>-47.42</v>
      </c>
      <c r="K163" t="str">
        <f>VLOOKUP($C163,Table1[#All],2,FALSE)</f>
        <v>HOTEL PANTRY</v>
      </c>
      <c r="L163" t="str">
        <f>VLOOKUP($C163,Table1[#All],3,FALSE)</f>
        <v>Transactions related to the hotel convenience store, including some food and beverage costs.</v>
      </c>
      <c r="M163" t="str">
        <f>IFERROR(VLOOKUP($B163,ChartOfAccounts!A162:B247,2,FALSE),"")</f>
        <v/>
      </c>
      <c r="N163" t="str">
        <f>IFERROR(VLOOKUP($B163,ChartOfAccounts!C162:D247,2,FALSE),"")</f>
        <v/>
      </c>
      <c r="O163" t="str">
        <f>IFERROR(VLOOKUP($B163,ChartOfAccounts!E162:F247,2,FALSE),"")</f>
        <v/>
      </c>
      <c r="P163" t="str">
        <f>IFERROR(VLOOKUP(D163,PreparerInfo!A162:B174,2,FALSE),"")</f>
        <v/>
      </c>
      <c r="Q163" t="str">
        <f>IFERROR(VLOOKUP(E163,Source!A162:B170,2,FALSE),"")</f>
        <v/>
      </c>
    </row>
    <row r="164" spans="1:17" x14ac:dyDescent="0.3">
      <c r="A164" s="3">
        <v>2033601</v>
      </c>
      <c r="B164">
        <v>51402</v>
      </c>
      <c r="C164">
        <v>2</v>
      </c>
      <c r="D164" s="9">
        <v>105</v>
      </c>
      <c r="E164">
        <v>1006</v>
      </c>
      <c r="F164" s="1">
        <v>44005</v>
      </c>
      <c r="G164" t="s">
        <v>55</v>
      </c>
      <c r="H164" s="4">
        <v>48.27</v>
      </c>
      <c r="I164" s="4" t="s">
        <v>16</v>
      </c>
      <c r="J164" s="4">
        <v>48.27</v>
      </c>
      <c r="K164" t="str">
        <f>VLOOKUP($C164,Table1[#All],2,FALSE)</f>
        <v>HOTEL</v>
      </c>
      <c r="L164" t="str">
        <f>VLOOKUP($C164,Table1[#All],3,FALSE)</f>
        <v xml:space="preserve">Transactions related to guest rooms and overall hotel operations. Includes payroll for administrative staff, clerks and interns. </v>
      </c>
      <c r="M164" t="str">
        <f>IFERROR(VLOOKUP($B164,ChartOfAccounts!A163:B248,2,FALSE),"")</f>
        <v/>
      </c>
      <c r="N164" t="str">
        <f>IFERROR(VLOOKUP($B164,ChartOfAccounts!C163:D248,2,FALSE),"")</f>
        <v/>
      </c>
      <c r="O164" t="str">
        <f>IFERROR(VLOOKUP($B164,ChartOfAccounts!E163:F248,2,FALSE),"")</f>
        <v/>
      </c>
      <c r="P164" t="str">
        <f>IFERROR(VLOOKUP(D164,PreparerInfo!A163:B175,2,FALSE),"")</f>
        <v/>
      </c>
      <c r="Q164" t="str">
        <f>IFERROR(VLOOKUP(E164,Source!A163:B171,2,FALSE),"")</f>
        <v/>
      </c>
    </row>
    <row r="165" spans="1:17" x14ac:dyDescent="0.3">
      <c r="A165" s="3">
        <v>2033601</v>
      </c>
      <c r="B165">
        <v>22110</v>
      </c>
      <c r="C165">
        <v>2</v>
      </c>
      <c r="D165" s="9">
        <v>105</v>
      </c>
      <c r="E165">
        <v>1006</v>
      </c>
      <c r="F165" s="1">
        <v>44005</v>
      </c>
      <c r="G165" t="s">
        <v>55</v>
      </c>
      <c r="H165" s="4" t="s">
        <v>16</v>
      </c>
      <c r="I165" s="4">
        <v>-48.27</v>
      </c>
      <c r="J165" s="4">
        <v>-48.27</v>
      </c>
      <c r="K165" t="str">
        <f>VLOOKUP($C165,Table1[#All],2,FALSE)</f>
        <v>HOTEL</v>
      </c>
      <c r="L165" t="str">
        <f>VLOOKUP($C165,Table1[#All],3,FALSE)</f>
        <v xml:space="preserve">Transactions related to guest rooms and overall hotel operations. Includes payroll for administrative staff, clerks and interns. </v>
      </c>
      <c r="M165" t="str">
        <f>IFERROR(VLOOKUP($B165,ChartOfAccounts!A164:B249,2,FALSE),"")</f>
        <v/>
      </c>
      <c r="N165" t="str">
        <f>IFERROR(VLOOKUP($B165,ChartOfAccounts!C164:D249,2,FALSE),"")</f>
        <v/>
      </c>
      <c r="O165" t="str">
        <f>IFERROR(VLOOKUP($B165,ChartOfAccounts!E164:F249,2,FALSE),"")</f>
        <v/>
      </c>
      <c r="P165" t="str">
        <f>IFERROR(VLOOKUP(D165,PreparerInfo!A164:B176,2,FALSE),"")</f>
        <v/>
      </c>
      <c r="Q165" t="str">
        <f>IFERROR(VLOOKUP(E165,Source!A164:B172,2,FALSE),"")</f>
        <v/>
      </c>
    </row>
    <row r="166" spans="1:17" x14ac:dyDescent="0.3">
      <c r="A166" s="3">
        <v>2033602</v>
      </c>
      <c r="B166">
        <v>11845</v>
      </c>
      <c r="C166">
        <v>3</v>
      </c>
      <c r="D166" s="9">
        <v>102</v>
      </c>
      <c r="E166">
        <v>1001</v>
      </c>
      <c r="F166" s="1">
        <v>44005</v>
      </c>
      <c r="G166" t="s">
        <v>41</v>
      </c>
      <c r="H166" s="4">
        <v>52.31</v>
      </c>
      <c r="I166" s="4" t="s">
        <v>16</v>
      </c>
      <c r="J166" s="4">
        <v>52.31</v>
      </c>
      <c r="K166" t="str">
        <f>VLOOKUP($C166,Table1[#All],2,FALSE)</f>
        <v>HOTEL PANTRY</v>
      </c>
      <c r="L166" t="str">
        <f>VLOOKUP($C166,Table1[#All],3,FALSE)</f>
        <v>Transactions related to the hotel convenience store, including some food and beverage costs.</v>
      </c>
      <c r="M166" t="str">
        <f>IFERROR(VLOOKUP($B166,ChartOfAccounts!A165:B250,2,FALSE),"")</f>
        <v/>
      </c>
      <c r="N166" t="str">
        <f>IFERROR(VLOOKUP($B166,ChartOfAccounts!C165:D250,2,FALSE),"")</f>
        <v/>
      </c>
      <c r="O166" t="str">
        <f>IFERROR(VLOOKUP($B166,ChartOfAccounts!E165:F250,2,FALSE),"")</f>
        <v/>
      </c>
      <c r="P166" t="str">
        <f>IFERROR(VLOOKUP(D166,PreparerInfo!A165:B177,2,FALSE),"")</f>
        <v/>
      </c>
      <c r="Q166" t="str">
        <f>IFERROR(VLOOKUP(E166,Source!A165:B173,2,FALSE),"")</f>
        <v/>
      </c>
    </row>
    <row r="167" spans="1:17" x14ac:dyDescent="0.3">
      <c r="A167" s="3">
        <v>2033602</v>
      </c>
      <c r="B167">
        <v>43440</v>
      </c>
      <c r="C167">
        <v>3</v>
      </c>
      <c r="D167" s="9">
        <v>102</v>
      </c>
      <c r="E167">
        <v>1001</v>
      </c>
      <c r="F167" s="1">
        <v>44005</v>
      </c>
      <c r="G167" t="s">
        <v>41</v>
      </c>
      <c r="H167" s="4" t="s">
        <v>16</v>
      </c>
      <c r="I167" s="4">
        <v>-52.31</v>
      </c>
      <c r="J167" s="4">
        <v>-52.31</v>
      </c>
      <c r="K167" t="str">
        <f>VLOOKUP($C167,Table1[#All],2,FALSE)</f>
        <v>HOTEL PANTRY</v>
      </c>
      <c r="L167" t="str">
        <f>VLOOKUP($C167,Table1[#All],3,FALSE)</f>
        <v>Transactions related to the hotel convenience store, including some food and beverage costs.</v>
      </c>
      <c r="M167" t="str">
        <f>IFERROR(VLOOKUP($B167,ChartOfAccounts!A166:B251,2,FALSE),"")</f>
        <v/>
      </c>
      <c r="N167" t="str">
        <f>IFERROR(VLOOKUP($B167,ChartOfAccounts!C166:D251,2,FALSE),"")</f>
        <v/>
      </c>
      <c r="O167" t="str">
        <f>IFERROR(VLOOKUP($B167,ChartOfAccounts!E166:F251,2,FALSE),"")</f>
        <v/>
      </c>
      <c r="P167" t="str">
        <f>IFERROR(VLOOKUP(D167,PreparerInfo!A166:B178,2,FALSE),"")</f>
        <v/>
      </c>
      <c r="Q167" t="str">
        <f>IFERROR(VLOOKUP(E167,Source!A166:B174,2,FALSE),"")</f>
        <v/>
      </c>
    </row>
    <row r="168" spans="1:17" x14ac:dyDescent="0.3">
      <c r="A168" s="3">
        <v>2033603</v>
      </c>
      <c r="B168">
        <v>51610</v>
      </c>
      <c r="C168">
        <v>1</v>
      </c>
      <c r="D168" s="9">
        <v>105</v>
      </c>
      <c r="E168">
        <v>1006</v>
      </c>
      <c r="F168" s="1">
        <v>44005</v>
      </c>
      <c r="G168" t="s">
        <v>53</v>
      </c>
      <c r="H168" s="4">
        <v>75</v>
      </c>
      <c r="I168" s="4" t="s">
        <v>16</v>
      </c>
      <c r="J168" s="4">
        <v>75</v>
      </c>
      <c r="K168" t="str">
        <f>VLOOKUP($C168,Table1[#All],2,FALSE)</f>
        <v>FOOD SERVICE</v>
      </c>
      <c r="L168" t="str">
        <f>VLOOKUP($C168,Table1[#All],3,FALSE)</f>
        <v xml:space="preserve">Transactions related to food and beverage service. Includes all guest transactions in the hotel restaurants, catering-related transactions and food service payroll. </v>
      </c>
      <c r="M168" t="str">
        <f>IFERROR(VLOOKUP($B168,ChartOfAccounts!A167:B252,2,FALSE),"")</f>
        <v/>
      </c>
      <c r="N168" t="str">
        <f>IFERROR(VLOOKUP($B168,ChartOfAccounts!C167:D252,2,FALSE),"")</f>
        <v/>
      </c>
      <c r="O168" t="str">
        <f>IFERROR(VLOOKUP($B168,ChartOfAccounts!E167:F252,2,FALSE),"")</f>
        <v/>
      </c>
      <c r="P168" t="str">
        <f>IFERROR(VLOOKUP(D168,PreparerInfo!A167:B179,2,FALSE),"")</f>
        <v/>
      </c>
      <c r="Q168" t="str">
        <f>IFERROR(VLOOKUP(E168,Source!A167:B175,2,FALSE),"")</f>
        <v/>
      </c>
    </row>
    <row r="169" spans="1:17" x14ac:dyDescent="0.3">
      <c r="A169" s="3">
        <v>2033603</v>
      </c>
      <c r="B169">
        <v>22110</v>
      </c>
      <c r="C169">
        <v>1</v>
      </c>
      <c r="D169" s="9">
        <v>105</v>
      </c>
      <c r="E169">
        <v>1006</v>
      </c>
      <c r="F169" s="1">
        <v>44005</v>
      </c>
      <c r="G169" t="s">
        <v>53</v>
      </c>
      <c r="H169" s="4" t="s">
        <v>16</v>
      </c>
      <c r="I169" s="4">
        <v>-75</v>
      </c>
      <c r="J169" s="4">
        <v>-75</v>
      </c>
      <c r="K169" t="str">
        <f>VLOOKUP($C169,Table1[#All],2,FALSE)</f>
        <v>FOOD SERVICE</v>
      </c>
      <c r="L169" t="str">
        <f>VLOOKUP($C169,Table1[#All],3,FALSE)</f>
        <v xml:space="preserve">Transactions related to food and beverage service. Includes all guest transactions in the hotel restaurants, catering-related transactions and food service payroll. </v>
      </c>
      <c r="M169" t="str">
        <f>IFERROR(VLOOKUP($B169,ChartOfAccounts!A168:B253,2,FALSE),"")</f>
        <v/>
      </c>
      <c r="N169" t="str">
        <f>IFERROR(VLOOKUP($B169,ChartOfAccounts!C168:D253,2,FALSE),"")</f>
        <v/>
      </c>
      <c r="O169" t="str">
        <f>IFERROR(VLOOKUP($B169,ChartOfAccounts!E168:F253,2,FALSE),"")</f>
        <v/>
      </c>
      <c r="P169" t="str">
        <f>IFERROR(VLOOKUP(D169,PreparerInfo!A168:B180,2,FALSE),"")</f>
        <v/>
      </c>
      <c r="Q169" t="str">
        <f>IFERROR(VLOOKUP(E169,Source!A168:B176,2,FALSE),"")</f>
        <v/>
      </c>
    </row>
    <row r="170" spans="1:17" x14ac:dyDescent="0.3">
      <c r="A170" s="3">
        <v>2033604</v>
      </c>
      <c r="B170">
        <v>11845</v>
      </c>
      <c r="C170">
        <v>2</v>
      </c>
      <c r="D170" s="9">
        <v>104</v>
      </c>
      <c r="E170">
        <v>1003</v>
      </c>
      <c r="F170" s="1">
        <v>44005</v>
      </c>
      <c r="G170" t="s">
        <v>41</v>
      </c>
      <c r="H170" s="4">
        <v>99</v>
      </c>
      <c r="I170" s="4" t="s">
        <v>16</v>
      </c>
      <c r="J170" s="4">
        <v>99</v>
      </c>
      <c r="K170" t="str">
        <f>VLOOKUP($C170,Table1[#All],2,FALSE)</f>
        <v>HOTEL</v>
      </c>
      <c r="L170" t="str">
        <f>VLOOKUP($C170,Table1[#All],3,FALSE)</f>
        <v xml:space="preserve">Transactions related to guest rooms and overall hotel operations. Includes payroll for administrative staff, clerks and interns. </v>
      </c>
      <c r="M170" t="str">
        <f>IFERROR(VLOOKUP($B170,ChartOfAccounts!A169:B254,2,FALSE),"")</f>
        <v/>
      </c>
      <c r="N170" t="str">
        <f>IFERROR(VLOOKUP($B170,ChartOfAccounts!C169:D254,2,FALSE),"")</f>
        <v/>
      </c>
      <c r="O170" t="str">
        <f>IFERROR(VLOOKUP($B170,ChartOfAccounts!E169:F254,2,FALSE),"")</f>
        <v/>
      </c>
      <c r="P170" t="str">
        <f>IFERROR(VLOOKUP(D170,PreparerInfo!A169:B181,2,FALSE),"")</f>
        <v/>
      </c>
      <c r="Q170" t="str">
        <f>IFERROR(VLOOKUP(E170,Source!A169:B177,2,FALSE),"")</f>
        <v/>
      </c>
    </row>
    <row r="171" spans="1:17" x14ac:dyDescent="0.3">
      <c r="A171" s="3">
        <v>2033604</v>
      </c>
      <c r="B171">
        <v>43180</v>
      </c>
      <c r="C171">
        <v>2</v>
      </c>
      <c r="D171" s="9">
        <v>104</v>
      </c>
      <c r="E171">
        <v>1003</v>
      </c>
      <c r="F171" s="1">
        <v>44005</v>
      </c>
      <c r="G171" t="s">
        <v>41</v>
      </c>
      <c r="H171" s="4" t="s">
        <v>16</v>
      </c>
      <c r="I171" s="4">
        <v>-99</v>
      </c>
      <c r="J171" s="4">
        <v>-99</v>
      </c>
      <c r="K171" t="str">
        <f>VLOOKUP($C171,Table1[#All],2,FALSE)</f>
        <v>HOTEL</v>
      </c>
      <c r="L171" t="str">
        <f>VLOOKUP($C171,Table1[#All],3,FALSE)</f>
        <v xml:space="preserve">Transactions related to guest rooms and overall hotel operations. Includes payroll for administrative staff, clerks and interns. </v>
      </c>
      <c r="M171" t="str">
        <f>IFERROR(VLOOKUP($B171,ChartOfAccounts!A170:B255,2,FALSE),"")</f>
        <v/>
      </c>
      <c r="N171" t="str">
        <f>IFERROR(VLOOKUP($B171,ChartOfAccounts!C170:D255,2,FALSE),"")</f>
        <v/>
      </c>
      <c r="O171" t="str">
        <f>IFERROR(VLOOKUP($B171,ChartOfAccounts!E170:F255,2,FALSE),"")</f>
        <v/>
      </c>
      <c r="P171" t="str">
        <f>IFERROR(VLOOKUP(D171,PreparerInfo!A170:B182,2,FALSE),"")</f>
        <v/>
      </c>
      <c r="Q171" t="str">
        <f>IFERROR(VLOOKUP(E171,Source!A170:B178,2,FALSE),"")</f>
        <v/>
      </c>
    </row>
    <row r="172" spans="1:17" x14ac:dyDescent="0.3">
      <c r="A172" s="3">
        <v>2033605</v>
      </c>
      <c r="B172">
        <v>71400</v>
      </c>
      <c r="C172">
        <v>1</v>
      </c>
      <c r="D172" s="9">
        <v>101</v>
      </c>
      <c r="E172">
        <v>1002</v>
      </c>
      <c r="F172" s="1">
        <v>44005</v>
      </c>
      <c r="G172" t="s">
        <v>228</v>
      </c>
      <c r="H172" s="4">
        <v>100</v>
      </c>
      <c r="I172" s="4" t="s">
        <v>16</v>
      </c>
      <c r="J172" s="4">
        <v>100</v>
      </c>
      <c r="K172" t="str">
        <f>VLOOKUP($C172,Table1[#All],2,FALSE)</f>
        <v>FOOD SERVICE</v>
      </c>
      <c r="L172" t="str">
        <f>VLOOKUP($C172,Table1[#All],3,FALSE)</f>
        <v xml:space="preserve">Transactions related to food and beverage service. Includes all guest transactions in the hotel restaurants, catering-related transactions and food service payroll. </v>
      </c>
      <c r="M172" t="str">
        <f>IFERROR(VLOOKUP($B172,ChartOfAccounts!A171:B256,2,FALSE),"")</f>
        <v/>
      </c>
      <c r="N172" t="str">
        <f>IFERROR(VLOOKUP($B172,ChartOfAccounts!C171:D256,2,FALSE),"")</f>
        <v/>
      </c>
      <c r="O172" t="str">
        <f>IFERROR(VLOOKUP($B172,ChartOfAccounts!E171:F256,2,FALSE),"")</f>
        <v/>
      </c>
      <c r="P172" t="str">
        <f>IFERROR(VLOOKUP(D172,PreparerInfo!A171:B183,2,FALSE),"")</f>
        <v/>
      </c>
      <c r="Q172" t="str">
        <f>IFERROR(VLOOKUP(E172,Source!A171:B179,2,FALSE),"")</f>
        <v/>
      </c>
    </row>
    <row r="173" spans="1:17" x14ac:dyDescent="0.3">
      <c r="A173" s="3">
        <v>2033605</v>
      </c>
      <c r="B173">
        <v>11845</v>
      </c>
      <c r="C173">
        <v>1</v>
      </c>
      <c r="D173" s="9">
        <v>101</v>
      </c>
      <c r="E173">
        <v>1002</v>
      </c>
      <c r="F173" s="1">
        <v>44005</v>
      </c>
      <c r="G173" t="s">
        <v>228</v>
      </c>
      <c r="H173" s="4" t="s">
        <v>16</v>
      </c>
      <c r="I173" s="4">
        <v>-100</v>
      </c>
      <c r="J173" s="4">
        <v>-100</v>
      </c>
      <c r="K173" t="str">
        <f>VLOOKUP($C173,Table1[#All],2,FALSE)</f>
        <v>FOOD SERVICE</v>
      </c>
      <c r="L173" t="str">
        <f>VLOOKUP($C173,Table1[#All],3,FALSE)</f>
        <v xml:space="preserve">Transactions related to food and beverage service. Includes all guest transactions in the hotel restaurants, catering-related transactions and food service payroll. </v>
      </c>
      <c r="M173" t="str">
        <f>IFERROR(VLOOKUP($B173,ChartOfAccounts!A172:B257,2,FALSE),"")</f>
        <v/>
      </c>
      <c r="N173" t="str">
        <f>IFERROR(VLOOKUP($B173,ChartOfAccounts!C172:D257,2,FALSE),"")</f>
        <v/>
      </c>
      <c r="O173" t="str">
        <f>IFERROR(VLOOKUP($B173,ChartOfAccounts!E172:F257,2,FALSE),"")</f>
        <v/>
      </c>
      <c r="P173" t="str">
        <f>IFERROR(VLOOKUP(D173,PreparerInfo!A172:B184,2,FALSE),"")</f>
        <v/>
      </c>
      <c r="Q173" t="str">
        <f>IFERROR(VLOOKUP(E173,Source!A172:B180,2,FALSE),"")</f>
        <v/>
      </c>
    </row>
    <row r="174" spans="1:17" x14ac:dyDescent="0.3">
      <c r="A174" s="3">
        <v>2033606</v>
      </c>
      <c r="B174">
        <v>51400</v>
      </c>
      <c r="C174">
        <v>6</v>
      </c>
      <c r="D174" s="9">
        <v>105</v>
      </c>
      <c r="E174">
        <v>1006</v>
      </c>
      <c r="F174" s="1">
        <v>44005</v>
      </c>
      <c r="G174" t="s">
        <v>55</v>
      </c>
      <c r="H174" s="4">
        <v>110.32</v>
      </c>
      <c r="I174" s="4" t="s">
        <v>16</v>
      </c>
      <c r="J174" s="4">
        <v>110.32</v>
      </c>
      <c r="K174" t="str">
        <f>VLOOKUP($C174,Table1[#All],2,FALSE)</f>
        <v>MAINTENANCE</v>
      </c>
      <c r="L174" t="str">
        <f>VLOOKUP($C174,Table1[#All],3,FALSE)</f>
        <v>Transactions related to the hotel Maintenance Department. Primarily includes payroll for maintenance, grounds keepers and related supplies.</v>
      </c>
      <c r="M174" t="str">
        <f>IFERROR(VLOOKUP($B174,ChartOfAccounts!A173:B258,2,FALSE),"")</f>
        <v/>
      </c>
      <c r="N174" t="str">
        <f>IFERROR(VLOOKUP($B174,ChartOfAccounts!C173:D258,2,FALSE),"")</f>
        <v/>
      </c>
      <c r="O174" t="str">
        <f>IFERROR(VLOOKUP($B174,ChartOfAccounts!E173:F258,2,FALSE),"")</f>
        <v/>
      </c>
      <c r="P174" t="str">
        <f>IFERROR(VLOOKUP(D174,PreparerInfo!A173:B185,2,FALSE),"")</f>
        <v/>
      </c>
      <c r="Q174" t="str">
        <f>IFERROR(VLOOKUP(E174,Source!A173:B181,2,FALSE),"")</f>
        <v/>
      </c>
    </row>
    <row r="175" spans="1:17" x14ac:dyDescent="0.3">
      <c r="A175" s="3">
        <v>2033606</v>
      </c>
      <c r="B175">
        <v>22110</v>
      </c>
      <c r="C175">
        <v>6</v>
      </c>
      <c r="D175" s="9">
        <v>105</v>
      </c>
      <c r="E175">
        <v>1006</v>
      </c>
      <c r="F175" s="1">
        <v>44005</v>
      </c>
      <c r="G175" t="s">
        <v>55</v>
      </c>
      <c r="H175" s="4" t="s">
        <v>16</v>
      </c>
      <c r="I175" s="4">
        <v>-110.32</v>
      </c>
      <c r="J175" s="4">
        <v>-110.32</v>
      </c>
      <c r="K175" t="str">
        <f>VLOOKUP($C175,Table1[#All],2,FALSE)</f>
        <v>MAINTENANCE</v>
      </c>
      <c r="L175" t="str">
        <f>VLOOKUP($C175,Table1[#All],3,FALSE)</f>
        <v>Transactions related to the hotel Maintenance Department. Primarily includes payroll for maintenance, grounds keepers and related supplies.</v>
      </c>
      <c r="M175" t="str">
        <f>IFERROR(VLOOKUP($B175,ChartOfAccounts!A174:B259,2,FALSE),"")</f>
        <v/>
      </c>
      <c r="N175" t="str">
        <f>IFERROR(VLOOKUP($B175,ChartOfAccounts!C174:D259,2,FALSE),"")</f>
        <v/>
      </c>
      <c r="O175" t="str">
        <f>IFERROR(VLOOKUP($B175,ChartOfAccounts!E174:F259,2,FALSE),"")</f>
        <v/>
      </c>
      <c r="P175" t="str">
        <f>IFERROR(VLOOKUP(D175,PreparerInfo!A174:B186,2,FALSE),"")</f>
        <v/>
      </c>
      <c r="Q175" t="str">
        <f>IFERROR(VLOOKUP(E175,Source!A174:B182,2,FALSE),"")</f>
        <v/>
      </c>
    </row>
    <row r="176" spans="1:17" x14ac:dyDescent="0.3">
      <c r="A176" s="3">
        <v>2033607</v>
      </c>
      <c r="B176">
        <v>51140</v>
      </c>
      <c r="C176">
        <v>6</v>
      </c>
      <c r="D176" s="9">
        <v>105</v>
      </c>
      <c r="E176">
        <v>1004</v>
      </c>
      <c r="F176" s="1">
        <v>44005</v>
      </c>
      <c r="G176" t="s">
        <v>54</v>
      </c>
      <c r="H176" s="4">
        <v>120.69</v>
      </c>
      <c r="I176" s="4" t="s">
        <v>16</v>
      </c>
      <c r="J176" s="4">
        <v>120.69</v>
      </c>
      <c r="K176" t="str">
        <f>VLOOKUP($C176,Table1[#All],2,FALSE)</f>
        <v>MAINTENANCE</v>
      </c>
      <c r="L176" t="str">
        <f>VLOOKUP($C176,Table1[#All],3,FALSE)</f>
        <v>Transactions related to the hotel Maintenance Department. Primarily includes payroll for maintenance, grounds keepers and related supplies.</v>
      </c>
      <c r="M176" t="str">
        <f>IFERROR(VLOOKUP($B176,ChartOfAccounts!A175:B260,2,FALSE),"")</f>
        <v/>
      </c>
      <c r="N176" t="str">
        <f>IFERROR(VLOOKUP($B176,ChartOfAccounts!C175:D260,2,FALSE),"")</f>
        <v/>
      </c>
      <c r="O176" t="str">
        <f>IFERROR(VLOOKUP($B176,ChartOfAccounts!E175:F260,2,FALSE),"")</f>
        <v/>
      </c>
      <c r="P176" t="str">
        <f>IFERROR(VLOOKUP(D176,PreparerInfo!A175:B187,2,FALSE),"")</f>
        <v/>
      </c>
      <c r="Q176" t="str">
        <f>IFERROR(VLOOKUP(E176,Source!A175:B183,2,FALSE),"")</f>
        <v/>
      </c>
    </row>
    <row r="177" spans="1:17" x14ac:dyDescent="0.3">
      <c r="A177" s="3">
        <v>2033607</v>
      </c>
      <c r="B177">
        <v>11845</v>
      </c>
      <c r="C177">
        <v>6</v>
      </c>
      <c r="D177" s="9">
        <v>105</v>
      </c>
      <c r="E177">
        <v>1004</v>
      </c>
      <c r="F177" s="1">
        <v>44005</v>
      </c>
      <c r="G177" t="s">
        <v>54</v>
      </c>
      <c r="H177" s="4" t="s">
        <v>16</v>
      </c>
      <c r="I177" s="4">
        <v>-120.69</v>
      </c>
      <c r="J177" s="4">
        <v>-120.69</v>
      </c>
      <c r="K177" t="str">
        <f>VLOOKUP($C177,Table1[#All],2,FALSE)</f>
        <v>MAINTENANCE</v>
      </c>
      <c r="L177" t="str">
        <f>VLOOKUP($C177,Table1[#All],3,FALSE)</f>
        <v>Transactions related to the hotel Maintenance Department. Primarily includes payroll for maintenance, grounds keepers and related supplies.</v>
      </c>
      <c r="M177" t="str">
        <f>IFERROR(VLOOKUP($B177,ChartOfAccounts!A176:B261,2,FALSE),"")</f>
        <v/>
      </c>
      <c r="N177" t="str">
        <f>IFERROR(VLOOKUP($B177,ChartOfAccounts!C176:D261,2,FALSE),"")</f>
        <v/>
      </c>
      <c r="O177" t="str">
        <f>IFERROR(VLOOKUP($B177,ChartOfAccounts!E176:F261,2,FALSE),"")</f>
        <v/>
      </c>
      <c r="P177" t="str">
        <f>IFERROR(VLOOKUP(D177,PreparerInfo!A176:B188,2,FALSE),"")</f>
        <v/>
      </c>
      <c r="Q177" t="str">
        <f>IFERROR(VLOOKUP(E177,Source!A176:B184,2,FALSE),"")</f>
        <v/>
      </c>
    </row>
    <row r="178" spans="1:17" x14ac:dyDescent="0.3">
      <c r="A178" s="3">
        <v>2033608</v>
      </c>
      <c r="B178">
        <v>51402</v>
      </c>
      <c r="C178">
        <v>4</v>
      </c>
      <c r="D178" s="9">
        <v>105</v>
      </c>
      <c r="E178">
        <v>1006</v>
      </c>
      <c r="F178" s="1">
        <v>44005</v>
      </c>
      <c r="G178" t="s">
        <v>55</v>
      </c>
      <c r="H178" s="4">
        <v>121.22</v>
      </c>
      <c r="I178" s="4" t="s">
        <v>16</v>
      </c>
      <c r="J178" s="4">
        <v>121.22</v>
      </c>
      <c r="K178" t="str">
        <f>VLOOKUP($C178,Table1[#All],2,FALSE)</f>
        <v>HOUSEKEEPING</v>
      </c>
      <c r="L178" t="str">
        <f>VLOOKUP($C178,Table1[#All],3,FALSE)</f>
        <v xml:space="preserve">Transactions related to the Housekeeping Department. Primarily includes payroll for housekeepers and housekeeping supplies. </v>
      </c>
      <c r="M178" t="str">
        <f>IFERROR(VLOOKUP($B178,ChartOfAccounts!A177:B262,2,FALSE),"")</f>
        <v/>
      </c>
      <c r="N178" t="str">
        <f>IFERROR(VLOOKUP($B178,ChartOfAccounts!C177:D262,2,FALSE),"")</f>
        <v/>
      </c>
      <c r="O178" t="str">
        <f>IFERROR(VLOOKUP($B178,ChartOfAccounts!E177:F262,2,FALSE),"")</f>
        <v/>
      </c>
      <c r="P178" t="str">
        <f>IFERROR(VLOOKUP(D178,PreparerInfo!A177:B189,2,FALSE),"")</f>
        <v/>
      </c>
      <c r="Q178" t="str">
        <f>IFERROR(VLOOKUP(E178,Source!A177:B185,2,FALSE),"")</f>
        <v/>
      </c>
    </row>
    <row r="179" spans="1:17" x14ac:dyDescent="0.3">
      <c r="A179" s="3">
        <v>2033608</v>
      </c>
      <c r="B179">
        <v>22110</v>
      </c>
      <c r="C179">
        <v>4</v>
      </c>
      <c r="D179" s="9">
        <v>105</v>
      </c>
      <c r="E179">
        <v>1006</v>
      </c>
      <c r="F179" s="1">
        <v>44005</v>
      </c>
      <c r="G179" t="s">
        <v>55</v>
      </c>
      <c r="H179" s="4" t="s">
        <v>16</v>
      </c>
      <c r="I179" s="4">
        <v>-121.22</v>
      </c>
      <c r="J179" s="4">
        <v>-121.22</v>
      </c>
      <c r="K179" t="str">
        <f>VLOOKUP($C179,Table1[#All],2,FALSE)</f>
        <v>HOUSEKEEPING</v>
      </c>
      <c r="L179" t="str">
        <f>VLOOKUP($C179,Table1[#All],3,FALSE)</f>
        <v xml:space="preserve">Transactions related to the Housekeeping Department. Primarily includes payroll for housekeepers and housekeeping supplies. </v>
      </c>
      <c r="M179" t="str">
        <f>IFERROR(VLOOKUP($B179,ChartOfAccounts!A178:B263,2,FALSE),"")</f>
        <v/>
      </c>
      <c r="N179" t="str">
        <f>IFERROR(VLOOKUP($B179,ChartOfAccounts!C178:D263,2,FALSE),"")</f>
        <v/>
      </c>
      <c r="O179" t="str">
        <f>IFERROR(VLOOKUP($B179,ChartOfAccounts!E178:F263,2,FALSE),"")</f>
        <v/>
      </c>
      <c r="P179" t="str">
        <f>IFERROR(VLOOKUP(D179,PreparerInfo!A178:B190,2,FALSE),"")</f>
        <v/>
      </c>
      <c r="Q179" t="str">
        <f>IFERROR(VLOOKUP(E179,Source!A178:B186,2,FALSE),"")</f>
        <v/>
      </c>
    </row>
    <row r="180" spans="1:17" x14ac:dyDescent="0.3">
      <c r="A180" s="3">
        <v>2033609</v>
      </c>
      <c r="B180">
        <v>51610</v>
      </c>
      <c r="C180">
        <v>2</v>
      </c>
      <c r="D180" s="9">
        <v>105</v>
      </c>
      <c r="E180">
        <v>1006</v>
      </c>
      <c r="F180" s="1">
        <v>44005</v>
      </c>
      <c r="G180" t="s">
        <v>75</v>
      </c>
      <c r="H180" s="4">
        <v>195.5</v>
      </c>
      <c r="I180" s="4" t="s">
        <v>16</v>
      </c>
      <c r="J180" s="4">
        <v>195.5</v>
      </c>
      <c r="K180" t="str">
        <f>VLOOKUP($C180,Table1[#All],2,FALSE)</f>
        <v>HOTEL</v>
      </c>
      <c r="L180" t="str">
        <f>VLOOKUP($C180,Table1[#All],3,FALSE)</f>
        <v xml:space="preserve">Transactions related to guest rooms and overall hotel operations. Includes payroll for administrative staff, clerks and interns. </v>
      </c>
      <c r="M180" t="str">
        <f>IFERROR(VLOOKUP($B180,ChartOfAccounts!A179:B264,2,FALSE),"")</f>
        <v/>
      </c>
      <c r="N180" t="str">
        <f>IFERROR(VLOOKUP($B180,ChartOfAccounts!C179:D264,2,FALSE),"")</f>
        <v/>
      </c>
      <c r="O180" t="str">
        <f>IFERROR(VLOOKUP($B180,ChartOfAccounts!E179:F264,2,FALSE),"")</f>
        <v/>
      </c>
      <c r="P180" t="str">
        <f>IFERROR(VLOOKUP(D180,PreparerInfo!A179:B191,2,FALSE),"")</f>
        <v/>
      </c>
      <c r="Q180" t="str">
        <f>IFERROR(VLOOKUP(E180,Source!A179:B187,2,FALSE),"")</f>
        <v/>
      </c>
    </row>
    <row r="181" spans="1:17" x14ac:dyDescent="0.3">
      <c r="A181" s="3">
        <v>2033609</v>
      </c>
      <c r="B181">
        <v>22110</v>
      </c>
      <c r="C181">
        <v>2</v>
      </c>
      <c r="D181" s="9">
        <v>105</v>
      </c>
      <c r="E181">
        <v>1006</v>
      </c>
      <c r="F181" s="1">
        <v>44005</v>
      </c>
      <c r="G181" t="s">
        <v>75</v>
      </c>
      <c r="H181" s="4" t="s">
        <v>16</v>
      </c>
      <c r="I181" s="4">
        <v>-195.5</v>
      </c>
      <c r="J181" s="4">
        <v>-195.5</v>
      </c>
      <c r="K181" t="str">
        <f>VLOOKUP($C181,Table1[#All],2,FALSE)</f>
        <v>HOTEL</v>
      </c>
      <c r="L181" t="str">
        <f>VLOOKUP($C181,Table1[#All],3,FALSE)</f>
        <v xml:space="preserve">Transactions related to guest rooms and overall hotel operations. Includes payroll for administrative staff, clerks and interns. </v>
      </c>
      <c r="M181" t="str">
        <f>IFERROR(VLOOKUP($B181,ChartOfAccounts!A180:B265,2,FALSE),"")</f>
        <v/>
      </c>
      <c r="N181" t="str">
        <f>IFERROR(VLOOKUP($B181,ChartOfAccounts!C180:D265,2,FALSE),"")</f>
        <v/>
      </c>
      <c r="O181" t="str">
        <f>IFERROR(VLOOKUP($B181,ChartOfAccounts!E180:F265,2,FALSE),"")</f>
        <v/>
      </c>
      <c r="P181" t="str">
        <f>IFERROR(VLOOKUP(D181,PreparerInfo!A180:B192,2,FALSE),"")</f>
        <v/>
      </c>
      <c r="Q181" t="str">
        <f>IFERROR(VLOOKUP(E181,Source!A180:B188,2,FALSE),"")</f>
        <v/>
      </c>
    </row>
    <row r="182" spans="1:17" x14ac:dyDescent="0.3">
      <c r="A182" s="3">
        <v>2033610</v>
      </c>
      <c r="B182">
        <v>11845</v>
      </c>
      <c r="C182">
        <v>2</v>
      </c>
      <c r="D182" s="9">
        <v>104</v>
      </c>
      <c r="E182">
        <v>1003</v>
      </c>
      <c r="F182" s="1">
        <v>44005</v>
      </c>
      <c r="G182" t="s">
        <v>229</v>
      </c>
      <c r="H182" s="4">
        <v>198</v>
      </c>
      <c r="I182" s="4" t="s">
        <v>16</v>
      </c>
      <c r="J182" s="4">
        <v>198</v>
      </c>
      <c r="K182" t="str">
        <f>VLOOKUP($C182,Table1[#All],2,FALSE)</f>
        <v>HOTEL</v>
      </c>
      <c r="L182" t="str">
        <f>VLOOKUP($C182,Table1[#All],3,FALSE)</f>
        <v xml:space="preserve">Transactions related to guest rooms and overall hotel operations. Includes payroll for administrative staff, clerks and interns. </v>
      </c>
      <c r="M182" t="str">
        <f>IFERROR(VLOOKUP($B182,ChartOfAccounts!A181:B266,2,FALSE),"")</f>
        <v/>
      </c>
      <c r="N182" t="str">
        <f>IFERROR(VLOOKUP($B182,ChartOfAccounts!C181:D266,2,FALSE),"")</f>
        <v/>
      </c>
      <c r="O182" t="str">
        <f>IFERROR(VLOOKUP($B182,ChartOfAccounts!E181:F266,2,FALSE),"")</f>
        <v/>
      </c>
      <c r="P182" t="str">
        <f>IFERROR(VLOOKUP(D182,PreparerInfo!A181:B193,2,FALSE),"")</f>
        <v/>
      </c>
      <c r="Q182" t="str">
        <f>IFERROR(VLOOKUP(E182,Source!A181:B189,2,FALSE),"")</f>
        <v/>
      </c>
    </row>
    <row r="183" spans="1:17" x14ac:dyDescent="0.3">
      <c r="A183" s="3">
        <v>2033610</v>
      </c>
      <c r="B183">
        <v>43180</v>
      </c>
      <c r="C183">
        <v>2</v>
      </c>
      <c r="D183" s="9">
        <v>104</v>
      </c>
      <c r="E183">
        <v>1003</v>
      </c>
      <c r="F183" s="1">
        <v>44005</v>
      </c>
      <c r="G183" t="s">
        <v>229</v>
      </c>
      <c r="H183" s="4" t="s">
        <v>16</v>
      </c>
      <c r="I183" s="4">
        <v>-198</v>
      </c>
      <c r="J183" s="4">
        <v>-198</v>
      </c>
      <c r="K183" t="str">
        <f>VLOOKUP($C183,Table1[#All],2,FALSE)</f>
        <v>HOTEL</v>
      </c>
      <c r="L183" t="str">
        <f>VLOOKUP($C183,Table1[#All],3,FALSE)</f>
        <v xml:space="preserve">Transactions related to guest rooms and overall hotel operations. Includes payroll for administrative staff, clerks and interns. </v>
      </c>
      <c r="M183" t="str">
        <f>IFERROR(VLOOKUP($B183,ChartOfAccounts!A182:B267,2,FALSE),"")</f>
        <v/>
      </c>
      <c r="N183" t="str">
        <f>IFERROR(VLOOKUP($B183,ChartOfAccounts!C182:D267,2,FALSE),"")</f>
        <v/>
      </c>
      <c r="O183" t="str">
        <f>IFERROR(VLOOKUP($B183,ChartOfAccounts!E182:F267,2,FALSE),"")</f>
        <v/>
      </c>
      <c r="P183" t="str">
        <f>IFERROR(VLOOKUP(D183,PreparerInfo!A182:B194,2,FALSE),"")</f>
        <v/>
      </c>
      <c r="Q183" t="str">
        <f>IFERROR(VLOOKUP(E183,Source!A182:B190,2,FALSE),"")</f>
        <v/>
      </c>
    </row>
    <row r="184" spans="1:17" x14ac:dyDescent="0.3">
      <c r="A184" s="3">
        <v>2033611</v>
      </c>
      <c r="B184">
        <v>51400</v>
      </c>
      <c r="C184">
        <v>2</v>
      </c>
      <c r="D184" s="9">
        <v>105</v>
      </c>
      <c r="E184">
        <v>1006</v>
      </c>
      <c r="F184" s="1">
        <v>44005</v>
      </c>
      <c r="G184" t="s">
        <v>55</v>
      </c>
      <c r="H184" s="4">
        <v>206.41</v>
      </c>
      <c r="I184" s="4" t="s">
        <v>16</v>
      </c>
      <c r="J184" s="4">
        <v>206.41</v>
      </c>
      <c r="K184" t="str">
        <f>VLOOKUP($C184,Table1[#All],2,FALSE)</f>
        <v>HOTEL</v>
      </c>
      <c r="L184" t="str">
        <f>VLOOKUP($C184,Table1[#All],3,FALSE)</f>
        <v xml:space="preserve">Transactions related to guest rooms and overall hotel operations. Includes payroll for administrative staff, clerks and interns. </v>
      </c>
      <c r="M184" t="str">
        <f>IFERROR(VLOOKUP($B184,ChartOfAccounts!A183:B268,2,FALSE),"")</f>
        <v/>
      </c>
      <c r="N184" t="str">
        <f>IFERROR(VLOOKUP($B184,ChartOfAccounts!C183:D268,2,FALSE),"")</f>
        <v/>
      </c>
      <c r="O184" t="str">
        <f>IFERROR(VLOOKUP($B184,ChartOfAccounts!E183:F268,2,FALSE),"")</f>
        <v/>
      </c>
      <c r="P184" t="str">
        <f>IFERROR(VLOOKUP(D184,PreparerInfo!A183:B195,2,FALSE),"")</f>
        <v/>
      </c>
      <c r="Q184" t="str">
        <f>IFERROR(VLOOKUP(E184,Source!A183:B191,2,FALSE),"")</f>
        <v/>
      </c>
    </row>
    <row r="185" spans="1:17" x14ac:dyDescent="0.3">
      <c r="A185" s="3">
        <v>2033611</v>
      </c>
      <c r="B185">
        <v>22110</v>
      </c>
      <c r="C185">
        <v>2</v>
      </c>
      <c r="D185" s="9">
        <v>105</v>
      </c>
      <c r="E185">
        <v>1006</v>
      </c>
      <c r="F185" s="1">
        <v>44005</v>
      </c>
      <c r="G185" t="s">
        <v>55</v>
      </c>
      <c r="H185" s="4" t="s">
        <v>16</v>
      </c>
      <c r="I185" s="4">
        <v>-206.41</v>
      </c>
      <c r="J185" s="4">
        <v>-206.41</v>
      </c>
      <c r="K185" t="str">
        <f>VLOOKUP($C185,Table1[#All],2,FALSE)</f>
        <v>HOTEL</v>
      </c>
      <c r="L185" t="str">
        <f>VLOOKUP($C185,Table1[#All],3,FALSE)</f>
        <v xml:space="preserve">Transactions related to guest rooms and overall hotel operations. Includes payroll for administrative staff, clerks and interns. </v>
      </c>
      <c r="M185" t="str">
        <f>IFERROR(VLOOKUP($B185,ChartOfAccounts!A184:B269,2,FALSE),"")</f>
        <v/>
      </c>
      <c r="N185" t="str">
        <f>IFERROR(VLOOKUP($B185,ChartOfAccounts!C184:D269,2,FALSE),"")</f>
        <v/>
      </c>
      <c r="O185" t="str">
        <f>IFERROR(VLOOKUP($B185,ChartOfAccounts!E184:F269,2,FALSE),"")</f>
        <v/>
      </c>
      <c r="P185" t="str">
        <f>IFERROR(VLOOKUP(D185,PreparerInfo!A184:B196,2,FALSE),"")</f>
        <v/>
      </c>
      <c r="Q185" t="str">
        <f>IFERROR(VLOOKUP(E185,Source!A184:B192,2,FALSE),"")</f>
        <v/>
      </c>
    </row>
    <row r="186" spans="1:17" x14ac:dyDescent="0.3">
      <c r="A186" s="3">
        <v>2033612</v>
      </c>
      <c r="B186">
        <v>11845</v>
      </c>
      <c r="C186">
        <v>1</v>
      </c>
      <c r="D186" s="9">
        <v>102</v>
      </c>
      <c r="E186">
        <v>1001</v>
      </c>
      <c r="F186" s="1">
        <v>44005</v>
      </c>
      <c r="G186" t="s">
        <v>41</v>
      </c>
      <c r="H186" s="4">
        <v>207.83</v>
      </c>
      <c r="I186" s="4" t="s">
        <v>16</v>
      </c>
      <c r="J186" s="4">
        <v>207.83</v>
      </c>
      <c r="K186" t="str">
        <f>VLOOKUP($C186,Table1[#All],2,FALSE)</f>
        <v>FOOD SERVICE</v>
      </c>
      <c r="L186" t="str">
        <f>VLOOKUP($C186,Table1[#All],3,FALSE)</f>
        <v xml:space="preserve">Transactions related to food and beverage service. Includes all guest transactions in the hotel restaurants, catering-related transactions and food service payroll. </v>
      </c>
      <c r="M186" t="str">
        <f>IFERROR(VLOOKUP($B186,ChartOfAccounts!A185:B270,2,FALSE),"")</f>
        <v/>
      </c>
      <c r="N186" t="str">
        <f>IFERROR(VLOOKUP($B186,ChartOfAccounts!C185:D270,2,FALSE),"")</f>
        <v/>
      </c>
      <c r="O186" t="str">
        <f>IFERROR(VLOOKUP($B186,ChartOfAccounts!E185:F270,2,FALSE),"")</f>
        <v/>
      </c>
      <c r="P186" t="str">
        <f>IFERROR(VLOOKUP(D186,PreparerInfo!A185:B197,2,FALSE),"")</f>
        <v/>
      </c>
      <c r="Q186" t="str">
        <f>IFERROR(VLOOKUP(E186,Source!A185:B193,2,FALSE),"")</f>
        <v/>
      </c>
    </row>
    <row r="187" spans="1:17" x14ac:dyDescent="0.3">
      <c r="A187" s="3">
        <v>2033612</v>
      </c>
      <c r="B187">
        <v>43310</v>
      </c>
      <c r="C187">
        <v>1</v>
      </c>
      <c r="D187" s="9">
        <v>102</v>
      </c>
      <c r="E187">
        <v>1001</v>
      </c>
      <c r="F187" s="1">
        <v>44005</v>
      </c>
      <c r="G187" t="s">
        <v>41</v>
      </c>
      <c r="H187" s="4" t="s">
        <v>16</v>
      </c>
      <c r="I187" s="4">
        <v>-207.83</v>
      </c>
      <c r="J187" s="4">
        <v>-207.83</v>
      </c>
      <c r="K187" t="str">
        <f>VLOOKUP($C187,Table1[#All],2,FALSE)</f>
        <v>FOOD SERVICE</v>
      </c>
      <c r="L187" t="str">
        <f>VLOOKUP($C187,Table1[#All],3,FALSE)</f>
        <v xml:space="preserve">Transactions related to food and beverage service. Includes all guest transactions in the hotel restaurants, catering-related transactions and food service payroll. </v>
      </c>
      <c r="M187" t="str">
        <f>IFERROR(VLOOKUP($B187,ChartOfAccounts!A186:B271,2,FALSE),"")</f>
        <v/>
      </c>
      <c r="N187" t="str">
        <f>IFERROR(VLOOKUP($B187,ChartOfAccounts!C186:D271,2,FALSE),"")</f>
        <v/>
      </c>
      <c r="O187" t="str">
        <f>IFERROR(VLOOKUP($B187,ChartOfAccounts!E186:F271,2,FALSE),"")</f>
        <v/>
      </c>
      <c r="P187" t="str">
        <f>IFERROR(VLOOKUP(D187,PreparerInfo!A186:B198,2,FALSE),"")</f>
        <v/>
      </c>
      <c r="Q187" t="str">
        <f>IFERROR(VLOOKUP(E187,Source!A186:B194,2,FALSE),"")</f>
        <v/>
      </c>
    </row>
    <row r="188" spans="1:17" x14ac:dyDescent="0.3">
      <c r="A188" s="3">
        <v>2033613</v>
      </c>
      <c r="B188">
        <v>51402</v>
      </c>
      <c r="C188">
        <v>1</v>
      </c>
      <c r="D188" s="9">
        <v>105</v>
      </c>
      <c r="E188">
        <v>1006</v>
      </c>
      <c r="F188" s="1">
        <v>44005</v>
      </c>
      <c r="G188" t="s">
        <v>55</v>
      </c>
      <c r="H188" s="4">
        <v>238.54</v>
      </c>
      <c r="I188" s="4" t="s">
        <v>16</v>
      </c>
      <c r="J188" s="4">
        <v>238.54</v>
      </c>
      <c r="K188" t="str">
        <f>VLOOKUP($C188,Table1[#All],2,FALSE)</f>
        <v>FOOD SERVICE</v>
      </c>
      <c r="L188" t="str">
        <f>VLOOKUP($C188,Table1[#All],3,FALSE)</f>
        <v xml:space="preserve">Transactions related to food and beverage service. Includes all guest transactions in the hotel restaurants, catering-related transactions and food service payroll. </v>
      </c>
      <c r="M188" t="str">
        <f>IFERROR(VLOOKUP($B188,ChartOfAccounts!A187:B272,2,FALSE),"")</f>
        <v/>
      </c>
      <c r="N188" t="str">
        <f>IFERROR(VLOOKUP($B188,ChartOfAccounts!C187:D272,2,FALSE),"")</f>
        <v/>
      </c>
      <c r="O188" t="str">
        <f>IFERROR(VLOOKUP($B188,ChartOfAccounts!E187:F272,2,FALSE),"")</f>
        <v/>
      </c>
      <c r="P188" t="str">
        <f>IFERROR(VLOOKUP(D188,PreparerInfo!A187:B199,2,FALSE),"")</f>
        <v/>
      </c>
      <c r="Q188" t="str">
        <f>IFERROR(VLOOKUP(E188,Source!A187:B195,2,FALSE),"")</f>
        <v/>
      </c>
    </row>
    <row r="189" spans="1:17" x14ac:dyDescent="0.3">
      <c r="A189" s="3">
        <v>2033613</v>
      </c>
      <c r="B189">
        <v>22110</v>
      </c>
      <c r="C189">
        <v>1</v>
      </c>
      <c r="D189" s="9">
        <v>105</v>
      </c>
      <c r="E189">
        <v>1006</v>
      </c>
      <c r="F189" s="1">
        <v>44005</v>
      </c>
      <c r="G189" t="s">
        <v>55</v>
      </c>
      <c r="H189" s="4" t="s">
        <v>16</v>
      </c>
      <c r="I189" s="4">
        <v>-238.54</v>
      </c>
      <c r="J189" s="4">
        <v>-238.54</v>
      </c>
      <c r="K189" t="str">
        <f>VLOOKUP($C189,Table1[#All],2,FALSE)</f>
        <v>FOOD SERVICE</v>
      </c>
      <c r="L189" t="str">
        <f>VLOOKUP($C189,Table1[#All],3,FALSE)</f>
        <v xml:space="preserve">Transactions related to food and beverage service. Includes all guest transactions in the hotel restaurants, catering-related transactions and food service payroll. </v>
      </c>
      <c r="M189" t="str">
        <f>IFERROR(VLOOKUP($B189,ChartOfAccounts!A188:B273,2,FALSE),"")</f>
        <v/>
      </c>
      <c r="N189" t="str">
        <f>IFERROR(VLOOKUP($B189,ChartOfAccounts!C188:D273,2,FALSE),"")</f>
        <v/>
      </c>
      <c r="O189" t="str">
        <f>IFERROR(VLOOKUP($B189,ChartOfAccounts!E188:F273,2,FALSE),"")</f>
        <v/>
      </c>
      <c r="P189" t="str">
        <f>IFERROR(VLOOKUP(D189,PreparerInfo!A188:B200,2,FALSE),"")</f>
        <v/>
      </c>
      <c r="Q189" t="str">
        <f>IFERROR(VLOOKUP(E189,Source!A188:B196,2,FALSE),"")</f>
        <v/>
      </c>
    </row>
    <row r="190" spans="1:17" x14ac:dyDescent="0.3">
      <c r="A190" s="3">
        <v>2033614</v>
      </c>
      <c r="B190">
        <v>11845</v>
      </c>
      <c r="C190">
        <v>2</v>
      </c>
      <c r="D190" s="9">
        <v>104</v>
      </c>
      <c r="E190">
        <v>1003</v>
      </c>
      <c r="F190" s="1">
        <v>44005</v>
      </c>
      <c r="G190" t="s">
        <v>230</v>
      </c>
      <c r="H190" s="4">
        <v>258</v>
      </c>
      <c r="I190" s="4" t="s">
        <v>16</v>
      </c>
      <c r="J190" s="4">
        <v>258</v>
      </c>
      <c r="K190" t="str">
        <f>VLOOKUP($C190,Table1[#All],2,FALSE)</f>
        <v>HOTEL</v>
      </c>
      <c r="L190" t="str">
        <f>VLOOKUP($C190,Table1[#All],3,FALSE)</f>
        <v xml:space="preserve">Transactions related to guest rooms and overall hotel operations. Includes payroll for administrative staff, clerks and interns. </v>
      </c>
      <c r="M190" t="str">
        <f>IFERROR(VLOOKUP($B190,ChartOfAccounts!A189:B274,2,FALSE),"")</f>
        <v/>
      </c>
      <c r="N190" t="str">
        <f>IFERROR(VLOOKUP($B190,ChartOfAccounts!C189:D274,2,FALSE),"")</f>
        <v/>
      </c>
      <c r="O190" t="str">
        <f>IFERROR(VLOOKUP($B190,ChartOfAccounts!E189:F274,2,FALSE),"")</f>
        <v/>
      </c>
      <c r="P190" t="str">
        <f>IFERROR(VLOOKUP(D190,PreparerInfo!A189:B201,2,FALSE),"")</f>
        <v/>
      </c>
      <c r="Q190" t="str">
        <f>IFERROR(VLOOKUP(E190,Source!A189:B197,2,FALSE),"")</f>
        <v/>
      </c>
    </row>
    <row r="191" spans="1:17" x14ac:dyDescent="0.3">
      <c r="A191" s="3">
        <v>2033614</v>
      </c>
      <c r="B191">
        <v>43180</v>
      </c>
      <c r="C191">
        <v>2</v>
      </c>
      <c r="D191" s="9">
        <v>104</v>
      </c>
      <c r="E191">
        <v>1003</v>
      </c>
      <c r="F191" s="1">
        <v>44005</v>
      </c>
      <c r="G191" t="s">
        <v>230</v>
      </c>
      <c r="H191" s="4" t="s">
        <v>16</v>
      </c>
      <c r="I191" s="4">
        <v>-258</v>
      </c>
      <c r="J191" s="4">
        <v>-258</v>
      </c>
      <c r="K191" t="str">
        <f>VLOOKUP($C191,Table1[#All],2,FALSE)</f>
        <v>HOTEL</v>
      </c>
      <c r="L191" t="str">
        <f>VLOOKUP($C191,Table1[#All],3,FALSE)</f>
        <v xml:space="preserve">Transactions related to guest rooms and overall hotel operations. Includes payroll for administrative staff, clerks and interns. </v>
      </c>
      <c r="M191" t="str">
        <f>IFERROR(VLOOKUP($B191,ChartOfAccounts!A190:B275,2,FALSE),"")</f>
        <v/>
      </c>
      <c r="N191" t="str">
        <f>IFERROR(VLOOKUP($B191,ChartOfAccounts!C190:D275,2,FALSE),"")</f>
        <v/>
      </c>
      <c r="O191" t="str">
        <f>IFERROR(VLOOKUP($B191,ChartOfAccounts!E190:F275,2,FALSE),"")</f>
        <v/>
      </c>
      <c r="P191" t="str">
        <f>IFERROR(VLOOKUP(D191,PreparerInfo!A190:B202,2,FALSE),"")</f>
        <v/>
      </c>
      <c r="Q191" t="str">
        <f>IFERROR(VLOOKUP(E191,Source!A190:B198,2,FALSE),"")</f>
        <v/>
      </c>
    </row>
    <row r="192" spans="1:17" x14ac:dyDescent="0.3">
      <c r="A192" s="3">
        <v>2033615</v>
      </c>
      <c r="B192">
        <v>51610</v>
      </c>
      <c r="C192">
        <v>1</v>
      </c>
      <c r="D192" s="9">
        <v>105</v>
      </c>
      <c r="E192">
        <v>1006</v>
      </c>
      <c r="F192" s="1">
        <v>44005</v>
      </c>
      <c r="G192" t="s">
        <v>65</v>
      </c>
      <c r="H192" s="4">
        <v>293.83</v>
      </c>
      <c r="I192" s="4" t="s">
        <v>16</v>
      </c>
      <c r="J192" s="4">
        <v>293.83</v>
      </c>
      <c r="K192" t="str">
        <f>VLOOKUP($C192,Table1[#All],2,FALSE)</f>
        <v>FOOD SERVICE</v>
      </c>
      <c r="L192" t="str">
        <f>VLOOKUP($C192,Table1[#All],3,FALSE)</f>
        <v xml:space="preserve">Transactions related to food and beverage service. Includes all guest transactions in the hotel restaurants, catering-related transactions and food service payroll. </v>
      </c>
      <c r="M192" t="str">
        <f>IFERROR(VLOOKUP($B192,ChartOfAccounts!A191:B276,2,FALSE),"")</f>
        <v/>
      </c>
      <c r="N192" t="str">
        <f>IFERROR(VLOOKUP($B192,ChartOfAccounts!C191:D276,2,FALSE),"")</f>
        <v/>
      </c>
      <c r="O192" t="str">
        <f>IFERROR(VLOOKUP($B192,ChartOfAccounts!E191:F276,2,FALSE),"")</f>
        <v/>
      </c>
      <c r="P192" t="str">
        <f>IFERROR(VLOOKUP(D192,PreparerInfo!A191:B203,2,FALSE),"")</f>
        <v/>
      </c>
      <c r="Q192" t="str">
        <f>IFERROR(VLOOKUP(E192,Source!A191:B199,2,FALSE),"")</f>
        <v/>
      </c>
    </row>
    <row r="193" spans="1:17" x14ac:dyDescent="0.3">
      <c r="A193" s="3">
        <v>2033615</v>
      </c>
      <c r="B193">
        <v>22110</v>
      </c>
      <c r="C193">
        <v>1</v>
      </c>
      <c r="D193" s="9">
        <v>105</v>
      </c>
      <c r="E193">
        <v>1006</v>
      </c>
      <c r="F193" s="1">
        <v>44005</v>
      </c>
      <c r="G193" t="s">
        <v>65</v>
      </c>
      <c r="H193" s="4" t="s">
        <v>16</v>
      </c>
      <c r="I193" s="4">
        <v>-293.83</v>
      </c>
      <c r="J193" s="4">
        <v>-293.83</v>
      </c>
      <c r="K193" t="str">
        <f>VLOOKUP($C193,Table1[#All],2,FALSE)</f>
        <v>FOOD SERVICE</v>
      </c>
      <c r="L193" t="str">
        <f>VLOOKUP($C193,Table1[#All],3,FALSE)</f>
        <v xml:space="preserve">Transactions related to food and beverage service. Includes all guest transactions in the hotel restaurants, catering-related transactions and food service payroll. </v>
      </c>
      <c r="M193" t="str">
        <f>IFERROR(VLOOKUP($B193,ChartOfAccounts!A192:B277,2,FALSE),"")</f>
        <v/>
      </c>
      <c r="N193" t="str">
        <f>IFERROR(VLOOKUP($B193,ChartOfAccounts!C192:D277,2,FALSE),"")</f>
        <v/>
      </c>
      <c r="O193" t="str">
        <f>IFERROR(VLOOKUP($B193,ChartOfAccounts!E192:F277,2,FALSE),"")</f>
        <v/>
      </c>
      <c r="P193" t="str">
        <f>IFERROR(VLOOKUP(D193,PreparerInfo!A192:B204,2,FALSE),"")</f>
        <v/>
      </c>
      <c r="Q193" t="str">
        <f>IFERROR(VLOOKUP(E193,Source!A192:B200,2,FALSE),"")</f>
        <v/>
      </c>
    </row>
    <row r="194" spans="1:17" x14ac:dyDescent="0.3">
      <c r="A194" s="3">
        <v>2033616</v>
      </c>
      <c r="B194">
        <v>51510</v>
      </c>
      <c r="C194">
        <v>6</v>
      </c>
      <c r="D194" s="9">
        <v>105</v>
      </c>
      <c r="E194">
        <v>1006</v>
      </c>
      <c r="F194" s="1">
        <v>44005</v>
      </c>
      <c r="G194" t="s">
        <v>62</v>
      </c>
      <c r="H194" s="4">
        <v>312.14</v>
      </c>
      <c r="I194" s="4" t="s">
        <v>16</v>
      </c>
      <c r="J194" s="4">
        <v>312.14</v>
      </c>
      <c r="K194" t="str">
        <f>VLOOKUP($C194,Table1[#All],2,FALSE)</f>
        <v>MAINTENANCE</v>
      </c>
      <c r="L194" t="str">
        <f>VLOOKUP($C194,Table1[#All],3,FALSE)</f>
        <v>Transactions related to the hotel Maintenance Department. Primarily includes payroll for maintenance, grounds keepers and related supplies.</v>
      </c>
      <c r="M194" t="str">
        <f>IFERROR(VLOOKUP($B194,ChartOfAccounts!A193:B278,2,FALSE),"")</f>
        <v/>
      </c>
      <c r="N194" t="str">
        <f>IFERROR(VLOOKUP($B194,ChartOfAccounts!C193:D278,2,FALSE),"")</f>
        <v/>
      </c>
      <c r="O194" t="str">
        <f>IFERROR(VLOOKUP($B194,ChartOfAccounts!E193:F278,2,FALSE),"")</f>
        <v/>
      </c>
      <c r="P194" t="str">
        <f>IFERROR(VLOOKUP(D194,PreparerInfo!A193:B205,2,FALSE),"")</f>
        <v/>
      </c>
      <c r="Q194" t="str">
        <f>IFERROR(VLOOKUP(E194,Source!A193:B201,2,FALSE),"")</f>
        <v/>
      </c>
    </row>
    <row r="195" spans="1:17" x14ac:dyDescent="0.3">
      <c r="A195" s="3">
        <v>2033616</v>
      </c>
      <c r="B195">
        <v>22110</v>
      </c>
      <c r="C195">
        <v>6</v>
      </c>
      <c r="D195" s="9">
        <v>105</v>
      </c>
      <c r="E195">
        <v>1006</v>
      </c>
      <c r="F195" s="1">
        <v>44005</v>
      </c>
      <c r="G195" t="s">
        <v>62</v>
      </c>
      <c r="H195" s="4" t="s">
        <v>16</v>
      </c>
      <c r="I195" s="4">
        <v>-312.14</v>
      </c>
      <c r="J195" s="4">
        <v>-312.14</v>
      </c>
      <c r="K195" t="str">
        <f>VLOOKUP($C195,Table1[#All],2,FALSE)</f>
        <v>MAINTENANCE</v>
      </c>
      <c r="L195" t="str">
        <f>VLOOKUP($C195,Table1[#All],3,FALSE)</f>
        <v>Transactions related to the hotel Maintenance Department. Primarily includes payroll for maintenance, grounds keepers and related supplies.</v>
      </c>
      <c r="M195" t="str">
        <f>IFERROR(VLOOKUP($B195,ChartOfAccounts!A194:B279,2,FALSE),"")</f>
        <v/>
      </c>
      <c r="N195" t="str">
        <f>IFERROR(VLOOKUP($B195,ChartOfAccounts!C194:D279,2,FALSE),"")</f>
        <v/>
      </c>
      <c r="O195" t="str">
        <f>IFERROR(VLOOKUP($B195,ChartOfAccounts!E194:F279,2,FALSE),"")</f>
        <v/>
      </c>
      <c r="P195" t="str">
        <f>IFERROR(VLOOKUP(D195,PreparerInfo!A194:B206,2,FALSE),"")</f>
        <v/>
      </c>
      <c r="Q195" t="str">
        <f>IFERROR(VLOOKUP(E195,Source!A194:B202,2,FALSE),"")</f>
        <v/>
      </c>
    </row>
    <row r="196" spans="1:17" x14ac:dyDescent="0.3">
      <c r="A196" s="3">
        <v>2033617</v>
      </c>
      <c r="B196">
        <v>11845</v>
      </c>
      <c r="C196">
        <v>1</v>
      </c>
      <c r="D196" s="9">
        <v>102</v>
      </c>
      <c r="E196">
        <v>1003</v>
      </c>
      <c r="F196" s="1">
        <v>44005</v>
      </c>
      <c r="G196" t="s">
        <v>15</v>
      </c>
      <c r="H196" s="4">
        <v>339.08</v>
      </c>
      <c r="I196" s="4" t="s">
        <v>16</v>
      </c>
      <c r="J196" s="4">
        <v>339.08</v>
      </c>
      <c r="K196" t="str">
        <f>VLOOKUP($C196,Table1[#All],2,FALSE)</f>
        <v>FOOD SERVICE</v>
      </c>
      <c r="L196" t="str">
        <f>VLOOKUP($C196,Table1[#All],3,FALSE)</f>
        <v xml:space="preserve">Transactions related to food and beverage service. Includes all guest transactions in the hotel restaurants, catering-related transactions and food service payroll. </v>
      </c>
      <c r="M196" t="str">
        <f>IFERROR(VLOOKUP($B196,ChartOfAccounts!A195:B280,2,FALSE),"")</f>
        <v/>
      </c>
      <c r="N196" t="str">
        <f>IFERROR(VLOOKUP($B196,ChartOfAccounts!C195:D280,2,FALSE),"")</f>
        <v/>
      </c>
      <c r="O196" t="str">
        <f>IFERROR(VLOOKUP($B196,ChartOfAccounts!E195:F280,2,FALSE),"")</f>
        <v/>
      </c>
      <c r="P196" t="str">
        <f>IFERROR(VLOOKUP(D196,PreparerInfo!A195:B207,2,FALSE),"")</f>
        <v/>
      </c>
      <c r="Q196" t="str">
        <f>IFERROR(VLOOKUP(E196,Source!A195:B203,2,FALSE),"")</f>
        <v/>
      </c>
    </row>
    <row r="197" spans="1:17" x14ac:dyDescent="0.3">
      <c r="A197" s="3">
        <v>2033617</v>
      </c>
      <c r="B197">
        <v>43310</v>
      </c>
      <c r="C197">
        <v>1</v>
      </c>
      <c r="D197" s="9">
        <v>102</v>
      </c>
      <c r="E197">
        <v>1003</v>
      </c>
      <c r="F197" s="1">
        <v>44005</v>
      </c>
      <c r="G197" t="s">
        <v>15</v>
      </c>
      <c r="H197" s="4" t="s">
        <v>16</v>
      </c>
      <c r="I197" s="4">
        <v>-339.08</v>
      </c>
      <c r="J197" s="4">
        <v>-339.08</v>
      </c>
      <c r="K197" t="str">
        <f>VLOOKUP($C197,Table1[#All],2,FALSE)</f>
        <v>FOOD SERVICE</v>
      </c>
      <c r="L197" t="str">
        <f>VLOOKUP($C197,Table1[#All],3,FALSE)</f>
        <v xml:space="preserve">Transactions related to food and beverage service. Includes all guest transactions in the hotel restaurants, catering-related transactions and food service payroll. </v>
      </c>
      <c r="M197" t="str">
        <f>IFERROR(VLOOKUP($B197,ChartOfAccounts!A196:B281,2,FALSE),"")</f>
        <v/>
      </c>
      <c r="N197" t="str">
        <f>IFERROR(VLOOKUP($B197,ChartOfAccounts!C196:D281,2,FALSE),"")</f>
        <v/>
      </c>
      <c r="O197" t="str">
        <f>IFERROR(VLOOKUP($B197,ChartOfAccounts!E196:F281,2,FALSE),"")</f>
        <v/>
      </c>
      <c r="P197" t="str">
        <f>IFERROR(VLOOKUP(D197,PreparerInfo!A196:B208,2,FALSE),"")</f>
        <v/>
      </c>
      <c r="Q197" t="str">
        <f>IFERROR(VLOOKUP(E197,Source!A196:B204,2,FALSE),"")</f>
        <v/>
      </c>
    </row>
    <row r="198" spans="1:17" x14ac:dyDescent="0.3">
      <c r="A198" s="3">
        <v>2033618</v>
      </c>
      <c r="B198">
        <v>71400</v>
      </c>
      <c r="C198">
        <v>2</v>
      </c>
      <c r="D198" s="9">
        <v>101</v>
      </c>
      <c r="E198">
        <v>1002</v>
      </c>
      <c r="F198" s="1">
        <v>44005</v>
      </c>
      <c r="G198" t="s">
        <v>231</v>
      </c>
      <c r="H198" s="4">
        <v>375</v>
      </c>
      <c r="I198" s="4" t="s">
        <v>16</v>
      </c>
      <c r="J198" s="4">
        <v>375</v>
      </c>
      <c r="K198" t="str">
        <f>VLOOKUP($C198,Table1[#All],2,FALSE)</f>
        <v>HOTEL</v>
      </c>
      <c r="L198" t="str">
        <f>VLOOKUP($C198,Table1[#All],3,FALSE)</f>
        <v xml:space="preserve">Transactions related to guest rooms and overall hotel operations. Includes payroll for administrative staff, clerks and interns. </v>
      </c>
      <c r="M198" t="str">
        <f>IFERROR(VLOOKUP($B198,ChartOfAccounts!A197:B282,2,FALSE),"")</f>
        <v/>
      </c>
      <c r="N198" t="str">
        <f>IFERROR(VLOOKUP($B198,ChartOfAccounts!C197:D282,2,FALSE),"")</f>
        <v/>
      </c>
      <c r="O198" t="str">
        <f>IFERROR(VLOOKUP($B198,ChartOfAccounts!E197:F282,2,FALSE),"")</f>
        <v/>
      </c>
      <c r="P198" t="str">
        <f>IFERROR(VLOOKUP(D198,PreparerInfo!A197:B209,2,FALSE),"")</f>
        <v/>
      </c>
      <c r="Q198" t="str">
        <f>IFERROR(VLOOKUP(E198,Source!A197:B205,2,FALSE),"")</f>
        <v/>
      </c>
    </row>
    <row r="199" spans="1:17" x14ac:dyDescent="0.3">
      <c r="A199" s="3">
        <v>2033618</v>
      </c>
      <c r="B199">
        <v>11845</v>
      </c>
      <c r="C199">
        <v>2</v>
      </c>
      <c r="D199" s="9">
        <v>101</v>
      </c>
      <c r="E199">
        <v>1002</v>
      </c>
      <c r="F199" s="1">
        <v>44005</v>
      </c>
      <c r="G199" t="s">
        <v>231</v>
      </c>
      <c r="H199" s="4" t="s">
        <v>16</v>
      </c>
      <c r="I199" s="4">
        <v>-375</v>
      </c>
      <c r="J199" s="4">
        <v>-375</v>
      </c>
      <c r="K199" t="str">
        <f>VLOOKUP($C199,Table1[#All],2,FALSE)</f>
        <v>HOTEL</v>
      </c>
      <c r="L199" t="str">
        <f>VLOOKUP($C199,Table1[#All],3,FALSE)</f>
        <v xml:space="preserve">Transactions related to guest rooms and overall hotel operations. Includes payroll for administrative staff, clerks and interns. </v>
      </c>
      <c r="M199" t="str">
        <f>IFERROR(VLOOKUP($B199,ChartOfAccounts!A198:B283,2,FALSE),"")</f>
        <v/>
      </c>
      <c r="N199" t="str">
        <f>IFERROR(VLOOKUP($B199,ChartOfAccounts!C198:D283,2,FALSE),"")</f>
        <v/>
      </c>
      <c r="O199" t="str">
        <f>IFERROR(VLOOKUP($B199,ChartOfAccounts!E198:F283,2,FALSE),"")</f>
        <v/>
      </c>
      <c r="P199" t="str">
        <f>IFERROR(VLOOKUP(D199,PreparerInfo!A198:B210,2,FALSE),"")</f>
        <v/>
      </c>
      <c r="Q199" t="str">
        <f>IFERROR(VLOOKUP(E199,Source!A198:B206,2,FALSE),"")</f>
        <v/>
      </c>
    </row>
    <row r="200" spans="1:17" x14ac:dyDescent="0.3">
      <c r="A200" s="3">
        <v>2033619</v>
      </c>
      <c r="B200">
        <v>71400</v>
      </c>
      <c r="C200">
        <v>2</v>
      </c>
      <c r="D200" s="9">
        <v>101</v>
      </c>
      <c r="E200">
        <v>1002</v>
      </c>
      <c r="F200" s="1">
        <v>44005</v>
      </c>
      <c r="G200" t="s">
        <v>232</v>
      </c>
      <c r="H200" s="4">
        <v>388.5</v>
      </c>
      <c r="I200" s="4" t="s">
        <v>16</v>
      </c>
      <c r="J200" s="4">
        <v>388.5</v>
      </c>
      <c r="K200" t="str">
        <f>VLOOKUP($C200,Table1[#All],2,FALSE)</f>
        <v>HOTEL</v>
      </c>
      <c r="L200" t="str">
        <f>VLOOKUP($C200,Table1[#All],3,FALSE)</f>
        <v xml:space="preserve">Transactions related to guest rooms and overall hotel operations. Includes payroll for administrative staff, clerks and interns. </v>
      </c>
      <c r="M200" t="str">
        <f>IFERROR(VLOOKUP($B200,ChartOfAccounts!A199:B284,2,FALSE),"")</f>
        <v/>
      </c>
      <c r="N200" t="str">
        <f>IFERROR(VLOOKUP($B200,ChartOfAccounts!C199:D284,2,FALSE),"")</f>
        <v/>
      </c>
      <c r="O200" t="str">
        <f>IFERROR(VLOOKUP($B200,ChartOfAccounts!E199:F284,2,FALSE),"")</f>
        <v/>
      </c>
      <c r="P200" t="str">
        <f>IFERROR(VLOOKUP(D200,PreparerInfo!A199:B211,2,FALSE),"")</f>
        <v/>
      </c>
      <c r="Q200" t="str">
        <f>IFERROR(VLOOKUP(E200,Source!A199:B207,2,FALSE),"")</f>
        <v/>
      </c>
    </row>
    <row r="201" spans="1:17" x14ac:dyDescent="0.3">
      <c r="A201" s="3">
        <v>2033619</v>
      </c>
      <c r="B201">
        <v>11845</v>
      </c>
      <c r="C201">
        <v>2</v>
      </c>
      <c r="D201" s="9">
        <v>101</v>
      </c>
      <c r="E201">
        <v>1002</v>
      </c>
      <c r="F201" s="1">
        <v>44005</v>
      </c>
      <c r="G201" t="s">
        <v>232</v>
      </c>
      <c r="H201" s="4" t="s">
        <v>16</v>
      </c>
      <c r="I201" s="4">
        <v>-388.5</v>
      </c>
      <c r="J201" s="4">
        <v>-388.5</v>
      </c>
      <c r="K201" t="str">
        <f>VLOOKUP($C201,Table1[#All],2,FALSE)</f>
        <v>HOTEL</v>
      </c>
      <c r="L201" t="str">
        <f>VLOOKUP($C201,Table1[#All],3,FALSE)</f>
        <v xml:space="preserve">Transactions related to guest rooms and overall hotel operations. Includes payroll for administrative staff, clerks and interns. </v>
      </c>
      <c r="M201" t="str">
        <f>IFERROR(VLOOKUP($B201,ChartOfAccounts!A200:B285,2,FALSE),"")</f>
        <v/>
      </c>
      <c r="N201" t="str">
        <f>IFERROR(VLOOKUP($B201,ChartOfAccounts!C200:D285,2,FALSE),"")</f>
        <v/>
      </c>
      <c r="O201" t="str">
        <f>IFERROR(VLOOKUP($B201,ChartOfAccounts!E200:F285,2,FALSE),"")</f>
        <v/>
      </c>
      <c r="P201" t="str">
        <f>IFERROR(VLOOKUP(D201,PreparerInfo!A200:B212,2,FALSE),"")</f>
        <v/>
      </c>
      <c r="Q201" t="str">
        <f>IFERROR(VLOOKUP(E201,Source!A200:B208,2,FALSE),"")</f>
        <v/>
      </c>
    </row>
    <row r="202" spans="1:17" x14ac:dyDescent="0.3">
      <c r="A202" s="3">
        <v>2033620</v>
      </c>
      <c r="B202">
        <v>51510</v>
      </c>
      <c r="C202">
        <v>2</v>
      </c>
      <c r="D202" s="9">
        <v>105</v>
      </c>
      <c r="E202">
        <v>1006</v>
      </c>
      <c r="F202" s="1">
        <v>44005</v>
      </c>
      <c r="G202" t="s">
        <v>62</v>
      </c>
      <c r="H202" s="4">
        <v>414.06</v>
      </c>
      <c r="I202" s="4" t="s">
        <v>16</v>
      </c>
      <c r="J202" s="4">
        <v>414.06</v>
      </c>
      <c r="K202" t="str">
        <f>VLOOKUP($C202,Table1[#All],2,FALSE)</f>
        <v>HOTEL</v>
      </c>
      <c r="L202" t="str">
        <f>VLOOKUP($C202,Table1[#All],3,FALSE)</f>
        <v xml:space="preserve">Transactions related to guest rooms and overall hotel operations. Includes payroll for administrative staff, clerks and interns. </v>
      </c>
      <c r="M202" t="str">
        <f>IFERROR(VLOOKUP($B202,ChartOfAccounts!A201:B286,2,FALSE),"")</f>
        <v/>
      </c>
      <c r="N202" t="str">
        <f>IFERROR(VLOOKUP($B202,ChartOfAccounts!C201:D286,2,FALSE),"")</f>
        <v/>
      </c>
      <c r="O202" t="str">
        <f>IFERROR(VLOOKUP($B202,ChartOfAccounts!E201:F286,2,FALSE),"")</f>
        <v/>
      </c>
      <c r="P202" t="str">
        <f>IFERROR(VLOOKUP(D202,PreparerInfo!A201:B213,2,FALSE),"")</f>
        <v/>
      </c>
      <c r="Q202" t="str">
        <f>IFERROR(VLOOKUP(E202,Source!A201:B209,2,FALSE),"")</f>
        <v/>
      </c>
    </row>
    <row r="203" spans="1:17" x14ac:dyDescent="0.3">
      <c r="A203" s="3">
        <v>2033620</v>
      </c>
      <c r="B203">
        <v>22110</v>
      </c>
      <c r="C203">
        <v>2</v>
      </c>
      <c r="D203" s="9">
        <v>105</v>
      </c>
      <c r="E203">
        <v>1006</v>
      </c>
      <c r="F203" s="1">
        <v>44005</v>
      </c>
      <c r="G203" t="s">
        <v>62</v>
      </c>
      <c r="H203" s="4" t="s">
        <v>16</v>
      </c>
      <c r="I203" s="4">
        <v>-414.06</v>
      </c>
      <c r="J203" s="4">
        <v>-414.06</v>
      </c>
      <c r="K203" t="str">
        <f>VLOOKUP($C203,Table1[#All],2,FALSE)</f>
        <v>HOTEL</v>
      </c>
      <c r="L203" t="str">
        <f>VLOOKUP($C203,Table1[#All],3,FALSE)</f>
        <v xml:space="preserve">Transactions related to guest rooms and overall hotel operations. Includes payroll for administrative staff, clerks and interns. </v>
      </c>
      <c r="M203" t="str">
        <f>IFERROR(VLOOKUP($B203,ChartOfAccounts!A202:B287,2,FALSE),"")</f>
        <v/>
      </c>
      <c r="N203" t="str">
        <f>IFERROR(VLOOKUP($B203,ChartOfAccounts!C202:D287,2,FALSE),"")</f>
        <v/>
      </c>
      <c r="O203" t="str">
        <f>IFERROR(VLOOKUP($B203,ChartOfAccounts!E202:F287,2,FALSE),"")</f>
        <v/>
      </c>
      <c r="P203" t="str">
        <f>IFERROR(VLOOKUP(D203,PreparerInfo!A202:B214,2,FALSE),"")</f>
        <v/>
      </c>
      <c r="Q203" t="str">
        <f>IFERROR(VLOOKUP(E203,Source!A202:B210,2,FALSE),"")</f>
        <v/>
      </c>
    </row>
    <row r="204" spans="1:17" x14ac:dyDescent="0.3">
      <c r="A204" s="3">
        <v>2033621</v>
      </c>
      <c r="B204">
        <v>51400</v>
      </c>
      <c r="C204">
        <v>4</v>
      </c>
      <c r="D204" s="9">
        <v>105</v>
      </c>
      <c r="E204">
        <v>1006</v>
      </c>
      <c r="F204" s="1">
        <v>44005</v>
      </c>
      <c r="G204" t="s">
        <v>55</v>
      </c>
      <c r="H204" s="4">
        <v>518.32000000000005</v>
      </c>
      <c r="I204" s="4" t="s">
        <v>16</v>
      </c>
      <c r="J204" s="4">
        <v>518.32000000000005</v>
      </c>
      <c r="K204" t="str">
        <f>VLOOKUP($C204,Table1[#All],2,FALSE)</f>
        <v>HOUSEKEEPING</v>
      </c>
      <c r="L204" t="str">
        <f>VLOOKUP($C204,Table1[#All],3,FALSE)</f>
        <v xml:space="preserve">Transactions related to the Housekeeping Department. Primarily includes payroll for housekeepers and housekeeping supplies. </v>
      </c>
      <c r="M204" t="str">
        <f>IFERROR(VLOOKUP($B204,ChartOfAccounts!A203:B288,2,FALSE),"")</f>
        <v/>
      </c>
      <c r="N204" t="str">
        <f>IFERROR(VLOOKUP($B204,ChartOfAccounts!C203:D288,2,FALSE),"")</f>
        <v/>
      </c>
      <c r="O204" t="str">
        <f>IFERROR(VLOOKUP($B204,ChartOfAccounts!E203:F288,2,FALSE),"")</f>
        <v/>
      </c>
      <c r="P204" t="str">
        <f>IFERROR(VLOOKUP(D204,PreparerInfo!A203:B215,2,FALSE),"")</f>
        <v/>
      </c>
      <c r="Q204" t="str">
        <f>IFERROR(VLOOKUP(E204,Source!A203:B211,2,FALSE),"")</f>
        <v/>
      </c>
    </row>
    <row r="205" spans="1:17" x14ac:dyDescent="0.3">
      <c r="A205" s="3">
        <v>2033621</v>
      </c>
      <c r="B205">
        <v>22110</v>
      </c>
      <c r="C205">
        <v>4</v>
      </c>
      <c r="D205" s="9">
        <v>105</v>
      </c>
      <c r="E205">
        <v>1006</v>
      </c>
      <c r="F205" s="1">
        <v>44005</v>
      </c>
      <c r="G205" t="s">
        <v>55</v>
      </c>
      <c r="H205" s="4" t="s">
        <v>16</v>
      </c>
      <c r="I205" s="4">
        <v>-518.32000000000005</v>
      </c>
      <c r="J205" s="4">
        <v>-518.32000000000005</v>
      </c>
      <c r="K205" t="str">
        <f>VLOOKUP($C205,Table1[#All],2,FALSE)</f>
        <v>HOUSEKEEPING</v>
      </c>
      <c r="L205" t="str">
        <f>VLOOKUP($C205,Table1[#All],3,FALSE)</f>
        <v xml:space="preserve">Transactions related to the Housekeeping Department. Primarily includes payroll for housekeepers and housekeeping supplies. </v>
      </c>
      <c r="M205" t="str">
        <f>IFERROR(VLOOKUP($B205,ChartOfAccounts!A204:B289,2,FALSE),"")</f>
        <v/>
      </c>
      <c r="N205" t="str">
        <f>IFERROR(VLOOKUP($B205,ChartOfAccounts!C204:D289,2,FALSE),"")</f>
        <v/>
      </c>
      <c r="O205" t="str">
        <f>IFERROR(VLOOKUP($B205,ChartOfAccounts!E204:F289,2,FALSE),"")</f>
        <v/>
      </c>
      <c r="P205" t="str">
        <f>IFERROR(VLOOKUP(D205,PreparerInfo!A204:B216,2,FALSE),"")</f>
        <v/>
      </c>
      <c r="Q205" t="str">
        <f>IFERROR(VLOOKUP(E205,Source!A204:B212,2,FALSE),"")</f>
        <v/>
      </c>
    </row>
    <row r="206" spans="1:17" x14ac:dyDescent="0.3">
      <c r="A206" s="3">
        <v>2033622</v>
      </c>
      <c r="B206">
        <v>51610</v>
      </c>
      <c r="C206">
        <v>2</v>
      </c>
      <c r="D206" s="9">
        <v>105</v>
      </c>
      <c r="E206">
        <v>1006</v>
      </c>
      <c r="F206" s="1">
        <v>44005</v>
      </c>
      <c r="G206" t="s">
        <v>66</v>
      </c>
      <c r="H206" s="4">
        <v>581</v>
      </c>
      <c r="I206" s="4" t="s">
        <v>16</v>
      </c>
      <c r="J206" s="4">
        <v>581</v>
      </c>
      <c r="K206" t="str">
        <f>VLOOKUP($C206,Table1[#All],2,FALSE)</f>
        <v>HOTEL</v>
      </c>
      <c r="L206" t="str">
        <f>VLOOKUP($C206,Table1[#All],3,FALSE)</f>
        <v xml:space="preserve">Transactions related to guest rooms and overall hotel operations. Includes payroll for administrative staff, clerks and interns. </v>
      </c>
      <c r="M206" t="str">
        <f>IFERROR(VLOOKUP($B206,ChartOfAccounts!A205:B290,2,FALSE),"")</f>
        <v/>
      </c>
      <c r="N206" t="str">
        <f>IFERROR(VLOOKUP($B206,ChartOfAccounts!C205:D290,2,FALSE),"")</f>
        <v/>
      </c>
      <c r="O206" t="str">
        <f>IFERROR(VLOOKUP($B206,ChartOfAccounts!E205:F290,2,FALSE),"")</f>
        <v/>
      </c>
      <c r="P206" t="str">
        <f>IFERROR(VLOOKUP(D206,PreparerInfo!A205:B217,2,FALSE),"")</f>
        <v/>
      </c>
      <c r="Q206" t="str">
        <f>IFERROR(VLOOKUP(E206,Source!A205:B213,2,FALSE),"")</f>
        <v/>
      </c>
    </row>
    <row r="207" spans="1:17" x14ac:dyDescent="0.3">
      <c r="A207" s="3">
        <v>2033622</v>
      </c>
      <c r="B207">
        <v>22110</v>
      </c>
      <c r="C207">
        <v>2</v>
      </c>
      <c r="D207" s="9">
        <v>105</v>
      </c>
      <c r="E207">
        <v>1006</v>
      </c>
      <c r="F207" s="1">
        <v>44005</v>
      </c>
      <c r="G207" t="s">
        <v>66</v>
      </c>
      <c r="H207" s="4" t="s">
        <v>16</v>
      </c>
      <c r="I207" s="4">
        <v>-581</v>
      </c>
      <c r="J207" s="4">
        <v>-581</v>
      </c>
      <c r="K207" t="str">
        <f>VLOOKUP($C207,Table1[#All],2,FALSE)</f>
        <v>HOTEL</v>
      </c>
      <c r="L207" t="str">
        <f>VLOOKUP($C207,Table1[#All],3,FALSE)</f>
        <v xml:space="preserve">Transactions related to guest rooms and overall hotel operations. Includes payroll for administrative staff, clerks and interns. </v>
      </c>
      <c r="M207" t="str">
        <f>IFERROR(VLOOKUP($B207,ChartOfAccounts!A206:B291,2,FALSE),"")</f>
        <v/>
      </c>
      <c r="N207" t="str">
        <f>IFERROR(VLOOKUP($B207,ChartOfAccounts!C206:D291,2,FALSE),"")</f>
        <v/>
      </c>
      <c r="O207" t="str">
        <f>IFERROR(VLOOKUP($B207,ChartOfAccounts!E206:F291,2,FALSE),"")</f>
        <v/>
      </c>
      <c r="P207" t="str">
        <f>IFERROR(VLOOKUP(D207,PreparerInfo!A206:B218,2,FALSE),"")</f>
        <v/>
      </c>
      <c r="Q207" t="str">
        <f>IFERROR(VLOOKUP(E207,Source!A206:B214,2,FALSE),"")</f>
        <v/>
      </c>
    </row>
    <row r="208" spans="1:17" x14ac:dyDescent="0.3">
      <c r="A208" s="3">
        <v>2033623</v>
      </c>
      <c r="B208">
        <v>51610</v>
      </c>
      <c r="C208">
        <v>4</v>
      </c>
      <c r="D208" s="9">
        <v>105</v>
      </c>
      <c r="E208">
        <v>1006</v>
      </c>
      <c r="F208" s="1">
        <v>44005</v>
      </c>
      <c r="G208" t="s">
        <v>68</v>
      </c>
      <c r="H208" s="4">
        <v>594</v>
      </c>
      <c r="I208" s="4" t="s">
        <v>16</v>
      </c>
      <c r="J208" s="4">
        <v>594</v>
      </c>
      <c r="K208" t="str">
        <f>VLOOKUP($C208,Table1[#All],2,FALSE)</f>
        <v>HOUSEKEEPING</v>
      </c>
      <c r="L208" t="str">
        <f>VLOOKUP($C208,Table1[#All],3,FALSE)</f>
        <v xml:space="preserve">Transactions related to the Housekeeping Department. Primarily includes payroll for housekeepers and housekeeping supplies. </v>
      </c>
      <c r="M208" t="str">
        <f>IFERROR(VLOOKUP($B208,ChartOfAccounts!A207:B292,2,FALSE),"")</f>
        <v/>
      </c>
      <c r="N208" t="str">
        <f>IFERROR(VLOOKUP($B208,ChartOfAccounts!C207:D292,2,FALSE),"")</f>
        <v/>
      </c>
      <c r="O208" t="str">
        <f>IFERROR(VLOOKUP($B208,ChartOfAccounts!E207:F292,2,FALSE),"")</f>
        <v/>
      </c>
      <c r="P208" t="str">
        <f>IFERROR(VLOOKUP(D208,PreparerInfo!A207:B219,2,FALSE),"")</f>
        <v/>
      </c>
      <c r="Q208" t="str">
        <f>IFERROR(VLOOKUP(E208,Source!A207:B215,2,FALSE),"")</f>
        <v/>
      </c>
    </row>
    <row r="209" spans="1:17" x14ac:dyDescent="0.3">
      <c r="A209" s="3">
        <v>2033623</v>
      </c>
      <c r="B209">
        <v>22110</v>
      </c>
      <c r="C209">
        <v>4</v>
      </c>
      <c r="D209" s="9">
        <v>105</v>
      </c>
      <c r="E209">
        <v>1006</v>
      </c>
      <c r="F209" s="1">
        <v>44005</v>
      </c>
      <c r="G209" t="s">
        <v>68</v>
      </c>
      <c r="H209" s="4" t="s">
        <v>16</v>
      </c>
      <c r="I209" s="4">
        <v>-594</v>
      </c>
      <c r="J209" s="4">
        <v>-594</v>
      </c>
      <c r="K209" t="str">
        <f>VLOOKUP($C209,Table1[#All],2,FALSE)</f>
        <v>HOUSEKEEPING</v>
      </c>
      <c r="L209" t="str">
        <f>VLOOKUP($C209,Table1[#All],3,FALSE)</f>
        <v xml:space="preserve">Transactions related to the Housekeeping Department. Primarily includes payroll for housekeepers and housekeeping supplies. </v>
      </c>
      <c r="M209" t="str">
        <f>IFERROR(VLOOKUP($B209,ChartOfAccounts!A208:B293,2,FALSE),"")</f>
        <v/>
      </c>
      <c r="N209" t="str">
        <f>IFERROR(VLOOKUP($B209,ChartOfAccounts!C208:D293,2,FALSE),"")</f>
        <v/>
      </c>
      <c r="O209" t="str">
        <f>IFERROR(VLOOKUP($B209,ChartOfAccounts!E208:F293,2,FALSE),"")</f>
        <v/>
      </c>
      <c r="P209" t="str">
        <f>IFERROR(VLOOKUP(D209,PreparerInfo!A208:B220,2,FALSE),"")</f>
        <v/>
      </c>
      <c r="Q209" t="str">
        <f>IFERROR(VLOOKUP(E209,Source!A208:B216,2,FALSE),"")</f>
        <v/>
      </c>
    </row>
    <row r="210" spans="1:17" x14ac:dyDescent="0.3">
      <c r="A210" s="3">
        <v>2033624</v>
      </c>
      <c r="B210">
        <v>51140</v>
      </c>
      <c r="C210">
        <v>2</v>
      </c>
      <c r="D210" s="9">
        <v>105</v>
      </c>
      <c r="E210">
        <v>1004</v>
      </c>
      <c r="F210" s="1">
        <v>44005</v>
      </c>
      <c r="G210" t="s">
        <v>54</v>
      </c>
      <c r="H210" s="4">
        <v>770.35</v>
      </c>
      <c r="I210" s="4" t="s">
        <v>16</v>
      </c>
      <c r="J210" s="4">
        <v>770.35</v>
      </c>
      <c r="K210" t="str">
        <f>VLOOKUP($C210,Table1[#All],2,FALSE)</f>
        <v>HOTEL</v>
      </c>
      <c r="L210" t="str">
        <f>VLOOKUP($C210,Table1[#All],3,FALSE)</f>
        <v xml:space="preserve">Transactions related to guest rooms and overall hotel operations. Includes payroll for administrative staff, clerks and interns. </v>
      </c>
      <c r="M210" t="str">
        <f>IFERROR(VLOOKUP($B210,ChartOfAccounts!A209:B294,2,FALSE),"")</f>
        <v/>
      </c>
      <c r="N210" t="str">
        <f>IFERROR(VLOOKUP($B210,ChartOfAccounts!C209:D294,2,FALSE),"")</f>
        <v/>
      </c>
      <c r="O210" t="str">
        <f>IFERROR(VLOOKUP($B210,ChartOfAccounts!E209:F294,2,FALSE),"")</f>
        <v/>
      </c>
      <c r="P210" t="str">
        <f>IFERROR(VLOOKUP(D210,PreparerInfo!A209:B221,2,FALSE),"")</f>
        <v/>
      </c>
      <c r="Q210" t="str">
        <f>IFERROR(VLOOKUP(E210,Source!A209:B217,2,FALSE),"")</f>
        <v/>
      </c>
    </row>
    <row r="211" spans="1:17" x14ac:dyDescent="0.3">
      <c r="A211" s="3">
        <v>2033624</v>
      </c>
      <c r="B211">
        <v>11845</v>
      </c>
      <c r="C211">
        <v>2</v>
      </c>
      <c r="D211" s="9">
        <v>105</v>
      </c>
      <c r="E211">
        <v>1004</v>
      </c>
      <c r="F211" s="1">
        <v>44005</v>
      </c>
      <c r="G211" t="s">
        <v>54</v>
      </c>
      <c r="H211" s="4" t="s">
        <v>16</v>
      </c>
      <c r="I211" s="4">
        <v>-770.35</v>
      </c>
      <c r="J211" s="4">
        <v>-770.35</v>
      </c>
      <c r="K211" t="str">
        <f>VLOOKUP($C211,Table1[#All],2,FALSE)</f>
        <v>HOTEL</v>
      </c>
      <c r="L211" t="str">
        <f>VLOOKUP($C211,Table1[#All],3,FALSE)</f>
        <v xml:space="preserve">Transactions related to guest rooms and overall hotel operations. Includes payroll for administrative staff, clerks and interns. </v>
      </c>
      <c r="M211" t="str">
        <f>IFERROR(VLOOKUP($B211,ChartOfAccounts!A210:B295,2,FALSE),"")</f>
        <v/>
      </c>
      <c r="N211" t="str">
        <f>IFERROR(VLOOKUP($B211,ChartOfAccounts!C210:D295,2,FALSE),"")</f>
        <v/>
      </c>
      <c r="O211" t="str">
        <f>IFERROR(VLOOKUP($B211,ChartOfAccounts!E210:F295,2,FALSE),"")</f>
        <v/>
      </c>
      <c r="P211" t="str">
        <f>IFERROR(VLOOKUP(D211,PreparerInfo!A210:B222,2,FALSE),"")</f>
        <v/>
      </c>
      <c r="Q211" t="str">
        <f>IFERROR(VLOOKUP(E211,Source!A210:B218,2,FALSE),"")</f>
        <v/>
      </c>
    </row>
    <row r="212" spans="1:17" x14ac:dyDescent="0.3">
      <c r="A212" s="3">
        <v>2033625</v>
      </c>
      <c r="B212">
        <v>51610</v>
      </c>
      <c r="C212">
        <v>6</v>
      </c>
      <c r="D212" s="9">
        <v>105</v>
      </c>
      <c r="E212">
        <v>1006</v>
      </c>
      <c r="F212" s="1">
        <v>44005</v>
      </c>
      <c r="G212" t="s">
        <v>68</v>
      </c>
      <c r="H212" s="4">
        <v>773</v>
      </c>
      <c r="I212" s="4" t="s">
        <v>16</v>
      </c>
      <c r="J212" s="4">
        <v>773</v>
      </c>
      <c r="K212" t="str">
        <f>VLOOKUP($C212,Table1[#All],2,FALSE)</f>
        <v>MAINTENANCE</v>
      </c>
      <c r="L212" t="str">
        <f>VLOOKUP($C212,Table1[#All],3,FALSE)</f>
        <v>Transactions related to the hotel Maintenance Department. Primarily includes payroll for maintenance, grounds keepers and related supplies.</v>
      </c>
      <c r="M212" t="str">
        <f>IFERROR(VLOOKUP($B212,ChartOfAccounts!A211:B296,2,FALSE),"")</f>
        <v/>
      </c>
      <c r="N212" t="str">
        <f>IFERROR(VLOOKUP($B212,ChartOfAccounts!C211:D296,2,FALSE),"")</f>
        <v/>
      </c>
      <c r="O212" t="str">
        <f>IFERROR(VLOOKUP($B212,ChartOfAccounts!E211:F296,2,FALSE),"")</f>
        <v/>
      </c>
      <c r="P212" t="str">
        <f>IFERROR(VLOOKUP(D212,PreparerInfo!A211:B223,2,FALSE),"")</f>
        <v/>
      </c>
      <c r="Q212" t="str">
        <f>IFERROR(VLOOKUP(E212,Source!A211:B219,2,FALSE),"")</f>
        <v/>
      </c>
    </row>
    <row r="213" spans="1:17" x14ac:dyDescent="0.3">
      <c r="A213" s="3">
        <v>2033625</v>
      </c>
      <c r="B213">
        <v>22110</v>
      </c>
      <c r="C213">
        <v>6</v>
      </c>
      <c r="D213" s="9">
        <v>105</v>
      </c>
      <c r="E213">
        <v>1006</v>
      </c>
      <c r="F213" s="1">
        <v>44005</v>
      </c>
      <c r="G213" t="s">
        <v>68</v>
      </c>
      <c r="H213" s="4" t="s">
        <v>16</v>
      </c>
      <c r="I213" s="4">
        <v>-773</v>
      </c>
      <c r="J213" s="4">
        <v>-773</v>
      </c>
      <c r="K213" t="str">
        <f>VLOOKUP($C213,Table1[#All],2,FALSE)</f>
        <v>MAINTENANCE</v>
      </c>
      <c r="L213" t="str">
        <f>VLOOKUP($C213,Table1[#All],3,FALSE)</f>
        <v>Transactions related to the hotel Maintenance Department. Primarily includes payroll for maintenance, grounds keepers and related supplies.</v>
      </c>
      <c r="M213" t="str">
        <f>IFERROR(VLOOKUP($B213,ChartOfAccounts!A212:B297,2,FALSE),"")</f>
        <v/>
      </c>
      <c r="N213" t="str">
        <f>IFERROR(VLOOKUP($B213,ChartOfAccounts!C212:D297,2,FALSE),"")</f>
        <v/>
      </c>
      <c r="O213" t="str">
        <f>IFERROR(VLOOKUP($B213,ChartOfAccounts!E212:F297,2,FALSE),"")</f>
        <v/>
      </c>
      <c r="P213" t="str">
        <f>IFERROR(VLOOKUP(D213,PreparerInfo!A212:B224,2,FALSE),"")</f>
        <v/>
      </c>
      <c r="Q213" t="str">
        <f>IFERROR(VLOOKUP(E213,Source!A212:B220,2,FALSE),"")</f>
        <v/>
      </c>
    </row>
    <row r="214" spans="1:17" x14ac:dyDescent="0.3">
      <c r="A214" s="3">
        <v>2033626</v>
      </c>
      <c r="B214">
        <v>11845</v>
      </c>
      <c r="C214">
        <v>1</v>
      </c>
      <c r="D214" s="9">
        <v>102</v>
      </c>
      <c r="E214">
        <v>1001</v>
      </c>
      <c r="F214" s="1">
        <v>44005</v>
      </c>
      <c r="G214" t="s">
        <v>41</v>
      </c>
      <c r="H214" s="4">
        <v>795.55</v>
      </c>
      <c r="I214" s="4" t="s">
        <v>16</v>
      </c>
      <c r="J214" s="4">
        <v>795.55</v>
      </c>
      <c r="K214" t="str">
        <f>VLOOKUP($C214,Table1[#All],2,FALSE)</f>
        <v>FOOD SERVICE</v>
      </c>
      <c r="L214" t="str">
        <f>VLOOKUP($C214,Table1[#All],3,FALSE)</f>
        <v xml:space="preserve">Transactions related to food and beverage service. Includes all guest transactions in the hotel restaurants, catering-related transactions and food service payroll. </v>
      </c>
      <c r="M214" t="str">
        <f>IFERROR(VLOOKUP($B214,ChartOfAccounts!A213:B298,2,FALSE),"")</f>
        <v/>
      </c>
      <c r="N214" t="str">
        <f>IFERROR(VLOOKUP($B214,ChartOfAccounts!C213:D298,2,FALSE),"")</f>
        <v/>
      </c>
      <c r="O214" t="str">
        <f>IFERROR(VLOOKUP($B214,ChartOfAccounts!E213:F298,2,FALSE),"")</f>
        <v/>
      </c>
      <c r="P214" t="str">
        <f>IFERROR(VLOOKUP(D214,PreparerInfo!A213:B225,2,FALSE),"")</f>
        <v/>
      </c>
      <c r="Q214" t="str">
        <f>IFERROR(VLOOKUP(E214,Source!A213:B221,2,FALSE),"")</f>
        <v/>
      </c>
    </row>
    <row r="215" spans="1:17" x14ac:dyDescent="0.3">
      <c r="A215" s="3">
        <v>2033626</v>
      </c>
      <c r="B215">
        <v>43310</v>
      </c>
      <c r="C215">
        <v>1</v>
      </c>
      <c r="D215" s="9">
        <v>102</v>
      </c>
      <c r="E215">
        <v>1001</v>
      </c>
      <c r="F215" s="1">
        <v>44005</v>
      </c>
      <c r="G215" t="s">
        <v>41</v>
      </c>
      <c r="H215" s="4" t="s">
        <v>16</v>
      </c>
      <c r="I215" s="4">
        <v>-795.55</v>
      </c>
      <c r="J215" s="4">
        <v>-795.55</v>
      </c>
      <c r="K215" t="str">
        <f>VLOOKUP($C215,Table1[#All],2,FALSE)</f>
        <v>FOOD SERVICE</v>
      </c>
      <c r="L215" t="str">
        <f>VLOOKUP($C215,Table1[#All],3,FALSE)</f>
        <v xml:space="preserve">Transactions related to food and beverage service. Includes all guest transactions in the hotel restaurants, catering-related transactions and food service payroll. </v>
      </c>
      <c r="M215" t="str">
        <f>IFERROR(VLOOKUP($B215,ChartOfAccounts!A214:B299,2,FALSE),"")</f>
        <v/>
      </c>
      <c r="N215" t="str">
        <f>IFERROR(VLOOKUP($B215,ChartOfAccounts!C214:D299,2,FALSE),"")</f>
        <v/>
      </c>
      <c r="O215" t="str">
        <f>IFERROR(VLOOKUP($B215,ChartOfAccounts!E214:F299,2,FALSE),"")</f>
        <v/>
      </c>
      <c r="P215" t="str">
        <f>IFERROR(VLOOKUP(D215,PreparerInfo!A214:B226,2,FALSE),"")</f>
        <v/>
      </c>
      <c r="Q215" t="str">
        <f>IFERROR(VLOOKUP(E215,Source!A214:B222,2,FALSE),"")</f>
        <v/>
      </c>
    </row>
    <row r="216" spans="1:17" x14ac:dyDescent="0.3">
      <c r="A216" s="3">
        <v>2033627</v>
      </c>
      <c r="B216">
        <v>51610</v>
      </c>
      <c r="C216">
        <v>4</v>
      </c>
      <c r="D216" s="9">
        <v>105</v>
      </c>
      <c r="E216">
        <v>1006</v>
      </c>
      <c r="F216" s="1">
        <v>44005</v>
      </c>
      <c r="G216" t="s">
        <v>66</v>
      </c>
      <c r="H216" s="4">
        <v>800</v>
      </c>
      <c r="I216" s="4" t="s">
        <v>16</v>
      </c>
      <c r="J216" s="4">
        <v>800</v>
      </c>
      <c r="K216" t="str">
        <f>VLOOKUP($C216,Table1[#All],2,FALSE)</f>
        <v>HOUSEKEEPING</v>
      </c>
      <c r="L216" t="str">
        <f>VLOOKUP($C216,Table1[#All],3,FALSE)</f>
        <v xml:space="preserve">Transactions related to the Housekeeping Department. Primarily includes payroll for housekeepers and housekeeping supplies. </v>
      </c>
      <c r="M216" t="str">
        <f>IFERROR(VLOOKUP($B216,ChartOfAccounts!A215:B300,2,FALSE),"")</f>
        <v/>
      </c>
      <c r="N216" t="str">
        <f>IFERROR(VLOOKUP($B216,ChartOfAccounts!C215:D300,2,FALSE),"")</f>
        <v/>
      </c>
      <c r="O216" t="str">
        <f>IFERROR(VLOOKUP($B216,ChartOfAccounts!E215:F300,2,FALSE),"")</f>
        <v/>
      </c>
      <c r="P216" t="str">
        <f>IFERROR(VLOOKUP(D216,PreparerInfo!A215:B227,2,FALSE),"")</f>
        <v/>
      </c>
      <c r="Q216" t="str">
        <f>IFERROR(VLOOKUP(E216,Source!A215:B223,2,FALSE),"")</f>
        <v/>
      </c>
    </row>
    <row r="217" spans="1:17" x14ac:dyDescent="0.3">
      <c r="A217" s="3">
        <v>2033627</v>
      </c>
      <c r="B217">
        <v>22110</v>
      </c>
      <c r="C217">
        <v>4</v>
      </c>
      <c r="D217" s="9">
        <v>105</v>
      </c>
      <c r="E217">
        <v>1006</v>
      </c>
      <c r="F217" s="1">
        <v>44005</v>
      </c>
      <c r="G217" t="s">
        <v>66</v>
      </c>
      <c r="H217" s="4" t="s">
        <v>16</v>
      </c>
      <c r="I217" s="4">
        <v>-800</v>
      </c>
      <c r="J217" s="4">
        <v>-800</v>
      </c>
      <c r="K217" t="str">
        <f>VLOOKUP($C217,Table1[#All],2,FALSE)</f>
        <v>HOUSEKEEPING</v>
      </c>
      <c r="L217" t="str">
        <f>VLOOKUP($C217,Table1[#All],3,FALSE)</f>
        <v xml:space="preserve">Transactions related to the Housekeeping Department. Primarily includes payroll for housekeepers and housekeeping supplies. </v>
      </c>
      <c r="M217" t="str">
        <f>IFERROR(VLOOKUP($B217,ChartOfAccounts!A216:B301,2,FALSE),"")</f>
        <v/>
      </c>
      <c r="N217" t="str">
        <f>IFERROR(VLOOKUP($B217,ChartOfAccounts!C216:D301,2,FALSE),"")</f>
        <v/>
      </c>
      <c r="O217" t="str">
        <f>IFERROR(VLOOKUP($B217,ChartOfAccounts!E216:F301,2,FALSE),"")</f>
        <v/>
      </c>
      <c r="P217" t="str">
        <f>IFERROR(VLOOKUP(D217,PreparerInfo!A216:B228,2,FALSE),"")</f>
        <v/>
      </c>
      <c r="Q217" t="str">
        <f>IFERROR(VLOOKUP(E217,Source!A216:B224,2,FALSE),"")</f>
        <v/>
      </c>
    </row>
    <row r="218" spans="1:17" x14ac:dyDescent="0.3">
      <c r="A218" s="3">
        <v>2033628</v>
      </c>
      <c r="B218">
        <v>51610</v>
      </c>
      <c r="C218">
        <v>1</v>
      </c>
      <c r="D218" s="9">
        <v>105</v>
      </c>
      <c r="E218">
        <v>1006</v>
      </c>
      <c r="F218" s="1">
        <v>44005</v>
      </c>
      <c r="G218" t="s">
        <v>68</v>
      </c>
      <c r="H218" s="4">
        <v>812.5</v>
      </c>
      <c r="I218" s="4" t="s">
        <v>16</v>
      </c>
      <c r="J218" s="4">
        <v>812.5</v>
      </c>
      <c r="K218" t="str">
        <f>VLOOKUP($C218,Table1[#All],2,FALSE)</f>
        <v>FOOD SERVICE</v>
      </c>
      <c r="L218" t="str">
        <f>VLOOKUP($C218,Table1[#All],3,FALSE)</f>
        <v xml:space="preserve">Transactions related to food and beverage service. Includes all guest transactions in the hotel restaurants, catering-related transactions and food service payroll. </v>
      </c>
      <c r="M218" t="str">
        <f>IFERROR(VLOOKUP($B218,ChartOfAccounts!A217:B302,2,FALSE),"")</f>
        <v/>
      </c>
      <c r="N218" t="str">
        <f>IFERROR(VLOOKUP($B218,ChartOfAccounts!C217:D302,2,FALSE),"")</f>
        <v/>
      </c>
      <c r="O218" t="str">
        <f>IFERROR(VLOOKUP($B218,ChartOfAccounts!E217:F302,2,FALSE),"")</f>
        <v/>
      </c>
      <c r="P218" t="str">
        <f>IFERROR(VLOOKUP(D218,PreparerInfo!A217:B229,2,FALSE),"")</f>
        <v/>
      </c>
      <c r="Q218" t="str">
        <f>IFERROR(VLOOKUP(E218,Source!A217:B225,2,FALSE),"")</f>
        <v/>
      </c>
    </row>
    <row r="219" spans="1:17" x14ac:dyDescent="0.3">
      <c r="A219" s="3">
        <v>2033628</v>
      </c>
      <c r="B219">
        <v>22110</v>
      </c>
      <c r="C219">
        <v>1</v>
      </c>
      <c r="D219" s="9">
        <v>105</v>
      </c>
      <c r="E219">
        <v>1006</v>
      </c>
      <c r="F219" s="1">
        <v>44005</v>
      </c>
      <c r="G219" t="s">
        <v>68</v>
      </c>
      <c r="H219" s="4" t="s">
        <v>16</v>
      </c>
      <c r="I219" s="4">
        <v>-812.5</v>
      </c>
      <c r="J219" s="4">
        <v>-812.5</v>
      </c>
      <c r="K219" t="str">
        <f>VLOOKUP($C219,Table1[#All],2,FALSE)</f>
        <v>FOOD SERVICE</v>
      </c>
      <c r="L219" t="str">
        <f>VLOOKUP($C219,Table1[#All],3,FALSE)</f>
        <v xml:space="preserve">Transactions related to food and beverage service. Includes all guest transactions in the hotel restaurants, catering-related transactions and food service payroll. </v>
      </c>
      <c r="M219" t="str">
        <f>IFERROR(VLOOKUP($B219,ChartOfAccounts!A218:B303,2,FALSE),"")</f>
        <v/>
      </c>
      <c r="N219" t="str">
        <f>IFERROR(VLOOKUP($B219,ChartOfAccounts!C218:D303,2,FALSE),"")</f>
        <v/>
      </c>
      <c r="O219" t="str">
        <f>IFERROR(VLOOKUP($B219,ChartOfAccounts!E218:F303,2,FALSE),"")</f>
        <v/>
      </c>
      <c r="P219" t="str">
        <f>IFERROR(VLOOKUP(D219,PreparerInfo!A218:B230,2,FALSE),"")</f>
        <v/>
      </c>
      <c r="Q219" t="str">
        <f>IFERROR(VLOOKUP(E219,Source!A218:B226,2,FALSE),"")</f>
        <v/>
      </c>
    </row>
    <row r="220" spans="1:17" x14ac:dyDescent="0.3">
      <c r="A220" s="3">
        <v>2033629</v>
      </c>
      <c r="B220">
        <v>51140</v>
      </c>
      <c r="C220">
        <v>1</v>
      </c>
      <c r="D220" s="9">
        <v>105</v>
      </c>
      <c r="E220">
        <v>1004</v>
      </c>
      <c r="F220" s="1">
        <v>44005</v>
      </c>
      <c r="G220" t="s">
        <v>54</v>
      </c>
      <c r="H220" s="4">
        <v>989.67</v>
      </c>
      <c r="I220" s="4" t="s">
        <v>16</v>
      </c>
      <c r="J220" s="4">
        <v>989.67</v>
      </c>
      <c r="K220" t="str">
        <f>VLOOKUP($C220,Table1[#All],2,FALSE)</f>
        <v>FOOD SERVICE</v>
      </c>
      <c r="L220" t="str">
        <f>VLOOKUP($C220,Table1[#All],3,FALSE)</f>
        <v xml:space="preserve">Transactions related to food and beverage service. Includes all guest transactions in the hotel restaurants, catering-related transactions and food service payroll. </v>
      </c>
      <c r="M220" t="str">
        <f>IFERROR(VLOOKUP($B220,ChartOfAccounts!A219:B304,2,FALSE),"")</f>
        <v/>
      </c>
      <c r="N220" t="str">
        <f>IFERROR(VLOOKUP($B220,ChartOfAccounts!C219:D304,2,FALSE),"")</f>
        <v/>
      </c>
      <c r="O220" t="str">
        <f>IFERROR(VLOOKUP($B220,ChartOfAccounts!E219:F304,2,FALSE),"")</f>
        <v/>
      </c>
      <c r="P220" t="str">
        <f>IFERROR(VLOOKUP(D220,PreparerInfo!A219:B231,2,FALSE),"")</f>
        <v/>
      </c>
      <c r="Q220" t="str">
        <f>IFERROR(VLOOKUP(E220,Source!A219:B227,2,FALSE),"")</f>
        <v/>
      </c>
    </row>
    <row r="221" spans="1:17" x14ac:dyDescent="0.3">
      <c r="A221" s="3">
        <v>2033629</v>
      </c>
      <c r="B221">
        <v>11845</v>
      </c>
      <c r="C221">
        <v>1</v>
      </c>
      <c r="D221" s="9">
        <v>105</v>
      </c>
      <c r="E221">
        <v>1004</v>
      </c>
      <c r="F221" s="1">
        <v>44005</v>
      </c>
      <c r="G221" t="s">
        <v>54</v>
      </c>
      <c r="H221" s="4" t="s">
        <v>16</v>
      </c>
      <c r="I221" s="4">
        <v>-989.67</v>
      </c>
      <c r="J221" s="4">
        <v>-989.67</v>
      </c>
      <c r="K221" t="str">
        <f>VLOOKUP($C221,Table1[#All],2,FALSE)</f>
        <v>FOOD SERVICE</v>
      </c>
      <c r="L221" t="str">
        <f>VLOOKUP($C221,Table1[#All],3,FALSE)</f>
        <v xml:space="preserve">Transactions related to food and beverage service. Includes all guest transactions in the hotel restaurants, catering-related transactions and food service payroll. </v>
      </c>
      <c r="M221" t="str">
        <f>IFERROR(VLOOKUP($B221,ChartOfAccounts!A220:B305,2,FALSE),"")</f>
        <v/>
      </c>
      <c r="N221" t="str">
        <f>IFERROR(VLOOKUP($B221,ChartOfAccounts!C220:D305,2,FALSE),"")</f>
        <v/>
      </c>
      <c r="O221" t="str">
        <f>IFERROR(VLOOKUP($B221,ChartOfAccounts!E220:F305,2,FALSE),"")</f>
        <v/>
      </c>
      <c r="P221" t="str">
        <f>IFERROR(VLOOKUP(D221,PreparerInfo!A220:B232,2,FALSE),"")</f>
        <v/>
      </c>
      <c r="Q221" t="str">
        <f>IFERROR(VLOOKUP(E221,Source!A220:B228,2,FALSE),"")</f>
        <v/>
      </c>
    </row>
    <row r="222" spans="1:17" x14ac:dyDescent="0.3">
      <c r="A222" s="3">
        <v>2033630</v>
      </c>
      <c r="B222">
        <v>51610</v>
      </c>
      <c r="C222">
        <v>1</v>
      </c>
      <c r="D222" s="9">
        <v>105</v>
      </c>
      <c r="E222">
        <v>1006</v>
      </c>
      <c r="F222" s="1">
        <v>44005</v>
      </c>
      <c r="G222" t="s">
        <v>75</v>
      </c>
      <c r="H222" s="4">
        <v>997.5</v>
      </c>
      <c r="I222" s="4" t="s">
        <v>16</v>
      </c>
      <c r="J222" s="4">
        <v>997.5</v>
      </c>
      <c r="K222" t="str">
        <f>VLOOKUP($C222,Table1[#All],2,FALSE)</f>
        <v>FOOD SERVICE</v>
      </c>
      <c r="L222" t="str">
        <f>VLOOKUP($C222,Table1[#All],3,FALSE)</f>
        <v xml:space="preserve">Transactions related to food and beverage service. Includes all guest transactions in the hotel restaurants, catering-related transactions and food service payroll. </v>
      </c>
      <c r="M222" t="str">
        <f>IFERROR(VLOOKUP($B222,ChartOfAccounts!A221:B306,2,FALSE),"")</f>
        <v/>
      </c>
      <c r="N222" t="str">
        <f>IFERROR(VLOOKUP($B222,ChartOfAccounts!C221:D306,2,FALSE),"")</f>
        <v/>
      </c>
      <c r="O222" t="str">
        <f>IFERROR(VLOOKUP($B222,ChartOfAccounts!E221:F306,2,FALSE),"")</f>
        <v/>
      </c>
      <c r="P222" t="str">
        <f>IFERROR(VLOOKUP(D222,PreparerInfo!A221:B233,2,FALSE),"")</f>
        <v/>
      </c>
      <c r="Q222" t="str">
        <f>IFERROR(VLOOKUP(E222,Source!A221:B229,2,FALSE),"")</f>
        <v/>
      </c>
    </row>
    <row r="223" spans="1:17" x14ac:dyDescent="0.3">
      <c r="A223" s="3">
        <v>2033630</v>
      </c>
      <c r="B223">
        <v>22110</v>
      </c>
      <c r="C223">
        <v>1</v>
      </c>
      <c r="D223" s="9">
        <v>105</v>
      </c>
      <c r="E223">
        <v>1006</v>
      </c>
      <c r="F223" s="1">
        <v>44005</v>
      </c>
      <c r="G223" t="s">
        <v>75</v>
      </c>
      <c r="H223" s="4" t="s">
        <v>16</v>
      </c>
      <c r="I223" s="4">
        <v>-997.5</v>
      </c>
      <c r="J223" s="4">
        <v>-997.5</v>
      </c>
      <c r="K223" t="str">
        <f>VLOOKUP($C223,Table1[#All],2,FALSE)</f>
        <v>FOOD SERVICE</v>
      </c>
      <c r="L223" t="str">
        <f>VLOOKUP($C223,Table1[#All],3,FALSE)</f>
        <v xml:space="preserve">Transactions related to food and beverage service. Includes all guest transactions in the hotel restaurants, catering-related transactions and food service payroll. </v>
      </c>
      <c r="M223" t="str">
        <f>IFERROR(VLOOKUP($B223,ChartOfAccounts!A222:B307,2,FALSE),"")</f>
        <v/>
      </c>
      <c r="N223" t="str">
        <f>IFERROR(VLOOKUP($B223,ChartOfAccounts!C222:D307,2,FALSE),"")</f>
        <v/>
      </c>
      <c r="O223" t="str">
        <f>IFERROR(VLOOKUP($B223,ChartOfAccounts!E222:F307,2,FALSE),"")</f>
        <v/>
      </c>
      <c r="P223" t="str">
        <f>IFERROR(VLOOKUP(D223,PreparerInfo!A222:B234,2,FALSE),"")</f>
        <v/>
      </c>
      <c r="Q223" t="str">
        <f>IFERROR(VLOOKUP(E223,Source!A222:B230,2,FALSE),"")</f>
        <v/>
      </c>
    </row>
    <row r="224" spans="1:17" x14ac:dyDescent="0.3">
      <c r="A224" s="3">
        <v>2033631</v>
      </c>
      <c r="B224">
        <v>51400</v>
      </c>
      <c r="C224">
        <v>1</v>
      </c>
      <c r="D224" s="9">
        <v>105</v>
      </c>
      <c r="E224">
        <v>1006</v>
      </c>
      <c r="F224" s="1">
        <v>44005</v>
      </c>
      <c r="G224" t="s">
        <v>55</v>
      </c>
      <c r="H224" s="4">
        <v>1019.94</v>
      </c>
      <c r="I224" s="4" t="s">
        <v>16</v>
      </c>
      <c r="J224" s="4">
        <v>1019.94</v>
      </c>
      <c r="K224" t="str">
        <f>VLOOKUP($C224,Table1[#All],2,FALSE)</f>
        <v>FOOD SERVICE</v>
      </c>
      <c r="L224" t="str">
        <f>VLOOKUP($C224,Table1[#All],3,FALSE)</f>
        <v xml:space="preserve">Transactions related to food and beverage service. Includes all guest transactions in the hotel restaurants, catering-related transactions and food service payroll. </v>
      </c>
      <c r="M224" t="str">
        <f>IFERROR(VLOOKUP($B224,ChartOfAccounts!A223:B308,2,FALSE),"")</f>
        <v/>
      </c>
      <c r="N224" t="str">
        <f>IFERROR(VLOOKUP($B224,ChartOfAccounts!C223:D308,2,FALSE),"")</f>
        <v/>
      </c>
      <c r="O224" t="str">
        <f>IFERROR(VLOOKUP($B224,ChartOfAccounts!E223:F308,2,FALSE),"")</f>
        <v/>
      </c>
      <c r="P224" t="str">
        <f>IFERROR(VLOOKUP(D224,PreparerInfo!A223:B235,2,FALSE),"")</f>
        <v/>
      </c>
      <c r="Q224" t="str">
        <f>IFERROR(VLOOKUP(E224,Source!A223:B231,2,FALSE),"")</f>
        <v/>
      </c>
    </row>
    <row r="225" spans="1:17" x14ac:dyDescent="0.3">
      <c r="A225" s="3">
        <v>2033631</v>
      </c>
      <c r="B225">
        <v>22110</v>
      </c>
      <c r="C225">
        <v>1</v>
      </c>
      <c r="D225" s="9">
        <v>105</v>
      </c>
      <c r="E225">
        <v>1006</v>
      </c>
      <c r="F225" s="1">
        <v>44005</v>
      </c>
      <c r="G225" t="s">
        <v>55</v>
      </c>
      <c r="H225" s="4" t="s">
        <v>16</v>
      </c>
      <c r="I225" s="4">
        <v>-1019.94</v>
      </c>
      <c r="J225" s="4">
        <v>-1019.94</v>
      </c>
      <c r="K225" t="str">
        <f>VLOOKUP($C225,Table1[#All],2,FALSE)</f>
        <v>FOOD SERVICE</v>
      </c>
      <c r="L225" t="str">
        <f>VLOOKUP($C225,Table1[#All],3,FALSE)</f>
        <v xml:space="preserve">Transactions related to food and beverage service. Includes all guest transactions in the hotel restaurants, catering-related transactions and food service payroll. </v>
      </c>
      <c r="M225" t="str">
        <f>IFERROR(VLOOKUP($B225,ChartOfAccounts!A224:B309,2,FALSE),"")</f>
        <v/>
      </c>
      <c r="N225" t="str">
        <f>IFERROR(VLOOKUP($B225,ChartOfAccounts!C224:D309,2,FALSE),"")</f>
        <v/>
      </c>
      <c r="O225" t="str">
        <f>IFERROR(VLOOKUP($B225,ChartOfAccounts!E224:F309,2,FALSE),"")</f>
        <v/>
      </c>
      <c r="P225" t="str">
        <f>IFERROR(VLOOKUP(D225,PreparerInfo!A224:B236,2,FALSE),"")</f>
        <v/>
      </c>
      <c r="Q225" t="str">
        <f>IFERROR(VLOOKUP(E225,Source!A224:B232,2,FALSE),"")</f>
        <v/>
      </c>
    </row>
    <row r="226" spans="1:17" x14ac:dyDescent="0.3">
      <c r="A226" s="3">
        <v>2033632</v>
      </c>
      <c r="B226">
        <v>51510</v>
      </c>
      <c r="C226">
        <v>4</v>
      </c>
      <c r="D226" s="9">
        <v>105</v>
      </c>
      <c r="E226">
        <v>1006</v>
      </c>
      <c r="F226" s="1">
        <v>44005</v>
      </c>
      <c r="G226" t="s">
        <v>62</v>
      </c>
      <c r="H226" s="4">
        <v>1051.7</v>
      </c>
      <c r="I226" s="4" t="s">
        <v>16</v>
      </c>
      <c r="J226" s="4">
        <v>1051.7</v>
      </c>
      <c r="K226" t="str">
        <f>VLOOKUP($C226,Table1[#All],2,FALSE)</f>
        <v>HOUSEKEEPING</v>
      </c>
      <c r="L226" t="str">
        <f>VLOOKUP($C226,Table1[#All],3,FALSE)</f>
        <v xml:space="preserve">Transactions related to the Housekeeping Department. Primarily includes payroll for housekeepers and housekeeping supplies. </v>
      </c>
      <c r="M226" t="str">
        <f>IFERROR(VLOOKUP($B226,ChartOfAccounts!A225:B310,2,FALSE),"")</f>
        <v/>
      </c>
      <c r="N226" t="str">
        <f>IFERROR(VLOOKUP($B226,ChartOfAccounts!C225:D310,2,FALSE),"")</f>
        <v/>
      </c>
      <c r="O226" t="str">
        <f>IFERROR(VLOOKUP($B226,ChartOfAccounts!E225:F310,2,FALSE),"")</f>
        <v/>
      </c>
      <c r="P226" t="str">
        <f>IFERROR(VLOOKUP(D226,PreparerInfo!A225:B237,2,FALSE),"")</f>
        <v/>
      </c>
      <c r="Q226" t="str">
        <f>IFERROR(VLOOKUP(E226,Source!A225:B233,2,FALSE),"")</f>
        <v/>
      </c>
    </row>
    <row r="227" spans="1:17" x14ac:dyDescent="0.3">
      <c r="A227" s="3">
        <v>2033632</v>
      </c>
      <c r="B227">
        <v>22110</v>
      </c>
      <c r="C227">
        <v>4</v>
      </c>
      <c r="D227" s="9">
        <v>105</v>
      </c>
      <c r="E227">
        <v>1006</v>
      </c>
      <c r="F227" s="1">
        <v>44005</v>
      </c>
      <c r="G227" t="s">
        <v>62</v>
      </c>
      <c r="H227" s="4" t="s">
        <v>16</v>
      </c>
      <c r="I227" s="4">
        <v>-1051.7</v>
      </c>
      <c r="J227" s="4">
        <v>-1051.7</v>
      </c>
      <c r="K227" t="str">
        <f>VLOOKUP($C227,Table1[#All],2,FALSE)</f>
        <v>HOUSEKEEPING</v>
      </c>
      <c r="L227" t="str">
        <f>VLOOKUP($C227,Table1[#All],3,FALSE)</f>
        <v xml:space="preserve">Transactions related to the Housekeeping Department. Primarily includes payroll for housekeepers and housekeeping supplies. </v>
      </c>
      <c r="M227" t="str">
        <f>IFERROR(VLOOKUP($B227,ChartOfAccounts!A226:B311,2,FALSE),"")</f>
        <v/>
      </c>
      <c r="N227" t="str">
        <f>IFERROR(VLOOKUP($B227,ChartOfAccounts!C226:D311,2,FALSE),"")</f>
        <v/>
      </c>
      <c r="O227" t="str">
        <f>IFERROR(VLOOKUP($B227,ChartOfAccounts!E226:F311,2,FALSE),"")</f>
        <v/>
      </c>
      <c r="P227" t="str">
        <f>IFERROR(VLOOKUP(D227,PreparerInfo!A226:B238,2,FALSE),"")</f>
        <v/>
      </c>
      <c r="Q227" t="str">
        <f>IFERROR(VLOOKUP(E227,Source!A226:B234,2,FALSE),"")</f>
        <v/>
      </c>
    </row>
    <row r="228" spans="1:17" x14ac:dyDescent="0.3">
      <c r="A228" s="3">
        <v>2033633</v>
      </c>
      <c r="B228">
        <v>51610</v>
      </c>
      <c r="C228">
        <v>1</v>
      </c>
      <c r="D228" s="9">
        <v>105</v>
      </c>
      <c r="E228">
        <v>1006</v>
      </c>
      <c r="F228" s="1">
        <v>44005</v>
      </c>
      <c r="G228" t="s">
        <v>66</v>
      </c>
      <c r="H228" s="4">
        <v>1200</v>
      </c>
      <c r="I228" s="4" t="s">
        <v>16</v>
      </c>
      <c r="J228" s="4">
        <v>1200</v>
      </c>
      <c r="K228" t="str">
        <f>VLOOKUP($C228,Table1[#All],2,FALSE)</f>
        <v>FOOD SERVICE</v>
      </c>
      <c r="L228" t="str">
        <f>VLOOKUP($C228,Table1[#All],3,FALSE)</f>
        <v xml:space="preserve">Transactions related to food and beverage service. Includes all guest transactions in the hotel restaurants, catering-related transactions and food service payroll. </v>
      </c>
      <c r="M228" t="str">
        <f>IFERROR(VLOOKUP($B228,ChartOfAccounts!A227:B312,2,FALSE),"")</f>
        <v/>
      </c>
      <c r="N228" t="str">
        <f>IFERROR(VLOOKUP($B228,ChartOfAccounts!C227:D312,2,FALSE),"")</f>
        <v/>
      </c>
      <c r="O228" t="str">
        <f>IFERROR(VLOOKUP($B228,ChartOfAccounts!E227:F312,2,FALSE),"")</f>
        <v/>
      </c>
      <c r="P228" t="str">
        <f>IFERROR(VLOOKUP(D228,PreparerInfo!A227:B239,2,FALSE),"")</f>
        <v/>
      </c>
      <c r="Q228" t="str">
        <f>IFERROR(VLOOKUP(E228,Source!A227:B235,2,FALSE),"")</f>
        <v/>
      </c>
    </row>
    <row r="229" spans="1:17" x14ac:dyDescent="0.3">
      <c r="A229" s="3">
        <v>2033633</v>
      </c>
      <c r="B229">
        <v>22110</v>
      </c>
      <c r="C229">
        <v>1</v>
      </c>
      <c r="D229" s="9">
        <v>105</v>
      </c>
      <c r="E229">
        <v>1006</v>
      </c>
      <c r="F229" s="1">
        <v>44005</v>
      </c>
      <c r="G229" t="s">
        <v>66</v>
      </c>
      <c r="H229" s="4" t="s">
        <v>16</v>
      </c>
      <c r="I229" s="4">
        <v>-1200</v>
      </c>
      <c r="J229" s="4">
        <v>-1200</v>
      </c>
      <c r="K229" t="str">
        <f>VLOOKUP($C229,Table1[#All],2,FALSE)</f>
        <v>FOOD SERVICE</v>
      </c>
      <c r="L229" t="str">
        <f>VLOOKUP($C229,Table1[#All],3,FALSE)</f>
        <v xml:space="preserve">Transactions related to food and beverage service. Includes all guest transactions in the hotel restaurants, catering-related transactions and food service payroll. </v>
      </c>
      <c r="M229" t="str">
        <f>IFERROR(VLOOKUP($B229,ChartOfAccounts!A228:B313,2,FALSE),"")</f>
        <v/>
      </c>
      <c r="N229" t="str">
        <f>IFERROR(VLOOKUP($B229,ChartOfAccounts!C228:D313,2,FALSE),"")</f>
        <v/>
      </c>
      <c r="O229" t="str">
        <f>IFERROR(VLOOKUP($B229,ChartOfAccounts!E228:F313,2,FALSE),"")</f>
        <v/>
      </c>
      <c r="P229" t="str">
        <f>IFERROR(VLOOKUP(D229,PreparerInfo!A228:B240,2,FALSE),"")</f>
        <v/>
      </c>
      <c r="Q229" t="str">
        <f>IFERROR(VLOOKUP(E229,Source!A228:B236,2,FALSE),"")</f>
        <v/>
      </c>
    </row>
    <row r="230" spans="1:17" x14ac:dyDescent="0.3">
      <c r="A230" s="3">
        <v>2033634</v>
      </c>
      <c r="B230">
        <v>51140</v>
      </c>
      <c r="C230">
        <v>4</v>
      </c>
      <c r="D230" s="9">
        <v>105</v>
      </c>
      <c r="E230">
        <v>1004</v>
      </c>
      <c r="F230" s="1">
        <v>44005</v>
      </c>
      <c r="G230" t="s">
        <v>54</v>
      </c>
      <c r="H230" s="4">
        <v>1722.74</v>
      </c>
      <c r="I230" s="4" t="s">
        <v>16</v>
      </c>
      <c r="J230" s="4">
        <v>1722.74</v>
      </c>
      <c r="K230" t="str">
        <f>VLOOKUP($C230,Table1[#All],2,FALSE)</f>
        <v>HOUSEKEEPING</v>
      </c>
      <c r="L230" t="str">
        <f>VLOOKUP($C230,Table1[#All],3,FALSE)</f>
        <v xml:space="preserve">Transactions related to the Housekeeping Department. Primarily includes payroll for housekeepers and housekeeping supplies. </v>
      </c>
      <c r="M230" t="str">
        <f>IFERROR(VLOOKUP($B230,ChartOfAccounts!A229:B314,2,FALSE),"")</f>
        <v/>
      </c>
      <c r="N230" t="str">
        <f>IFERROR(VLOOKUP($B230,ChartOfAccounts!C229:D314,2,FALSE),"")</f>
        <v/>
      </c>
      <c r="O230" t="str">
        <f>IFERROR(VLOOKUP($B230,ChartOfAccounts!E229:F314,2,FALSE),"")</f>
        <v/>
      </c>
      <c r="P230" t="str">
        <f>IFERROR(VLOOKUP(D230,PreparerInfo!A229:B241,2,FALSE),"")</f>
        <v/>
      </c>
      <c r="Q230" t="str">
        <f>IFERROR(VLOOKUP(E230,Source!A229:B237,2,FALSE),"")</f>
        <v/>
      </c>
    </row>
    <row r="231" spans="1:17" x14ac:dyDescent="0.3">
      <c r="A231" s="3">
        <v>2033634</v>
      </c>
      <c r="B231">
        <v>11845</v>
      </c>
      <c r="C231">
        <v>4</v>
      </c>
      <c r="D231" s="9">
        <v>105</v>
      </c>
      <c r="E231">
        <v>1004</v>
      </c>
      <c r="F231" s="1">
        <v>44005</v>
      </c>
      <c r="G231" t="s">
        <v>54</v>
      </c>
      <c r="H231" s="4" t="s">
        <v>16</v>
      </c>
      <c r="I231" s="4">
        <v>-1722.74</v>
      </c>
      <c r="J231" s="4">
        <v>-1722.74</v>
      </c>
      <c r="K231" t="str">
        <f>VLOOKUP($C231,Table1[#All],2,FALSE)</f>
        <v>HOUSEKEEPING</v>
      </c>
      <c r="L231" t="str">
        <f>VLOOKUP($C231,Table1[#All],3,FALSE)</f>
        <v xml:space="preserve">Transactions related to the Housekeeping Department. Primarily includes payroll for housekeepers and housekeeping supplies. </v>
      </c>
      <c r="M231" t="str">
        <f>IFERROR(VLOOKUP($B231,ChartOfAccounts!A230:B315,2,FALSE),"")</f>
        <v/>
      </c>
      <c r="N231" t="str">
        <f>IFERROR(VLOOKUP($B231,ChartOfAccounts!C230:D315,2,FALSE),"")</f>
        <v/>
      </c>
      <c r="O231" t="str">
        <f>IFERROR(VLOOKUP($B231,ChartOfAccounts!E230:F315,2,FALSE),"")</f>
        <v/>
      </c>
      <c r="P231" t="str">
        <f>IFERROR(VLOOKUP(D231,PreparerInfo!A230:B242,2,FALSE),"")</f>
        <v/>
      </c>
      <c r="Q231" t="str">
        <f>IFERROR(VLOOKUP(E231,Source!A230:B238,2,FALSE),"")</f>
        <v/>
      </c>
    </row>
    <row r="232" spans="1:17" x14ac:dyDescent="0.3">
      <c r="A232" s="3">
        <v>2033635</v>
      </c>
      <c r="B232">
        <v>51120</v>
      </c>
      <c r="C232">
        <v>6</v>
      </c>
      <c r="D232" s="9">
        <v>105</v>
      </c>
      <c r="E232">
        <v>1004</v>
      </c>
      <c r="F232" s="1">
        <v>44005</v>
      </c>
      <c r="G232" t="s">
        <v>60</v>
      </c>
      <c r="H232" s="4">
        <v>2187.36</v>
      </c>
      <c r="I232" s="4" t="s">
        <v>16</v>
      </c>
      <c r="J232" s="4">
        <v>2187.36</v>
      </c>
      <c r="K232" t="str">
        <f>VLOOKUP($C232,Table1[#All],2,FALSE)</f>
        <v>MAINTENANCE</v>
      </c>
      <c r="L232" t="str">
        <f>VLOOKUP($C232,Table1[#All],3,FALSE)</f>
        <v>Transactions related to the hotel Maintenance Department. Primarily includes payroll for maintenance, grounds keepers and related supplies.</v>
      </c>
      <c r="M232" t="str">
        <f>IFERROR(VLOOKUP($B232,ChartOfAccounts!A231:B316,2,FALSE),"")</f>
        <v/>
      </c>
      <c r="N232" t="str">
        <f>IFERROR(VLOOKUP($B232,ChartOfAccounts!C231:D316,2,FALSE),"")</f>
        <v/>
      </c>
      <c r="O232" t="str">
        <f>IFERROR(VLOOKUP($B232,ChartOfAccounts!E231:F316,2,FALSE),"")</f>
        <v/>
      </c>
      <c r="P232" t="str">
        <f>IFERROR(VLOOKUP(D232,PreparerInfo!A231:B243,2,FALSE),"")</f>
        <v/>
      </c>
      <c r="Q232" t="str">
        <f>IFERROR(VLOOKUP(E232,Source!A231:B239,2,FALSE),"")</f>
        <v/>
      </c>
    </row>
    <row r="233" spans="1:17" x14ac:dyDescent="0.3">
      <c r="A233" s="3">
        <v>2033635</v>
      </c>
      <c r="B233">
        <v>11845</v>
      </c>
      <c r="C233">
        <v>6</v>
      </c>
      <c r="D233" s="9">
        <v>105</v>
      </c>
      <c r="E233">
        <v>1004</v>
      </c>
      <c r="F233" s="1">
        <v>44005</v>
      </c>
      <c r="G233" t="s">
        <v>60</v>
      </c>
      <c r="H233" s="4" t="s">
        <v>16</v>
      </c>
      <c r="I233" s="4">
        <v>-2187.36</v>
      </c>
      <c r="J233" s="4">
        <v>-2187.36</v>
      </c>
      <c r="K233" t="str">
        <f>VLOOKUP($C233,Table1[#All],2,FALSE)</f>
        <v>MAINTENANCE</v>
      </c>
      <c r="L233" t="str">
        <f>VLOOKUP($C233,Table1[#All],3,FALSE)</f>
        <v>Transactions related to the hotel Maintenance Department. Primarily includes payroll for maintenance, grounds keepers and related supplies.</v>
      </c>
      <c r="M233" t="str">
        <f>IFERROR(VLOOKUP($B233,ChartOfAccounts!A232:B317,2,FALSE),"")</f>
        <v/>
      </c>
      <c r="N233" t="str">
        <f>IFERROR(VLOOKUP($B233,ChartOfAccounts!C232:D317,2,FALSE),"")</f>
        <v/>
      </c>
      <c r="O233" t="str">
        <f>IFERROR(VLOOKUP($B233,ChartOfAccounts!E232:F317,2,FALSE),"")</f>
        <v/>
      </c>
      <c r="P233" t="str">
        <f>IFERROR(VLOOKUP(D233,PreparerInfo!A232:B244,2,FALSE),"")</f>
        <v/>
      </c>
      <c r="Q233" t="str">
        <f>IFERROR(VLOOKUP(E233,Source!A232:B240,2,FALSE),"")</f>
        <v/>
      </c>
    </row>
    <row r="234" spans="1:17" x14ac:dyDescent="0.3">
      <c r="A234" s="3">
        <v>2033636</v>
      </c>
      <c r="B234">
        <v>11845</v>
      </c>
      <c r="C234">
        <v>1</v>
      </c>
      <c r="D234" s="9">
        <v>102</v>
      </c>
      <c r="E234">
        <v>1003</v>
      </c>
      <c r="F234" s="1">
        <v>44005</v>
      </c>
      <c r="G234" t="s">
        <v>15</v>
      </c>
      <c r="H234" s="4">
        <v>2219.14</v>
      </c>
      <c r="I234" s="4" t="s">
        <v>16</v>
      </c>
      <c r="J234" s="4">
        <v>2219.14</v>
      </c>
      <c r="K234" t="str">
        <f>VLOOKUP($C234,Table1[#All],2,FALSE)</f>
        <v>FOOD SERVICE</v>
      </c>
      <c r="L234" t="str">
        <f>VLOOKUP($C234,Table1[#All],3,FALSE)</f>
        <v xml:space="preserve">Transactions related to food and beverage service. Includes all guest transactions in the hotel restaurants, catering-related transactions and food service payroll. </v>
      </c>
      <c r="M234" t="str">
        <f>IFERROR(VLOOKUP($B234,ChartOfAccounts!A233:B318,2,FALSE),"")</f>
        <v/>
      </c>
      <c r="N234" t="str">
        <f>IFERROR(VLOOKUP($B234,ChartOfAccounts!C233:D318,2,FALSE),"")</f>
        <v/>
      </c>
      <c r="O234" t="str">
        <f>IFERROR(VLOOKUP($B234,ChartOfAccounts!E233:F318,2,FALSE),"")</f>
        <v/>
      </c>
      <c r="P234" t="str">
        <f>IFERROR(VLOOKUP(D234,PreparerInfo!A233:B245,2,FALSE),"")</f>
        <v/>
      </c>
      <c r="Q234" t="str">
        <f>IFERROR(VLOOKUP(E234,Source!A233:B241,2,FALSE),"")</f>
        <v/>
      </c>
    </row>
    <row r="235" spans="1:17" x14ac:dyDescent="0.3">
      <c r="A235" s="3">
        <v>2033636</v>
      </c>
      <c r="B235">
        <v>43310</v>
      </c>
      <c r="C235">
        <v>1</v>
      </c>
      <c r="D235" s="9">
        <v>102</v>
      </c>
      <c r="E235">
        <v>1003</v>
      </c>
      <c r="F235" s="1">
        <v>44005</v>
      </c>
      <c r="G235" t="s">
        <v>15</v>
      </c>
      <c r="H235" s="4" t="s">
        <v>16</v>
      </c>
      <c r="I235" s="4">
        <v>-2219.14</v>
      </c>
      <c r="J235" s="4">
        <v>-2219.14</v>
      </c>
      <c r="K235" t="str">
        <f>VLOOKUP($C235,Table1[#All],2,FALSE)</f>
        <v>FOOD SERVICE</v>
      </c>
      <c r="L235" t="str">
        <f>VLOOKUP($C235,Table1[#All],3,FALSE)</f>
        <v xml:space="preserve">Transactions related to food and beverage service. Includes all guest transactions in the hotel restaurants, catering-related transactions and food service payroll. </v>
      </c>
      <c r="M235" t="str">
        <f>IFERROR(VLOOKUP($B235,ChartOfAccounts!A234:B319,2,FALSE),"")</f>
        <v/>
      </c>
      <c r="N235" t="str">
        <f>IFERROR(VLOOKUP($B235,ChartOfAccounts!C234:D319,2,FALSE),"")</f>
        <v/>
      </c>
      <c r="O235" t="str">
        <f>IFERROR(VLOOKUP($B235,ChartOfAccounts!E234:F319,2,FALSE),"")</f>
        <v/>
      </c>
      <c r="P235" t="str">
        <f>IFERROR(VLOOKUP(D235,PreparerInfo!A234:B246,2,FALSE),"")</f>
        <v/>
      </c>
      <c r="Q235" t="str">
        <f>IFERROR(VLOOKUP(E235,Source!A234:B242,2,FALSE),"")</f>
        <v/>
      </c>
    </row>
    <row r="236" spans="1:17" x14ac:dyDescent="0.3">
      <c r="A236" s="3">
        <v>2033637</v>
      </c>
      <c r="B236">
        <v>51120</v>
      </c>
      <c r="C236">
        <v>6</v>
      </c>
      <c r="D236" s="9">
        <v>105</v>
      </c>
      <c r="E236">
        <v>1005</v>
      </c>
      <c r="F236" s="1">
        <v>44005</v>
      </c>
      <c r="G236" t="s">
        <v>189</v>
      </c>
      <c r="H236" s="4">
        <v>2405.92</v>
      </c>
      <c r="I236" s="4" t="s">
        <v>16</v>
      </c>
      <c r="J236" s="4">
        <v>2405.92</v>
      </c>
      <c r="K236" t="str">
        <f>VLOOKUP($C236,Table1[#All],2,FALSE)</f>
        <v>MAINTENANCE</v>
      </c>
      <c r="L236" t="str">
        <f>VLOOKUP($C236,Table1[#All],3,FALSE)</f>
        <v>Transactions related to the hotel Maintenance Department. Primarily includes payroll for maintenance, grounds keepers and related supplies.</v>
      </c>
      <c r="M236" t="str">
        <f>IFERROR(VLOOKUP($B236,ChartOfAccounts!A235:B320,2,FALSE),"")</f>
        <v/>
      </c>
      <c r="N236" t="str">
        <f>IFERROR(VLOOKUP($B236,ChartOfAccounts!C235:D320,2,FALSE),"")</f>
        <v/>
      </c>
      <c r="O236" t="str">
        <f>IFERROR(VLOOKUP($B236,ChartOfAccounts!E235:F320,2,FALSE),"")</f>
        <v/>
      </c>
      <c r="P236" t="str">
        <f>IFERROR(VLOOKUP(D236,PreparerInfo!A235:B247,2,FALSE),"")</f>
        <v/>
      </c>
      <c r="Q236" t="str">
        <f>IFERROR(VLOOKUP(E236,Source!A235:B243,2,FALSE),"")</f>
        <v/>
      </c>
    </row>
    <row r="237" spans="1:17" x14ac:dyDescent="0.3">
      <c r="A237" s="3">
        <v>2033637</v>
      </c>
      <c r="B237">
        <v>11845</v>
      </c>
      <c r="C237">
        <v>6</v>
      </c>
      <c r="D237" s="9">
        <v>105</v>
      </c>
      <c r="E237">
        <v>1005</v>
      </c>
      <c r="F237" s="1">
        <v>44005</v>
      </c>
      <c r="G237" t="s">
        <v>189</v>
      </c>
      <c r="H237" s="4" t="s">
        <v>16</v>
      </c>
      <c r="I237" s="4">
        <v>-2405.92</v>
      </c>
      <c r="J237" s="4">
        <v>-2405.92</v>
      </c>
      <c r="K237" t="str">
        <f>VLOOKUP($C237,Table1[#All],2,FALSE)</f>
        <v>MAINTENANCE</v>
      </c>
      <c r="L237" t="str">
        <f>VLOOKUP($C237,Table1[#All],3,FALSE)</f>
        <v>Transactions related to the hotel Maintenance Department. Primarily includes payroll for maintenance, grounds keepers and related supplies.</v>
      </c>
      <c r="M237" t="str">
        <f>IFERROR(VLOOKUP($B237,ChartOfAccounts!A236:B321,2,FALSE),"")</f>
        <v/>
      </c>
      <c r="N237" t="str">
        <f>IFERROR(VLOOKUP($B237,ChartOfAccounts!C236:D321,2,FALSE),"")</f>
        <v/>
      </c>
      <c r="O237" t="str">
        <f>IFERROR(VLOOKUP($B237,ChartOfAccounts!E236:F321,2,FALSE),"")</f>
        <v/>
      </c>
      <c r="P237" t="str">
        <f>IFERROR(VLOOKUP(D237,PreparerInfo!A236:B248,2,FALSE),"")</f>
        <v/>
      </c>
      <c r="Q237" t="str">
        <f>IFERROR(VLOOKUP(E237,Source!A236:B244,2,FALSE),"")</f>
        <v/>
      </c>
    </row>
    <row r="238" spans="1:17" x14ac:dyDescent="0.3">
      <c r="A238" s="3">
        <v>2033638</v>
      </c>
      <c r="B238">
        <v>71400</v>
      </c>
      <c r="C238">
        <v>1</v>
      </c>
      <c r="D238" s="9">
        <v>102</v>
      </c>
      <c r="E238">
        <v>1002</v>
      </c>
      <c r="F238" s="1">
        <v>44005</v>
      </c>
      <c r="G238" t="s">
        <v>134</v>
      </c>
      <c r="H238" s="4">
        <v>2436</v>
      </c>
      <c r="I238" s="4" t="s">
        <v>16</v>
      </c>
      <c r="J238" s="4">
        <v>2436</v>
      </c>
      <c r="K238" t="str">
        <f>VLOOKUP($C238,Table1[#All],2,FALSE)</f>
        <v>FOOD SERVICE</v>
      </c>
      <c r="L238" t="str">
        <f>VLOOKUP($C238,Table1[#All],3,FALSE)</f>
        <v xml:space="preserve">Transactions related to food and beverage service. Includes all guest transactions in the hotel restaurants, catering-related transactions and food service payroll. </v>
      </c>
      <c r="M238" t="str">
        <f>IFERROR(VLOOKUP($B238,ChartOfAccounts!A237:B322,2,FALSE),"")</f>
        <v/>
      </c>
      <c r="N238" t="str">
        <f>IFERROR(VLOOKUP($B238,ChartOfAccounts!C237:D322,2,FALSE),"")</f>
        <v/>
      </c>
      <c r="O238" t="str">
        <f>IFERROR(VLOOKUP($B238,ChartOfAccounts!E237:F322,2,FALSE),"")</f>
        <v/>
      </c>
      <c r="P238" t="str">
        <f>IFERROR(VLOOKUP(D238,PreparerInfo!A237:B249,2,FALSE),"")</f>
        <v/>
      </c>
      <c r="Q238" t="str">
        <f>IFERROR(VLOOKUP(E238,Source!A237:B245,2,FALSE),"")</f>
        <v/>
      </c>
    </row>
    <row r="239" spans="1:17" x14ac:dyDescent="0.3">
      <c r="A239" s="3">
        <v>2033638</v>
      </c>
      <c r="B239">
        <v>11845</v>
      </c>
      <c r="C239">
        <v>1</v>
      </c>
      <c r="D239" s="9">
        <v>102</v>
      </c>
      <c r="E239">
        <v>1002</v>
      </c>
      <c r="F239" s="1">
        <v>44005</v>
      </c>
      <c r="G239" t="s">
        <v>134</v>
      </c>
      <c r="H239" s="4" t="s">
        <v>16</v>
      </c>
      <c r="I239" s="4">
        <v>-2436</v>
      </c>
      <c r="J239" s="4">
        <v>-2436</v>
      </c>
      <c r="K239" t="str">
        <f>VLOOKUP($C239,Table1[#All],2,FALSE)</f>
        <v>FOOD SERVICE</v>
      </c>
      <c r="L239" t="str">
        <f>VLOOKUP($C239,Table1[#All],3,FALSE)</f>
        <v xml:space="preserve">Transactions related to food and beverage service. Includes all guest transactions in the hotel restaurants, catering-related transactions and food service payroll. </v>
      </c>
      <c r="M239" t="str">
        <f>IFERROR(VLOOKUP($B239,ChartOfAccounts!A238:B323,2,FALSE),"")</f>
        <v/>
      </c>
      <c r="N239" t="str">
        <f>IFERROR(VLOOKUP($B239,ChartOfAccounts!C238:D323,2,FALSE),"")</f>
        <v/>
      </c>
      <c r="O239" t="str">
        <f>IFERROR(VLOOKUP($B239,ChartOfAccounts!E238:F323,2,FALSE),"")</f>
        <v/>
      </c>
      <c r="P239" t="str">
        <f>IFERROR(VLOOKUP(D239,PreparerInfo!A238:B250,2,FALSE),"")</f>
        <v/>
      </c>
      <c r="Q239" t="str">
        <f>IFERROR(VLOOKUP(E239,Source!A238:B246,2,FALSE),"")</f>
        <v/>
      </c>
    </row>
    <row r="240" spans="1:17" x14ac:dyDescent="0.3">
      <c r="A240" s="3">
        <v>2033639</v>
      </c>
      <c r="B240">
        <v>51510</v>
      </c>
      <c r="C240">
        <v>1</v>
      </c>
      <c r="D240" s="9">
        <v>105</v>
      </c>
      <c r="E240">
        <v>1006</v>
      </c>
      <c r="F240" s="1">
        <v>44005</v>
      </c>
      <c r="G240" t="s">
        <v>62</v>
      </c>
      <c r="H240" s="4">
        <v>2481.11</v>
      </c>
      <c r="I240" s="4" t="s">
        <v>16</v>
      </c>
      <c r="J240" s="4">
        <v>2481.11</v>
      </c>
      <c r="K240" t="str">
        <f>VLOOKUP($C240,Table1[#All],2,FALSE)</f>
        <v>FOOD SERVICE</v>
      </c>
      <c r="L240" t="str">
        <f>VLOOKUP($C240,Table1[#All],3,FALSE)</f>
        <v xml:space="preserve">Transactions related to food and beverage service. Includes all guest transactions in the hotel restaurants, catering-related transactions and food service payroll. </v>
      </c>
      <c r="M240" t="str">
        <f>IFERROR(VLOOKUP($B240,ChartOfAccounts!A239:B324,2,FALSE),"")</f>
        <v/>
      </c>
      <c r="N240" t="str">
        <f>IFERROR(VLOOKUP($B240,ChartOfAccounts!C239:D324,2,FALSE),"")</f>
        <v/>
      </c>
      <c r="O240" t="str">
        <f>IFERROR(VLOOKUP($B240,ChartOfAccounts!E239:F324,2,FALSE),"")</f>
        <v/>
      </c>
      <c r="P240" t="str">
        <f>IFERROR(VLOOKUP(D240,PreparerInfo!A239:B251,2,FALSE),"")</f>
        <v/>
      </c>
      <c r="Q240" t="str">
        <f>IFERROR(VLOOKUP(E240,Source!A239:B247,2,FALSE),"")</f>
        <v/>
      </c>
    </row>
    <row r="241" spans="1:17" x14ac:dyDescent="0.3">
      <c r="A241" s="3">
        <v>2033639</v>
      </c>
      <c r="B241">
        <v>22110</v>
      </c>
      <c r="C241">
        <v>1</v>
      </c>
      <c r="D241" s="9">
        <v>105</v>
      </c>
      <c r="E241">
        <v>1006</v>
      </c>
      <c r="F241" s="1">
        <v>44005</v>
      </c>
      <c r="G241" t="s">
        <v>62</v>
      </c>
      <c r="H241" s="4" t="s">
        <v>16</v>
      </c>
      <c r="I241" s="4">
        <v>-2481.11</v>
      </c>
      <c r="J241" s="4">
        <v>-2481.11</v>
      </c>
      <c r="K241" t="str">
        <f>VLOOKUP($C241,Table1[#All],2,FALSE)</f>
        <v>FOOD SERVICE</v>
      </c>
      <c r="L241" t="str">
        <f>VLOOKUP($C241,Table1[#All],3,FALSE)</f>
        <v xml:space="preserve">Transactions related to food and beverage service. Includes all guest transactions in the hotel restaurants, catering-related transactions and food service payroll. </v>
      </c>
      <c r="M241" t="str">
        <f>IFERROR(VLOOKUP($B241,ChartOfAccounts!A240:B325,2,FALSE),"")</f>
        <v/>
      </c>
      <c r="N241" t="str">
        <f>IFERROR(VLOOKUP($B241,ChartOfAccounts!C240:D325,2,FALSE),"")</f>
        <v/>
      </c>
      <c r="O241" t="str">
        <f>IFERROR(VLOOKUP($B241,ChartOfAccounts!E240:F325,2,FALSE),"")</f>
        <v/>
      </c>
      <c r="P241" t="str">
        <f>IFERROR(VLOOKUP(D241,PreparerInfo!A240:B252,2,FALSE),"")</f>
        <v/>
      </c>
      <c r="Q241" t="str">
        <f>IFERROR(VLOOKUP(E241,Source!A240:B248,2,FALSE),"")</f>
        <v/>
      </c>
    </row>
    <row r="242" spans="1:17" x14ac:dyDescent="0.3">
      <c r="A242" s="3">
        <v>2033640</v>
      </c>
      <c r="B242">
        <v>51120</v>
      </c>
      <c r="C242">
        <v>2</v>
      </c>
      <c r="D242" s="9">
        <v>105</v>
      </c>
      <c r="E242">
        <v>1004</v>
      </c>
      <c r="F242" s="1">
        <v>44005</v>
      </c>
      <c r="G242" t="s">
        <v>60</v>
      </c>
      <c r="H242" s="4">
        <v>2901.53</v>
      </c>
      <c r="I242" s="4" t="s">
        <v>16</v>
      </c>
      <c r="J242" s="4">
        <v>2901.53</v>
      </c>
      <c r="K242" t="str">
        <f>VLOOKUP($C242,Table1[#All],2,FALSE)</f>
        <v>HOTEL</v>
      </c>
      <c r="L242" t="str">
        <f>VLOOKUP($C242,Table1[#All],3,FALSE)</f>
        <v xml:space="preserve">Transactions related to guest rooms and overall hotel operations. Includes payroll for administrative staff, clerks and interns. </v>
      </c>
      <c r="M242" t="str">
        <f>IFERROR(VLOOKUP($B242,ChartOfAccounts!A241:B326,2,FALSE),"")</f>
        <v/>
      </c>
      <c r="N242" t="str">
        <f>IFERROR(VLOOKUP($B242,ChartOfAccounts!C241:D326,2,FALSE),"")</f>
        <v/>
      </c>
      <c r="O242" t="str">
        <f>IFERROR(VLOOKUP($B242,ChartOfAccounts!E241:F326,2,FALSE),"")</f>
        <v/>
      </c>
      <c r="P242" t="str">
        <f>IFERROR(VLOOKUP(D242,PreparerInfo!A241:B253,2,FALSE),"")</f>
        <v/>
      </c>
      <c r="Q242" t="str">
        <f>IFERROR(VLOOKUP(E242,Source!A241:B249,2,FALSE),"")</f>
        <v/>
      </c>
    </row>
    <row r="243" spans="1:17" x14ac:dyDescent="0.3">
      <c r="A243" s="3">
        <v>2033640</v>
      </c>
      <c r="B243">
        <v>11845</v>
      </c>
      <c r="C243">
        <v>2</v>
      </c>
      <c r="D243" s="9">
        <v>105</v>
      </c>
      <c r="E243">
        <v>1004</v>
      </c>
      <c r="F243" s="1">
        <v>44005</v>
      </c>
      <c r="G243" t="s">
        <v>60</v>
      </c>
      <c r="H243" s="4" t="s">
        <v>16</v>
      </c>
      <c r="I243" s="4">
        <v>-2901.53</v>
      </c>
      <c r="J243" s="4">
        <v>-2901.53</v>
      </c>
      <c r="K243" t="str">
        <f>VLOOKUP($C243,Table1[#All],2,FALSE)</f>
        <v>HOTEL</v>
      </c>
      <c r="L243" t="str">
        <f>VLOOKUP($C243,Table1[#All],3,FALSE)</f>
        <v xml:space="preserve">Transactions related to guest rooms and overall hotel operations. Includes payroll for administrative staff, clerks and interns. </v>
      </c>
      <c r="M243" t="str">
        <f>IFERROR(VLOOKUP($B243,ChartOfAccounts!A242:B327,2,FALSE),"")</f>
        <v/>
      </c>
      <c r="N243" t="str">
        <f>IFERROR(VLOOKUP($B243,ChartOfAccounts!C242:D327,2,FALSE),"")</f>
        <v/>
      </c>
      <c r="O243" t="str">
        <f>IFERROR(VLOOKUP($B243,ChartOfAccounts!E242:F327,2,FALSE),"")</f>
        <v/>
      </c>
      <c r="P243" t="str">
        <f>IFERROR(VLOOKUP(D243,PreparerInfo!A242:B254,2,FALSE),"")</f>
        <v/>
      </c>
      <c r="Q243" t="str">
        <f>IFERROR(VLOOKUP(E243,Source!A242:B250,2,FALSE),"")</f>
        <v/>
      </c>
    </row>
    <row r="244" spans="1:17" x14ac:dyDescent="0.3">
      <c r="A244" s="3">
        <v>2033641</v>
      </c>
      <c r="B244">
        <v>11845</v>
      </c>
      <c r="C244">
        <v>1</v>
      </c>
      <c r="D244" s="9">
        <v>106</v>
      </c>
      <c r="E244">
        <v>1003</v>
      </c>
      <c r="F244" s="1">
        <v>44005</v>
      </c>
      <c r="G244" t="s">
        <v>80</v>
      </c>
      <c r="H244" s="4">
        <v>3155.58</v>
      </c>
      <c r="I244" s="4" t="s">
        <v>16</v>
      </c>
      <c r="J244" s="4">
        <v>3155.58</v>
      </c>
      <c r="K244" t="str">
        <f>VLOOKUP($C244,Table1[#All],2,FALSE)</f>
        <v>FOOD SERVICE</v>
      </c>
      <c r="L244" t="str">
        <f>VLOOKUP($C244,Table1[#All],3,FALSE)</f>
        <v xml:space="preserve">Transactions related to food and beverage service. Includes all guest transactions in the hotel restaurants, catering-related transactions and food service payroll. </v>
      </c>
      <c r="M244" t="str">
        <f>IFERROR(VLOOKUP($B244,ChartOfAccounts!A243:B328,2,FALSE),"")</f>
        <v/>
      </c>
      <c r="N244" t="str">
        <f>IFERROR(VLOOKUP($B244,ChartOfAccounts!C243:D328,2,FALSE),"")</f>
        <v/>
      </c>
      <c r="O244" t="str">
        <f>IFERROR(VLOOKUP($B244,ChartOfAccounts!E243:F328,2,FALSE),"")</f>
        <v/>
      </c>
      <c r="P244" t="str">
        <f>IFERROR(VLOOKUP(D244,PreparerInfo!A243:B255,2,FALSE),"")</f>
        <v/>
      </c>
      <c r="Q244" t="str">
        <f>IFERROR(VLOOKUP(E244,Source!A243:B251,2,FALSE),"")</f>
        <v/>
      </c>
    </row>
    <row r="245" spans="1:17" x14ac:dyDescent="0.3">
      <c r="A245" s="3">
        <v>2033641</v>
      </c>
      <c r="B245">
        <v>43310</v>
      </c>
      <c r="C245">
        <v>1</v>
      </c>
      <c r="D245" s="9">
        <v>106</v>
      </c>
      <c r="E245">
        <v>1003</v>
      </c>
      <c r="F245" s="1">
        <v>44005</v>
      </c>
      <c r="G245" t="s">
        <v>80</v>
      </c>
      <c r="H245" s="4" t="s">
        <v>16</v>
      </c>
      <c r="I245" s="4">
        <v>-3155.58</v>
      </c>
      <c r="J245" s="4">
        <v>-3155.58</v>
      </c>
      <c r="K245" t="str">
        <f>VLOOKUP($C245,Table1[#All],2,FALSE)</f>
        <v>FOOD SERVICE</v>
      </c>
      <c r="L245" t="str">
        <f>VLOOKUP($C245,Table1[#All],3,FALSE)</f>
        <v xml:space="preserve">Transactions related to food and beverage service. Includes all guest transactions in the hotel restaurants, catering-related transactions and food service payroll. </v>
      </c>
      <c r="M245" t="str">
        <f>IFERROR(VLOOKUP($B245,ChartOfAccounts!A244:B329,2,FALSE),"")</f>
        <v/>
      </c>
      <c r="N245" t="str">
        <f>IFERROR(VLOOKUP($B245,ChartOfAccounts!C244:D329,2,FALSE),"")</f>
        <v/>
      </c>
      <c r="O245" t="str">
        <f>IFERROR(VLOOKUP($B245,ChartOfAccounts!E244:F329,2,FALSE),"")</f>
        <v/>
      </c>
      <c r="P245" t="str">
        <f>IFERROR(VLOOKUP(D245,PreparerInfo!A244:B256,2,FALSE),"")</f>
        <v/>
      </c>
      <c r="Q245" t="str">
        <f>IFERROR(VLOOKUP(E245,Source!A244:B252,2,FALSE),"")</f>
        <v/>
      </c>
    </row>
    <row r="246" spans="1:17" x14ac:dyDescent="0.3">
      <c r="A246" s="3">
        <v>2033642</v>
      </c>
      <c r="B246">
        <v>51120</v>
      </c>
      <c r="C246">
        <v>2</v>
      </c>
      <c r="D246" s="9">
        <v>105</v>
      </c>
      <c r="E246">
        <v>1005</v>
      </c>
      <c r="F246" s="1">
        <v>44005</v>
      </c>
      <c r="G246" t="s">
        <v>188</v>
      </c>
      <c r="H246" s="4">
        <v>5459.3</v>
      </c>
      <c r="I246" s="4" t="s">
        <v>16</v>
      </c>
      <c r="J246" s="4">
        <v>5459.3</v>
      </c>
      <c r="K246" t="str">
        <f>VLOOKUP($C246,Table1[#All],2,FALSE)</f>
        <v>HOTEL</v>
      </c>
      <c r="L246" t="str">
        <f>VLOOKUP($C246,Table1[#All],3,FALSE)</f>
        <v xml:space="preserve">Transactions related to guest rooms and overall hotel operations. Includes payroll for administrative staff, clerks and interns. </v>
      </c>
      <c r="M246" t="str">
        <f>IFERROR(VLOOKUP($B246,ChartOfAccounts!A245:B330,2,FALSE),"")</f>
        <v/>
      </c>
      <c r="N246" t="str">
        <f>IFERROR(VLOOKUP($B246,ChartOfAccounts!C245:D330,2,FALSE),"")</f>
        <v/>
      </c>
      <c r="O246" t="str">
        <f>IFERROR(VLOOKUP($B246,ChartOfAccounts!E245:F330,2,FALSE),"")</f>
        <v/>
      </c>
      <c r="P246" t="str">
        <f>IFERROR(VLOOKUP(D246,PreparerInfo!A245:B257,2,FALSE),"")</f>
        <v/>
      </c>
      <c r="Q246" t="str">
        <f>IFERROR(VLOOKUP(E246,Source!A245:B253,2,FALSE),"")</f>
        <v/>
      </c>
    </row>
    <row r="247" spans="1:17" x14ac:dyDescent="0.3">
      <c r="A247" s="3">
        <v>2033642</v>
      </c>
      <c r="B247">
        <v>11845</v>
      </c>
      <c r="C247">
        <v>2</v>
      </c>
      <c r="D247" s="9">
        <v>105</v>
      </c>
      <c r="E247">
        <v>1005</v>
      </c>
      <c r="F247" s="1">
        <v>44005</v>
      </c>
      <c r="G247" t="s">
        <v>188</v>
      </c>
      <c r="H247" s="4" t="s">
        <v>16</v>
      </c>
      <c r="I247" s="4">
        <v>-5459.3</v>
      </c>
      <c r="J247" s="4">
        <v>-5459.3</v>
      </c>
      <c r="K247" t="str">
        <f>VLOOKUP($C247,Table1[#All],2,FALSE)</f>
        <v>HOTEL</v>
      </c>
      <c r="L247" t="str">
        <f>VLOOKUP($C247,Table1[#All],3,FALSE)</f>
        <v xml:space="preserve">Transactions related to guest rooms and overall hotel operations. Includes payroll for administrative staff, clerks and interns. </v>
      </c>
      <c r="M247" t="str">
        <f>IFERROR(VLOOKUP($B247,ChartOfAccounts!A246:B331,2,FALSE),"")</f>
        <v/>
      </c>
      <c r="N247" t="str">
        <f>IFERROR(VLOOKUP($B247,ChartOfAccounts!C246:D331,2,FALSE),"")</f>
        <v/>
      </c>
      <c r="O247" t="str">
        <f>IFERROR(VLOOKUP($B247,ChartOfAccounts!E246:F331,2,FALSE),"")</f>
        <v/>
      </c>
      <c r="P247" t="str">
        <f>IFERROR(VLOOKUP(D247,PreparerInfo!A246:B258,2,FALSE),"")</f>
        <v/>
      </c>
      <c r="Q247" t="str">
        <f>IFERROR(VLOOKUP(E247,Source!A246:B254,2,FALSE),"")</f>
        <v/>
      </c>
    </row>
    <row r="248" spans="1:17" x14ac:dyDescent="0.3">
      <c r="A248" s="3">
        <v>2033643</v>
      </c>
      <c r="B248">
        <v>51130</v>
      </c>
      <c r="C248">
        <v>2</v>
      </c>
      <c r="D248" s="9">
        <v>105</v>
      </c>
      <c r="E248">
        <v>1005</v>
      </c>
      <c r="F248" s="1">
        <v>44005</v>
      </c>
      <c r="G248" t="s">
        <v>143</v>
      </c>
      <c r="H248" s="4">
        <v>5874.63</v>
      </c>
      <c r="I248" s="4" t="s">
        <v>16</v>
      </c>
      <c r="J248" s="4">
        <v>5874.63</v>
      </c>
      <c r="K248" t="str">
        <f>VLOOKUP($C248,Table1[#All],2,FALSE)</f>
        <v>HOTEL</v>
      </c>
      <c r="L248" t="str">
        <f>VLOOKUP($C248,Table1[#All],3,FALSE)</f>
        <v xml:space="preserve">Transactions related to guest rooms and overall hotel operations. Includes payroll for administrative staff, clerks and interns. </v>
      </c>
      <c r="M248" t="str">
        <f>IFERROR(VLOOKUP($B248,ChartOfAccounts!A247:B332,2,FALSE),"")</f>
        <v/>
      </c>
      <c r="N248" t="str">
        <f>IFERROR(VLOOKUP($B248,ChartOfAccounts!C247:D332,2,FALSE),"")</f>
        <v/>
      </c>
      <c r="O248" t="str">
        <f>IFERROR(VLOOKUP($B248,ChartOfAccounts!E247:F332,2,FALSE),"")</f>
        <v/>
      </c>
      <c r="P248" t="str">
        <f>IFERROR(VLOOKUP(D248,PreparerInfo!A247:B259,2,FALSE),"")</f>
        <v/>
      </c>
      <c r="Q248" t="str">
        <f>IFERROR(VLOOKUP(E248,Source!A247:B255,2,FALSE),"")</f>
        <v/>
      </c>
    </row>
    <row r="249" spans="1:17" x14ac:dyDescent="0.3">
      <c r="A249" s="3">
        <v>2033643</v>
      </c>
      <c r="B249">
        <v>11845</v>
      </c>
      <c r="C249">
        <v>2</v>
      </c>
      <c r="D249" s="9">
        <v>105</v>
      </c>
      <c r="E249">
        <v>1005</v>
      </c>
      <c r="F249" s="1">
        <v>44005</v>
      </c>
      <c r="G249" t="s">
        <v>143</v>
      </c>
      <c r="H249" s="4" t="s">
        <v>16</v>
      </c>
      <c r="I249" s="4">
        <v>-5874.63</v>
      </c>
      <c r="J249" s="4">
        <v>-5874.63</v>
      </c>
      <c r="K249" t="str">
        <f>VLOOKUP($C249,Table1[#All],2,FALSE)</f>
        <v>HOTEL</v>
      </c>
      <c r="L249" t="str">
        <f>VLOOKUP($C249,Table1[#All],3,FALSE)</f>
        <v xml:space="preserve">Transactions related to guest rooms and overall hotel operations. Includes payroll for administrative staff, clerks and interns. </v>
      </c>
      <c r="M249" t="str">
        <f>IFERROR(VLOOKUP($B249,ChartOfAccounts!A248:B333,2,FALSE),"")</f>
        <v/>
      </c>
      <c r="N249" t="str">
        <f>IFERROR(VLOOKUP($B249,ChartOfAccounts!C248:D333,2,FALSE),"")</f>
        <v/>
      </c>
      <c r="O249" t="str">
        <f>IFERROR(VLOOKUP($B249,ChartOfAccounts!E248:F333,2,FALSE),"")</f>
        <v/>
      </c>
      <c r="P249" t="str">
        <f>IFERROR(VLOOKUP(D249,PreparerInfo!A248:B260,2,FALSE),"")</f>
        <v/>
      </c>
      <c r="Q249" t="str">
        <f>IFERROR(VLOOKUP(E249,Source!A248:B256,2,FALSE),"")</f>
        <v/>
      </c>
    </row>
    <row r="250" spans="1:17" x14ac:dyDescent="0.3">
      <c r="A250" s="3">
        <v>2033644</v>
      </c>
      <c r="B250">
        <v>51200</v>
      </c>
      <c r="C250">
        <v>2</v>
      </c>
      <c r="D250" s="9">
        <v>105</v>
      </c>
      <c r="E250">
        <v>1005</v>
      </c>
      <c r="F250" s="1">
        <v>44005</v>
      </c>
      <c r="G250" t="s">
        <v>152</v>
      </c>
      <c r="H250" s="4">
        <v>5874.63</v>
      </c>
      <c r="I250" s="4" t="s">
        <v>16</v>
      </c>
      <c r="J250" s="4">
        <v>5874.63</v>
      </c>
      <c r="K250" t="str">
        <f>VLOOKUP($C250,Table1[#All],2,FALSE)</f>
        <v>HOTEL</v>
      </c>
      <c r="L250" t="str">
        <f>VLOOKUP($C250,Table1[#All],3,FALSE)</f>
        <v xml:space="preserve">Transactions related to guest rooms and overall hotel operations. Includes payroll for administrative staff, clerks and interns. </v>
      </c>
      <c r="M250" t="str">
        <f>IFERROR(VLOOKUP($B250,ChartOfAccounts!A249:B334,2,FALSE),"")</f>
        <v/>
      </c>
      <c r="N250" t="str">
        <f>IFERROR(VLOOKUP($B250,ChartOfAccounts!C249:D334,2,FALSE),"")</f>
        <v/>
      </c>
      <c r="O250" t="str">
        <f>IFERROR(VLOOKUP($B250,ChartOfAccounts!E249:F334,2,FALSE),"")</f>
        <v/>
      </c>
      <c r="P250" t="str">
        <f>IFERROR(VLOOKUP(D250,PreparerInfo!A249:B261,2,FALSE),"")</f>
        <v/>
      </c>
      <c r="Q250" t="str">
        <f>IFERROR(VLOOKUP(E250,Source!A249:B257,2,FALSE),"")</f>
        <v/>
      </c>
    </row>
    <row r="251" spans="1:17" x14ac:dyDescent="0.3">
      <c r="A251" s="3">
        <v>2033644</v>
      </c>
      <c r="B251">
        <v>11845</v>
      </c>
      <c r="C251">
        <v>2</v>
      </c>
      <c r="D251" s="9">
        <v>105</v>
      </c>
      <c r="E251">
        <v>1005</v>
      </c>
      <c r="F251" s="1">
        <v>44005</v>
      </c>
      <c r="G251" t="s">
        <v>152</v>
      </c>
      <c r="H251" s="4" t="s">
        <v>16</v>
      </c>
      <c r="I251" s="4">
        <v>-5874.63</v>
      </c>
      <c r="J251" s="4">
        <v>-5874.63</v>
      </c>
      <c r="K251" t="str">
        <f>VLOOKUP($C251,Table1[#All],2,FALSE)</f>
        <v>HOTEL</v>
      </c>
      <c r="L251" t="str">
        <f>VLOOKUP($C251,Table1[#All],3,FALSE)</f>
        <v xml:space="preserve">Transactions related to guest rooms and overall hotel operations. Includes payroll for administrative staff, clerks and interns. </v>
      </c>
      <c r="M251" t="str">
        <f>IFERROR(VLOOKUP($B251,ChartOfAccounts!A250:B335,2,FALSE),"")</f>
        <v/>
      </c>
      <c r="N251" t="str">
        <f>IFERROR(VLOOKUP($B251,ChartOfAccounts!C250:D335,2,FALSE),"")</f>
        <v/>
      </c>
      <c r="O251" t="str">
        <f>IFERROR(VLOOKUP($B251,ChartOfAccounts!E250:F335,2,FALSE),"")</f>
        <v/>
      </c>
      <c r="P251" t="str">
        <f>IFERROR(VLOOKUP(D251,PreparerInfo!A250:B262,2,FALSE),"")</f>
        <v/>
      </c>
      <c r="Q251" t="str">
        <f>IFERROR(VLOOKUP(E251,Source!A250:B258,2,FALSE),"")</f>
        <v/>
      </c>
    </row>
    <row r="252" spans="1:17" x14ac:dyDescent="0.3">
      <c r="A252" s="3">
        <v>2033645</v>
      </c>
      <c r="B252">
        <v>11845</v>
      </c>
      <c r="C252">
        <v>2</v>
      </c>
      <c r="D252" s="9">
        <v>106</v>
      </c>
      <c r="E252">
        <v>1003</v>
      </c>
      <c r="F252" s="1">
        <v>44005</v>
      </c>
      <c r="G252" t="s">
        <v>81</v>
      </c>
      <c r="H252" s="4">
        <v>5908</v>
      </c>
      <c r="I252" s="4" t="s">
        <v>16</v>
      </c>
      <c r="J252" s="4">
        <v>5908</v>
      </c>
      <c r="K252" t="str">
        <f>VLOOKUP($C252,Table1[#All],2,FALSE)</f>
        <v>HOTEL</v>
      </c>
      <c r="L252" t="str">
        <f>VLOOKUP($C252,Table1[#All],3,FALSE)</f>
        <v xml:space="preserve">Transactions related to guest rooms and overall hotel operations. Includes payroll for administrative staff, clerks and interns. </v>
      </c>
      <c r="M252" t="str">
        <f>IFERROR(VLOOKUP($B252,ChartOfAccounts!A251:B336,2,FALSE),"")</f>
        <v/>
      </c>
      <c r="N252" t="str">
        <f>IFERROR(VLOOKUP($B252,ChartOfAccounts!C251:D336,2,FALSE),"")</f>
        <v/>
      </c>
      <c r="O252" t="str">
        <f>IFERROR(VLOOKUP($B252,ChartOfAccounts!E251:F336,2,FALSE),"")</f>
        <v/>
      </c>
      <c r="P252" t="str">
        <f>IFERROR(VLOOKUP(D252,PreparerInfo!A251:B263,2,FALSE),"")</f>
        <v/>
      </c>
      <c r="Q252" t="str">
        <f>IFERROR(VLOOKUP(E252,Source!A251:B259,2,FALSE),"")</f>
        <v/>
      </c>
    </row>
    <row r="253" spans="1:17" x14ac:dyDescent="0.3">
      <c r="A253" s="3">
        <v>2033645</v>
      </c>
      <c r="B253">
        <v>43180</v>
      </c>
      <c r="C253">
        <v>2</v>
      </c>
      <c r="D253" s="9">
        <v>106</v>
      </c>
      <c r="E253">
        <v>1003</v>
      </c>
      <c r="F253" s="1">
        <v>44005</v>
      </c>
      <c r="G253" t="s">
        <v>81</v>
      </c>
      <c r="H253" s="4" t="s">
        <v>16</v>
      </c>
      <c r="I253" s="4">
        <v>-5908</v>
      </c>
      <c r="J253" s="4">
        <v>-5908</v>
      </c>
      <c r="K253" t="str">
        <f>VLOOKUP($C253,Table1[#All],2,FALSE)</f>
        <v>HOTEL</v>
      </c>
      <c r="L253" t="str">
        <f>VLOOKUP($C253,Table1[#All],3,FALSE)</f>
        <v xml:space="preserve">Transactions related to guest rooms and overall hotel operations. Includes payroll for administrative staff, clerks and interns. </v>
      </c>
      <c r="M253" t="str">
        <f>IFERROR(VLOOKUP($B253,ChartOfAccounts!A252:B337,2,FALSE),"")</f>
        <v/>
      </c>
      <c r="N253" t="str">
        <f>IFERROR(VLOOKUP($B253,ChartOfAccounts!C252:D337,2,FALSE),"")</f>
        <v/>
      </c>
      <c r="O253" t="str">
        <f>IFERROR(VLOOKUP($B253,ChartOfAccounts!E252:F337,2,FALSE),"")</f>
        <v/>
      </c>
      <c r="P253" t="str">
        <f>IFERROR(VLOOKUP(D253,PreparerInfo!A252:B264,2,FALSE),"")</f>
        <v/>
      </c>
      <c r="Q253" t="str">
        <f>IFERROR(VLOOKUP(E253,Source!A252:B260,2,FALSE),"")</f>
        <v/>
      </c>
    </row>
    <row r="254" spans="1:17" x14ac:dyDescent="0.3">
      <c r="A254" s="3">
        <v>2033646</v>
      </c>
      <c r="B254">
        <v>11845</v>
      </c>
      <c r="C254">
        <v>2</v>
      </c>
      <c r="D254" s="9">
        <v>104</v>
      </c>
      <c r="E254">
        <v>1003</v>
      </c>
      <c r="F254" s="1">
        <v>44005</v>
      </c>
      <c r="G254" t="s">
        <v>15</v>
      </c>
      <c r="H254" s="4">
        <v>7000</v>
      </c>
      <c r="I254" s="4" t="s">
        <v>16</v>
      </c>
      <c r="J254" s="4">
        <v>7000</v>
      </c>
      <c r="K254" t="str">
        <f>VLOOKUP($C254,Table1[#All],2,FALSE)</f>
        <v>HOTEL</v>
      </c>
      <c r="L254" t="str">
        <f>VLOOKUP($C254,Table1[#All],3,FALSE)</f>
        <v xml:space="preserve">Transactions related to guest rooms and overall hotel operations. Includes payroll for administrative staff, clerks and interns. </v>
      </c>
      <c r="M254" t="str">
        <f>IFERROR(VLOOKUP($B254,ChartOfAccounts!A253:B338,2,FALSE),"")</f>
        <v/>
      </c>
      <c r="N254" t="str">
        <f>IFERROR(VLOOKUP($B254,ChartOfAccounts!C253:D338,2,FALSE),"")</f>
        <v/>
      </c>
      <c r="O254" t="str">
        <f>IFERROR(VLOOKUP($B254,ChartOfAccounts!E253:F338,2,FALSE),"")</f>
        <v/>
      </c>
      <c r="P254" t="str">
        <f>IFERROR(VLOOKUP(D254,PreparerInfo!A253:B265,2,FALSE),"")</f>
        <v/>
      </c>
      <c r="Q254" t="str">
        <f>IFERROR(VLOOKUP(E254,Source!A253:B261,2,FALSE),"")</f>
        <v/>
      </c>
    </row>
    <row r="255" spans="1:17" x14ac:dyDescent="0.3">
      <c r="A255" s="3">
        <v>2033646</v>
      </c>
      <c r="B255">
        <v>43180</v>
      </c>
      <c r="C255">
        <v>2</v>
      </c>
      <c r="D255" s="9">
        <v>104</v>
      </c>
      <c r="E255">
        <v>1003</v>
      </c>
      <c r="F255" s="1">
        <v>44005</v>
      </c>
      <c r="G255" t="s">
        <v>15</v>
      </c>
      <c r="H255" s="4" t="s">
        <v>16</v>
      </c>
      <c r="I255" s="4">
        <v>-7000</v>
      </c>
      <c r="J255" s="4">
        <v>-7000</v>
      </c>
      <c r="K255" t="str">
        <f>VLOOKUP($C255,Table1[#All],2,FALSE)</f>
        <v>HOTEL</v>
      </c>
      <c r="L255" t="str">
        <f>VLOOKUP($C255,Table1[#All],3,FALSE)</f>
        <v xml:space="preserve">Transactions related to guest rooms and overall hotel operations. Includes payroll for administrative staff, clerks and interns. </v>
      </c>
      <c r="M255" t="str">
        <f>IFERROR(VLOOKUP($B255,ChartOfAccounts!A254:B339,2,FALSE),"")</f>
        <v/>
      </c>
      <c r="N255" t="str">
        <f>IFERROR(VLOOKUP($B255,ChartOfAccounts!C254:D339,2,FALSE),"")</f>
        <v/>
      </c>
      <c r="O255" t="str">
        <f>IFERROR(VLOOKUP($B255,ChartOfAccounts!E254:F339,2,FALSE),"")</f>
        <v/>
      </c>
      <c r="P255" t="str">
        <f>IFERROR(VLOOKUP(D255,PreparerInfo!A254:B266,2,FALSE),"")</f>
        <v/>
      </c>
      <c r="Q255" t="str">
        <f>IFERROR(VLOOKUP(E255,Source!A254:B262,2,FALSE),"")</f>
        <v/>
      </c>
    </row>
    <row r="256" spans="1:17" x14ac:dyDescent="0.3">
      <c r="A256" s="3">
        <v>2033647</v>
      </c>
      <c r="B256">
        <v>51120</v>
      </c>
      <c r="C256">
        <v>4</v>
      </c>
      <c r="D256" s="9">
        <v>105</v>
      </c>
      <c r="E256">
        <v>1004</v>
      </c>
      <c r="F256" s="1">
        <v>44005</v>
      </c>
      <c r="G256" t="s">
        <v>60</v>
      </c>
      <c r="H256" s="4">
        <v>7370.02</v>
      </c>
      <c r="I256" s="4" t="s">
        <v>16</v>
      </c>
      <c r="J256" s="4">
        <v>7370.02</v>
      </c>
      <c r="K256" t="str">
        <f>VLOOKUP($C256,Table1[#All],2,FALSE)</f>
        <v>HOUSEKEEPING</v>
      </c>
      <c r="L256" t="str">
        <f>VLOOKUP($C256,Table1[#All],3,FALSE)</f>
        <v xml:space="preserve">Transactions related to the Housekeeping Department. Primarily includes payroll for housekeepers and housekeeping supplies. </v>
      </c>
      <c r="M256" t="str">
        <f>IFERROR(VLOOKUP($B256,ChartOfAccounts!A255:B340,2,FALSE),"")</f>
        <v/>
      </c>
      <c r="N256" t="str">
        <f>IFERROR(VLOOKUP($B256,ChartOfAccounts!C255:D340,2,FALSE),"")</f>
        <v/>
      </c>
      <c r="O256" t="str">
        <f>IFERROR(VLOOKUP($B256,ChartOfAccounts!E255:F340,2,FALSE),"")</f>
        <v/>
      </c>
      <c r="P256" t="str">
        <f>IFERROR(VLOOKUP(D256,PreparerInfo!A255:B267,2,FALSE),"")</f>
        <v/>
      </c>
      <c r="Q256" t="str">
        <f>IFERROR(VLOOKUP(E256,Source!A255:B263,2,FALSE),"")</f>
        <v/>
      </c>
    </row>
    <row r="257" spans="1:17" x14ac:dyDescent="0.3">
      <c r="A257" s="3">
        <v>2033647</v>
      </c>
      <c r="B257">
        <v>11845</v>
      </c>
      <c r="C257">
        <v>4</v>
      </c>
      <c r="D257" s="9">
        <v>105</v>
      </c>
      <c r="E257">
        <v>1004</v>
      </c>
      <c r="F257" s="1">
        <v>44005</v>
      </c>
      <c r="G257" t="s">
        <v>60</v>
      </c>
      <c r="H257" s="4" t="s">
        <v>16</v>
      </c>
      <c r="I257" s="4">
        <v>-7370.02</v>
      </c>
      <c r="J257" s="4">
        <v>-7370.02</v>
      </c>
      <c r="K257" t="str">
        <f>VLOOKUP($C257,Table1[#All],2,FALSE)</f>
        <v>HOUSEKEEPING</v>
      </c>
      <c r="L257" t="str">
        <f>VLOOKUP($C257,Table1[#All],3,FALSE)</f>
        <v xml:space="preserve">Transactions related to the Housekeeping Department. Primarily includes payroll for housekeepers and housekeeping supplies. </v>
      </c>
      <c r="M257" t="str">
        <f>IFERROR(VLOOKUP($B257,ChartOfAccounts!A256:B341,2,FALSE),"")</f>
        <v/>
      </c>
      <c r="N257" t="str">
        <f>IFERROR(VLOOKUP($B257,ChartOfAccounts!C256:D341,2,FALSE),"")</f>
        <v/>
      </c>
      <c r="O257" t="str">
        <f>IFERROR(VLOOKUP($B257,ChartOfAccounts!E256:F341,2,FALSE),"")</f>
        <v/>
      </c>
      <c r="P257" t="str">
        <f>IFERROR(VLOOKUP(D257,PreparerInfo!A256:B268,2,FALSE),"")</f>
        <v/>
      </c>
      <c r="Q257" t="str">
        <f>IFERROR(VLOOKUP(E257,Source!A256:B264,2,FALSE),"")</f>
        <v/>
      </c>
    </row>
    <row r="258" spans="1:17" x14ac:dyDescent="0.3">
      <c r="A258" s="3">
        <v>2033648</v>
      </c>
      <c r="B258">
        <v>51120</v>
      </c>
      <c r="C258">
        <v>4</v>
      </c>
      <c r="D258" s="9">
        <v>105</v>
      </c>
      <c r="E258">
        <v>1005</v>
      </c>
      <c r="F258" s="1">
        <v>44005</v>
      </c>
      <c r="G258" t="s">
        <v>188</v>
      </c>
      <c r="H258" s="4">
        <v>7880</v>
      </c>
      <c r="I258" s="4" t="s">
        <v>16</v>
      </c>
      <c r="J258" s="4">
        <v>7880</v>
      </c>
      <c r="K258" t="str">
        <f>VLOOKUP($C258,Table1[#All],2,FALSE)</f>
        <v>HOUSEKEEPING</v>
      </c>
      <c r="L258" t="str">
        <f>VLOOKUP($C258,Table1[#All],3,FALSE)</f>
        <v xml:space="preserve">Transactions related to the Housekeeping Department. Primarily includes payroll for housekeepers and housekeeping supplies. </v>
      </c>
      <c r="M258" t="str">
        <f>IFERROR(VLOOKUP($B258,ChartOfAccounts!A257:B342,2,FALSE),"")</f>
        <v/>
      </c>
      <c r="N258" t="str">
        <f>IFERROR(VLOOKUP($B258,ChartOfAccounts!C257:D342,2,FALSE),"")</f>
        <v/>
      </c>
      <c r="O258" t="str">
        <f>IFERROR(VLOOKUP($B258,ChartOfAccounts!E257:F342,2,FALSE),"")</f>
        <v/>
      </c>
      <c r="P258" t="str">
        <f>IFERROR(VLOOKUP(D258,PreparerInfo!A257:B269,2,FALSE),"")</f>
        <v/>
      </c>
      <c r="Q258" t="str">
        <f>IFERROR(VLOOKUP(E258,Source!A257:B265,2,FALSE),"")</f>
        <v/>
      </c>
    </row>
    <row r="259" spans="1:17" x14ac:dyDescent="0.3">
      <c r="A259" s="3">
        <v>2033648</v>
      </c>
      <c r="B259">
        <v>11845</v>
      </c>
      <c r="C259">
        <v>4</v>
      </c>
      <c r="D259" s="9">
        <v>105</v>
      </c>
      <c r="E259">
        <v>1005</v>
      </c>
      <c r="F259" s="1">
        <v>44005</v>
      </c>
      <c r="G259" t="s">
        <v>188</v>
      </c>
      <c r="H259" s="4" t="s">
        <v>16</v>
      </c>
      <c r="I259" s="4">
        <v>-7880</v>
      </c>
      <c r="J259" s="4">
        <v>-7880</v>
      </c>
      <c r="K259" t="str">
        <f>VLOOKUP($C259,Table1[#All],2,FALSE)</f>
        <v>HOUSEKEEPING</v>
      </c>
      <c r="L259" t="str">
        <f>VLOOKUP($C259,Table1[#All],3,FALSE)</f>
        <v xml:space="preserve">Transactions related to the Housekeeping Department. Primarily includes payroll for housekeepers and housekeeping supplies. </v>
      </c>
      <c r="M259" t="str">
        <f>IFERROR(VLOOKUP($B259,ChartOfAccounts!A258:B343,2,FALSE),"")</f>
        <v/>
      </c>
      <c r="N259" t="str">
        <f>IFERROR(VLOOKUP($B259,ChartOfAccounts!C258:D343,2,FALSE),"")</f>
        <v/>
      </c>
      <c r="O259" t="str">
        <f>IFERROR(VLOOKUP($B259,ChartOfAccounts!E258:F343,2,FALSE),"")</f>
        <v/>
      </c>
      <c r="P259" t="str">
        <f>IFERROR(VLOOKUP(D259,PreparerInfo!A258:B270,2,FALSE),"")</f>
        <v/>
      </c>
      <c r="Q259" t="str">
        <f>IFERROR(VLOOKUP(E259,Source!A258:B266,2,FALSE),"")</f>
        <v/>
      </c>
    </row>
    <row r="260" spans="1:17" x14ac:dyDescent="0.3">
      <c r="A260" s="3">
        <v>2033649</v>
      </c>
      <c r="B260">
        <v>51130</v>
      </c>
      <c r="C260">
        <v>4</v>
      </c>
      <c r="D260" s="9">
        <v>105</v>
      </c>
      <c r="E260">
        <v>1005</v>
      </c>
      <c r="F260" s="1">
        <v>44005</v>
      </c>
      <c r="G260" t="s">
        <v>143</v>
      </c>
      <c r="H260" s="4">
        <v>9525</v>
      </c>
      <c r="I260" s="4" t="s">
        <v>16</v>
      </c>
      <c r="J260" s="4">
        <v>9525</v>
      </c>
      <c r="K260" t="str">
        <f>VLOOKUP($C260,Table1[#All],2,FALSE)</f>
        <v>HOUSEKEEPING</v>
      </c>
      <c r="L260" t="str">
        <f>VLOOKUP($C260,Table1[#All],3,FALSE)</f>
        <v xml:space="preserve">Transactions related to the Housekeeping Department. Primarily includes payroll for housekeepers and housekeeping supplies. </v>
      </c>
      <c r="M260" t="str">
        <f>IFERROR(VLOOKUP($B260,ChartOfAccounts!A259:B344,2,FALSE),"")</f>
        <v/>
      </c>
      <c r="N260" t="str">
        <f>IFERROR(VLOOKUP($B260,ChartOfAccounts!C259:D344,2,FALSE),"")</f>
        <v/>
      </c>
      <c r="O260" t="str">
        <f>IFERROR(VLOOKUP($B260,ChartOfAccounts!E259:F344,2,FALSE),"")</f>
        <v/>
      </c>
      <c r="P260" t="str">
        <f>IFERROR(VLOOKUP(D260,PreparerInfo!A259:B271,2,FALSE),"")</f>
        <v/>
      </c>
      <c r="Q260" t="str">
        <f>IFERROR(VLOOKUP(E260,Source!A259:B267,2,FALSE),"")</f>
        <v/>
      </c>
    </row>
    <row r="261" spans="1:17" x14ac:dyDescent="0.3">
      <c r="A261" s="3">
        <v>2033649</v>
      </c>
      <c r="B261">
        <v>11845</v>
      </c>
      <c r="C261">
        <v>4</v>
      </c>
      <c r="D261" s="9">
        <v>105</v>
      </c>
      <c r="E261">
        <v>1005</v>
      </c>
      <c r="F261" s="1">
        <v>44005</v>
      </c>
      <c r="G261" t="s">
        <v>143</v>
      </c>
      <c r="H261" s="4" t="s">
        <v>16</v>
      </c>
      <c r="I261" s="4">
        <v>-9525</v>
      </c>
      <c r="J261" s="4">
        <v>-9525</v>
      </c>
      <c r="K261" t="str">
        <f>VLOOKUP($C261,Table1[#All],2,FALSE)</f>
        <v>HOUSEKEEPING</v>
      </c>
      <c r="L261" t="str">
        <f>VLOOKUP($C261,Table1[#All],3,FALSE)</f>
        <v xml:space="preserve">Transactions related to the Housekeeping Department. Primarily includes payroll for housekeepers and housekeeping supplies. </v>
      </c>
      <c r="M261" t="str">
        <f>IFERROR(VLOOKUP($B261,ChartOfAccounts!A260:B345,2,FALSE),"")</f>
        <v/>
      </c>
      <c r="N261" t="str">
        <f>IFERROR(VLOOKUP($B261,ChartOfAccounts!C260:D345,2,FALSE),"")</f>
        <v/>
      </c>
      <c r="O261" t="str">
        <f>IFERROR(VLOOKUP($B261,ChartOfAccounts!E260:F345,2,FALSE),"")</f>
        <v/>
      </c>
      <c r="P261" t="str">
        <f>IFERROR(VLOOKUP(D261,PreparerInfo!A260:B272,2,FALSE),"")</f>
        <v/>
      </c>
      <c r="Q261" t="str">
        <f>IFERROR(VLOOKUP(E261,Source!A260:B268,2,FALSE),"")</f>
        <v/>
      </c>
    </row>
    <row r="262" spans="1:17" x14ac:dyDescent="0.3">
      <c r="A262" s="3">
        <v>2033650</v>
      </c>
      <c r="B262">
        <v>11845</v>
      </c>
      <c r="C262">
        <v>2</v>
      </c>
      <c r="D262" s="9">
        <v>104</v>
      </c>
      <c r="E262">
        <v>1003</v>
      </c>
      <c r="F262" s="1">
        <v>44005</v>
      </c>
      <c r="G262" t="s">
        <v>15</v>
      </c>
      <c r="H262" s="4">
        <v>16000</v>
      </c>
      <c r="I262" s="4" t="s">
        <v>16</v>
      </c>
      <c r="J262" s="4">
        <v>16000</v>
      </c>
      <c r="K262" t="str">
        <f>VLOOKUP($C262,Table1[#All],2,FALSE)</f>
        <v>HOTEL</v>
      </c>
      <c r="L262" t="str">
        <f>VLOOKUP($C262,Table1[#All],3,FALSE)</f>
        <v xml:space="preserve">Transactions related to guest rooms and overall hotel operations. Includes payroll for administrative staff, clerks and interns. </v>
      </c>
      <c r="M262" t="str">
        <f>IFERROR(VLOOKUP($B262,ChartOfAccounts!A261:B346,2,FALSE),"")</f>
        <v/>
      </c>
      <c r="N262" t="str">
        <f>IFERROR(VLOOKUP($B262,ChartOfAccounts!C261:D346,2,FALSE),"")</f>
        <v/>
      </c>
      <c r="O262" t="str">
        <f>IFERROR(VLOOKUP($B262,ChartOfAccounts!E261:F346,2,FALSE),"")</f>
        <v/>
      </c>
      <c r="P262" t="str">
        <f>IFERROR(VLOOKUP(D262,PreparerInfo!A261:B273,2,FALSE),"")</f>
        <v/>
      </c>
      <c r="Q262" t="str">
        <f>IFERROR(VLOOKUP(E262,Source!A261:B269,2,FALSE),"")</f>
        <v/>
      </c>
    </row>
    <row r="263" spans="1:17" x14ac:dyDescent="0.3">
      <c r="A263" s="3">
        <v>2033650</v>
      </c>
      <c r="B263">
        <v>43180</v>
      </c>
      <c r="C263">
        <v>2</v>
      </c>
      <c r="D263" s="9">
        <v>104</v>
      </c>
      <c r="E263">
        <v>1003</v>
      </c>
      <c r="F263" s="1">
        <v>44005</v>
      </c>
      <c r="G263" t="s">
        <v>15</v>
      </c>
      <c r="H263" s="4" t="s">
        <v>16</v>
      </c>
      <c r="I263" s="4">
        <v>-16000</v>
      </c>
      <c r="J263" s="4">
        <v>-16000</v>
      </c>
      <c r="K263" t="str">
        <f>VLOOKUP($C263,Table1[#All],2,FALSE)</f>
        <v>HOTEL</v>
      </c>
      <c r="L263" t="str">
        <f>VLOOKUP($C263,Table1[#All],3,FALSE)</f>
        <v xml:space="preserve">Transactions related to guest rooms and overall hotel operations. Includes payroll for administrative staff, clerks and interns. </v>
      </c>
      <c r="M263" t="str">
        <f>IFERROR(VLOOKUP($B263,ChartOfAccounts!A262:B347,2,FALSE),"")</f>
        <v/>
      </c>
      <c r="N263" t="str">
        <f>IFERROR(VLOOKUP($B263,ChartOfAccounts!C262:D347,2,FALSE),"")</f>
        <v/>
      </c>
      <c r="O263" t="str">
        <f>IFERROR(VLOOKUP($B263,ChartOfAccounts!E262:F347,2,FALSE),"")</f>
        <v/>
      </c>
      <c r="P263" t="str">
        <f>IFERROR(VLOOKUP(D263,PreparerInfo!A262:B274,2,FALSE),"")</f>
        <v/>
      </c>
      <c r="Q263" t="str">
        <f>IFERROR(VLOOKUP(E263,Source!A262:B270,2,FALSE),"")</f>
        <v/>
      </c>
    </row>
    <row r="264" spans="1:17" x14ac:dyDescent="0.3">
      <c r="A264" s="3">
        <v>2033651</v>
      </c>
      <c r="B264">
        <v>51120</v>
      </c>
      <c r="C264">
        <v>1</v>
      </c>
      <c r="D264" s="9">
        <v>105</v>
      </c>
      <c r="E264">
        <v>1004</v>
      </c>
      <c r="F264" s="1">
        <v>44005</v>
      </c>
      <c r="G264" t="s">
        <v>60</v>
      </c>
      <c r="H264" s="4">
        <v>17386.89</v>
      </c>
      <c r="I264" s="4" t="s">
        <v>16</v>
      </c>
      <c r="J264" s="4">
        <v>17386.89</v>
      </c>
      <c r="K264" t="str">
        <f>VLOOKUP($C264,Table1[#All],2,FALSE)</f>
        <v>FOOD SERVICE</v>
      </c>
      <c r="L264" t="str">
        <f>VLOOKUP($C264,Table1[#All],3,FALSE)</f>
        <v xml:space="preserve">Transactions related to food and beverage service. Includes all guest transactions in the hotel restaurants, catering-related transactions and food service payroll. </v>
      </c>
      <c r="M264" t="str">
        <f>IFERROR(VLOOKUP($B264,ChartOfAccounts!A263:B348,2,FALSE),"")</f>
        <v/>
      </c>
      <c r="N264" t="str">
        <f>IFERROR(VLOOKUP($B264,ChartOfAccounts!C263:D348,2,FALSE),"")</f>
        <v/>
      </c>
      <c r="O264" t="str">
        <f>IFERROR(VLOOKUP($B264,ChartOfAccounts!E263:F348,2,FALSE),"")</f>
        <v/>
      </c>
      <c r="P264" t="str">
        <f>IFERROR(VLOOKUP(D264,PreparerInfo!A263:B275,2,FALSE),"")</f>
        <v/>
      </c>
      <c r="Q264" t="str">
        <f>IFERROR(VLOOKUP(E264,Source!A263:B271,2,FALSE),"")</f>
        <v/>
      </c>
    </row>
    <row r="265" spans="1:17" x14ac:dyDescent="0.3">
      <c r="A265" s="3">
        <v>2033651</v>
      </c>
      <c r="B265">
        <v>11845</v>
      </c>
      <c r="C265">
        <v>1</v>
      </c>
      <c r="D265" s="9">
        <v>105</v>
      </c>
      <c r="E265">
        <v>1004</v>
      </c>
      <c r="F265" s="1">
        <v>44005</v>
      </c>
      <c r="G265" t="s">
        <v>60</v>
      </c>
      <c r="H265" s="4" t="s">
        <v>16</v>
      </c>
      <c r="I265" s="4">
        <v>-17386.89</v>
      </c>
      <c r="J265" s="4">
        <v>-17386.89</v>
      </c>
      <c r="K265" t="str">
        <f>VLOOKUP($C265,Table1[#All],2,FALSE)</f>
        <v>FOOD SERVICE</v>
      </c>
      <c r="L265" t="str">
        <f>VLOOKUP($C265,Table1[#All],3,FALSE)</f>
        <v xml:space="preserve">Transactions related to food and beverage service. Includes all guest transactions in the hotel restaurants, catering-related transactions and food service payroll. </v>
      </c>
      <c r="M265" t="str">
        <f>IFERROR(VLOOKUP($B265,ChartOfAccounts!A264:B349,2,FALSE),"")</f>
        <v/>
      </c>
      <c r="N265" t="str">
        <f>IFERROR(VLOOKUP($B265,ChartOfAccounts!C264:D349,2,FALSE),"")</f>
        <v/>
      </c>
      <c r="O265" t="str">
        <f>IFERROR(VLOOKUP($B265,ChartOfAccounts!E264:F349,2,FALSE),"")</f>
        <v/>
      </c>
      <c r="P265" t="str">
        <f>IFERROR(VLOOKUP(D265,PreparerInfo!A264:B276,2,FALSE),"")</f>
        <v/>
      </c>
      <c r="Q265" t="str">
        <f>IFERROR(VLOOKUP(E265,Source!A264:B272,2,FALSE),"")</f>
        <v/>
      </c>
    </row>
    <row r="266" spans="1:17" x14ac:dyDescent="0.3">
      <c r="A266" s="3">
        <v>2033652</v>
      </c>
      <c r="B266">
        <v>51200</v>
      </c>
      <c r="C266">
        <v>1</v>
      </c>
      <c r="D266" s="9">
        <v>105</v>
      </c>
      <c r="E266">
        <v>1005</v>
      </c>
      <c r="F266" s="1">
        <v>44005</v>
      </c>
      <c r="G266" t="s">
        <v>153</v>
      </c>
      <c r="H266" s="4">
        <v>17730.47</v>
      </c>
      <c r="I266" s="4" t="s">
        <v>16</v>
      </c>
      <c r="J266" s="4">
        <v>17730.47</v>
      </c>
      <c r="K266" t="str">
        <f>VLOOKUP($C266,Table1[#All],2,FALSE)</f>
        <v>FOOD SERVICE</v>
      </c>
      <c r="L266" t="str">
        <f>VLOOKUP($C266,Table1[#All],3,FALSE)</f>
        <v xml:space="preserve">Transactions related to food and beverage service. Includes all guest transactions in the hotel restaurants, catering-related transactions and food service payroll. </v>
      </c>
      <c r="M266" t="str">
        <f>IFERROR(VLOOKUP($B266,ChartOfAccounts!A265:B350,2,FALSE),"")</f>
        <v/>
      </c>
      <c r="N266" t="str">
        <f>IFERROR(VLOOKUP($B266,ChartOfAccounts!C265:D350,2,FALSE),"")</f>
        <v/>
      </c>
      <c r="O266" t="str">
        <f>IFERROR(VLOOKUP($B266,ChartOfAccounts!E265:F350,2,FALSE),"")</f>
        <v/>
      </c>
      <c r="P266" t="str">
        <f>IFERROR(VLOOKUP(D266,PreparerInfo!A265:B277,2,FALSE),"")</f>
        <v/>
      </c>
      <c r="Q266" t="str">
        <f>IFERROR(VLOOKUP(E266,Source!A265:B273,2,FALSE),"")</f>
        <v/>
      </c>
    </row>
    <row r="267" spans="1:17" x14ac:dyDescent="0.3">
      <c r="A267" s="3">
        <v>2033652</v>
      </c>
      <c r="B267">
        <v>11845</v>
      </c>
      <c r="C267">
        <v>1</v>
      </c>
      <c r="D267" s="9">
        <v>105</v>
      </c>
      <c r="E267">
        <v>1005</v>
      </c>
      <c r="F267" s="1">
        <v>44005</v>
      </c>
      <c r="G267" t="s">
        <v>153</v>
      </c>
      <c r="H267" s="4" t="s">
        <v>16</v>
      </c>
      <c r="I267" s="4">
        <v>-17730.47</v>
      </c>
      <c r="J267" s="4">
        <v>-17730.47</v>
      </c>
      <c r="K267" t="str">
        <f>VLOOKUP($C267,Table1[#All],2,FALSE)</f>
        <v>FOOD SERVICE</v>
      </c>
      <c r="L267" t="str">
        <f>VLOOKUP($C267,Table1[#All],3,FALSE)</f>
        <v xml:space="preserve">Transactions related to food and beverage service. Includes all guest transactions in the hotel restaurants, catering-related transactions and food service payroll. </v>
      </c>
      <c r="M267" t="str">
        <f>IFERROR(VLOOKUP($B267,ChartOfAccounts!A266:B351,2,FALSE),"")</f>
        <v/>
      </c>
      <c r="N267" t="str">
        <f>IFERROR(VLOOKUP($B267,ChartOfAccounts!C266:D351,2,FALSE),"")</f>
        <v/>
      </c>
      <c r="O267" t="str">
        <f>IFERROR(VLOOKUP($B267,ChartOfAccounts!E266:F351,2,FALSE),"")</f>
        <v/>
      </c>
      <c r="P267" t="str">
        <f>IFERROR(VLOOKUP(D267,PreparerInfo!A266:B278,2,FALSE),"")</f>
        <v/>
      </c>
      <c r="Q267" t="str">
        <f>IFERROR(VLOOKUP(E267,Source!A266:B274,2,FALSE),"")</f>
        <v/>
      </c>
    </row>
    <row r="268" spans="1:17" x14ac:dyDescent="0.3">
      <c r="A268" s="3">
        <v>2033653</v>
      </c>
      <c r="B268">
        <v>51120</v>
      </c>
      <c r="C268">
        <v>1</v>
      </c>
      <c r="D268" s="9">
        <v>105</v>
      </c>
      <c r="E268">
        <v>1005</v>
      </c>
      <c r="F268" s="1">
        <v>44005</v>
      </c>
      <c r="G268" t="s">
        <v>190</v>
      </c>
      <c r="H268" s="4">
        <v>20808.8</v>
      </c>
      <c r="I268" s="4" t="s">
        <v>16</v>
      </c>
      <c r="J268" s="4">
        <v>20808.8</v>
      </c>
      <c r="K268" t="str">
        <f>VLOOKUP($C268,Table1[#All],2,FALSE)</f>
        <v>FOOD SERVICE</v>
      </c>
      <c r="L268" t="str">
        <f>VLOOKUP($C268,Table1[#All],3,FALSE)</f>
        <v xml:space="preserve">Transactions related to food and beverage service. Includes all guest transactions in the hotel restaurants, catering-related transactions and food service payroll. </v>
      </c>
      <c r="M268" t="str">
        <f>IFERROR(VLOOKUP($B268,ChartOfAccounts!A267:B352,2,FALSE),"")</f>
        <v/>
      </c>
      <c r="N268" t="str">
        <f>IFERROR(VLOOKUP($B268,ChartOfAccounts!C267:D352,2,FALSE),"")</f>
        <v/>
      </c>
      <c r="O268" t="str">
        <f>IFERROR(VLOOKUP($B268,ChartOfAccounts!E267:F352,2,FALSE),"")</f>
        <v/>
      </c>
      <c r="P268" t="str">
        <f>IFERROR(VLOOKUP(D268,PreparerInfo!A267:B279,2,FALSE),"")</f>
        <v/>
      </c>
      <c r="Q268" t="str">
        <f>IFERROR(VLOOKUP(E268,Source!A267:B275,2,FALSE),"")</f>
        <v/>
      </c>
    </row>
    <row r="269" spans="1:17" x14ac:dyDescent="0.3">
      <c r="A269" s="3">
        <v>2033653</v>
      </c>
      <c r="B269">
        <v>11845</v>
      </c>
      <c r="C269">
        <v>1</v>
      </c>
      <c r="D269" s="9">
        <v>105</v>
      </c>
      <c r="E269">
        <v>1005</v>
      </c>
      <c r="F269" s="1">
        <v>44005</v>
      </c>
      <c r="G269" t="s">
        <v>190</v>
      </c>
      <c r="H269" s="4" t="s">
        <v>16</v>
      </c>
      <c r="I269" s="4">
        <v>-20808.8</v>
      </c>
      <c r="J269" s="4">
        <v>-20808.8</v>
      </c>
      <c r="K269" t="str">
        <f>VLOOKUP($C269,Table1[#All],2,FALSE)</f>
        <v>FOOD SERVICE</v>
      </c>
      <c r="L269" t="str">
        <f>VLOOKUP($C269,Table1[#All],3,FALSE)</f>
        <v xml:space="preserve">Transactions related to food and beverage service. Includes all guest transactions in the hotel restaurants, catering-related transactions and food service payroll. </v>
      </c>
      <c r="M269" t="str">
        <f>IFERROR(VLOOKUP($B269,ChartOfAccounts!A268:B353,2,FALSE),"")</f>
        <v/>
      </c>
      <c r="N269" t="str">
        <f>IFERROR(VLOOKUP($B269,ChartOfAccounts!C268:D353,2,FALSE),"")</f>
        <v/>
      </c>
      <c r="O269" t="str">
        <f>IFERROR(VLOOKUP($B269,ChartOfAccounts!E268:F353,2,FALSE),"")</f>
        <v/>
      </c>
      <c r="P269" t="str">
        <f>IFERROR(VLOOKUP(D269,PreparerInfo!A268:B280,2,FALSE),"")</f>
        <v/>
      </c>
      <c r="Q269" t="str">
        <f>IFERROR(VLOOKUP(E269,Source!A268:B276,2,FALSE),"")</f>
        <v/>
      </c>
    </row>
    <row r="270" spans="1:17" x14ac:dyDescent="0.3">
      <c r="A270" s="3">
        <v>2033654</v>
      </c>
      <c r="B270">
        <v>51130</v>
      </c>
      <c r="C270">
        <v>1</v>
      </c>
      <c r="D270" s="9">
        <v>105</v>
      </c>
      <c r="E270">
        <v>1005</v>
      </c>
      <c r="F270" s="1">
        <v>44005</v>
      </c>
      <c r="G270" t="s">
        <v>144</v>
      </c>
      <c r="H270" s="4">
        <v>38894.58</v>
      </c>
      <c r="I270" s="4" t="s">
        <v>16</v>
      </c>
      <c r="J270" s="4">
        <v>38894.58</v>
      </c>
      <c r="K270" t="str">
        <f>VLOOKUP($C270,Table1[#All],2,FALSE)</f>
        <v>FOOD SERVICE</v>
      </c>
      <c r="L270" t="str">
        <f>VLOOKUP($C270,Table1[#All],3,FALSE)</f>
        <v xml:space="preserve">Transactions related to food and beverage service. Includes all guest transactions in the hotel restaurants, catering-related transactions and food service payroll. </v>
      </c>
      <c r="M270" t="str">
        <f>IFERROR(VLOOKUP($B270,ChartOfAccounts!A269:B354,2,FALSE),"")</f>
        <v/>
      </c>
      <c r="N270" t="str">
        <f>IFERROR(VLOOKUP($B270,ChartOfAccounts!C269:D354,2,FALSE),"")</f>
        <v/>
      </c>
      <c r="O270" t="str">
        <f>IFERROR(VLOOKUP($B270,ChartOfAccounts!E269:F354,2,FALSE),"")</f>
        <v/>
      </c>
      <c r="P270" t="str">
        <f>IFERROR(VLOOKUP(D270,PreparerInfo!A269:B281,2,FALSE),"")</f>
        <v/>
      </c>
      <c r="Q270" t="str">
        <f>IFERROR(VLOOKUP(E270,Source!A269:B277,2,FALSE),"")</f>
        <v/>
      </c>
    </row>
    <row r="271" spans="1:17" x14ac:dyDescent="0.3">
      <c r="A271" s="3">
        <v>2033654</v>
      </c>
      <c r="B271">
        <v>11845</v>
      </c>
      <c r="C271">
        <v>1</v>
      </c>
      <c r="D271" s="9">
        <v>105</v>
      </c>
      <c r="E271">
        <v>1005</v>
      </c>
      <c r="F271" s="1">
        <v>44005</v>
      </c>
      <c r="G271" t="s">
        <v>144</v>
      </c>
      <c r="H271" s="4" t="s">
        <v>16</v>
      </c>
      <c r="I271" s="4">
        <v>-38894.58</v>
      </c>
      <c r="J271" s="4">
        <v>-38894.58</v>
      </c>
      <c r="K271" t="str">
        <f>VLOOKUP($C271,Table1[#All],2,FALSE)</f>
        <v>FOOD SERVICE</v>
      </c>
      <c r="L271" t="str">
        <f>VLOOKUP($C271,Table1[#All],3,FALSE)</f>
        <v xml:space="preserve">Transactions related to food and beverage service. Includes all guest transactions in the hotel restaurants, catering-related transactions and food service payroll. </v>
      </c>
      <c r="M271" t="str">
        <f>IFERROR(VLOOKUP($B271,ChartOfAccounts!A270:B355,2,FALSE),"")</f>
        <v/>
      </c>
      <c r="N271" t="str">
        <f>IFERROR(VLOOKUP($B271,ChartOfAccounts!C270:D355,2,FALSE),"")</f>
        <v/>
      </c>
      <c r="O271" t="str">
        <f>IFERROR(VLOOKUP($B271,ChartOfAccounts!E270:F355,2,FALSE),"")</f>
        <v/>
      </c>
      <c r="P271" t="str">
        <f>IFERROR(VLOOKUP(D271,PreparerInfo!A270:B282,2,FALSE),"")</f>
        <v/>
      </c>
      <c r="Q271" t="str">
        <f>IFERROR(VLOOKUP(E271,Source!A270:B278,2,FALSE),"")</f>
        <v/>
      </c>
    </row>
    <row r="272" spans="1:17" x14ac:dyDescent="0.3">
      <c r="A272" s="3">
        <v>2033655</v>
      </c>
      <c r="B272">
        <v>71410</v>
      </c>
      <c r="C272">
        <v>1</v>
      </c>
      <c r="D272" s="9">
        <v>101</v>
      </c>
      <c r="E272">
        <v>1007</v>
      </c>
      <c r="F272" s="1">
        <v>44006</v>
      </c>
      <c r="G272" t="s">
        <v>86</v>
      </c>
      <c r="H272" s="4">
        <v>4.9800000000000004</v>
      </c>
      <c r="I272" s="4" t="s">
        <v>16</v>
      </c>
      <c r="J272" s="4">
        <v>4.9800000000000004</v>
      </c>
      <c r="K272" t="str">
        <f>VLOOKUP($C272,Table1[#All],2,FALSE)</f>
        <v>FOOD SERVICE</v>
      </c>
      <c r="L272" t="str">
        <f>VLOOKUP($C272,Table1[#All],3,FALSE)</f>
        <v xml:space="preserve">Transactions related to food and beverage service. Includes all guest transactions in the hotel restaurants, catering-related transactions and food service payroll. </v>
      </c>
      <c r="M272" t="str">
        <f>IFERROR(VLOOKUP($B272,ChartOfAccounts!A271:B356,2,FALSE),"")</f>
        <v/>
      </c>
      <c r="N272" t="str">
        <f>IFERROR(VLOOKUP($B272,ChartOfAccounts!C271:D356,2,FALSE),"")</f>
        <v/>
      </c>
      <c r="O272" t="str">
        <f>IFERROR(VLOOKUP($B272,ChartOfAccounts!E271:F356,2,FALSE),"")</f>
        <v/>
      </c>
      <c r="P272" t="str">
        <f>IFERROR(VLOOKUP(D272,PreparerInfo!A271:B283,2,FALSE),"")</f>
        <v/>
      </c>
      <c r="Q272" t="str">
        <f>IFERROR(VLOOKUP(E272,Source!A271:B279,2,FALSE),"")</f>
        <v/>
      </c>
    </row>
    <row r="273" spans="1:17" x14ac:dyDescent="0.3">
      <c r="A273" s="3">
        <v>2033655</v>
      </c>
      <c r="B273">
        <v>11845</v>
      </c>
      <c r="C273">
        <v>1</v>
      </c>
      <c r="D273" s="9">
        <v>101</v>
      </c>
      <c r="E273">
        <v>1007</v>
      </c>
      <c r="F273" s="1">
        <v>44006</v>
      </c>
      <c r="G273" t="s">
        <v>86</v>
      </c>
      <c r="H273" s="4" t="s">
        <v>16</v>
      </c>
      <c r="I273" s="4">
        <v>-4.9800000000000004</v>
      </c>
      <c r="J273" s="4">
        <v>-4.9800000000000004</v>
      </c>
      <c r="K273" t="str">
        <f>VLOOKUP($C273,Table1[#All],2,FALSE)</f>
        <v>FOOD SERVICE</v>
      </c>
      <c r="L273" t="str">
        <f>VLOOKUP($C273,Table1[#All],3,FALSE)</f>
        <v xml:space="preserve">Transactions related to food and beverage service. Includes all guest transactions in the hotel restaurants, catering-related transactions and food service payroll. </v>
      </c>
      <c r="M273" t="str">
        <f>IFERROR(VLOOKUP($B273,ChartOfAccounts!A272:B357,2,FALSE),"")</f>
        <v/>
      </c>
      <c r="N273" t="str">
        <f>IFERROR(VLOOKUP($B273,ChartOfAccounts!C272:D357,2,FALSE),"")</f>
        <v/>
      </c>
      <c r="O273" t="str">
        <f>IFERROR(VLOOKUP($B273,ChartOfAccounts!E272:F357,2,FALSE),"")</f>
        <v/>
      </c>
      <c r="P273" t="str">
        <f>IFERROR(VLOOKUP(D273,PreparerInfo!A272:B284,2,FALSE),"")</f>
        <v/>
      </c>
      <c r="Q273" t="str">
        <f>IFERROR(VLOOKUP(E273,Source!A272:B280,2,FALSE),"")</f>
        <v/>
      </c>
    </row>
    <row r="274" spans="1:17" x14ac:dyDescent="0.3">
      <c r="A274" s="3">
        <v>2033656</v>
      </c>
      <c r="B274">
        <v>14260</v>
      </c>
      <c r="C274">
        <v>1</v>
      </c>
      <c r="D274" s="9">
        <v>101</v>
      </c>
      <c r="E274">
        <v>1007</v>
      </c>
      <c r="F274" s="1">
        <v>44006</v>
      </c>
      <c r="G274" t="s">
        <v>127</v>
      </c>
      <c r="H274" s="4">
        <v>4.99</v>
      </c>
      <c r="I274" s="4" t="s">
        <v>16</v>
      </c>
      <c r="J274" s="4">
        <v>4.99</v>
      </c>
      <c r="K274" t="str">
        <f>VLOOKUP($C274,Table1[#All],2,FALSE)</f>
        <v>FOOD SERVICE</v>
      </c>
      <c r="L274" t="str">
        <f>VLOOKUP($C274,Table1[#All],3,FALSE)</f>
        <v xml:space="preserve">Transactions related to food and beverage service. Includes all guest transactions in the hotel restaurants, catering-related transactions and food service payroll. </v>
      </c>
      <c r="M274" t="str">
        <f>IFERROR(VLOOKUP($B274,ChartOfAccounts!A273:B358,2,FALSE),"")</f>
        <v/>
      </c>
      <c r="N274" t="str">
        <f>IFERROR(VLOOKUP($B274,ChartOfAccounts!C273:D358,2,FALSE),"")</f>
        <v/>
      </c>
      <c r="O274" t="str">
        <f>IFERROR(VLOOKUP($B274,ChartOfAccounts!E273:F358,2,FALSE),"")</f>
        <v/>
      </c>
      <c r="P274" t="str">
        <f>IFERROR(VLOOKUP(D274,PreparerInfo!A273:B285,2,FALSE),"")</f>
        <v/>
      </c>
      <c r="Q274" t="str">
        <f>IFERROR(VLOOKUP(E274,Source!A273:B281,2,FALSE),"")</f>
        <v/>
      </c>
    </row>
    <row r="275" spans="1:17" x14ac:dyDescent="0.3">
      <c r="A275" s="3">
        <v>2033656</v>
      </c>
      <c r="B275">
        <v>11845</v>
      </c>
      <c r="C275">
        <v>1</v>
      </c>
      <c r="D275" s="9">
        <v>101</v>
      </c>
      <c r="E275">
        <v>1007</v>
      </c>
      <c r="F275" s="1">
        <v>44006</v>
      </c>
      <c r="G275" t="s">
        <v>127</v>
      </c>
      <c r="H275" s="4" t="s">
        <v>16</v>
      </c>
      <c r="I275" s="4">
        <v>-4.99</v>
      </c>
      <c r="J275" s="4">
        <v>-4.99</v>
      </c>
      <c r="K275" t="str">
        <f>VLOOKUP($C275,Table1[#All],2,FALSE)</f>
        <v>FOOD SERVICE</v>
      </c>
      <c r="L275" t="str">
        <f>VLOOKUP($C275,Table1[#All],3,FALSE)</f>
        <v xml:space="preserve">Transactions related to food and beverage service. Includes all guest transactions in the hotel restaurants, catering-related transactions and food service payroll. </v>
      </c>
      <c r="M275" t="str">
        <f>IFERROR(VLOOKUP($B275,ChartOfAccounts!A274:B359,2,FALSE),"")</f>
        <v/>
      </c>
      <c r="N275" t="str">
        <f>IFERROR(VLOOKUP($B275,ChartOfAccounts!C274:D359,2,FALSE),"")</f>
        <v/>
      </c>
      <c r="O275" t="str">
        <f>IFERROR(VLOOKUP($B275,ChartOfAccounts!E274:F359,2,FALSE),"")</f>
        <v/>
      </c>
      <c r="P275" t="str">
        <f>IFERROR(VLOOKUP(D275,PreparerInfo!A274:B286,2,FALSE),"")</f>
        <v/>
      </c>
      <c r="Q275" t="str">
        <f>IFERROR(VLOOKUP(E275,Source!A274:B282,2,FALSE),"")</f>
        <v/>
      </c>
    </row>
    <row r="276" spans="1:17" x14ac:dyDescent="0.3">
      <c r="A276" s="3">
        <v>2033657</v>
      </c>
      <c r="B276">
        <v>14260</v>
      </c>
      <c r="C276">
        <v>1</v>
      </c>
      <c r="D276" s="9">
        <v>101</v>
      </c>
      <c r="E276">
        <v>1007</v>
      </c>
      <c r="F276" s="1">
        <v>44006</v>
      </c>
      <c r="G276" t="s">
        <v>86</v>
      </c>
      <c r="H276" s="4">
        <v>9.58</v>
      </c>
      <c r="I276" s="4" t="s">
        <v>16</v>
      </c>
      <c r="J276" s="4">
        <v>9.58</v>
      </c>
      <c r="K276" t="str">
        <f>VLOOKUP($C276,Table1[#All],2,FALSE)</f>
        <v>FOOD SERVICE</v>
      </c>
      <c r="L276" t="str">
        <f>VLOOKUP($C276,Table1[#All],3,FALSE)</f>
        <v xml:space="preserve">Transactions related to food and beverage service. Includes all guest transactions in the hotel restaurants, catering-related transactions and food service payroll. </v>
      </c>
      <c r="M276" t="str">
        <f>IFERROR(VLOOKUP($B276,ChartOfAccounts!A275:B360,2,FALSE),"")</f>
        <v/>
      </c>
      <c r="N276" t="str">
        <f>IFERROR(VLOOKUP($B276,ChartOfAccounts!C275:D360,2,FALSE),"")</f>
        <v/>
      </c>
      <c r="O276" t="str">
        <f>IFERROR(VLOOKUP($B276,ChartOfAccounts!E275:F360,2,FALSE),"")</f>
        <v/>
      </c>
      <c r="P276" t="str">
        <f>IFERROR(VLOOKUP(D276,PreparerInfo!A275:B287,2,FALSE),"")</f>
        <v/>
      </c>
      <c r="Q276" t="str">
        <f>IFERROR(VLOOKUP(E276,Source!A275:B283,2,FALSE),"")</f>
        <v/>
      </c>
    </row>
    <row r="277" spans="1:17" x14ac:dyDescent="0.3">
      <c r="A277" s="3">
        <v>2033657</v>
      </c>
      <c r="B277">
        <v>11845</v>
      </c>
      <c r="C277">
        <v>1</v>
      </c>
      <c r="D277" s="9">
        <v>101</v>
      </c>
      <c r="E277">
        <v>1007</v>
      </c>
      <c r="F277" s="1">
        <v>44006</v>
      </c>
      <c r="G277" t="s">
        <v>86</v>
      </c>
      <c r="H277" s="4" t="s">
        <v>16</v>
      </c>
      <c r="I277" s="4">
        <v>-9.58</v>
      </c>
      <c r="J277" s="4">
        <v>-9.58</v>
      </c>
      <c r="K277" t="str">
        <f>VLOOKUP($C277,Table1[#All],2,FALSE)</f>
        <v>FOOD SERVICE</v>
      </c>
      <c r="L277" t="str">
        <f>VLOOKUP($C277,Table1[#All],3,FALSE)</f>
        <v xml:space="preserve">Transactions related to food and beverage service. Includes all guest transactions in the hotel restaurants, catering-related transactions and food service payroll. </v>
      </c>
      <c r="M277" t="str">
        <f>IFERROR(VLOOKUP($B277,ChartOfAccounts!A276:B361,2,FALSE),"")</f>
        <v/>
      </c>
      <c r="N277" t="str">
        <f>IFERROR(VLOOKUP($B277,ChartOfAccounts!C276:D361,2,FALSE),"")</f>
        <v/>
      </c>
      <c r="O277" t="str">
        <f>IFERROR(VLOOKUP($B277,ChartOfAccounts!E276:F361,2,FALSE),"")</f>
        <v/>
      </c>
      <c r="P277" t="str">
        <f>IFERROR(VLOOKUP(D277,PreparerInfo!A276:B288,2,FALSE),"")</f>
        <v/>
      </c>
      <c r="Q277" t="str">
        <f>IFERROR(VLOOKUP(E277,Source!A276:B284,2,FALSE),"")</f>
        <v/>
      </c>
    </row>
    <row r="278" spans="1:17" x14ac:dyDescent="0.3">
      <c r="A278" s="3">
        <v>2033658</v>
      </c>
      <c r="B278">
        <v>14260</v>
      </c>
      <c r="C278">
        <v>1</v>
      </c>
      <c r="D278" s="9">
        <v>101</v>
      </c>
      <c r="E278">
        <v>1007</v>
      </c>
      <c r="F278" s="1">
        <v>44006</v>
      </c>
      <c r="G278" t="s">
        <v>86</v>
      </c>
      <c r="H278" s="4">
        <v>16.16</v>
      </c>
      <c r="I278" s="4" t="s">
        <v>16</v>
      </c>
      <c r="J278" s="4">
        <v>16.16</v>
      </c>
      <c r="K278" t="str">
        <f>VLOOKUP($C278,Table1[#All],2,FALSE)</f>
        <v>FOOD SERVICE</v>
      </c>
      <c r="L278" t="str">
        <f>VLOOKUP($C278,Table1[#All],3,FALSE)</f>
        <v xml:space="preserve">Transactions related to food and beverage service. Includes all guest transactions in the hotel restaurants, catering-related transactions and food service payroll. </v>
      </c>
      <c r="M278" t="str">
        <f>IFERROR(VLOOKUP($B278,ChartOfAccounts!A277:B362,2,FALSE),"")</f>
        <v/>
      </c>
      <c r="N278" t="str">
        <f>IFERROR(VLOOKUP($B278,ChartOfAccounts!C277:D362,2,FALSE),"")</f>
        <v/>
      </c>
      <c r="O278" t="str">
        <f>IFERROR(VLOOKUP($B278,ChartOfAccounts!E277:F362,2,FALSE),"")</f>
        <v/>
      </c>
      <c r="P278" t="str">
        <f>IFERROR(VLOOKUP(D278,PreparerInfo!A277:B289,2,FALSE),"")</f>
        <v/>
      </c>
      <c r="Q278" t="str">
        <f>IFERROR(VLOOKUP(E278,Source!A277:B285,2,FALSE),"")</f>
        <v/>
      </c>
    </row>
    <row r="279" spans="1:17" x14ac:dyDescent="0.3">
      <c r="A279" s="3">
        <v>2033658</v>
      </c>
      <c r="B279">
        <v>11845</v>
      </c>
      <c r="C279">
        <v>1</v>
      </c>
      <c r="D279" s="9">
        <v>101</v>
      </c>
      <c r="E279">
        <v>1007</v>
      </c>
      <c r="F279" s="1">
        <v>44006</v>
      </c>
      <c r="G279" t="s">
        <v>86</v>
      </c>
      <c r="H279" s="4" t="s">
        <v>16</v>
      </c>
      <c r="I279" s="4">
        <v>-16.16</v>
      </c>
      <c r="J279" s="4">
        <v>-16.16</v>
      </c>
      <c r="K279" t="str">
        <f>VLOOKUP($C279,Table1[#All],2,FALSE)</f>
        <v>FOOD SERVICE</v>
      </c>
      <c r="L279" t="str">
        <f>VLOOKUP($C279,Table1[#All],3,FALSE)</f>
        <v xml:space="preserve">Transactions related to food and beverage service. Includes all guest transactions in the hotel restaurants, catering-related transactions and food service payroll. </v>
      </c>
      <c r="M279" t="str">
        <f>IFERROR(VLOOKUP($B279,ChartOfAccounts!A278:B363,2,FALSE),"")</f>
        <v/>
      </c>
      <c r="N279" t="str">
        <f>IFERROR(VLOOKUP($B279,ChartOfAccounts!C278:D363,2,FALSE),"")</f>
        <v/>
      </c>
      <c r="O279" t="str">
        <f>IFERROR(VLOOKUP($B279,ChartOfAccounts!E278:F363,2,FALSE),"")</f>
        <v/>
      </c>
      <c r="P279" t="str">
        <f>IFERROR(VLOOKUP(D279,PreparerInfo!A278:B290,2,FALSE),"")</f>
        <v/>
      </c>
      <c r="Q279" t="str">
        <f>IFERROR(VLOOKUP(E279,Source!A278:B286,2,FALSE),"")</f>
        <v/>
      </c>
    </row>
    <row r="280" spans="1:17" x14ac:dyDescent="0.3">
      <c r="A280" s="3">
        <v>2033659</v>
      </c>
      <c r="B280">
        <v>71400</v>
      </c>
      <c r="C280">
        <v>1</v>
      </c>
      <c r="D280" s="9">
        <v>101</v>
      </c>
      <c r="E280">
        <v>1007</v>
      </c>
      <c r="F280" s="1">
        <v>44006</v>
      </c>
      <c r="G280" t="s">
        <v>206</v>
      </c>
      <c r="H280" s="4">
        <v>19.8</v>
      </c>
      <c r="I280" s="4" t="s">
        <v>16</v>
      </c>
      <c r="J280" s="4">
        <v>19.8</v>
      </c>
      <c r="K280" t="str">
        <f>VLOOKUP($C280,Table1[#All],2,FALSE)</f>
        <v>FOOD SERVICE</v>
      </c>
      <c r="L280" t="str">
        <f>VLOOKUP($C280,Table1[#All],3,FALSE)</f>
        <v xml:space="preserve">Transactions related to food and beverage service. Includes all guest transactions in the hotel restaurants, catering-related transactions and food service payroll. </v>
      </c>
      <c r="M280" t="str">
        <f>IFERROR(VLOOKUP($B280,ChartOfAccounts!A279:B364,2,FALSE),"")</f>
        <v/>
      </c>
      <c r="N280" t="str">
        <f>IFERROR(VLOOKUP($B280,ChartOfAccounts!C279:D364,2,FALSE),"")</f>
        <v/>
      </c>
      <c r="O280" t="str">
        <f>IFERROR(VLOOKUP($B280,ChartOfAccounts!E279:F364,2,FALSE),"")</f>
        <v/>
      </c>
      <c r="P280" t="str">
        <f>IFERROR(VLOOKUP(D280,PreparerInfo!A279:B291,2,FALSE),"")</f>
        <v/>
      </c>
      <c r="Q280" t="str">
        <f>IFERROR(VLOOKUP(E280,Source!A279:B287,2,FALSE),"")</f>
        <v/>
      </c>
    </row>
    <row r="281" spans="1:17" x14ac:dyDescent="0.3">
      <c r="A281" s="3">
        <v>2033659</v>
      </c>
      <c r="B281">
        <v>11845</v>
      </c>
      <c r="C281">
        <v>1</v>
      </c>
      <c r="D281" s="9">
        <v>101</v>
      </c>
      <c r="E281">
        <v>1007</v>
      </c>
      <c r="F281" s="1">
        <v>44006</v>
      </c>
      <c r="G281" t="s">
        <v>206</v>
      </c>
      <c r="H281" s="4" t="s">
        <v>16</v>
      </c>
      <c r="I281" s="4">
        <v>-19.8</v>
      </c>
      <c r="J281" s="4">
        <v>-19.8</v>
      </c>
      <c r="K281" t="str">
        <f>VLOOKUP($C281,Table1[#All],2,FALSE)</f>
        <v>FOOD SERVICE</v>
      </c>
      <c r="L281" t="str">
        <f>VLOOKUP($C281,Table1[#All],3,FALSE)</f>
        <v xml:space="preserve">Transactions related to food and beverage service. Includes all guest transactions in the hotel restaurants, catering-related transactions and food service payroll. </v>
      </c>
      <c r="M281" t="str">
        <f>IFERROR(VLOOKUP($B281,ChartOfAccounts!A280:B365,2,FALSE),"")</f>
        <v/>
      </c>
      <c r="N281" t="str">
        <f>IFERROR(VLOOKUP($B281,ChartOfAccounts!C280:D365,2,FALSE),"")</f>
        <v/>
      </c>
      <c r="O281" t="str">
        <f>IFERROR(VLOOKUP($B281,ChartOfAccounts!E280:F365,2,FALSE),"")</f>
        <v/>
      </c>
      <c r="P281" t="str">
        <f>IFERROR(VLOOKUP(D281,PreparerInfo!A280:B292,2,FALSE),"")</f>
        <v/>
      </c>
      <c r="Q281" t="str">
        <f>IFERROR(VLOOKUP(E281,Source!A280:B288,2,FALSE),"")</f>
        <v/>
      </c>
    </row>
    <row r="282" spans="1:17" x14ac:dyDescent="0.3">
      <c r="A282" s="3">
        <v>2033660</v>
      </c>
      <c r="B282">
        <v>71400</v>
      </c>
      <c r="C282">
        <v>1</v>
      </c>
      <c r="D282" s="9">
        <v>101</v>
      </c>
      <c r="E282">
        <v>1007</v>
      </c>
      <c r="F282" s="1">
        <v>44006</v>
      </c>
      <c r="G282" t="s">
        <v>76</v>
      </c>
      <c r="H282" s="4">
        <v>25.98</v>
      </c>
      <c r="I282" s="4" t="s">
        <v>16</v>
      </c>
      <c r="J282" s="4">
        <v>25.98</v>
      </c>
      <c r="K282" t="str">
        <f>VLOOKUP($C282,Table1[#All],2,FALSE)</f>
        <v>FOOD SERVICE</v>
      </c>
      <c r="L282" t="str">
        <f>VLOOKUP($C282,Table1[#All],3,FALSE)</f>
        <v xml:space="preserve">Transactions related to food and beverage service. Includes all guest transactions in the hotel restaurants, catering-related transactions and food service payroll. </v>
      </c>
      <c r="M282" t="str">
        <f>IFERROR(VLOOKUP($B282,ChartOfAccounts!A281:B366,2,FALSE),"")</f>
        <v/>
      </c>
      <c r="N282" t="str">
        <f>IFERROR(VLOOKUP($B282,ChartOfAccounts!C281:D366,2,FALSE),"")</f>
        <v/>
      </c>
      <c r="O282" t="str">
        <f>IFERROR(VLOOKUP($B282,ChartOfAccounts!E281:F366,2,FALSE),"")</f>
        <v/>
      </c>
      <c r="P282" t="str">
        <f>IFERROR(VLOOKUP(D282,PreparerInfo!A281:B293,2,FALSE),"")</f>
        <v/>
      </c>
      <c r="Q282" t="str">
        <f>IFERROR(VLOOKUP(E282,Source!A281:B289,2,FALSE),"")</f>
        <v/>
      </c>
    </row>
    <row r="283" spans="1:17" x14ac:dyDescent="0.3">
      <c r="A283" s="3">
        <v>2033660</v>
      </c>
      <c r="B283">
        <v>11845</v>
      </c>
      <c r="C283">
        <v>1</v>
      </c>
      <c r="D283" s="9">
        <v>101</v>
      </c>
      <c r="E283">
        <v>1007</v>
      </c>
      <c r="F283" s="1">
        <v>44006</v>
      </c>
      <c r="G283" t="s">
        <v>76</v>
      </c>
      <c r="H283" s="4" t="s">
        <v>16</v>
      </c>
      <c r="I283" s="4">
        <v>-25.98</v>
      </c>
      <c r="J283" s="4">
        <v>-25.98</v>
      </c>
      <c r="K283" t="str">
        <f>VLOOKUP($C283,Table1[#All],2,FALSE)</f>
        <v>FOOD SERVICE</v>
      </c>
      <c r="L283" t="str">
        <f>VLOOKUP($C283,Table1[#All],3,FALSE)</f>
        <v xml:space="preserve">Transactions related to food and beverage service. Includes all guest transactions in the hotel restaurants, catering-related transactions and food service payroll. </v>
      </c>
      <c r="M283" t="str">
        <f>IFERROR(VLOOKUP($B283,ChartOfAccounts!A282:B367,2,FALSE),"")</f>
        <v/>
      </c>
      <c r="N283" t="str">
        <f>IFERROR(VLOOKUP($B283,ChartOfAccounts!C282:D367,2,FALSE),"")</f>
        <v/>
      </c>
      <c r="O283" t="str">
        <f>IFERROR(VLOOKUP($B283,ChartOfAccounts!E282:F367,2,FALSE),"")</f>
        <v/>
      </c>
      <c r="P283" t="str">
        <f>IFERROR(VLOOKUP(D283,PreparerInfo!A282:B294,2,FALSE),"")</f>
        <v/>
      </c>
      <c r="Q283" t="str">
        <f>IFERROR(VLOOKUP(E283,Source!A282:B290,2,FALSE),"")</f>
        <v/>
      </c>
    </row>
    <row r="284" spans="1:17" x14ac:dyDescent="0.3">
      <c r="A284" s="3">
        <v>2033661</v>
      </c>
      <c r="B284">
        <v>72723</v>
      </c>
      <c r="C284">
        <v>1</v>
      </c>
      <c r="D284" s="9">
        <v>101</v>
      </c>
      <c r="E284">
        <v>1007</v>
      </c>
      <c r="F284" s="1">
        <v>44006</v>
      </c>
      <c r="G284" t="s">
        <v>123</v>
      </c>
      <c r="H284" s="4">
        <v>26.95</v>
      </c>
      <c r="I284" s="4" t="s">
        <v>16</v>
      </c>
      <c r="J284" s="4">
        <v>26.95</v>
      </c>
      <c r="K284" t="str">
        <f>VLOOKUP($C284,Table1[#All],2,FALSE)</f>
        <v>FOOD SERVICE</v>
      </c>
      <c r="L284" t="str">
        <f>VLOOKUP($C284,Table1[#All],3,FALSE)</f>
        <v xml:space="preserve">Transactions related to food and beverage service. Includes all guest transactions in the hotel restaurants, catering-related transactions and food service payroll. </v>
      </c>
      <c r="M284" t="str">
        <f>IFERROR(VLOOKUP($B284,ChartOfAccounts!A283:B368,2,FALSE),"")</f>
        <v/>
      </c>
      <c r="N284" t="str">
        <f>IFERROR(VLOOKUP($B284,ChartOfAccounts!C283:D368,2,FALSE),"")</f>
        <v/>
      </c>
      <c r="O284" t="str">
        <f>IFERROR(VLOOKUP($B284,ChartOfAccounts!E283:F368,2,FALSE),"")</f>
        <v/>
      </c>
      <c r="P284" t="str">
        <f>IFERROR(VLOOKUP(D284,PreparerInfo!A283:B295,2,FALSE),"")</f>
        <v/>
      </c>
      <c r="Q284" t="str">
        <f>IFERROR(VLOOKUP(E284,Source!A283:B291,2,FALSE),"")</f>
        <v/>
      </c>
    </row>
    <row r="285" spans="1:17" x14ac:dyDescent="0.3">
      <c r="A285" s="3">
        <v>2033661</v>
      </c>
      <c r="B285">
        <v>11845</v>
      </c>
      <c r="C285">
        <v>1</v>
      </c>
      <c r="D285" s="9">
        <v>101</v>
      </c>
      <c r="E285">
        <v>1007</v>
      </c>
      <c r="F285" s="1">
        <v>44006</v>
      </c>
      <c r="G285" t="s">
        <v>123</v>
      </c>
      <c r="H285" s="4" t="s">
        <v>16</v>
      </c>
      <c r="I285" s="4">
        <v>-26.95</v>
      </c>
      <c r="J285" s="4">
        <v>-26.95</v>
      </c>
      <c r="K285" t="str">
        <f>VLOOKUP($C285,Table1[#All],2,FALSE)</f>
        <v>FOOD SERVICE</v>
      </c>
      <c r="L285" t="str">
        <f>VLOOKUP($C285,Table1[#All],3,FALSE)</f>
        <v xml:space="preserve">Transactions related to food and beverage service. Includes all guest transactions in the hotel restaurants, catering-related transactions and food service payroll. </v>
      </c>
      <c r="M285" t="str">
        <f>IFERROR(VLOOKUP($B285,ChartOfAccounts!A284:B369,2,FALSE),"")</f>
        <v/>
      </c>
      <c r="N285" t="str">
        <f>IFERROR(VLOOKUP($B285,ChartOfAccounts!C284:D369,2,FALSE),"")</f>
        <v/>
      </c>
      <c r="O285" t="str">
        <f>IFERROR(VLOOKUP($B285,ChartOfAccounts!E284:F369,2,FALSE),"")</f>
        <v/>
      </c>
      <c r="P285" t="str">
        <f>IFERROR(VLOOKUP(D285,PreparerInfo!A284:B296,2,FALSE),"")</f>
        <v/>
      </c>
      <c r="Q285" t="str">
        <f>IFERROR(VLOOKUP(E285,Source!A284:B292,2,FALSE),"")</f>
        <v/>
      </c>
    </row>
    <row r="286" spans="1:17" x14ac:dyDescent="0.3">
      <c r="A286" s="3">
        <v>2033662</v>
      </c>
      <c r="B286">
        <v>71400</v>
      </c>
      <c r="C286">
        <v>1</v>
      </c>
      <c r="D286" s="9">
        <v>101</v>
      </c>
      <c r="E286">
        <v>1007</v>
      </c>
      <c r="F286" s="1">
        <v>44006</v>
      </c>
      <c r="G286" t="s">
        <v>90</v>
      </c>
      <c r="H286" s="4">
        <v>29.31</v>
      </c>
      <c r="I286" s="4" t="s">
        <v>16</v>
      </c>
      <c r="J286" s="4">
        <v>29.31</v>
      </c>
      <c r="K286" t="str">
        <f>VLOOKUP($C286,Table1[#All],2,FALSE)</f>
        <v>FOOD SERVICE</v>
      </c>
      <c r="L286" t="str">
        <f>VLOOKUP($C286,Table1[#All],3,FALSE)</f>
        <v xml:space="preserve">Transactions related to food and beverage service. Includes all guest transactions in the hotel restaurants, catering-related transactions and food service payroll. </v>
      </c>
      <c r="M286" t="str">
        <f>IFERROR(VLOOKUP($B286,ChartOfAccounts!A285:B370,2,FALSE),"")</f>
        <v/>
      </c>
      <c r="N286" t="str">
        <f>IFERROR(VLOOKUP($B286,ChartOfAccounts!C285:D370,2,FALSE),"")</f>
        <v/>
      </c>
      <c r="O286" t="str">
        <f>IFERROR(VLOOKUP($B286,ChartOfAccounts!E285:F370,2,FALSE),"")</f>
        <v/>
      </c>
      <c r="P286" t="str">
        <f>IFERROR(VLOOKUP(D286,PreparerInfo!A285:B297,2,FALSE),"")</f>
        <v/>
      </c>
      <c r="Q286" t="str">
        <f>IFERROR(VLOOKUP(E286,Source!A285:B293,2,FALSE),"")</f>
        <v/>
      </c>
    </row>
    <row r="287" spans="1:17" x14ac:dyDescent="0.3">
      <c r="A287" s="3">
        <v>2033662</v>
      </c>
      <c r="B287">
        <v>11845</v>
      </c>
      <c r="C287">
        <v>1</v>
      </c>
      <c r="D287" s="9">
        <v>101</v>
      </c>
      <c r="E287">
        <v>1007</v>
      </c>
      <c r="F287" s="1">
        <v>44006</v>
      </c>
      <c r="G287" t="s">
        <v>90</v>
      </c>
      <c r="H287" s="4" t="s">
        <v>16</v>
      </c>
      <c r="I287" s="4">
        <v>-29.31</v>
      </c>
      <c r="J287" s="4">
        <v>-29.31</v>
      </c>
      <c r="K287" t="str">
        <f>VLOOKUP($C287,Table1[#All],2,FALSE)</f>
        <v>FOOD SERVICE</v>
      </c>
      <c r="L287" t="str">
        <f>VLOOKUP($C287,Table1[#All],3,FALSE)</f>
        <v xml:space="preserve">Transactions related to food and beverage service. Includes all guest transactions in the hotel restaurants, catering-related transactions and food service payroll. </v>
      </c>
      <c r="M287" t="str">
        <f>IFERROR(VLOOKUP($B287,ChartOfAccounts!A286:B371,2,FALSE),"")</f>
        <v/>
      </c>
      <c r="N287" t="str">
        <f>IFERROR(VLOOKUP($B287,ChartOfAccounts!C286:D371,2,FALSE),"")</f>
        <v/>
      </c>
      <c r="O287" t="str">
        <f>IFERROR(VLOOKUP($B287,ChartOfAccounts!E286:F371,2,FALSE),"")</f>
        <v/>
      </c>
      <c r="P287" t="str">
        <f>IFERROR(VLOOKUP(D287,PreparerInfo!A286:B298,2,FALSE),"")</f>
        <v/>
      </c>
      <c r="Q287" t="str">
        <f>IFERROR(VLOOKUP(E287,Source!A286:B294,2,FALSE),"")</f>
        <v/>
      </c>
    </row>
    <row r="288" spans="1:17" x14ac:dyDescent="0.3">
      <c r="A288" s="3">
        <v>2033663</v>
      </c>
      <c r="B288">
        <v>71400</v>
      </c>
      <c r="C288">
        <v>1</v>
      </c>
      <c r="D288" s="9">
        <v>101</v>
      </c>
      <c r="E288">
        <v>1007</v>
      </c>
      <c r="F288" s="1">
        <v>44006</v>
      </c>
      <c r="G288" t="s">
        <v>159</v>
      </c>
      <c r="H288" s="4">
        <v>35.909999999999997</v>
      </c>
      <c r="I288" s="4" t="s">
        <v>16</v>
      </c>
      <c r="J288" s="4">
        <v>35.909999999999997</v>
      </c>
      <c r="K288" t="str">
        <f>VLOOKUP($C288,Table1[#All],2,FALSE)</f>
        <v>FOOD SERVICE</v>
      </c>
      <c r="L288" t="str">
        <f>VLOOKUP($C288,Table1[#All],3,FALSE)</f>
        <v xml:space="preserve">Transactions related to food and beverage service. Includes all guest transactions in the hotel restaurants, catering-related transactions and food service payroll. </v>
      </c>
      <c r="M288" t="str">
        <f>IFERROR(VLOOKUP($B288,ChartOfAccounts!A287:B372,2,FALSE),"")</f>
        <v/>
      </c>
      <c r="N288" t="str">
        <f>IFERROR(VLOOKUP($B288,ChartOfAccounts!C287:D372,2,FALSE),"")</f>
        <v/>
      </c>
      <c r="O288" t="str">
        <f>IFERROR(VLOOKUP($B288,ChartOfAccounts!E287:F372,2,FALSE),"")</f>
        <v/>
      </c>
      <c r="P288" t="str">
        <f>IFERROR(VLOOKUP(D288,PreparerInfo!A287:B299,2,FALSE),"")</f>
        <v/>
      </c>
      <c r="Q288" t="str">
        <f>IFERROR(VLOOKUP(E288,Source!A287:B295,2,FALSE),"")</f>
        <v/>
      </c>
    </row>
    <row r="289" spans="1:17" x14ac:dyDescent="0.3">
      <c r="A289" s="3">
        <v>2033663</v>
      </c>
      <c r="B289">
        <v>11845</v>
      </c>
      <c r="C289">
        <v>1</v>
      </c>
      <c r="D289" s="9">
        <v>101</v>
      </c>
      <c r="E289">
        <v>1007</v>
      </c>
      <c r="F289" s="1">
        <v>44006</v>
      </c>
      <c r="G289" t="s">
        <v>159</v>
      </c>
      <c r="H289" s="4" t="s">
        <v>16</v>
      </c>
      <c r="I289" s="4">
        <v>-35.909999999999997</v>
      </c>
      <c r="J289" s="4">
        <v>-35.909999999999997</v>
      </c>
      <c r="K289" t="str">
        <f>VLOOKUP($C289,Table1[#All],2,FALSE)</f>
        <v>FOOD SERVICE</v>
      </c>
      <c r="L289" t="str">
        <f>VLOOKUP($C289,Table1[#All],3,FALSE)</f>
        <v xml:space="preserve">Transactions related to food and beverage service. Includes all guest transactions in the hotel restaurants, catering-related transactions and food service payroll. </v>
      </c>
      <c r="M289" t="str">
        <f>IFERROR(VLOOKUP($B289,ChartOfAccounts!A288:B373,2,FALSE),"")</f>
        <v/>
      </c>
      <c r="N289" t="str">
        <f>IFERROR(VLOOKUP($B289,ChartOfAccounts!C288:D373,2,FALSE),"")</f>
        <v/>
      </c>
      <c r="O289" t="str">
        <f>IFERROR(VLOOKUP($B289,ChartOfAccounts!E288:F373,2,FALSE),"")</f>
        <v/>
      </c>
      <c r="P289" t="str">
        <f>IFERROR(VLOOKUP(D289,PreparerInfo!A288:B300,2,FALSE),"")</f>
        <v/>
      </c>
      <c r="Q289" t="str">
        <f>IFERROR(VLOOKUP(E289,Source!A288:B296,2,FALSE),"")</f>
        <v/>
      </c>
    </row>
    <row r="290" spans="1:17" x14ac:dyDescent="0.3">
      <c r="A290" s="3">
        <v>2033664</v>
      </c>
      <c r="B290">
        <v>14260</v>
      </c>
      <c r="C290">
        <v>1</v>
      </c>
      <c r="D290" s="9">
        <v>102</v>
      </c>
      <c r="E290">
        <v>1002</v>
      </c>
      <c r="F290" s="1">
        <v>44006</v>
      </c>
      <c r="G290" t="s">
        <v>26</v>
      </c>
      <c r="H290" s="4">
        <v>40.299999999999997</v>
      </c>
      <c r="I290" s="4" t="s">
        <v>16</v>
      </c>
      <c r="J290" s="4">
        <v>40.299999999999997</v>
      </c>
      <c r="K290" t="str">
        <f>VLOOKUP($C290,Table1[#All],2,FALSE)</f>
        <v>FOOD SERVICE</v>
      </c>
      <c r="L290" t="str">
        <f>VLOOKUP($C290,Table1[#All],3,FALSE)</f>
        <v xml:space="preserve">Transactions related to food and beverage service. Includes all guest transactions in the hotel restaurants, catering-related transactions and food service payroll. </v>
      </c>
      <c r="M290" t="str">
        <f>IFERROR(VLOOKUP($B290,ChartOfAccounts!A289:B374,2,FALSE),"")</f>
        <v/>
      </c>
      <c r="N290" t="str">
        <f>IFERROR(VLOOKUP($B290,ChartOfAccounts!C289:D374,2,FALSE),"")</f>
        <v/>
      </c>
      <c r="O290" t="str">
        <f>IFERROR(VLOOKUP($B290,ChartOfAccounts!E289:F374,2,FALSE),"")</f>
        <v/>
      </c>
      <c r="P290" t="str">
        <f>IFERROR(VLOOKUP(D290,PreparerInfo!A289:B301,2,FALSE),"")</f>
        <v/>
      </c>
      <c r="Q290" t="str">
        <f>IFERROR(VLOOKUP(E290,Source!A289:B297,2,FALSE),"")</f>
        <v/>
      </c>
    </row>
    <row r="291" spans="1:17" x14ac:dyDescent="0.3">
      <c r="A291" s="3">
        <v>2033664</v>
      </c>
      <c r="B291">
        <v>11845</v>
      </c>
      <c r="C291">
        <v>1</v>
      </c>
      <c r="D291" s="9">
        <v>102</v>
      </c>
      <c r="E291">
        <v>1002</v>
      </c>
      <c r="F291" s="1">
        <v>44006</v>
      </c>
      <c r="G291" t="s">
        <v>26</v>
      </c>
      <c r="H291" s="4" t="s">
        <v>16</v>
      </c>
      <c r="I291" s="4">
        <v>-40.299999999999997</v>
      </c>
      <c r="J291" s="4">
        <v>-40.299999999999997</v>
      </c>
      <c r="K291" t="str">
        <f>VLOOKUP($C291,Table1[#All],2,FALSE)</f>
        <v>FOOD SERVICE</v>
      </c>
      <c r="L291" t="str">
        <f>VLOOKUP($C291,Table1[#All],3,FALSE)</f>
        <v xml:space="preserve">Transactions related to food and beverage service. Includes all guest transactions in the hotel restaurants, catering-related transactions and food service payroll. </v>
      </c>
      <c r="M291" t="str">
        <f>IFERROR(VLOOKUP($B291,ChartOfAccounts!A290:B375,2,FALSE),"")</f>
        <v/>
      </c>
      <c r="N291" t="str">
        <f>IFERROR(VLOOKUP($B291,ChartOfAccounts!C290:D375,2,FALSE),"")</f>
        <v/>
      </c>
      <c r="O291" t="str">
        <f>IFERROR(VLOOKUP($B291,ChartOfAccounts!E290:F375,2,FALSE),"")</f>
        <v/>
      </c>
      <c r="P291" t="str">
        <f>IFERROR(VLOOKUP(D291,PreparerInfo!A290:B302,2,FALSE),"")</f>
        <v/>
      </c>
      <c r="Q291" t="str">
        <f>IFERROR(VLOOKUP(E291,Source!A290:B298,2,FALSE),"")</f>
        <v/>
      </c>
    </row>
    <row r="292" spans="1:17" x14ac:dyDescent="0.3">
      <c r="A292" s="3">
        <v>2033665</v>
      </c>
      <c r="B292">
        <v>71400</v>
      </c>
      <c r="C292">
        <v>1</v>
      </c>
      <c r="D292" s="9">
        <v>101</v>
      </c>
      <c r="E292">
        <v>1007</v>
      </c>
      <c r="F292" s="1">
        <v>44006</v>
      </c>
      <c r="G292" t="s">
        <v>89</v>
      </c>
      <c r="H292" s="4">
        <v>42.7</v>
      </c>
      <c r="I292" s="4" t="s">
        <v>16</v>
      </c>
      <c r="J292" s="4">
        <v>42.7</v>
      </c>
      <c r="K292" t="str">
        <f>VLOOKUP($C292,Table1[#All],2,FALSE)</f>
        <v>FOOD SERVICE</v>
      </c>
      <c r="L292" t="str">
        <f>VLOOKUP($C292,Table1[#All],3,FALSE)</f>
        <v xml:space="preserve">Transactions related to food and beverage service. Includes all guest transactions in the hotel restaurants, catering-related transactions and food service payroll. </v>
      </c>
      <c r="M292" t="str">
        <f>IFERROR(VLOOKUP($B292,ChartOfAccounts!A291:B376,2,FALSE),"")</f>
        <v/>
      </c>
      <c r="N292" t="str">
        <f>IFERROR(VLOOKUP($B292,ChartOfAccounts!C291:D376,2,FALSE),"")</f>
        <v/>
      </c>
      <c r="O292" t="str">
        <f>IFERROR(VLOOKUP($B292,ChartOfAccounts!E291:F376,2,FALSE),"")</f>
        <v/>
      </c>
      <c r="P292" t="str">
        <f>IFERROR(VLOOKUP(D292,PreparerInfo!A291:B303,2,FALSE),"")</f>
        <v/>
      </c>
      <c r="Q292" t="str">
        <f>IFERROR(VLOOKUP(E292,Source!A291:B299,2,FALSE),"")</f>
        <v/>
      </c>
    </row>
    <row r="293" spans="1:17" x14ac:dyDescent="0.3">
      <c r="A293" s="3">
        <v>2033665</v>
      </c>
      <c r="B293">
        <v>11845</v>
      </c>
      <c r="C293">
        <v>1</v>
      </c>
      <c r="D293" s="9">
        <v>101</v>
      </c>
      <c r="E293">
        <v>1007</v>
      </c>
      <c r="F293" s="1">
        <v>44006</v>
      </c>
      <c r="G293" t="s">
        <v>89</v>
      </c>
      <c r="H293" s="4" t="s">
        <v>16</v>
      </c>
      <c r="I293" s="4">
        <v>-42.7</v>
      </c>
      <c r="J293" s="4">
        <v>-42.7</v>
      </c>
      <c r="K293" t="str">
        <f>VLOOKUP($C293,Table1[#All],2,FALSE)</f>
        <v>FOOD SERVICE</v>
      </c>
      <c r="L293" t="str">
        <f>VLOOKUP($C293,Table1[#All],3,FALSE)</f>
        <v xml:space="preserve">Transactions related to food and beverage service. Includes all guest transactions in the hotel restaurants, catering-related transactions and food service payroll. </v>
      </c>
      <c r="M293" t="str">
        <f>IFERROR(VLOOKUP($B293,ChartOfAccounts!A292:B377,2,FALSE),"")</f>
        <v/>
      </c>
      <c r="N293" t="str">
        <f>IFERROR(VLOOKUP($B293,ChartOfAccounts!C292:D377,2,FALSE),"")</f>
        <v/>
      </c>
      <c r="O293" t="str">
        <f>IFERROR(VLOOKUP($B293,ChartOfAccounts!E292:F377,2,FALSE),"")</f>
        <v/>
      </c>
      <c r="P293" t="str">
        <f>IFERROR(VLOOKUP(D293,PreparerInfo!A292:B304,2,FALSE),"")</f>
        <v/>
      </c>
      <c r="Q293" t="str">
        <f>IFERROR(VLOOKUP(E293,Source!A292:B300,2,FALSE),"")</f>
        <v/>
      </c>
    </row>
    <row r="294" spans="1:17" x14ac:dyDescent="0.3">
      <c r="A294" s="3">
        <v>2033666</v>
      </c>
      <c r="B294">
        <v>14260</v>
      </c>
      <c r="C294">
        <v>1</v>
      </c>
      <c r="D294" s="9">
        <v>102</v>
      </c>
      <c r="E294">
        <v>1002</v>
      </c>
      <c r="F294" s="1">
        <v>44006</v>
      </c>
      <c r="G294" t="s">
        <v>26</v>
      </c>
      <c r="H294" s="4">
        <v>45.7</v>
      </c>
      <c r="I294" s="4" t="s">
        <v>16</v>
      </c>
      <c r="J294" s="4">
        <v>45.7</v>
      </c>
      <c r="K294" t="str">
        <f>VLOOKUP($C294,Table1[#All],2,FALSE)</f>
        <v>FOOD SERVICE</v>
      </c>
      <c r="L294" t="str">
        <f>VLOOKUP($C294,Table1[#All],3,FALSE)</f>
        <v xml:space="preserve">Transactions related to food and beverage service. Includes all guest transactions in the hotel restaurants, catering-related transactions and food service payroll. </v>
      </c>
      <c r="M294" t="str">
        <f>IFERROR(VLOOKUP($B294,ChartOfAccounts!A293:B378,2,FALSE),"")</f>
        <v/>
      </c>
      <c r="N294" t="str">
        <f>IFERROR(VLOOKUP($B294,ChartOfAccounts!C293:D378,2,FALSE),"")</f>
        <v/>
      </c>
      <c r="O294" t="str">
        <f>IFERROR(VLOOKUP($B294,ChartOfAccounts!E293:F378,2,FALSE),"")</f>
        <v/>
      </c>
      <c r="P294" t="str">
        <f>IFERROR(VLOOKUP(D294,PreparerInfo!A293:B305,2,FALSE),"")</f>
        <v/>
      </c>
      <c r="Q294" t="str">
        <f>IFERROR(VLOOKUP(E294,Source!A293:B301,2,FALSE),"")</f>
        <v/>
      </c>
    </row>
    <row r="295" spans="1:17" x14ac:dyDescent="0.3">
      <c r="A295" s="3">
        <v>2033666</v>
      </c>
      <c r="B295">
        <v>11845</v>
      </c>
      <c r="C295">
        <v>1</v>
      </c>
      <c r="D295" s="9">
        <v>102</v>
      </c>
      <c r="E295">
        <v>1002</v>
      </c>
      <c r="F295" s="1">
        <v>44006</v>
      </c>
      <c r="G295" t="s">
        <v>26</v>
      </c>
      <c r="H295" s="4" t="s">
        <v>16</v>
      </c>
      <c r="I295" s="4">
        <v>-45.7</v>
      </c>
      <c r="J295" s="4">
        <v>-45.7</v>
      </c>
      <c r="K295" t="str">
        <f>VLOOKUP($C295,Table1[#All],2,FALSE)</f>
        <v>FOOD SERVICE</v>
      </c>
      <c r="L295" t="str">
        <f>VLOOKUP($C295,Table1[#All],3,FALSE)</f>
        <v xml:space="preserve">Transactions related to food and beverage service. Includes all guest transactions in the hotel restaurants, catering-related transactions and food service payroll. </v>
      </c>
      <c r="M295" t="str">
        <f>IFERROR(VLOOKUP($B295,ChartOfAccounts!A294:B379,2,FALSE),"")</f>
        <v/>
      </c>
      <c r="N295" t="str">
        <f>IFERROR(VLOOKUP($B295,ChartOfAccounts!C294:D379,2,FALSE),"")</f>
        <v/>
      </c>
      <c r="O295" t="str">
        <f>IFERROR(VLOOKUP($B295,ChartOfAccounts!E294:F379,2,FALSE),"")</f>
        <v/>
      </c>
      <c r="P295" t="str">
        <f>IFERROR(VLOOKUP(D295,PreparerInfo!A294:B306,2,FALSE),"")</f>
        <v/>
      </c>
      <c r="Q295" t="str">
        <f>IFERROR(VLOOKUP(E295,Source!A294:B302,2,FALSE),"")</f>
        <v/>
      </c>
    </row>
    <row r="296" spans="1:17" x14ac:dyDescent="0.3">
      <c r="A296" s="3">
        <v>2033667</v>
      </c>
      <c r="B296">
        <v>71900</v>
      </c>
      <c r="C296">
        <v>1</v>
      </c>
      <c r="D296" s="9">
        <v>102</v>
      </c>
      <c r="E296">
        <v>1002</v>
      </c>
      <c r="F296" s="1">
        <v>44006</v>
      </c>
      <c r="G296" t="s">
        <v>36</v>
      </c>
      <c r="H296" s="4">
        <v>47.75</v>
      </c>
      <c r="I296" s="4" t="s">
        <v>16</v>
      </c>
      <c r="J296" s="4">
        <v>47.75</v>
      </c>
      <c r="K296" t="str">
        <f>VLOOKUP($C296,Table1[#All],2,FALSE)</f>
        <v>FOOD SERVICE</v>
      </c>
      <c r="L296" t="str">
        <f>VLOOKUP($C296,Table1[#All],3,FALSE)</f>
        <v xml:space="preserve">Transactions related to food and beverage service. Includes all guest transactions in the hotel restaurants, catering-related transactions and food service payroll. </v>
      </c>
      <c r="M296" t="str">
        <f>IFERROR(VLOOKUP($B296,ChartOfAccounts!A295:B380,2,FALSE),"")</f>
        <v/>
      </c>
      <c r="N296" t="str">
        <f>IFERROR(VLOOKUP($B296,ChartOfAccounts!C295:D380,2,FALSE),"")</f>
        <v/>
      </c>
      <c r="O296" t="str">
        <f>IFERROR(VLOOKUP($B296,ChartOfAccounts!E295:F380,2,FALSE),"")</f>
        <v/>
      </c>
      <c r="P296" t="str">
        <f>IFERROR(VLOOKUP(D296,PreparerInfo!A295:B307,2,FALSE),"")</f>
        <v/>
      </c>
      <c r="Q296" t="str">
        <f>IFERROR(VLOOKUP(E296,Source!A295:B303,2,FALSE),"")</f>
        <v/>
      </c>
    </row>
    <row r="297" spans="1:17" x14ac:dyDescent="0.3">
      <c r="A297" s="3">
        <v>2033667</v>
      </c>
      <c r="B297">
        <v>11845</v>
      </c>
      <c r="C297">
        <v>1</v>
      </c>
      <c r="D297" s="9">
        <v>102</v>
      </c>
      <c r="E297">
        <v>1002</v>
      </c>
      <c r="F297" s="1">
        <v>44006</v>
      </c>
      <c r="G297" t="s">
        <v>36</v>
      </c>
      <c r="H297" s="4" t="s">
        <v>16</v>
      </c>
      <c r="I297" s="4">
        <v>-47.75</v>
      </c>
      <c r="J297" s="4">
        <v>-47.75</v>
      </c>
      <c r="K297" t="str">
        <f>VLOOKUP($C297,Table1[#All],2,FALSE)</f>
        <v>FOOD SERVICE</v>
      </c>
      <c r="L297" t="str">
        <f>VLOOKUP($C297,Table1[#All],3,FALSE)</f>
        <v xml:space="preserve">Transactions related to food and beverage service. Includes all guest transactions in the hotel restaurants, catering-related transactions and food service payroll. </v>
      </c>
      <c r="M297" t="str">
        <f>IFERROR(VLOOKUP($B297,ChartOfAccounts!A296:B381,2,FALSE),"")</f>
        <v/>
      </c>
      <c r="N297" t="str">
        <f>IFERROR(VLOOKUP($B297,ChartOfAccounts!C296:D381,2,FALSE),"")</f>
        <v/>
      </c>
      <c r="O297" t="str">
        <f>IFERROR(VLOOKUP($B297,ChartOfAccounts!E296:F381,2,FALSE),"")</f>
        <v/>
      </c>
      <c r="P297" t="str">
        <f>IFERROR(VLOOKUP(D297,PreparerInfo!A296:B308,2,FALSE),"")</f>
        <v/>
      </c>
      <c r="Q297" t="str">
        <f>IFERROR(VLOOKUP(E297,Source!A296:B304,2,FALSE),"")</f>
        <v/>
      </c>
    </row>
    <row r="298" spans="1:17" x14ac:dyDescent="0.3">
      <c r="A298" s="3">
        <v>2033668</v>
      </c>
      <c r="B298">
        <v>71400</v>
      </c>
      <c r="C298">
        <v>1</v>
      </c>
      <c r="D298" s="9">
        <v>101</v>
      </c>
      <c r="E298">
        <v>1007</v>
      </c>
      <c r="F298" s="1">
        <v>44006</v>
      </c>
      <c r="G298" t="s">
        <v>90</v>
      </c>
      <c r="H298" s="4">
        <v>52.08</v>
      </c>
      <c r="I298" s="4" t="s">
        <v>16</v>
      </c>
      <c r="J298" s="4">
        <v>52.08</v>
      </c>
      <c r="K298" t="str">
        <f>VLOOKUP($C298,Table1[#All],2,FALSE)</f>
        <v>FOOD SERVICE</v>
      </c>
      <c r="L298" t="str">
        <f>VLOOKUP($C298,Table1[#All],3,FALSE)</f>
        <v xml:space="preserve">Transactions related to food and beverage service. Includes all guest transactions in the hotel restaurants, catering-related transactions and food service payroll. </v>
      </c>
      <c r="M298" t="str">
        <f>IFERROR(VLOOKUP($B298,ChartOfAccounts!A297:B382,2,FALSE),"")</f>
        <v/>
      </c>
      <c r="N298" t="str">
        <f>IFERROR(VLOOKUP($B298,ChartOfAccounts!C297:D382,2,FALSE),"")</f>
        <v/>
      </c>
      <c r="O298" t="str">
        <f>IFERROR(VLOOKUP($B298,ChartOfAccounts!E297:F382,2,FALSE),"")</f>
        <v/>
      </c>
      <c r="P298" t="str">
        <f>IFERROR(VLOOKUP(D298,PreparerInfo!A297:B309,2,FALSE),"")</f>
        <v/>
      </c>
      <c r="Q298" t="str">
        <f>IFERROR(VLOOKUP(E298,Source!A297:B305,2,FALSE),"")</f>
        <v/>
      </c>
    </row>
    <row r="299" spans="1:17" x14ac:dyDescent="0.3">
      <c r="A299" s="3">
        <v>2033668</v>
      </c>
      <c r="B299">
        <v>11845</v>
      </c>
      <c r="C299">
        <v>1</v>
      </c>
      <c r="D299" s="9">
        <v>101</v>
      </c>
      <c r="E299">
        <v>1007</v>
      </c>
      <c r="F299" s="1">
        <v>44006</v>
      </c>
      <c r="G299" t="s">
        <v>90</v>
      </c>
      <c r="H299" s="4" t="s">
        <v>16</v>
      </c>
      <c r="I299" s="4">
        <v>-52.08</v>
      </c>
      <c r="J299" s="4">
        <v>-52.08</v>
      </c>
      <c r="K299" t="str">
        <f>VLOOKUP($C299,Table1[#All],2,FALSE)</f>
        <v>FOOD SERVICE</v>
      </c>
      <c r="L299" t="str">
        <f>VLOOKUP($C299,Table1[#All],3,FALSE)</f>
        <v xml:space="preserve">Transactions related to food and beverage service. Includes all guest transactions in the hotel restaurants, catering-related transactions and food service payroll. </v>
      </c>
      <c r="M299" t="str">
        <f>IFERROR(VLOOKUP($B299,ChartOfAccounts!A298:B383,2,FALSE),"")</f>
        <v/>
      </c>
      <c r="N299" t="str">
        <f>IFERROR(VLOOKUP($B299,ChartOfAccounts!C298:D383,2,FALSE),"")</f>
        <v/>
      </c>
      <c r="O299" t="str">
        <f>IFERROR(VLOOKUP($B299,ChartOfAccounts!E298:F383,2,FALSE),"")</f>
        <v/>
      </c>
      <c r="P299" t="str">
        <f>IFERROR(VLOOKUP(D299,PreparerInfo!A298:B310,2,FALSE),"")</f>
        <v/>
      </c>
      <c r="Q299" t="str">
        <f>IFERROR(VLOOKUP(E299,Source!A298:B306,2,FALSE),"")</f>
        <v/>
      </c>
    </row>
    <row r="300" spans="1:17" x14ac:dyDescent="0.3">
      <c r="A300" s="3">
        <v>2033669</v>
      </c>
      <c r="B300">
        <v>14250</v>
      </c>
      <c r="C300">
        <v>3</v>
      </c>
      <c r="D300" s="9">
        <v>101</v>
      </c>
      <c r="E300">
        <v>1007</v>
      </c>
      <c r="F300" s="1">
        <v>44006</v>
      </c>
      <c r="G300" t="s">
        <v>83</v>
      </c>
      <c r="H300" s="4">
        <v>53.67</v>
      </c>
      <c r="I300" s="4" t="s">
        <v>16</v>
      </c>
      <c r="J300" s="4">
        <v>53.67</v>
      </c>
      <c r="K300" t="str">
        <f>VLOOKUP($C300,Table1[#All],2,FALSE)</f>
        <v>HOTEL PANTRY</v>
      </c>
      <c r="L300" t="str">
        <f>VLOOKUP($C300,Table1[#All],3,FALSE)</f>
        <v>Transactions related to the hotel convenience store, including some food and beverage costs.</v>
      </c>
      <c r="M300" t="str">
        <f>IFERROR(VLOOKUP($B300,ChartOfAccounts!A299:B384,2,FALSE),"")</f>
        <v/>
      </c>
      <c r="N300" t="str">
        <f>IFERROR(VLOOKUP($B300,ChartOfAccounts!C299:D384,2,FALSE),"")</f>
        <v/>
      </c>
      <c r="O300" t="str">
        <f>IFERROR(VLOOKUP($B300,ChartOfAccounts!E299:F384,2,FALSE),"")</f>
        <v/>
      </c>
      <c r="P300" t="str">
        <f>IFERROR(VLOOKUP(D300,PreparerInfo!A299:B311,2,FALSE),"")</f>
        <v/>
      </c>
      <c r="Q300" t="str">
        <f>IFERROR(VLOOKUP(E300,Source!A299:B307,2,FALSE),"")</f>
        <v/>
      </c>
    </row>
    <row r="301" spans="1:17" x14ac:dyDescent="0.3">
      <c r="A301" s="3">
        <v>2033669</v>
      </c>
      <c r="B301">
        <v>11845</v>
      </c>
      <c r="C301">
        <v>3</v>
      </c>
      <c r="D301" s="9">
        <v>101</v>
      </c>
      <c r="E301">
        <v>1007</v>
      </c>
      <c r="F301" s="1">
        <v>44006</v>
      </c>
      <c r="G301" t="s">
        <v>83</v>
      </c>
      <c r="H301" s="4" t="s">
        <v>16</v>
      </c>
      <c r="I301" s="4">
        <v>-53.67</v>
      </c>
      <c r="J301" s="4">
        <v>-53.67</v>
      </c>
      <c r="K301" t="str">
        <f>VLOOKUP($C301,Table1[#All],2,FALSE)</f>
        <v>HOTEL PANTRY</v>
      </c>
      <c r="L301" t="str">
        <f>VLOOKUP($C301,Table1[#All],3,FALSE)</f>
        <v>Transactions related to the hotel convenience store, including some food and beverage costs.</v>
      </c>
      <c r="M301" t="str">
        <f>IFERROR(VLOOKUP($B301,ChartOfAccounts!A300:B385,2,FALSE),"")</f>
        <v/>
      </c>
      <c r="N301" t="str">
        <f>IFERROR(VLOOKUP($B301,ChartOfAccounts!C300:D385,2,FALSE),"")</f>
        <v/>
      </c>
      <c r="O301" t="str">
        <f>IFERROR(VLOOKUP($B301,ChartOfAccounts!E300:F385,2,FALSE),"")</f>
        <v/>
      </c>
      <c r="P301" t="str">
        <f>IFERROR(VLOOKUP(D301,PreparerInfo!A300:B312,2,FALSE),"")</f>
        <v/>
      </c>
      <c r="Q301" t="str">
        <f>IFERROR(VLOOKUP(E301,Source!A300:B308,2,FALSE),"")</f>
        <v/>
      </c>
    </row>
    <row r="302" spans="1:17" x14ac:dyDescent="0.3">
      <c r="A302" s="3">
        <v>2033670</v>
      </c>
      <c r="B302">
        <v>71400</v>
      </c>
      <c r="C302">
        <v>1</v>
      </c>
      <c r="D302" s="9">
        <v>101</v>
      </c>
      <c r="E302">
        <v>1007</v>
      </c>
      <c r="F302" s="1">
        <v>44006</v>
      </c>
      <c r="G302" t="s">
        <v>148</v>
      </c>
      <c r="H302" s="4">
        <v>56.11</v>
      </c>
      <c r="I302" s="4" t="s">
        <v>16</v>
      </c>
      <c r="J302" s="4">
        <v>56.11</v>
      </c>
      <c r="K302" t="str">
        <f>VLOOKUP($C302,Table1[#All],2,FALSE)</f>
        <v>FOOD SERVICE</v>
      </c>
      <c r="L302" t="str">
        <f>VLOOKUP($C302,Table1[#All],3,FALSE)</f>
        <v xml:space="preserve">Transactions related to food and beverage service. Includes all guest transactions in the hotel restaurants, catering-related transactions and food service payroll. </v>
      </c>
      <c r="M302" t="str">
        <f>IFERROR(VLOOKUP($B302,ChartOfAccounts!A301:B386,2,FALSE),"")</f>
        <v/>
      </c>
      <c r="N302" t="str">
        <f>IFERROR(VLOOKUP($B302,ChartOfAccounts!C301:D386,2,FALSE),"")</f>
        <v/>
      </c>
      <c r="O302" t="str">
        <f>IFERROR(VLOOKUP($B302,ChartOfAccounts!E301:F386,2,FALSE),"")</f>
        <v/>
      </c>
      <c r="P302" t="str">
        <f>IFERROR(VLOOKUP(D302,PreparerInfo!A301:B313,2,FALSE),"")</f>
        <v/>
      </c>
      <c r="Q302" t="str">
        <f>IFERROR(VLOOKUP(E302,Source!A301:B309,2,FALSE),"")</f>
        <v/>
      </c>
    </row>
    <row r="303" spans="1:17" x14ac:dyDescent="0.3">
      <c r="A303" s="3">
        <v>2033670</v>
      </c>
      <c r="B303">
        <v>11845</v>
      </c>
      <c r="C303">
        <v>1</v>
      </c>
      <c r="D303" s="9">
        <v>101</v>
      </c>
      <c r="E303">
        <v>1007</v>
      </c>
      <c r="F303" s="1">
        <v>44006</v>
      </c>
      <c r="G303" t="s">
        <v>148</v>
      </c>
      <c r="H303" s="4" t="s">
        <v>16</v>
      </c>
      <c r="I303" s="4">
        <v>-56.11</v>
      </c>
      <c r="J303" s="4">
        <v>-56.11</v>
      </c>
      <c r="K303" t="str">
        <f>VLOOKUP($C303,Table1[#All],2,FALSE)</f>
        <v>FOOD SERVICE</v>
      </c>
      <c r="L303" t="str">
        <f>VLOOKUP($C303,Table1[#All],3,FALSE)</f>
        <v xml:space="preserve">Transactions related to food and beverage service. Includes all guest transactions in the hotel restaurants, catering-related transactions and food service payroll. </v>
      </c>
      <c r="M303" t="str">
        <f>IFERROR(VLOOKUP($B303,ChartOfAccounts!A302:B387,2,FALSE),"")</f>
        <v/>
      </c>
      <c r="N303" t="str">
        <f>IFERROR(VLOOKUP($B303,ChartOfAccounts!C302:D387,2,FALSE),"")</f>
        <v/>
      </c>
      <c r="O303" t="str">
        <f>IFERROR(VLOOKUP($B303,ChartOfAccounts!E302:F387,2,FALSE),"")</f>
        <v/>
      </c>
      <c r="P303" t="str">
        <f>IFERROR(VLOOKUP(D303,PreparerInfo!A302:B314,2,FALSE),"")</f>
        <v/>
      </c>
      <c r="Q303" t="str">
        <f>IFERROR(VLOOKUP(E303,Source!A302:B310,2,FALSE),"")</f>
        <v/>
      </c>
    </row>
    <row r="304" spans="1:17" x14ac:dyDescent="0.3">
      <c r="A304" s="3">
        <v>2033671</v>
      </c>
      <c r="B304">
        <v>71400</v>
      </c>
      <c r="C304">
        <v>1</v>
      </c>
      <c r="D304" s="9">
        <v>101</v>
      </c>
      <c r="E304">
        <v>1007</v>
      </c>
      <c r="F304" s="1">
        <v>44006</v>
      </c>
      <c r="G304" t="s">
        <v>83</v>
      </c>
      <c r="H304" s="4">
        <v>60.04</v>
      </c>
      <c r="I304" s="4" t="s">
        <v>16</v>
      </c>
      <c r="J304" s="4">
        <v>60.04</v>
      </c>
      <c r="K304" t="str">
        <f>VLOOKUP($C304,Table1[#All],2,FALSE)</f>
        <v>FOOD SERVICE</v>
      </c>
      <c r="L304" t="str">
        <f>VLOOKUP($C304,Table1[#All],3,FALSE)</f>
        <v xml:space="preserve">Transactions related to food and beverage service. Includes all guest transactions in the hotel restaurants, catering-related transactions and food service payroll. </v>
      </c>
      <c r="M304" t="str">
        <f>IFERROR(VLOOKUP($B304,ChartOfAccounts!A303:B388,2,FALSE),"")</f>
        <v/>
      </c>
      <c r="N304" t="str">
        <f>IFERROR(VLOOKUP($B304,ChartOfAccounts!C303:D388,2,FALSE),"")</f>
        <v/>
      </c>
      <c r="O304" t="str">
        <f>IFERROR(VLOOKUP($B304,ChartOfAccounts!E303:F388,2,FALSE),"")</f>
        <v/>
      </c>
      <c r="P304" t="str">
        <f>IFERROR(VLOOKUP(D304,PreparerInfo!A303:B315,2,FALSE),"")</f>
        <v/>
      </c>
      <c r="Q304" t="str">
        <f>IFERROR(VLOOKUP(E304,Source!A303:B311,2,FALSE),"")</f>
        <v/>
      </c>
    </row>
    <row r="305" spans="1:17" x14ac:dyDescent="0.3">
      <c r="A305" s="3">
        <v>2033671</v>
      </c>
      <c r="B305">
        <v>11845</v>
      </c>
      <c r="C305">
        <v>1</v>
      </c>
      <c r="D305" s="9">
        <v>101</v>
      </c>
      <c r="E305">
        <v>1007</v>
      </c>
      <c r="F305" s="1">
        <v>44006</v>
      </c>
      <c r="G305" t="s">
        <v>83</v>
      </c>
      <c r="H305" s="4" t="s">
        <v>16</v>
      </c>
      <c r="I305" s="4">
        <v>-60.04</v>
      </c>
      <c r="J305" s="4">
        <v>-60.04</v>
      </c>
      <c r="K305" t="str">
        <f>VLOOKUP($C305,Table1[#All],2,FALSE)</f>
        <v>FOOD SERVICE</v>
      </c>
      <c r="L305" t="str">
        <f>VLOOKUP($C305,Table1[#All],3,FALSE)</f>
        <v xml:space="preserve">Transactions related to food and beverage service. Includes all guest transactions in the hotel restaurants, catering-related transactions and food service payroll. </v>
      </c>
      <c r="M305" t="str">
        <f>IFERROR(VLOOKUP($B305,ChartOfAccounts!A304:B389,2,FALSE),"")</f>
        <v/>
      </c>
      <c r="N305" t="str">
        <f>IFERROR(VLOOKUP($B305,ChartOfAccounts!C304:D389,2,FALSE),"")</f>
        <v/>
      </c>
      <c r="O305" t="str">
        <f>IFERROR(VLOOKUP($B305,ChartOfAccounts!E304:F389,2,FALSE),"")</f>
        <v/>
      </c>
      <c r="P305" t="str">
        <f>IFERROR(VLOOKUP(D305,PreparerInfo!A304:B316,2,FALSE),"")</f>
        <v/>
      </c>
      <c r="Q305" t="str">
        <f>IFERROR(VLOOKUP(E305,Source!A304:B312,2,FALSE),"")</f>
        <v/>
      </c>
    </row>
    <row r="306" spans="1:17" x14ac:dyDescent="0.3">
      <c r="A306" s="3">
        <v>2033672</v>
      </c>
      <c r="B306">
        <v>11845</v>
      </c>
      <c r="C306">
        <v>3</v>
      </c>
      <c r="D306" s="9">
        <v>102</v>
      </c>
      <c r="E306">
        <v>1001</v>
      </c>
      <c r="F306" s="1">
        <v>44006</v>
      </c>
      <c r="G306" t="s">
        <v>41</v>
      </c>
      <c r="H306" s="4">
        <v>63.17</v>
      </c>
      <c r="I306" s="4" t="s">
        <v>16</v>
      </c>
      <c r="J306" s="4">
        <v>63.17</v>
      </c>
      <c r="K306" t="str">
        <f>VLOOKUP($C306,Table1[#All],2,FALSE)</f>
        <v>HOTEL PANTRY</v>
      </c>
      <c r="L306" t="str">
        <f>VLOOKUP($C306,Table1[#All],3,FALSE)</f>
        <v>Transactions related to the hotel convenience store, including some food and beverage costs.</v>
      </c>
      <c r="M306" t="str">
        <f>IFERROR(VLOOKUP($B306,ChartOfAccounts!A305:B390,2,FALSE),"")</f>
        <v/>
      </c>
      <c r="N306" t="str">
        <f>IFERROR(VLOOKUP($B306,ChartOfAccounts!C305:D390,2,FALSE),"")</f>
        <v/>
      </c>
      <c r="O306" t="str">
        <f>IFERROR(VLOOKUP($B306,ChartOfAccounts!E305:F390,2,FALSE),"")</f>
        <v/>
      </c>
      <c r="P306" t="str">
        <f>IFERROR(VLOOKUP(D306,PreparerInfo!A305:B317,2,FALSE),"")</f>
        <v/>
      </c>
      <c r="Q306" t="str">
        <f>IFERROR(VLOOKUP(E306,Source!A305:B313,2,FALSE),"")</f>
        <v/>
      </c>
    </row>
    <row r="307" spans="1:17" x14ac:dyDescent="0.3">
      <c r="A307" s="3">
        <v>2033672</v>
      </c>
      <c r="B307">
        <v>43440</v>
      </c>
      <c r="C307">
        <v>3</v>
      </c>
      <c r="D307" s="9">
        <v>102</v>
      </c>
      <c r="E307">
        <v>1001</v>
      </c>
      <c r="F307" s="1">
        <v>44006</v>
      </c>
      <c r="G307" t="s">
        <v>41</v>
      </c>
      <c r="H307" s="4" t="s">
        <v>16</v>
      </c>
      <c r="I307" s="4">
        <v>-63.17</v>
      </c>
      <c r="J307" s="4">
        <v>-63.17</v>
      </c>
      <c r="K307" t="str">
        <f>VLOOKUP($C307,Table1[#All],2,FALSE)</f>
        <v>HOTEL PANTRY</v>
      </c>
      <c r="L307" t="str">
        <f>VLOOKUP($C307,Table1[#All],3,FALSE)</f>
        <v>Transactions related to the hotel convenience store, including some food and beverage costs.</v>
      </c>
      <c r="M307" t="str">
        <f>IFERROR(VLOOKUP($B307,ChartOfAccounts!A306:B391,2,FALSE),"")</f>
        <v/>
      </c>
      <c r="N307" t="str">
        <f>IFERROR(VLOOKUP($B307,ChartOfAccounts!C306:D391,2,FALSE),"")</f>
        <v/>
      </c>
      <c r="O307" t="str">
        <f>IFERROR(VLOOKUP($B307,ChartOfAccounts!E306:F391,2,FALSE),"")</f>
        <v/>
      </c>
      <c r="P307" t="str">
        <f>IFERROR(VLOOKUP(D307,PreparerInfo!A306:B318,2,FALSE),"")</f>
        <v/>
      </c>
      <c r="Q307" t="str">
        <f>IFERROR(VLOOKUP(E307,Source!A306:B314,2,FALSE),"")</f>
        <v/>
      </c>
    </row>
    <row r="308" spans="1:17" x14ac:dyDescent="0.3">
      <c r="A308" s="3">
        <v>2033673</v>
      </c>
      <c r="B308">
        <v>71410</v>
      </c>
      <c r="C308">
        <v>3</v>
      </c>
      <c r="D308" s="9">
        <v>101</v>
      </c>
      <c r="E308">
        <v>1007</v>
      </c>
      <c r="F308" s="1">
        <v>44006</v>
      </c>
      <c r="G308" t="s">
        <v>115</v>
      </c>
      <c r="H308" s="4">
        <v>68.22</v>
      </c>
      <c r="I308" s="4" t="s">
        <v>16</v>
      </c>
      <c r="J308" s="4">
        <v>68.22</v>
      </c>
      <c r="K308" t="str">
        <f>VLOOKUP($C308,Table1[#All],2,FALSE)</f>
        <v>HOTEL PANTRY</v>
      </c>
      <c r="L308" t="str">
        <f>VLOOKUP($C308,Table1[#All],3,FALSE)</f>
        <v>Transactions related to the hotel convenience store, including some food and beverage costs.</v>
      </c>
      <c r="M308" t="str">
        <f>IFERROR(VLOOKUP($B308,ChartOfAccounts!A307:B392,2,FALSE),"")</f>
        <v/>
      </c>
      <c r="N308" t="str">
        <f>IFERROR(VLOOKUP($B308,ChartOfAccounts!C307:D392,2,FALSE),"")</f>
        <v/>
      </c>
      <c r="O308" t="str">
        <f>IFERROR(VLOOKUP($B308,ChartOfAccounts!E307:F392,2,FALSE),"")</f>
        <v/>
      </c>
      <c r="P308" t="str">
        <f>IFERROR(VLOOKUP(D308,PreparerInfo!A307:B319,2,FALSE),"")</f>
        <v/>
      </c>
      <c r="Q308" t="str">
        <f>IFERROR(VLOOKUP(E308,Source!A307:B315,2,FALSE),"")</f>
        <v/>
      </c>
    </row>
    <row r="309" spans="1:17" x14ac:dyDescent="0.3">
      <c r="A309" s="3">
        <v>2033673</v>
      </c>
      <c r="B309">
        <v>11845</v>
      </c>
      <c r="C309">
        <v>3</v>
      </c>
      <c r="D309" s="9">
        <v>101</v>
      </c>
      <c r="E309">
        <v>1007</v>
      </c>
      <c r="F309" s="1">
        <v>44006</v>
      </c>
      <c r="G309" t="s">
        <v>115</v>
      </c>
      <c r="H309" s="4" t="s">
        <v>16</v>
      </c>
      <c r="I309" s="4">
        <v>-68.22</v>
      </c>
      <c r="J309" s="4">
        <v>-68.22</v>
      </c>
      <c r="K309" t="str">
        <f>VLOOKUP($C309,Table1[#All],2,FALSE)</f>
        <v>HOTEL PANTRY</v>
      </c>
      <c r="L309" t="str">
        <f>VLOOKUP($C309,Table1[#All],3,FALSE)</f>
        <v>Transactions related to the hotel convenience store, including some food and beverage costs.</v>
      </c>
      <c r="M309" t="str">
        <f>IFERROR(VLOOKUP($B309,ChartOfAccounts!A308:B393,2,FALSE),"")</f>
        <v/>
      </c>
      <c r="N309" t="str">
        <f>IFERROR(VLOOKUP($B309,ChartOfAccounts!C308:D393,2,FALSE),"")</f>
        <v/>
      </c>
      <c r="O309" t="str">
        <f>IFERROR(VLOOKUP($B309,ChartOfAccounts!E308:F393,2,FALSE),"")</f>
        <v/>
      </c>
      <c r="P309" t="str">
        <f>IFERROR(VLOOKUP(D309,PreparerInfo!A308:B320,2,FALSE),"")</f>
        <v/>
      </c>
      <c r="Q309" t="str">
        <f>IFERROR(VLOOKUP(E309,Source!A308:B316,2,FALSE),"")</f>
        <v/>
      </c>
    </row>
    <row r="310" spans="1:17" x14ac:dyDescent="0.3">
      <c r="A310" s="3">
        <v>2033674</v>
      </c>
      <c r="B310">
        <v>71400</v>
      </c>
      <c r="C310">
        <v>2</v>
      </c>
      <c r="D310" s="9">
        <v>101</v>
      </c>
      <c r="E310">
        <v>1002</v>
      </c>
      <c r="F310" s="1">
        <v>44006</v>
      </c>
      <c r="G310" t="s">
        <v>233</v>
      </c>
      <c r="H310" s="4">
        <v>73.3</v>
      </c>
      <c r="I310" s="4" t="s">
        <v>16</v>
      </c>
      <c r="J310" s="4">
        <v>73.3</v>
      </c>
      <c r="K310" t="str">
        <f>VLOOKUP($C310,Table1[#All],2,FALSE)</f>
        <v>HOTEL</v>
      </c>
      <c r="L310" t="str">
        <f>VLOOKUP($C310,Table1[#All],3,FALSE)</f>
        <v xml:space="preserve">Transactions related to guest rooms and overall hotel operations. Includes payroll for administrative staff, clerks and interns. </v>
      </c>
      <c r="M310" t="str">
        <f>IFERROR(VLOOKUP($B310,ChartOfAccounts!A309:B394,2,FALSE),"")</f>
        <v/>
      </c>
      <c r="N310" t="str">
        <f>IFERROR(VLOOKUP($B310,ChartOfAccounts!C309:D394,2,FALSE),"")</f>
        <v/>
      </c>
      <c r="O310" t="str">
        <f>IFERROR(VLOOKUP($B310,ChartOfAccounts!E309:F394,2,FALSE),"")</f>
        <v/>
      </c>
      <c r="P310" t="str">
        <f>IFERROR(VLOOKUP(D310,PreparerInfo!A309:B321,2,FALSE),"")</f>
        <v/>
      </c>
      <c r="Q310" t="str">
        <f>IFERROR(VLOOKUP(E310,Source!A309:B317,2,FALSE),"")</f>
        <v/>
      </c>
    </row>
    <row r="311" spans="1:17" x14ac:dyDescent="0.3">
      <c r="A311" s="3">
        <v>2033674</v>
      </c>
      <c r="B311">
        <v>11845</v>
      </c>
      <c r="C311">
        <v>2</v>
      </c>
      <c r="D311" s="9">
        <v>101</v>
      </c>
      <c r="E311">
        <v>1002</v>
      </c>
      <c r="F311" s="1">
        <v>44006</v>
      </c>
      <c r="G311" t="s">
        <v>233</v>
      </c>
      <c r="H311" s="4" t="s">
        <v>16</v>
      </c>
      <c r="I311" s="4">
        <v>-73.3</v>
      </c>
      <c r="J311" s="4">
        <v>-73.3</v>
      </c>
      <c r="K311" t="str">
        <f>VLOOKUP($C311,Table1[#All],2,FALSE)</f>
        <v>HOTEL</v>
      </c>
      <c r="L311" t="str">
        <f>VLOOKUP($C311,Table1[#All],3,FALSE)</f>
        <v xml:space="preserve">Transactions related to guest rooms and overall hotel operations. Includes payroll for administrative staff, clerks and interns. </v>
      </c>
      <c r="M311" t="str">
        <f>IFERROR(VLOOKUP($B311,ChartOfAccounts!A310:B395,2,FALSE),"")</f>
        <v/>
      </c>
      <c r="N311" t="str">
        <f>IFERROR(VLOOKUP($B311,ChartOfAccounts!C310:D395,2,FALSE),"")</f>
        <v/>
      </c>
      <c r="O311" t="str">
        <f>IFERROR(VLOOKUP($B311,ChartOfAccounts!E310:F395,2,FALSE),"")</f>
        <v/>
      </c>
      <c r="P311" t="str">
        <f>IFERROR(VLOOKUP(D311,PreparerInfo!A310:B322,2,FALSE),"")</f>
        <v/>
      </c>
      <c r="Q311" t="str">
        <f>IFERROR(VLOOKUP(E311,Source!A310:B318,2,FALSE),"")</f>
        <v/>
      </c>
    </row>
    <row r="312" spans="1:17" x14ac:dyDescent="0.3">
      <c r="A312" s="3">
        <v>2033675</v>
      </c>
      <c r="B312">
        <v>11845</v>
      </c>
      <c r="C312">
        <v>1</v>
      </c>
      <c r="D312" s="9">
        <v>102</v>
      </c>
      <c r="E312">
        <v>1001</v>
      </c>
      <c r="F312" s="1">
        <v>44006</v>
      </c>
      <c r="G312" t="s">
        <v>41</v>
      </c>
      <c r="H312" s="4">
        <v>76.77</v>
      </c>
      <c r="I312" s="4" t="s">
        <v>16</v>
      </c>
      <c r="J312" s="4">
        <v>76.77</v>
      </c>
      <c r="K312" t="str">
        <f>VLOOKUP($C312,Table1[#All],2,FALSE)</f>
        <v>FOOD SERVICE</v>
      </c>
      <c r="L312" t="str">
        <f>VLOOKUP($C312,Table1[#All],3,FALSE)</f>
        <v xml:space="preserve">Transactions related to food and beverage service. Includes all guest transactions in the hotel restaurants, catering-related transactions and food service payroll. </v>
      </c>
      <c r="M312" t="str">
        <f>IFERROR(VLOOKUP($B312,ChartOfAccounts!A311:B396,2,FALSE),"")</f>
        <v/>
      </c>
      <c r="N312" t="str">
        <f>IFERROR(VLOOKUP($B312,ChartOfAccounts!C311:D396,2,FALSE),"")</f>
        <v/>
      </c>
      <c r="O312" t="str">
        <f>IFERROR(VLOOKUP($B312,ChartOfAccounts!E311:F396,2,FALSE),"")</f>
        <v/>
      </c>
      <c r="P312" t="str">
        <f>IFERROR(VLOOKUP(D312,PreparerInfo!A311:B323,2,FALSE),"")</f>
        <v/>
      </c>
      <c r="Q312" t="str">
        <f>IFERROR(VLOOKUP(E312,Source!A311:B319,2,FALSE),"")</f>
        <v/>
      </c>
    </row>
    <row r="313" spans="1:17" x14ac:dyDescent="0.3">
      <c r="A313" s="3">
        <v>2033675</v>
      </c>
      <c r="B313">
        <v>43310</v>
      </c>
      <c r="C313">
        <v>1</v>
      </c>
      <c r="D313" s="9">
        <v>102</v>
      </c>
      <c r="E313">
        <v>1001</v>
      </c>
      <c r="F313" s="1">
        <v>44006</v>
      </c>
      <c r="G313" t="s">
        <v>41</v>
      </c>
      <c r="H313" s="4" t="s">
        <v>16</v>
      </c>
      <c r="I313" s="4">
        <v>-76.77</v>
      </c>
      <c r="J313" s="4">
        <v>-76.77</v>
      </c>
      <c r="K313" t="str">
        <f>VLOOKUP($C313,Table1[#All],2,FALSE)</f>
        <v>FOOD SERVICE</v>
      </c>
      <c r="L313" t="str">
        <f>VLOOKUP($C313,Table1[#All],3,FALSE)</f>
        <v xml:space="preserve">Transactions related to food and beverage service. Includes all guest transactions in the hotel restaurants, catering-related transactions and food service payroll. </v>
      </c>
      <c r="M313" t="str">
        <f>IFERROR(VLOOKUP($B313,ChartOfAccounts!A312:B397,2,FALSE),"")</f>
        <v/>
      </c>
      <c r="N313" t="str">
        <f>IFERROR(VLOOKUP($B313,ChartOfAccounts!C312:D397,2,FALSE),"")</f>
        <v/>
      </c>
      <c r="O313" t="str">
        <f>IFERROR(VLOOKUP($B313,ChartOfAccounts!E312:F397,2,FALSE),"")</f>
        <v/>
      </c>
      <c r="P313" t="str">
        <f>IFERROR(VLOOKUP(D313,PreparerInfo!A312:B324,2,FALSE),"")</f>
        <v/>
      </c>
      <c r="Q313" t="str">
        <f>IFERROR(VLOOKUP(E313,Source!A312:B320,2,FALSE),"")</f>
        <v/>
      </c>
    </row>
    <row r="314" spans="1:17" x14ac:dyDescent="0.3">
      <c r="A314" s="3">
        <v>2033676</v>
      </c>
      <c r="B314">
        <v>71400</v>
      </c>
      <c r="C314">
        <v>1</v>
      </c>
      <c r="D314" s="9">
        <v>101</v>
      </c>
      <c r="E314">
        <v>1007</v>
      </c>
      <c r="F314" s="1">
        <v>44006</v>
      </c>
      <c r="G314" t="s">
        <v>83</v>
      </c>
      <c r="H314" s="4">
        <v>76.97</v>
      </c>
      <c r="I314" s="4" t="s">
        <v>16</v>
      </c>
      <c r="J314" s="4">
        <v>76.97</v>
      </c>
      <c r="K314" t="str">
        <f>VLOOKUP($C314,Table1[#All],2,FALSE)</f>
        <v>FOOD SERVICE</v>
      </c>
      <c r="L314" t="str">
        <f>VLOOKUP($C314,Table1[#All],3,FALSE)</f>
        <v xml:space="preserve">Transactions related to food and beverage service. Includes all guest transactions in the hotel restaurants, catering-related transactions and food service payroll. </v>
      </c>
      <c r="M314" t="str">
        <f>IFERROR(VLOOKUP($B314,ChartOfAccounts!A313:B398,2,FALSE),"")</f>
        <v/>
      </c>
      <c r="N314" t="str">
        <f>IFERROR(VLOOKUP($B314,ChartOfAccounts!C313:D398,2,FALSE),"")</f>
        <v/>
      </c>
      <c r="O314" t="str">
        <f>IFERROR(VLOOKUP($B314,ChartOfAccounts!E313:F398,2,FALSE),"")</f>
        <v/>
      </c>
      <c r="P314" t="str">
        <f>IFERROR(VLOOKUP(D314,PreparerInfo!A313:B325,2,FALSE),"")</f>
        <v/>
      </c>
      <c r="Q314" t="str">
        <f>IFERROR(VLOOKUP(E314,Source!A313:B321,2,FALSE),"")</f>
        <v/>
      </c>
    </row>
    <row r="315" spans="1:17" x14ac:dyDescent="0.3">
      <c r="A315" s="3">
        <v>2033676</v>
      </c>
      <c r="B315">
        <v>11845</v>
      </c>
      <c r="C315">
        <v>1</v>
      </c>
      <c r="D315" s="9">
        <v>101</v>
      </c>
      <c r="E315">
        <v>1007</v>
      </c>
      <c r="F315" s="1">
        <v>44006</v>
      </c>
      <c r="G315" t="s">
        <v>83</v>
      </c>
      <c r="H315" s="4" t="s">
        <v>16</v>
      </c>
      <c r="I315" s="4">
        <v>-76.97</v>
      </c>
      <c r="J315" s="4">
        <v>-76.97</v>
      </c>
      <c r="K315" t="str">
        <f>VLOOKUP($C315,Table1[#All],2,FALSE)</f>
        <v>FOOD SERVICE</v>
      </c>
      <c r="L315" t="str">
        <f>VLOOKUP($C315,Table1[#All],3,FALSE)</f>
        <v xml:space="preserve">Transactions related to food and beverage service. Includes all guest transactions in the hotel restaurants, catering-related transactions and food service payroll. </v>
      </c>
      <c r="M315" t="str">
        <f>IFERROR(VLOOKUP($B315,ChartOfAccounts!A314:B399,2,FALSE),"")</f>
        <v/>
      </c>
      <c r="N315" t="str">
        <f>IFERROR(VLOOKUP($B315,ChartOfAccounts!C314:D399,2,FALSE),"")</f>
        <v/>
      </c>
      <c r="O315" t="str">
        <f>IFERROR(VLOOKUP($B315,ChartOfAccounts!E314:F399,2,FALSE),"")</f>
        <v/>
      </c>
      <c r="P315" t="str">
        <f>IFERROR(VLOOKUP(D315,PreparerInfo!A314:B326,2,FALSE),"")</f>
        <v/>
      </c>
      <c r="Q315" t="str">
        <f>IFERROR(VLOOKUP(E315,Source!A314:B322,2,FALSE),"")</f>
        <v/>
      </c>
    </row>
    <row r="316" spans="1:17" x14ac:dyDescent="0.3">
      <c r="A316" s="3">
        <v>2033677</v>
      </c>
      <c r="B316">
        <v>11845</v>
      </c>
      <c r="C316">
        <v>3</v>
      </c>
      <c r="D316" s="9">
        <v>102</v>
      </c>
      <c r="E316">
        <v>1003</v>
      </c>
      <c r="F316" s="1">
        <v>44006</v>
      </c>
      <c r="G316" t="s">
        <v>15</v>
      </c>
      <c r="H316" s="4">
        <v>86.83</v>
      </c>
      <c r="I316" s="4" t="s">
        <v>16</v>
      </c>
      <c r="J316" s="4">
        <v>86.83</v>
      </c>
      <c r="K316" t="str">
        <f>VLOOKUP($C316,Table1[#All],2,FALSE)</f>
        <v>HOTEL PANTRY</v>
      </c>
      <c r="L316" t="str">
        <f>VLOOKUP($C316,Table1[#All],3,FALSE)</f>
        <v>Transactions related to the hotel convenience store, including some food and beverage costs.</v>
      </c>
      <c r="M316" t="str">
        <f>IFERROR(VLOOKUP($B316,ChartOfAccounts!A315:B400,2,FALSE),"")</f>
        <v/>
      </c>
      <c r="N316" t="str">
        <f>IFERROR(VLOOKUP($B316,ChartOfAccounts!C315:D400,2,FALSE),"")</f>
        <v/>
      </c>
      <c r="O316" t="str">
        <f>IFERROR(VLOOKUP($B316,ChartOfAccounts!E315:F400,2,FALSE),"")</f>
        <v/>
      </c>
      <c r="P316" t="str">
        <f>IFERROR(VLOOKUP(D316,PreparerInfo!A315:B327,2,FALSE),"")</f>
        <v/>
      </c>
      <c r="Q316" t="str">
        <f>IFERROR(VLOOKUP(E316,Source!A315:B323,2,FALSE),"")</f>
        <v/>
      </c>
    </row>
    <row r="317" spans="1:17" x14ac:dyDescent="0.3">
      <c r="A317" s="3">
        <v>2033677</v>
      </c>
      <c r="B317">
        <v>43440</v>
      </c>
      <c r="C317">
        <v>3</v>
      </c>
      <c r="D317" s="9">
        <v>102</v>
      </c>
      <c r="E317">
        <v>1003</v>
      </c>
      <c r="F317" s="1">
        <v>44006</v>
      </c>
      <c r="G317" t="s">
        <v>15</v>
      </c>
      <c r="H317" s="4" t="s">
        <v>16</v>
      </c>
      <c r="I317" s="4">
        <v>-86.83</v>
      </c>
      <c r="J317" s="4">
        <v>-86.83</v>
      </c>
      <c r="K317" t="str">
        <f>VLOOKUP($C317,Table1[#All],2,FALSE)</f>
        <v>HOTEL PANTRY</v>
      </c>
      <c r="L317" t="str">
        <f>VLOOKUP($C317,Table1[#All],3,FALSE)</f>
        <v>Transactions related to the hotel convenience store, including some food and beverage costs.</v>
      </c>
      <c r="M317" t="str">
        <f>IFERROR(VLOOKUP($B317,ChartOfAccounts!A316:B401,2,FALSE),"")</f>
        <v/>
      </c>
      <c r="N317" t="str">
        <f>IFERROR(VLOOKUP($B317,ChartOfAccounts!C316:D401,2,FALSE),"")</f>
        <v/>
      </c>
      <c r="O317" t="str">
        <f>IFERROR(VLOOKUP($B317,ChartOfAccounts!E316:F401,2,FALSE),"")</f>
        <v/>
      </c>
      <c r="P317" t="str">
        <f>IFERROR(VLOOKUP(D317,PreparerInfo!A316:B328,2,FALSE),"")</f>
        <v/>
      </c>
      <c r="Q317" t="str">
        <f>IFERROR(VLOOKUP(E317,Source!A316:B324,2,FALSE),"")</f>
        <v/>
      </c>
    </row>
    <row r="318" spans="1:17" x14ac:dyDescent="0.3">
      <c r="A318" s="3">
        <v>2033678</v>
      </c>
      <c r="B318">
        <v>74203</v>
      </c>
      <c r="C318">
        <v>1</v>
      </c>
      <c r="D318" s="9">
        <v>101</v>
      </c>
      <c r="E318">
        <v>1007</v>
      </c>
      <c r="F318" s="1">
        <v>44006</v>
      </c>
      <c r="G318" t="s">
        <v>136</v>
      </c>
      <c r="H318" s="4">
        <v>94</v>
      </c>
      <c r="I318" s="4" t="s">
        <v>16</v>
      </c>
      <c r="J318" s="4">
        <v>94</v>
      </c>
      <c r="K318" t="str">
        <f>VLOOKUP($C318,Table1[#All],2,FALSE)</f>
        <v>FOOD SERVICE</v>
      </c>
      <c r="L318" t="str">
        <f>VLOOKUP($C318,Table1[#All],3,FALSE)</f>
        <v xml:space="preserve">Transactions related to food and beverage service. Includes all guest transactions in the hotel restaurants, catering-related transactions and food service payroll. </v>
      </c>
      <c r="M318" t="str">
        <f>IFERROR(VLOOKUP($B318,ChartOfAccounts!A317:B402,2,FALSE),"")</f>
        <v/>
      </c>
      <c r="N318" t="str">
        <f>IFERROR(VLOOKUP($B318,ChartOfAccounts!C317:D402,2,FALSE),"")</f>
        <v/>
      </c>
      <c r="O318" t="str">
        <f>IFERROR(VLOOKUP($B318,ChartOfAccounts!E317:F402,2,FALSE),"")</f>
        <v/>
      </c>
      <c r="P318" t="str">
        <f>IFERROR(VLOOKUP(D318,PreparerInfo!A317:B329,2,FALSE),"")</f>
        <v/>
      </c>
      <c r="Q318" t="str">
        <f>IFERROR(VLOOKUP(E318,Source!A317:B325,2,FALSE),"")</f>
        <v/>
      </c>
    </row>
    <row r="319" spans="1:17" x14ac:dyDescent="0.3">
      <c r="A319" s="3">
        <v>2033678</v>
      </c>
      <c r="B319">
        <v>11845</v>
      </c>
      <c r="C319">
        <v>1</v>
      </c>
      <c r="D319" s="9">
        <v>101</v>
      </c>
      <c r="E319">
        <v>1007</v>
      </c>
      <c r="F319" s="1">
        <v>44006</v>
      </c>
      <c r="G319" t="s">
        <v>136</v>
      </c>
      <c r="H319" s="4" t="s">
        <v>16</v>
      </c>
      <c r="I319" s="4">
        <v>-94</v>
      </c>
      <c r="J319" s="4">
        <v>-94</v>
      </c>
      <c r="K319" t="str">
        <f>VLOOKUP($C319,Table1[#All],2,FALSE)</f>
        <v>FOOD SERVICE</v>
      </c>
      <c r="L319" t="str">
        <f>VLOOKUP($C319,Table1[#All],3,FALSE)</f>
        <v xml:space="preserve">Transactions related to food and beverage service. Includes all guest transactions in the hotel restaurants, catering-related transactions and food service payroll. </v>
      </c>
      <c r="M319" t="str">
        <f>IFERROR(VLOOKUP($B319,ChartOfAccounts!A318:B403,2,FALSE),"")</f>
        <v/>
      </c>
      <c r="N319" t="str">
        <f>IFERROR(VLOOKUP($B319,ChartOfAccounts!C318:D403,2,FALSE),"")</f>
        <v/>
      </c>
      <c r="O319" t="str">
        <f>IFERROR(VLOOKUP($B319,ChartOfAccounts!E318:F403,2,FALSE),"")</f>
        <v/>
      </c>
      <c r="P319" t="str">
        <f>IFERROR(VLOOKUP(D319,PreparerInfo!A318:B330,2,FALSE),"")</f>
        <v/>
      </c>
      <c r="Q319" t="str">
        <f>IFERROR(VLOOKUP(E319,Source!A318:B326,2,FALSE),"")</f>
        <v/>
      </c>
    </row>
    <row r="320" spans="1:17" x14ac:dyDescent="0.3">
      <c r="A320" s="3">
        <v>2033679</v>
      </c>
      <c r="B320">
        <v>71400</v>
      </c>
      <c r="C320">
        <v>1</v>
      </c>
      <c r="D320" s="9">
        <v>101</v>
      </c>
      <c r="E320">
        <v>1007</v>
      </c>
      <c r="F320" s="1">
        <v>44006</v>
      </c>
      <c r="G320" t="s">
        <v>92</v>
      </c>
      <c r="H320" s="4">
        <v>94.68</v>
      </c>
      <c r="I320" s="4" t="s">
        <v>16</v>
      </c>
      <c r="J320" s="4">
        <v>94.68</v>
      </c>
      <c r="K320" t="str">
        <f>VLOOKUP($C320,Table1[#All],2,FALSE)</f>
        <v>FOOD SERVICE</v>
      </c>
      <c r="L320" t="str">
        <f>VLOOKUP($C320,Table1[#All],3,FALSE)</f>
        <v xml:space="preserve">Transactions related to food and beverage service. Includes all guest transactions in the hotel restaurants, catering-related transactions and food service payroll. </v>
      </c>
      <c r="M320" t="str">
        <f>IFERROR(VLOOKUP($B320,ChartOfAccounts!A319:B404,2,FALSE),"")</f>
        <v/>
      </c>
      <c r="N320" t="str">
        <f>IFERROR(VLOOKUP($B320,ChartOfAccounts!C319:D404,2,FALSE),"")</f>
        <v/>
      </c>
      <c r="O320" t="str">
        <f>IFERROR(VLOOKUP($B320,ChartOfAccounts!E319:F404,2,FALSE),"")</f>
        <v/>
      </c>
      <c r="P320" t="str">
        <f>IFERROR(VLOOKUP(D320,PreparerInfo!A319:B331,2,FALSE),"")</f>
        <v/>
      </c>
      <c r="Q320" t="str">
        <f>IFERROR(VLOOKUP(E320,Source!A319:B327,2,FALSE),"")</f>
        <v/>
      </c>
    </row>
    <row r="321" spans="1:17" x14ac:dyDescent="0.3">
      <c r="A321" s="3">
        <v>2033679</v>
      </c>
      <c r="B321">
        <v>11845</v>
      </c>
      <c r="C321">
        <v>1</v>
      </c>
      <c r="D321" s="9">
        <v>101</v>
      </c>
      <c r="E321">
        <v>1007</v>
      </c>
      <c r="F321" s="1">
        <v>44006</v>
      </c>
      <c r="G321" t="s">
        <v>92</v>
      </c>
      <c r="H321" s="4" t="s">
        <v>16</v>
      </c>
      <c r="I321" s="4">
        <v>-94.68</v>
      </c>
      <c r="J321" s="4">
        <v>-94.68</v>
      </c>
      <c r="K321" t="str">
        <f>VLOOKUP($C321,Table1[#All],2,FALSE)</f>
        <v>FOOD SERVICE</v>
      </c>
      <c r="L321" t="str">
        <f>VLOOKUP($C321,Table1[#All],3,FALSE)</f>
        <v xml:space="preserve">Transactions related to food and beverage service. Includes all guest transactions in the hotel restaurants, catering-related transactions and food service payroll. </v>
      </c>
      <c r="M321" t="str">
        <f>IFERROR(VLOOKUP($B321,ChartOfAccounts!A320:B405,2,FALSE),"")</f>
        <v/>
      </c>
      <c r="N321" t="str">
        <f>IFERROR(VLOOKUP($B321,ChartOfAccounts!C320:D405,2,FALSE),"")</f>
        <v/>
      </c>
      <c r="O321" t="str">
        <f>IFERROR(VLOOKUP($B321,ChartOfAccounts!E320:F405,2,FALSE),"")</f>
        <v/>
      </c>
      <c r="P321" t="str">
        <f>IFERROR(VLOOKUP(D321,PreparerInfo!A320:B332,2,FALSE),"")</f>
        <v/>
      </c>
      <c r="Q321" t="str">
        <f>IFERROR(VLOOKUP(E321,Source!A320:B328,2,FALSE),"")</f>
        <v/>
      </c>
    </row>
    <row r="322" spans="1:17" x14ac:dyDescent="0.3">
      <c r="A322" s="3">
        <v>2033680</v>
      </c>
      <c r="B322">
        <v>71400</v>
      </c>
      <c r="C322">
        <v>1</v>
      </c>
      <c r="D322" s="9">
        <v>101</v>
      </c>
      <c r="E322">
        <v>1007</v>
      </c>
      <c r="F322" s="1">
        <v>44006</v>
      </c>
      <c r="G322" t="s">
        <v>83</v>
      </c>
      <c r="H322" s="4">
        <v>95.6</v>
      </c>
      <c r="I322" s="4" t="s">
        <v>16</v>
      </c>
      <c r="J322" s="4">
        <v>95.6</v>
      </c>
      <c r="K322" t="str">
        <f>VLOOKUP($C322,Table1[#All],2,FALSE)</f>
        <v>FOOD SERVICE</v>
      </c>
      <c r="L322" t="str">
        <f>VLOOKUP($C322,Table1[#All],3,FALSE)</f>
        <v xml:space="preserve">Transactions related to food and beverage service. Includes all guest transactions in the hotel restaurants, catering-related transactions and food service payroll. </v>
      </c>
      <c r="M322" t="str">
        <f>IFERROR(VLOOKUP($B322,ChartOfAccounts!A321:B406,2,FALSE),"")</f>
        <v/>
      </c>
      <c r="N322" t="str">
        <f>IFERROR(VLOOKUP($B322,ChartOfAccounts!C321:D406,2,FALSE),"")</f>
        <v/>
      </c>
      <c r="O322" t="str">
        <f>IFERROR(VLOOKUP($B322,ChartOfAccounts!E321:F406,2,FALSE),"")</f>
        <v/>
      </c>
      <c r="P322" t="str">
        <f>IFERROR(VLOOKUP(D322,PreparerInfo!A321:B333,2,FALSE),"")</f>
        <v/>
      </c>
      <c r="Q322" t="str">
        <f>IFERROR(VLOOKUP(E322,Source!A321:B329,2,FALSE),"")</f>
        <v/>
      </c>
    </row>
    <row r="323" spans="1:17" x14ac:dyDescent="0.3">
      <c r="A323" s="3">
        <v>2033680</v>
      </c>
      <c r="B323">
        <v>11845</v>
      </c>
      <c r="C323">
        <v>1</v>
      </c>
      <c r="D323" s="9">
        <v>101</v>
      </c>
      <c r="E323">
        <v>1007</v>
      </c>
      <c r="F323" s="1">
        <v>44006</v>
      </c>
      <c r="G323" t="s">
        <v>83</v>
      </c>
      <c r="H323" s="4" t="s">
        <v>16</v>
      </c>
      <c r="I323" s="4">
        <v>-95.6</v>
      </c>
      <c r="J323" s="4">
        <v>-95.6</v>
      </c>
      <c r="K323" t="str">
        <f>VLOOKUP($C323,Table1[#All],2,FALSE)</f>
        <v>FOOD SERVICE</v>
      </c>
      <c r="L323" t="str">
        <f>VLOOKUP($C323,Table1[#All],3,FALSE)</f>
        <v xml:space="preserve">Transactions related to food and beverage service. Includes all guest transactions in the hotel restaurants, catering-related transactions and food service payroll. </v>
      </c>
      <c r="M323" t="str">
        <f>IFERROR(VLOOKUP($B323,ChartOfAccounts!A322:B407,2,FALSE),"")</f>
        <v/>
      </c>
      <c r="N323" t="str">
        <f>IFERROR(VLOOKUP($B323,ChartOfAccounts!C322:D407,2,FALSE),"")</f>
        <v/>
      </c>
      <c r="O323" t="str">
        <f>IFERROR(VLOOKUP($B323,ChartOfAccounts!E322:F407,2,FALSE),"")</f>
        <v/>
      </c>
      <c r="P323" t="str">
        <f>IFERROR(VLOOKUP(D323,PreparerInfo!A322:B334,2,FALSE),"")</f>
        <v/>
      </c>
      <c r="Q323" t="str">
        <f>IFERROR(VLOOKUP(E323,Source!A322:B330,2,FALSE),"")</f>
        <v/>
      </c>
    </row>
    <row r="324" spans="1:17" x14ac:dyDescent="0.3">
      <c r="A324" s="3">
        <v>2033681</v>
      </c>
      <c r="B324">
        <v>11845</v>
      </c>
      <c r="C324">
        <v>1</v>
      </c>
      <c r="D324" s="9">
        <v>101</v>
      </c>
      <c r="E324">
        <v>1007</v>
      </c>
      <c r="F324" s="1">
        <v>44006</v>
      </c>
      <c r="G324" t="s">
        <v>204</v>
      </c>
      <c r="H324" s="4">
        <v>99</v>
      </c>
      <c r="I324" s="4" t="s">
        <v>16</v>
      </c>
      <c r="J324" s="4">
        <v>99</v>
      </c>
      <c r="K324" t="str">
        <f>VLOOKUP($C324,Table1[#All],2,FALSE)</f>
        <v>FOOD SERVICE</v>
      </c>
      <c r="L324" t="str">
        <f>VLOOKUP($C324,Table1[#All],3,FALSE)</f>
        <v xml:space="preserve">Transactions related to food and beverage service. Includes all guest transactions in the hotel restaurants, catering-related transactions and food service payroll. </v>
      </c>
      <c r="M324" t="str">
        <f>IFERROR(VLOOKUP($B324,ChartOfAccounts!A323:B408,2,FALSE),"")</f>
        <v/>
      </c>
      <c r="N324" t="str">
        <f>IFERROR(VLOOKUP($B324,ChartOfAccounts!C323:D408,2,FALSE),"")</f>
        <v/>
      </c>
      <c r="O324" t="str">
        <f>IFERROR(VLOOKUP($B324,ChartOfAccounts!E323:F408,2,FALSE),"")</f>
        <v/>
      </c>
      <c r="P324" t="str">
        <f>IFERROR(VLOOKUP(D324,PreparerInfo!A323:B335,2,FALSE),"")</f>
        <v/>
      </c>
      <c r="Q324" t="str">
        <f>IFERROR(VLOOKUP(E324,Source!A323:B331,2,FALSE),"")</f>
        <v/>
      </c>
    </row>
    <row r="325" spans="1:17" x14ac:dyDescent="0.3">
      <c r="A325" s="3">
        <v>2033681</v>
      </c>
      <c r="B325">
        <v>72723</v>
      </c>
      <c r="C325">
        <v>1</v>
      </c>
      <c r="D325" s="9">
        <v>101</v>
      </c>
      <c r="E325">
        <v>1007</v>
      </c>
      <c r="F325" s="1">
        <v>44006</v>
      </c>
      <c r="G325" t="s">
        <v>204</v>
      </c>
      <c r="H325" s="4" t="s">
        <v>16</v>
      </c>
      <c r="I325" s="4">
        <v>-99</v>
      </c>
      <c r="J325" s="4">
        <v>-99</v>
      </c>
      <c r="K325" t="str">
        <f>VLOOKUP($C325,Table1[#All],2,FALSE)</f>
        <v>FOOD SERVICE</v>
      </c>
      <c r="L325" t="str">
        <f>VLOOKUP($C325,Table1[#All],3,FALSE)</f>
        <v xml:space="preserve">Transactions related to food and beverage service. Includes all guest transactions in the hotel restaurants, catering-related transactions and food service payroll. </v>
      </c>
      <c r="M325" t="str">
        <f>IFERROR(VLOOKUP($B325,ChartOfAccounts!A324:B409,2,FALSE),"")</f>
        <v/>
      </c>
      <c r="N325" t="str">
        <f>IFERROR(VLOOKUP($B325,ChartOfAccounts!C324:D409,2,FALSE),"")</f>
        <v/>
      </c>
      <c r="O325" t="str">
        <f>IFERROR(VLOOKUP($B325,ChartOfAccounts!E324:F409,2,FALSE),"")</f>
        <v/>
      </c>
      <c r="P325" t="str">
        <f>IFERROR(VLOOKUP(D325,PreparerInfo!A324:B336,2,FALSE),"")</f>
        <v/>
      </c>
      <c r="Q325" t="str">
        <f>IFERROR(VLOOKUP(E325,Source!A324:B332,2,FALSE),"")</f>
        <v/>
      </c>
    </row>
    <row r="326" spans="1:17" x14ac:dyDescent="0.3">
      <c r="A326" s="3">
        <v>2033682</v>
      </c>
      <c r="B326">
        <v>14260</v>
      </c>
      <c r="C326">
        <v>1</v>
      </c>
      <c r="D326" s="9">
        <v>101</v>
      </c>
      <c r="E326">
        <v>1007</v>
      </c>
      <c r="F326" s="1">
        <v>44006</v>
      </c>
      <c r="G326" t="s">
        <v>86</v>
      </c>
      <c r="H326" s="4">
        <v>100.35</v>
      </c>
      <c r="I326" s="4" t="s">
        <v>16</v>
      </c>
      <c r="J326" s="4">
        <v>100.35</v>
      </c>
      <c r="K326" t="str">
        <f>VLOOKUP($C326,Table1[#All],2,FALSE)</f>
        <v>FOOD SERVICE</v>
      </c>
      <c r="L326" t="str">
        <f>VLOOKUP($C326,Table1[#All],3,FALSE)</f>
        <v xml:space="preserve">Transactions related to food and beverage service. Includes all guest transactions in the hotel restaurants, catering-related transactions and food service payroll. </v>
      </c>
      <c r="M326" t="str">
        <f>IFERROR(VLOOKUP($B326,ChartOfAccounts!A325:B410,2,FALSE),"")</f>
        <v/>
      </c>
      <c r="N326" t="str">
        <f>IFERROR(VLOOKUP($B326,ChartOfAccounts!C325:D410,2,FALSE),"")</f>
        <v/>
      </c>
      <c r="O326" t="str">
        <f>IFERROR(VLOOKUP($B326,ChartOfAccounts!E325:F410,2,FALSE),"")</f>
        <v/>
      </c>
      <c r="P326" t="str">
        <f>IFERROR(VLOOKUP(D326,PreparerInfo!A325:B337,2,FALSE),"")</f>
        <v/>
      </c>
      <c r="Q326" t="str">
        <f>IFERROR(VLOOKUP(E326,Source!A325:B333,2,FALSE),"")</f>
        <v/>
      </c>
    </row>
    <row r="327" spans="1:17" x14ac:dyDescent="0.3">
      <c r="A327" s="3">
        <v>2033682</v>
      </c>
      <c r="B327">
        <v>11845</v>
      </c>
      <c r="C327">
        <v>1</v>
      </c>
      <c r="D327" s="9">
        <v>101</v>
      </c>
      <c r="E327">
        <v>1007</v>
      </c>
      <c r="F327" s="1">
        <v>44006</v>
      </c>
      <c r="G327" t="s">
        <v>86</v>
      </c>
      <c r="H327" s="4" t="s">
        <v>16</v>
      </c>
      <c r="I327" s="4">
        <v>-100.35</v>
      </c>
      <c r="J327" s="4">
        <v>-100.35</v>
      </c>
      <c r="K327" t="str">
        <f>VLOOKUP($C327,Table1[#All],2,FALSE)</f>
        <v>FOOD SERVICE</v>
      </c>
      <c r="L327" t="str">
        <f>VLOOKUP($C327,Table1[#All],3,FALSE)</f>
        <v xml:space="preserve">Transactions related to food and beverage service. Includes all guest transactions in the hotel restaurants, catering-related transactions and food service payroll. </v>
      </c>
      <c r="M327" t="str">
        <f>IFERROR(VLOOKUP($B327,ChartOfAccounts!A326:B411,2,FALSE),"")</f>
        <v/>
      </c>
      <c r="N327" t="str">
        <f>IFERROR(VLOOKUP($B327,ChartOfAccounts!C326:D411,2,FALSE),"")</f>
        <v/>
      </c>
      <c r="O327" t="str">
        <f>IFERROR(VLOOKUP($B327,ChartOfAccounts!E326:F411,2,FALSE),"")</f>
        <v/>
      </c>
      <c r="P327" t="str">
        <f>IFERROR(VLOOKUP(D327,PreparerInfo!A326:B338,2,FALSE),"")</f>
        <v/>
      </c>
      <c r="Q327" t="str">
        <f>IFERROR(VLOOKUP(E327,Source!A326:B334,2,FALSE),"")</f>
        <v/>
      </c>
    </row>
    <row r="328" spans="1:17" x14ac:dyDescent="0.3">
      <c r="A328" s="3">
        <v>2033683</v>
      </c>
      <c r="B328">
        <v>71400</v>
      </c>
      <c r="C328">
        <v>1</v>
      </c>
      <c r="D328" s="9">
        <v>101</v>
      </c>
      <c r="E328">
        <v>1007</v>
      </c>
      <c r="F328" s="1">
        <v>44006</v>
      </c>
      <c r="G328" t="s">
        <v>198</v>
      </c>
      <c r="H328" s="4">
        <v>119.4</v>
      </c>
      <c r="I328" s="4" t="s">
        <v>16</v>
      </c>
      <c r="J328" s="4">
        <v>119.4</v>
      </c>
      <c r="K328" t="str">
        <f>VLOOKUP($C328,Table1[#All],2,FALSE)</f>
        <v>FOOD SERVICE</v>
      </c>
      <c r="L328" t="str">
        <f>VLOOKUP($C328,Table1[#All],3,FALSE)</f>
        <v xml:space="preserve">Transactions related to food and beverage service. Includes all guest transactions in the hotel restaurants, catering-related transactions and food service payroll. </v>
      </c>
      <c r="M328" t="str">
        <f>IFERROR(VLOOKUP($B328,ChartOfAccounts!A327:B412,2,FALSE),"")</f>
        <v/>
      </c>
      <c r="N328" t="str">
        <f>IFERROR(VLOOKUP($B328,ChartOfAccounts!C327:D412,2,FALSE),"")</f>
        <v/>
      </c>
      <c r="O328" t="str">
        <f>IFERROR(VLOOKUP($B328,ChartOfAccounts!E327:F412,2,FALSE),"")</f>
        <v/>
      </c>
      <c r="P328" t="str">
        <f>IFERROR(VLOOKUP(D328,PreparerInfo!A327:B339,2,FALSE),"")</f>
        <v/>
      </c>
      <c r="Q328" t="str">
        <f>IFERROR(VLOOKUP(E328,Source!A327:B335,2,FALSE),"")</f>
        <v/>
      </c>
    </row>
    <row r="329" spans="1:17" x14ac:dyDescent="0.3">
      <c r="A329" s="3">
        <v>2033683</v>
      </c>
      <c r="B329">
        <v>11845</v>
      </c>
      <c r="C329">
        <v>1</v>
      </c>
      <c r="D329" s="9">
        <v>101</v>
      </c>
      <c r="E329">
        <v>1007</v>
      </c>
      <c r="F329" s="1">
        <v>44006</v>
      </c>
      <c r="G329" t="s">
        <v>198</v>
      </c>
      <c r="H329" s="4" t="s">
        <v>16</v>
      </c>
      <c r="I329" s="4">
        <v>-119.4</v>
      </c>
      <c r="J329" s="4">
        <v>-119.4</v>
      </c>
      <c r="K329" t="str">
        <f>VLOOKUP($C329,Table1[#All],2,FALSE)</f>
        <v>FOOD SERVICE</v>
      </c>
      <c r="L329" t="str">
        <f>VLOOKUP($C329,Table1[#All],3,FALSE)</f>
        <v xml:space="preserve">Transactions related to food and beverage service. Includes all guest transactions in the hotel restaurants, catering-related transactions and food service payroll. </v>
      </c>
      <c r="M329" t="str">
        <f>IFERROR(VLOOKUP($B329,ChartOfAccounts!A328:B413,2,FALSE),"")</f>
        <v/>
      </c>
      <c r="N329" t="str">
        <f>IFERROR(VLOOKUP($B329,ChartOfAccounts!C328:D413,2,FALSE),"")</f>
        <v/>
      </c>
      <c r="O329" t="str">
        <f>IFERROR(VLOOKUP($B329,ChartOfAccounts!E328:F413,2,FALSE),"")</f>
        <v/>
      </c>
      <c r="P329" t="str">
        <f>IFERROR(VLOOKUP(D329,PreparerInfo!A328:B340,2,FALSE),"")</f>
        <v/>
      </c>
      <c r="Q329" t="str">
        <f>IFERROR(VLOOKUP(E329,Source!A328:B336,2,FALSE),"")</f>
        <v/>
      </c>
    </row>
    <row r="330" spans="1:17" x14ac:dyDescent="0.3">
      <c r="A330" s="3">
        <v>2033684</v>
      </c>
      <c r="B330">
        <v>71400</v>
      </c>
      <c r="C330">
        <v>1</v>
      </c>
      <c r="D330" s="9">
        <v>101</v>
      </c>
      <c r="E330">
        <v>1007</v>
      </c>
      <c r="F330" s="1">
        <v>44006</v>
      </c>
      <c r="G330" t="s">
        <v>90</v>
      </c>
      <c r="H330" s="4">
        <v>130</v>
      </c>
      <c r="I330" s="4" t="s">
        <v>16</v>
      </c>
      <c r="J330" s="4">
        <v>130</v>
      </c>
      <c r="K330" t="str">
        <f>VLOOKUP($C330,Table1[#All],2,FALSE)</f>
        <v>FOOD SERVICE</v>
      </c>
      <c r="L330" t="str">
        <f>VLOOKUP($C330,Table1[#All],3,FALSE)</f>
        <v xml:space="preserve">Transactions related to food and beverage service. Includes all guest transactions in the hotel restaurants, catering-related transactions and food service payroll. </v>
      </c>
      <c r="M330" t="str">
        <f>IFERROR(VLOOKUP($B330,ChartOfAccounts!A329:B414,2,FALSE),"")</f>
        <v/>
      </c>
      <c r="N330" t="str">
        <f>IFERROR(VLOOKUP($B330,ChartOfAccounts!C329:D414,2,FALSE),"")</f>
        <v/>
      </c>
      <c r="O330" t="str">
        <f>IFERROR(VLOOKUP($B330,ChartOfAccounts!E329:F414,2,FALSE),"")</f>
        <v/>
      </c>
      <c r="P330" t="str">
        <f>IFERROR(VLOOKUP(D330,PreparerInfo!A329:B341,2,FALSE),"")</f>
        <v/>
      </c>
      <c r="Q330" t="str">
        <f>IFERROR(VLOOKUP(E330,Source!A329:B337,2,FALSE),"")</f>
        <v/>
      </c>
    </row>
    <row r="331" spans="1:17" x14ac:dyDescent="0.3">
      <c r="A331" s="3">
        <v>2033684</v>
      </c>
      <c r="B331">
        <v>11845</v>
      </c>
      <c r="C331">
        <v>1</v>
      </c>
      <c r="D331" s="9">
        <v>101</v>
      </c>
      <c r="E331">
        <v>1007</v>
      </c>
      <c r="F331" s="1">
        <v>44006</v>
      </c>
      <c r="G331" t="s">
        <v>90</v>
      </c>
      <c r="H331" s="4" t="s">
        <v>16</v>
      </c>
      <c r="I331" s="4">
        <v>-130</v>
      </c>
      <c r="J331" s="4">
        <v>-130</v>
      </c>
      <c r="K331" t="str">
        <f>VLOOKUP($C331,Table1[#All],2,FALSE)</f>
        <v>FOOD SERVICE</v>
      </c>
      <c r="L331" t="str">
        <f>VLOOKUP($C331,Table1[#All],3,FALSE)</f>
        <v xml:space="preserve">Transactions related to food and beverage service. Includes all guest transactions in the hotel restaurants, catering-related transactions and food service payroll. </v>
      </c>
      <c r="M331" t="str">
        <f>IFERROR(VLOOKUP($B331,ChartOfAccounts!A330:B415,2,FALSE),"")</f>
        <v/>
      </c>
      <c r="N331" t="str">
        <f>IFERROR(VLOOKUP($B331,ChartOfAccounts!C330:D415,2,FALSE),"")</f>
        <v/>
      </c>
      <c r="O331" t="str">
        <f>IFERROR(VLOOKUP($B331,ChartOfAccounts!E330:F415,2,FALSE),"")</f>
        <v/>
      </c>
      <c r="P331" t="str">
        <f>IFERROR(VLOOKUP(D331,PreparerInfo!A330:B342,2,FALSE),"")</f>
        <v/>
      </c>
      <c r="Q331" t="str">
        <f>IFERROR(VLOOKUP(E331,Source!A330:B338,2,FALSE),"")</f>
        <v/>
      </c>
    </row>
    <row r="332" spans="1:17" x14ac:dyDescent="0.3">
      <c r="A332" s="3">
        <v>2033685</v>
      </c>
      <c r="B332">
        <v>71410</v>
      </c>
      <c r="C332">
        <v>1</v>
      </c>
      <c r="D332" s="9">
        <v>101</v>
      </c>
      <c r="E332">
        <v>1007</v>
      </c>
      <c r="F332" s="1">
        <v>44006</v>
      </c>
      <c r="G332" t="s">
        <v>71</v>
      </c>
      <c r="H332" s="4">
        <v>182.99</v>
      </c>
      <c r="I332" s="4" t="s">
        <v>16</v>
      </c>
      <c r="J332" s="4">
        <v>182.99</v>
      </c>
      <c r="K332" t="str">
        <f>VLOOKUP($C332,Table1[#All],2,FALSE)</f>
        <v>FOOD SERVICE</v>
      </c>
      <c r="L332" t="str">
        <f>VLOOKUP($C332,Table1[#All],3,FALSE)</f>
        <v xml:space="preserve">Transactions related to food and beverage service. Includes all guest transactions in the hotel restaurants, catering-related transactions and food service payroll. </v>
      </c>
      <c r="M332" t="str">
        <f>IFERROR(VLOOKUP($B332,ChartOfAccounts!A331:B416,2,FALSE),"")</f>
        <v/>
      </c>
      <c r="N332" t="str">
        <f>IFERROR(VLOOKUP($B332,ChartOfAccounts!C331:D416,2,FALSE),"")</f>
        <v/>
      </c>
      <c r="O332" t="str">
        <f>IFERROR(VLOOKUP($B332,ChartOfAccounts!E331:F416,2,FALSE),"")</f>
        <v/>
      </c>
      <c r="P332" t="str">
        <f>IFERROR(VLOOKUP(D332,PreparerInfo!A331:B343,2,FALSE),"")</f>
        <v/>
      </c>
      <c r="Q332" t="str">
        <f>IFERROR(VLOOKUP(E332,Source!A331:B339,2,FALSE),"")</f>
        <v/>
      </c>
    </row>
    <row r="333" spans="1:17" x14ac:dyDescent="0.3">
      <c r="A333" s="3">
        <v>2033685</v>
      </c>
      <c r="B333">
        <v>11845</v>
      </c>
      <c r="C333">
        <v>1</v>
      </c>
      <c r="D333" s="9">
        <v>101</v>
      </c>
      <c r="E333">
        <v>1007</v>
      </c>
      <c r="F333" s="1">
        <v>44006</v>
      </c>
      <c r="G333" t="s">
        <v>71</v>
      </c>
      <c r="H333" s="4" t="s">
        <v>16</v>
      </c>
      <c r="I333" s="4">
        <v>-182.99</v>
      </c>
      <c r="J333" s="4">
        <v>-182.99</v>
      </c>
      <c r="K333" t="str">
        <f>VLOOKUP($C333,Table1[#All],2,FALSE)</f>
        <v>FOOD SERVICE</v>
      </c>
      <c r="L333" t="str">
        <f>VLOOKUP($C333,Table1[#All],3,FALSE)</f>
        <v xml:space="preserve">Transactions related to food and beverage service. Includes all guest transactions in the hotel restaurants, catering-related transactions and food service payroll. </v>
      </c>
      <c r="M333" t="str">
        <f>IFERROR(VLOOKUP($B333,ChartOfAccounts!A332:B417,2,FALSE),"")</f>
        <v/>
      </c>
      <c r="N333" t="str">
        <f>IFERROR(VLOOKUP($B333,ChartOfAccounts!C332:D417,2,FALSE),"")</f>
        <v/>
      </c>
      <c r="O333" t="str">
        <f>IFERROR(VLOOKUP($B333,ChartOfAccounts!E332:F417,2,FALSE),"")</f>
        <v/>
      </c>
      <c r="P333" t="str">
        <f>IFERROR(VLOOKUP(D333,PreparerInfo!A332:B344,2,FALSE),"")</f>
        <v/>
      </c>
      <c r="Q333" t="str">
        <f>IFERROR(VLOOKUP(E333,Source!A332:B340,2,FALSE),"")</f>
        <v/>
      </c>
    </row>
    <row r="334" spans="1:17" x14ac:dyDescent="0.3">
      <c r="A334" s="3">
        <v>2033686</v>
      </c>
      <c r="B334">
        <v>11845</v>
      </c>
      <c r="C334">
        <v>1</v>
      </c>
      <c r="D334" s="9">
        <v>101</v>
      </c>
      <c r="E334">
        <v>1007</v>
      </c>
      <c r="F334" s="1">
        <v>44006</v>
      </c>
      <c r="G334" t="s">
        <v>90</v>
      </c>
      <c r="H334" s="4">
        <v>184</v>
      </c>
      <c r="I334" s="4" t="s">
        <v>16</v>
      </c>
      <c r="J334" s="4">
        <v>184</v>
      </c>
      <c r="K334" t="str">
        <f>VLOOKUP($C334,Table1[#All],2,FALSE)</f>
        <v>FOOD SERVICE</v>
      </c>
      <c r="L334" t="str">
        <f>VLOOKUP($C334,Table1[#All],3,FALSE)</f>
        <v xml:space="preserve">Transactions related to food and beverage service. Includes all guest transactions in the hotel restaurants, catering-related transactions and food service payroll. </v>
      </c>
      <c r="M334" t="str">
        <f>IFERROR(VLOOKUP($B334,ChartOfAccounts!A333:B418,2,FALSE),"")</f>
        <v/>
      </c>
      <c r="N334" t="str">
        <f>IFERROR(VLOOKUP($B334,ChartOfAccounts!C333:D418,2,FALSE),"")</f>
        <v/>
      </c>
      <c r="O334" t="str">
        <f>IFERROR(VLOOKUP($B334,ChartOfAccounts!E333:F418,2,FALSE),"")</f>
        <v/>
      </c>
      <c r="P334" t="str">
        <f>IFERROR(VLOOKUP(D334,PreparerInfo!A333:B345,2,FALSE),"")</f>
        <v/>
      </c>
      <c r="Q334" t="str">
        <f>IFERROR(VLOOKUP(E334,Source!A333:B341,2,FALSE),"")</f>
        <v/>
      </c>
    </row>
    <row r="335" spans="1:17" x14ac:dyDescent="0.3">
      <c r="A335" s="3">
        <v>2033686</v>
      </c>
      <c r="B335">
        <v>71400</v>
      </c>
      <c r="C335">
        <v>1</v>
      </c>
      <c r="D335" s="9">
        <v>101</v>
      </c>
      <c r="E335">
        <v>1007</v>
      </c>
      <c r="F335" s="1">
        <v>44006</v>
      </c>
      <c r="G335" t="s">
        <v>90</v>
      </c>
      <c r="H335" s="4" t="s">
        <v>16</v>
      </c>
      <c r="I335" s="4">
        <v>-184</v>
      </c>
      <c r="J335" s="4">
        <v>-184</v>
      </c>
      <c r="K335" t="str">
        <f>VLOOKUP($C335,Table1[#All],2,FALSE)</f>
        <v>FOOD SERVICE</v>
      </c>
      <c r="L335" t="str">
        <f>VLOOKUP($C335,Table1[#All],3,FALSE)</f>
        <v xml:space="preserve">Transactions related to food and beverage service. Includes all guest transactions in the hotel restaurants, catering-related transactions and food service payroll. </v>
      </c>
      <c r="M335" t="str">
        <f>IFERROR(VLOOKUP($B335,ChartOfAccounts!A334:B419,2,FALSE),"")</f>
        <v/>
      </c>
      <c r="N335" t="str">
        <f>IFERROR(VLOOKUP($B335,ChartOfAccounts!C334:D419,2,FALSE),"")</f>
        <v/>
      </c>
      <c r="O335" t="str">
        <f>IFERROR(VLOOKUP($B335,ChartOfAccounts!E334:F419,2,FALSE),"")</f>
        <v/>
      </c>
      <c r="P335" t="str">
        <f>IFERROR(VLOOKUP(D335,PreparerInfo!A334:B346,2,FALSE),"")</f>
        <v/>
      </c>
      <c r="Q335" t="str">
        <f>IFERROR(VLOOKUP(E335,Source!A334:B342,2,FALSE),"")</f>
        <v/>
      </c>
    </row>
    <row r="336" spans="1:17" x14ac:dyDescent="0.3">
      <c r="A336" s="3">
        <v>2033687</v>
      </c>
      <c r="B336">
        <v>74203</v>
      </c>
      <c r="C336">
        <v>2</v>
      </c>
      <c r="D336" s="9">
        <v>102</v>
      </c>
      <c r="E336">
        <v>1007</v>
      </c>
      <c r="F336" s="1">
        <v>44006</v>
      </c>
      <c r="G336" t="s">
        <v>124</v>
      </c>
      <c r="H336" s="4">
        <v>208</v>
      </c>
      <c r="I336" s="4" t="s">
        <v>16</v>
      </c>
      <c r="J336" s="4">
        <v>208</v>
      </c>
      <c r="K336" t="str">
        <f>VLOOKUP($C336,Table1[#All],2,FALSE)</f>
        <v>HOTEL</v>
      </c>
      <c r="L336" t="str">
        <f>VLOOKUP($C336,Table1[#All],3,FALSE)</f>
        <v xml:space="preserve">Transactions related to guest rooms and overall hotel operations. Includes payroll for administrative staff, clerks and interns. </v>
      </c>
      <c r="M336" t="str">
        <f>IFERROR(VLOOKUP($B336,ChartOfAccounts!A335:B420,2,FALSE),"")</f>
        <v/>
      </c>
      <c r="N336" t="str">
        <f>IFERROR(VLOOKUP($B336,ChartOfAccounts!C335:D420,2,FALSE),"")</f>
        <v/>
      </c>
      <c r="O336" t="str">
        <f>IFERROR(VLOOKUP($B336,ChartOfAccounts!E335:F420,2,FALSE),"")</f>
        <v/>
      </c>
      <c r="P336" t="str">
        <f>IFERROR(VLOOKUP(D336,PreparerInfo!A335:B347,2,FALSE),"")</f>
        <v/>
      </c>
      <c r="Q336" t="str">
        <f>IFERROR(VLOOKUP(E336,Source!A335:B343,2,FALSE),"")</f>
        <v/>
      </c>
    </row>
    <row r="337" spans="1:17" x14ac:dyDescent="0.3">
      <c r="A337" s="3">
        <v>2033687</v>
      </c>
      <c r="B337">
        <v>11845</v>
      </c>
      <c r="C337">
        <v>2</v>
      </c>
      <c r="D337" s="9">
        <v>102</v>
      </c>
      <c r="E337">
        <v>1007</v>
      </c>
      <c r="F337" s="1">
        <v>44006</v>
      </c>
      <c r="G337" t="s">
        <v>124</v>
      </c>
      <c r="H337" s="4" t="s">
        <v>16</v>
      </c>
      <c r="I337" s="4">
        <v>-208</v>
      </c>
      <c r="J337" s="4">
        <v>-208</v>
      </c>
      <c r="K337" t="str">
        <f>VLOOKUP($C337,Table1[#All],2,FALSE)</f>
        <v>HOTEL</v>
      </c>
      <c r="L337" t="str">
        <f>VLOOKUP($C337,Table1[#All],3,FALSE)</f>
        <v xml:space="preserve">Transactions related to guest rooms and overall hotel operations. Includes payroll for administrative staff, clerks and interns. </v>
      </c>
      <c r="M337" t="str">
        <f>IFERROR(VLOOKUP($B337,ChartOfAccounts!A336:B421,2,FALSE),"")</f>
        <v/>
      </c>
      <c r="N337" t="str">
        <f>IFERROR(VLOOKUP($B337,ChartOfAccounts!C336:D421,2,FALSE),"")</f>
        <v/>
      </c>
      <c r="O337" t="str">
        <f>IFERROR(VLOOKUP($B337,ChartOfAccounts!E336:F421,2,FALSE),"")</f>
        <v/>
      </c>
      <c r="P337" t="str">
        <f>IFERROR(VLOOKUP(D337,PreparerInfo!A336:B348,2,FALSE),"")</f>
        <v/>
      </c>
      <c r="Q337" t="str">
        <f>IFERROR(VLOOKUP(E337,Source!A336:B344,2,FALSE),"")</f>
        <v/>
      </c>
    </row>
    <row r="338" spans="1:17" x14ac:dyDescent="0.3">
      <c r="A338" s="3">
        <v>2033688</v>
      </c>
      <c r="B338">
        <v>72723</v>
      </c>
      <c r="C338">
        <v>1</v>
      </c>
      <c r="D338" s="9">
        <v>101</v>
      </c>
      <c r="E338">
        <v>1007</v>
      </c>
      <c r="F338" s="1">
        <v>44006</v>
      </c>
      <c r="G338" t="s">
        <v>129</v>
      </c>
      <c r="H338" s="4">
        <v>224</v>
      </c>
      <c r="I338" s="4" t="s">
        <v>16</v>
      </c>
      <c r="J338" s="4">
        <v>224</v>
      </c>
      <c r="K338" t="str">
        <f>VLOOKUP($C338,Table1[#All],2,FALSE)</f>
        <v>FOOD SERVICE</v>
      </c>
      <c r="L338" t="str">
        <f>VLOOKUP($C338,Table1[#All],3,FALSE)</f>
        <v xml:space="preserve">Transactions related to food and beverage service. Includes all guest transactions in the hotel restaurants, catering-related transactions and food service payroll. </v>
      </c>
      <c r="M338" t="str">
        <f>IFERROR(VLOOKUP($B338,ChartOfAccounts!A337:B422,2,FALSE),"")</f>
        <v/>
      </c>
      <c r="N338" t="str">
        <f>IFERROR(VLOOKUP($B338,ChartOfAccounts!C337:D422,2,FALSE),"")</f>
        <v/>
      </c>
      <c r="O338" t="str">
        <f>IFERROR(VLOOKUP($B338,ChartOfAccounts!E337:F422,2,FALSE),"")</f>
        <v/>
      </c>
      <c r="P338" t="str">
        <f>IFERROR(VLOOKUP(D338,PreparerInfo!A337:B349,2,FALSE),"")</f>
        <v/>
      </c>
      <c r="Q338" t="str">
        <f>IFERROR(VLOOKUP(E338,Source!A337:B345,2,FALSE),"")</f>
        <v/>
      </c>
    </row>
    <row r="339" spans="1:17" x14ac:dyDescent="0.3">
      <c r="A339" s="3">
        <v>2033688</v>
      </c>
      <c r="B339">
        <v>11845</v>
      </c>
      <c r="C339">
        <v>1</v>
      </c>
      <c r="D339" s="9">
        <v>101</v>
      </c>
      <c r="E339">
        <v>1007</v>
      </c>
      <c r="F339" s="1">
        <v>44006</v>
      </c>
      <c r="G339" t="s">
        <v>129</v>
      </c>
      <c r="H339" s="4" t="s">
        <v>16</v>
      </c>
      <c r="I339" s="4">
        <v>-224</v>
      </c>
      <c r="J339" s="4">
        <v>-224</v>
      </c>
      <c r="K339" t="str">
        <f>VLOOKUP($C339,Table1[#All],2,FALSE)</f>
        <v>FOOD SERVICE</v>
      </c>
      <c r="L339" t="str">
        <f>VLOOKUP($C339,Table1[#All],3,FALSE)</f>
        <v xml:space="preserve">Transactions related to food and beverage service. Includes all guest transactions in the hotel restaurants, catering-related transactions and food service payroll. </v>
      </c>
      <c r="M339" t="str">
        <f>IFERROR(VLOOKUP($B339,ChartOfAccounts!A338:B423,2,FALSE),"")</f>
        <v/>
      </c>
      <c r="N339" t="str">
        <f>IFERROR(VLOOKUP($B339,ChartOfAccounts!C338:D423,2,FALSE),"")</f>
        <v/>
      </c>
      <c r="O339" t="str">
        <f>IFERROR(VLOOKUP($B339,ChartOfAccounts!E338:F423,2,FALSE),"")</f>
        <v/>
      </c>
      <c r="P339" t="str">
        <f>IFERROR(VLOOKUP(D339,PreparerInfo!A338:B350,2,FALSE),"")</f>
        <v/>
      </c>
      <c r="Q339" t="str">
        <f>IFERROR(VLOOKUP(E339,Source!A338:B346,2,FALSE),"")</f>
        <v/>
      </c>
    </row>
    <row r="340" spans="1:17" x14ac:dyDescent="0.3">
      <c r="A340" s="3">
        <v>2033689</v>
      </c>
      <c r="B340">
        <v>14260</v>
      </c>
      <c r="C340">
        <v>1</v>
      </c>
      <c r="D340" s="9">
        <v>102</v>
      </c>
      <c r="E340">
        <v>1002</v>
      </c>
      <c r="F340" s="1">
        <v>44006</v>
      </c>
      <c r="G340" t="s">
        <v>39</v>
      </c>
      <c r="H340" s="4">
        <v>284.91000000000003</v>
      </c>
      <c r="I340" s="4" t="s">
        <v>16</v>
      </c>
      <c r="J340" s="4">
        <v>284.91000000000003</v>
      </c>
      <c r="K340" t="str">
        <f>VLOOKUP($C340,Table1[#All],2,FALSE)</f>
        <v>FOOD SERVICE</v>
      </c>
      <c r="L340" t="str">
        <f>VLOOKUP($C340,Table1[#All],3,FALSE)</f>
        <v xml:space="preserve">Transactions related to food and beverage service. Includes all guest transactions in the hotel restaurants, catering-related transactions and food service payroll. </v>
      </c>
      <c r="M340" t="str">
        <f>IFERROR(VLOOKUP($B340,ChartOfAccounts!A339:B424,2,FALSE),"")</f>
        <v/>
      </c>
      <c r="N340" t="str">
        <f>IFERROR(VLOOKUP($B340,ChartOfAccounts!C339:D424,2,FALSE),"")</f>
        <v/>
      </c>
      <c r="O340" t="str">
        <f>IFERROR(VLOOKUP($B340,ChartOfAccounts!E339:F424,2,FALSE),"")</f>
        <v/>
      </c>
      <c r="P340" t="str">
        <f>IFERROR(VLOOKUP(D340,PreparerInfo!A339:B351,2,FALSE),"")</f>
        <v/>
      </c>
      <c r="Q340" t="str">
        <f>IFERROR(VLOOKUP(E340,Source!A339:B347,2,FALSE),"")</f>
        <v/>
      </c>
    </row>
    <row r="341" spans="1:17" x14ac:dyDescent="0.3">
      <c r="A341" s="3">
        <v>2033689</v>
      </c>
      <c r="B341">
        <v>11845</v>
      </c>
      <c r="C341">
        <v>1</v>
      </c>
      <c r="D341" s="9">
        <v>102</v>
      </c>
      <c r="E341">
        <v>1002</v>
      </c>
      <c r="F341" s="1">
        <v>44006</v>
      </c>
      <c r="G341" t="s">
        <v>39</v>
      </c>
      <c r="H341" s="4" t="s">
        <v>16</v>
      </c>
      <c r="I341" s="4">
        <v>-284.91000000000003</v>
      </c>
      <c r="J341" s="4">
        <v>-284.91000000000003</v>
      </c>
      <c r="K341" t="str">
        <f>VLOOKUP($C341,Table1[#All],2,FALSE)</f>
        <v>FOOD SERVICE</v>
      </c>
      <c r="L341" t="str">
        <f>VLOOKUP($C341,Table1[#All],3,FALSE)</f>
        <v xml:space="preserve">Transactions related to food and beverage service. Includes all guest transactions in the hotel restaurants, catering-related transactions and food service payroll. </v>
      </c>
      <c r="M341" t="str">
        <f>IFERROR(VLOOKUP($B341,ChartOfAccounts!A340:B425,2,FALSE),"")</f>
        <v/>
      </c>
      <c r="N341" t="str">
        <f>IFERROR(VLOOKUP($B341,ChartOfAccounts!C340:D425,2,FALSE),"")</f>
        <v/>
      </c>
      <c r="O341" t="str">
        <f>IFERROR(VLOOKUP($B341,ChartOfAccounts!E340:F425,2,FALSE),"")</f>
        <v/>
      </c>
      <c r="P341" t="str">
        <f>IFERROR(VLOOKUP(D341,PreparerInfo!A340:B352,2,FALSE),"")</f>
        <v/>
      </c>
      <c r="Q341" t="str">
        <f>IFERROR(VLOOKUP(E341,Source!A340:B348,2,FALSE),"")</f>
        <v/>
      </c>
    </row>
    <row r="342" spans="1:17" x14ac:dyDescent="0.3">
      <c r="A342" s="3">
        <v>2033690</v>
      </c>
      <c r="B342">
        <v>71400</v>
      </c>
      <c r="C342">
        <v>4</v>
      </c>
      <c r="D342" s="9">
        <v>101</v>
      </c>
      <c r="E342">
        <v>1007</v>
      </c>
      <c r="F342" s="1">
        <v>44006</v>
      </c>
      <c r="G342" t="s">
        <v>78</v>
      </c>
      <c r="H342" s="4">
        <v>302.89999999999998</v>
      </c>
      <c r="I342" s="4" t="s">
        <v>16</v>
      </c>
      <c r="J342" s="4">
        <v>302.89999999999998</v>
      </c>
      <c r="K342" t="str">
        <f>VLOOKUP($C342,Table1[#All],2,FALSE)</f>
        <v>HOUSEKEEPING</v>
      </c>
      <c r="L342" t="str">
        <f>VLOOKUP($C342,Table1[#All],3,FALSE)</f>
        <v xml:space="preserve">Transactions related to the Housekeeping Department. Primarily includes payroll for housekeepers and housekeeping supplies. </v>
      </c>
      <c r="M342" t="str">
        <f>IFERROR(VLOOKUP($B342,ChartOfAccounts!A341:B426,2,FALSE),"")</f>
        <v/>
      </c>
      <c r="N342" t="str">
        <f>IFERROR(VLOOKUP($B342,ChartOfAccounts!C341:D426,2,FALSE),"")</f>
        <v/>
      </c>
      <c r="O342" t="str">
        <f>IFERROR(VLOOKUP($B342,ChartOfAccounts!E341:F426,2,FALSE),"")</f>
        <v/>
      </c>
      <c r="P342" t="str">
        <f>IFERROR(VLOOKUP(D342,PreparerInfo!A341:B353,2,FALSE),"")</f>
        <v/>
      </c>
      <c r="Q342" t="str">
        <f>IFERROR(VLOOKUP(E342,Source!A341:B349,2,FALSE),"")</f>
        <v/>
      </c>
    </row>
    <row r="343" spans="1:17" x14ac:dyDescent="0.3">
      <c r="A343" s="3">
        <v>2033690</v>
      </c>
      <c r="B343">
        <v>11845</v>
      </c>
      <c r="C343">
        <v>4</v>
      </c>
      <c r="D343" s="9">
        <v>101</v>
      </c>
      <c r="E343">
        <v>1007</v>
      </c>
      <c r="F343" s="1">
        <v>44006</v>
      </c>
      <c r="G343" t="s">
        <v>78</v>
      </c>
      <c r="H343" s="4" t="s">
        <v>16</v>
      </c>
      <c r="I343" s="4">
        <v>-302.89999999999998</v>
      </c>
      <c r="J343" s="4">
        <v>-302.89999999999998</v>
      </c>
      <c r="K343" t="str">
        <f>VLOOKUP($C343,Table1[#All],2,FALSE)</f>
        <v>HOUSEKEEPING</v>
      </c>
      <c r="L343" t="str">
        <f>VLOOKUP($C343,Table1[#All],3,FALSE)</f>
        <v xml:space="preserve">Transactions related to the Housekeeping Department. Primarily includes payroll for housekeepers and housekeeping supplies. </v>
      </c>
      <c r="M343" t="str">
        <f>IFERROR(VLOOKUP($B343,ChartOfAccounts!A342:B427,2,FALSE),"")</f>
        <v/>
      </c>
      <c r="N343" t="str">
        <f>IFERROR(VLOOKUP($B343,ChartOfAccounts!C342:D427,2,FALSE),"")</f>
        <v/>
      </c>
      <c r="O343" t="str">
        <f>IFERROR(VLOOKUP($B343,ChartOfAccounts!E342:F427,2,FALSE),"")</f>
        <v/>
      </c>
      <c r="P343" t="str">
        <f>IFERROR(VLOOKUP(D343,PreparerInfo!A342:B354,2,FALSE),"")</f>
        <v/>
      </c>
      <c r="Q343" t="str">
        <f>IFERROR(VLOOKUP(E343,Source!A342:B350,2,FALSE),"")</f>
        <v/>
      </c>
    </row>
    <row r="344" spans="1:17" x14ac:dyDescent="0.3">
      <c r="A344" s="3">
        <v>2033691</v>
      </c>
      <c r="B344">
        <v>71410</v>
      </c>
      <c r="C344">
        <v>2</v>
      </c>
      <c r="D344" s="9">
        <v>102</v>
      </c>
      <c r="E344">
        <v>1007</v>
      </c>
      <c r="F344" s="1">
        <v>44006</v>
      </c>
      <c r="G344" t="s">
        <v>116</v>
      </c>
      <c r="H344" s="4">
        <v>311.81</v>
      </c>
      <c r="I344" s="4" t="s">
        <v>16</v>
      </c>
      <c r="J344" s="4">
        <v>311.81</v>
      </c>
      <c r="K344" t="str">
        <f>VLOOKUP($C344,Table1[#All],2,FALSE)</f>
        <v>HOTEL</v>
      </c>
      <c r="L344" t="str">
        <f>VLOOKUP($C344,Table1[#All],3,FALSE)</f>
        <v xml:space="preserve">Transactions related to guest rooms and overall hotel operations. Includes payroll for administrative staff, clerks and interns. </v>
      </c>
      <c r="M344" t="str">
        <f>IFERROR(VLOOKUP($B344,ChartOfAccounts!A343:B428,2,FALSE),"")</f>
        <v/>
      </c>
      <c r="N344" t="str">
        <f>IFERROR(VLOOKUP($B344,ChartOfAccounts!C343:D428,2,FALSE),"")</f>
        <v/>
      </c>
      <c r="O344" t="str">
        <f>IFERROR(VLOOKUP($B344,ChartOfAccounts!E343:F428,2,FALSE),"")</f>
        <v/>
      </c>
      <c r="P344" t="str">
        <f>IFERROR(VLOOKUP(D344,PreparerInfo!A343:B355,2,FALSE),"")</f>
        <v/>
      </c>
      <c r="Q344" t="str">
        <f>IFERROR(VLOOKUP(E344,Source!A343:B351,2,FALSE),"")</f>
        <v/>
      </c>
    </row>
    <row r="345" spans="1:17" x14ac:dyDescent="0.3">
      <c r="A345" s="3">
        <v>2033691</v>
      </c>
      <c r="B345">
        <v>11845</v>
      </c>
      <c r="C345">
        <v>2</v>
      </c>
      <c r="D345" s="9">
        <v>102</v>
      </c>
      <c r="E345">
        <v>1007</v>
      </c>
      <c r="F345" s="1">
        <v>44006</v>
      </c>
      <c r="G345" t="s">
        <v>116</v>
      </c>
      <c r="H345" s="4" t="s">
        <v>16</v>
      </c>
      <c r="I345" s="4">
        <v>-311.81</v>
      </c>
      <c r="J345" s="4">
        <v>-311.81</v>
      </c>
      <c r="K345" t="str">
        <f>VLOOKUP($C345,Table1[#All],2,FALSE)</f>
        <v>HOTEL</v>
      </c>
      <c r="L345" t="str">
        <f>VLOOKUP($C345,Table1[#All],3,FALSE)</f>
        <v xml:space="preserve">Transactions related to guest rooms and overall hotel operations. Includes payroll for administrative staff, clerks and interns. </v>
      </c>
      <c r="M345" t="str">
        <f>IFERROR(VLOOKUP($B345,ChartOfAccounts!A344:B429,2,FALSE),"")</f>
        <v/>
      </c>
      <c r="N345" t="str">
        <f>IFERROR(VLOOKUP($B345,ChartOfAccounts!C344:D429,2,FALSE),"")</f>
        <v/>
      </c>
      <c r="O345" t="str">
        <f>IFERROR(VLOOKUP($B345,ChartOfAccounts!E344:F429,2,FALSE),"")</f>
        <v/>
      </c>
      <c r="P345" t="str">
        <f>IFERROR(VLOOKUP(D345,PreparerInfo!A344:B356,2,FALSE),"")</f>
        <v/>
      </c>
      <c r="Q345" t="str">
        <f>IFERROR(VLOOKUP(E345,Source!A344:B352,2,FALSE),"")</f>
        <v/>
      </c>
    </row>
    <row r="346" spans="1:17" x14ac:dyDescent="0.3">
      <c r="A346" s="3">
        <v>2033692</v>
      </c>
      <c r="B346">
        <v>14260</v>
      </c>
      <c r="C346">
        <v>1</v>
      </c>
      <c r="D346" s="9">
        <v>102</v>
      </c>
      <c r="E346">
        <v>1002</v>
      </c>
      <c r="F346" s="1">
        <v>44006</v>
      </c>
      <c r="G346" t="s">
        <v>202</v>
      </c>
      <c r="H346" s="4">
        <v>357.88</v>
      </c>
      <c r="I346" s="4" t="s">
        <v>16</v>
      </c>
      <c r="J346" s="4">
        <v>357.88</v>
      </c>
      <c r="K346" t="str">
        <f>VLOOKUP($C346,Table1[#All],2,FALSE)</f>
        <v>FOOD SERVICE</v>
      </c>
      <c r="L346" t="str">
        <f>VLOOKUP($C346,Table1[#All],3,FALSE)</f>
        <v xml:space="preserve">Transactions related to food and beverage service. Includes all guest transactions in the hotel restaurants, catering-related transactions and food service payroll. </v>
      </c>
      <c r="M346" t="str">
        <f>IFERROR(VLOOKUP($B346,ChartOfAccounts!A345:B430,2,FALSE),"")</f>
        <v/>
      </c>
      <c r="N346" t="str">
        <f>IFERROR(VLOOKUP($B346,ChartOfAccounts!C345:D430,2,FALSE),"")</f>
        <v/>
      </c>
      <c r="O346" t="str">
        <f>IFERROR(VLOOKUP($B346,ChartOfAccounts!E345:F430,2,FALSE),"")</f>
        <v/>
      </c>
      <c r="P346" t="str">
        <f>IFERROR(VLOOKUP(D346,PreparerInfo!A345:B357,2,FALSE),"")</f>
        <v/>
      </c>
      <c r="Q346" t="str">
        <f>IFERROR(VLOOKUP(E346,Source!A345:B353,2,FALSE),"")</f>
        <v/>
      </c>
    </row>
    <row r="347" spans="1:17" x14ac:dyDescent="0.3">
      <c r="A347" s="3">
        <v>2033692</v>
      </c>
      <c r="B347">
        <v>11845</v>
      </c>
      <c r="C347">
        <v>1</v>
      </c>
      <c r="D347" s="9">
        <v>102</v>
      </c>
      <c r="E347">
        <v>1002</v>
      </c>
      <c r="F347" s="1">
        <v>44006</v>
      </c>
      <c r="G347" t="s">
        <v>202</v>
      </c>
      <c r="H347" s="4" t="s">
        <v>16</v>
      </c>
      <c r="I347" s="4">
        <v>-357.88</v>
      </c>
      <c r="J347" s="4">
        <v>-357.88</v>
      </c>
      <c r="K347" t="str">
        <f>VLOOKUP($C347,Table1[#All],2,FALSE)</f>
        <v>FOOD SERVICE</v>
      </c>
      <c r="L347" t="str">
        <f>VLOOKUP($C347,Table1[#All],3,FALSE)</f>
        <v xml:space="preserve">Transactions related to food and beverage service. Includes all guest transactions in the hotel restaurants, catering-related transactions and food service payroll. </v>
      </c>
      <c r="M347" t="str">
        <f>IFERROR(VLOOKUP($B347,ChartOfAccounts!A346:B431,2,FALSE),"")</f>
        <v/>
      </c>
      <c r="N347" t="str">
        <f>IFERROR(VLOOKUP($B347,ChartOfAccounts!C346:D431,2,FALSE),"")</f>
        <v/>
      </c>
      <c r="O347" t="str">
        <f>IFERROR(VLOOKUP($B347,ChartOfAccounts!E346:F431,2,FALSE),"")</f>
        <v/>
      </c>
      <c r="P347" t="str">
        <f>IFERROR(VLOOKUP(D347,PreparerInfo!A346:B358,2,FALSE),"")</f>
        <v/>
      </c>
      <c r="Q347" t="str">
        <f>IFERROR(VLOOKUP(E347,Source!A346:B354,2,FALSE),"")</f>
        <v/>
      </c>
    </row>
    <row r="348" spans="1:17" x14ac:dyDescent="0.3">
      <c r="A348" s="3">
        <v>2033693</v>
      </c>
      <c r="B348">
        <v>14260</v>
      </c>
      <c r="C348">
        <v>1</v>
      </c>
      <c r="D348" s="9">
        <v>102</v>
      </c>
      <c r="E348">
        <v>1002</v>
      </c>
      <c r="F348" s="1">
        <v>44006</v>
      </c>
      <c r="G348" t="s">
        <v>39</v>
      </c>
      <c r="H348" s="4">
        <v>379.88</v>
      </c>
      <c r="I348" s="4" t="s">
        <v>16</v>
      </c>
      <c r="J348" s="4">
        <v>379.88</v>
      </c>
      <c r="K348" t="str">
        <f>VLOOKUP($C348,Table1[#All],2,FALSE)</f>
        <v>FOOD SERVICE</v>
      </c>
      <c r="L348" t="str">
        <f>VLOOKUP($C348,Table1[#All],3,FALSE)</f>
        <v xml:space="preserve">Transactions related to food and beverage service. Includes all guest transactions in the hotel restaurants, catering-related transactions and food service payroll. </v>
      </c>
      <c r="M348" t="str">
        <f>IFERROR(VLOOKUP($B348,ChartOfAccounts!A347:B432,2,FALSE),"")</f>
        <v/>
      </c>
      <c r="N348" t="str">
        <f>IFERROR(VLOOKUP($B348,ChartOfAccounts!C347:D432,2,FALSE),"")</f>
        <v/>
      </c>
      <c r="O348" t="str">
        <f>IFERROR(VLOOKUP($B348,ChartOfAccounts!E347:F432,2,FALSE),"")</f>
        <v/>
      </c>
      <c r="P348" t="str">
        <f>IFERROR(VLOOKUP(D348,PreparerInfo!A347:B359,2,FALSE),"")</f>
        <v/>
      </c>
      <c r="Q348" t="str">
        <f>IFERROR(VLOOKUP(E348,Source!A347:B355,2,FALSE),"")</f>
        <v/>
      </c>
    </row>
    <row r="349" spans="1:17" x14ac:dyDescent="0.3">
      <c r="A349" s="3">
        <v>2033693</v>
      </c>
      <c r="B349">
        <v>11845</v>
      </c>
      <c r="C349">
        <v>1</v>
      </c>
      <c r="D349" s="9">
        <v>102</v>
      </c>
      <c r="E349">
        <v>1002</v>
      </c>
      <c r="F349" s="1">
        <v>44006</v>
      </c>
      <c r="G349" t="s">
        <v>39</v>
      </c>
      <c r="H349" s="4" t="s">
        <v>16</v>
      </c>
      <c r="I349" s="4">
        <v>-379.88</v>
      </c>
      <c r="J349" s="4">
        <v>-379.88</v>
      </c>
      <c r="K349" t="str">
        <f>VLOOKUP($C349,Table1[#All],2,FALSE)</f>
        <v>FOOD SERVICE</v>
      </c>
      <c r="L349" t="str">
        <f>VLOOKUP($C349,Table1[#All],3,FALSE)</f>
        <v xml:space="preserve">Transactions related to food and beverage service. Includes all guest transactions in the hotel restaurants, catering-related transactions and food service payroll. </v>
      </c>
      <c r="M349" t="str">
        <f>IFERROR(VLOOKUP($B349,ChartOfAccounts!A348:B433,2,FALSE),"")</f>
        <v/>
      </c>
      <c r="N349" t="str">
        <f>IFERROR(VLOOKUP($B349,ChartOfAccounts!C348:D433,2,FALSE),"")</f>
        <v/>
      </c>
      <c r="O349" t="str">
        <f>IFERROR(VLOOKUP($B349,ChartOfAccounts!E348:F433,2,FALSE),"")</f>
        <v/>
      </c>
      <c r="P349" t="str">
        <f>IFERROR(VLOOKUP(D349,PreparerInfo!A348:B360,2,FALSE),"")</f>
        <v/>
      </c>
      <c r="Q349" t="str">
        <f>IFERROR(VLOOKUP(E349,Source!A348:B356,2,FALSE),"")</f>
        <v/>
      </c>
    </row>
    <row r="350" spans="1:17" x14ac:dyDescent="0.3">
      <c r="A350" s="3">
        <v>2033694</v>
      </c>
      <c r="B350">
        <v>71400</v>
      </c>
      <c r="C350">
        <v>4</v>
      </c>
      <c r="D350" s="9">
        <v>101</v>
      </c>
      <c r="E350">
        <v>1002</v>
      </c>
      <c r="F350" s="1">
        <v>44006</v>
      </c>
      <c r="G350" t="s">
        <v>199</v>
      </c>
      <c r="H350" s="4">
        <v>384</v>
      </c>
      <c r="I350" s="4" t="s">
        <v>16</v>
      </c>
      <c r="J350" s="4">
        <v>384</v>
      </c>
      <c r="K350" t="str">
        <f>VLOOKUP($C350,Table1[#All],2,FALSE)</f>
        <v>HOUSEKEEPING</v>
      </c>
      <c r="L350" t="str">
        <f>VLOOKUP($C350,Table1[#All],3,FALSE)</f>
        <v xml:space="preserve">Transactions related to the Housekeeping Department. Primarily includes payroll for housekeepers and housekeeping supplies. </v>
      </c>
      <c r="M350" t="str">
        <f>IFERROR(VLOOKUP($B350,ChartOfAccounts!A349:B434,2,FALSE),"")</f>
        <v/>
      </c>
      <c r="N350" t="str">
        <f>IFERROR(VLOOKUP($B350,ChartOfAccounts!C349:D434,2,FALSE),"")</f>
        <v/>
      </c>
      <c r="O350" t="str">
        <f>IFERROR(VLOOKUP($B350,ChartOfAccounts!E349:F434,2,FALSE),"")</f>
        <v/>
      </c>
      <c r="P350" t="str">
        <f>IFERROR(VLOOKUP(D350,PreparerInfo!A349:B361,2,FALSE),"")</f>
        <v/>
      </c>
      <c r="Q350" t="str">
        <f>IFERROR(VLOOKUP(E350,Source!A349:B357,2,FALSE),"")</f>
        <v/>
      </c>
    </row>
    <row r="351" spans="1:17" x14ac:dyDescent="0.3">
      <c r="A351" s="3">
        <v>2033694</v>
      </c>
      <c r="B351">
        <v>11845</v>
      </c>
      <c r="C351">
        <v>4</v>
      </c>
      <c r="D351" s="9">
        <v>101</v>
      </c>
      <c r="E351">
        <v>1002</v>
      </c>
      <c r="F351" s="1">
        <v>44006</v>
      </c>
      <c r="G351" t="s">
        <v>199</v>
      </c>
      <c r="H351" s="4" t="s">
        <v>16</v>
      </c>
      <c r="I351" s="4">
        <v>-384</v>
      </c>
      <c r="J351" s="4">
        <v>-384</v>
      </c>
      <c r="K351" t="str">
        <f>VLOOKUP($C351,Table1[#All],2,FALSE)</f>
        <v>HOUSEKEEPING</v>
      </c>
      <c r="L351" t="str">
        <f>VLOOKUP($C351,Table1[#All],3,FALSE)</f>
        <v xml:space="preserve">Transactions related to the Housekeeping Department. Primarily includes payroll for housekeepers and housekeeping supplies. </v>
      </c>
      <c r="M351" t="str">
        <f>IFERROR(VLOOKUP($B351,ChartOfAccounts!A350:B435,2,FALSE),"")</f>
        <v/>
      </c>
      <c r="N351" t="str">
        <f>IFERROR(VLOOKUP($B351,ChartOfAccounts!C350:D435,2,FALSE),"")</f>
        <v/>
      </c>
      <c r="O351" t="str">
        <f>IFERROR(VLOOKUP($B351,ChartOfAccounts!E350:F435,2,FALSE),"")</f>
        <v/>
      </c>
      <c r="P351" t="str">
        <f>IFERROR(VLOOKUP(D351,PreparerInfo!A350:B362,2,FALSE),"")</f>
        <v/>
      </c>
      <c r="Q351" t="str">
        <f>IFERROR(VLOOKUP(E351,Source!A350:B358,2,FALSE),"")</f>
        <v/>
      </c>
    </row>
    <row r="352" spans="1:17" x14ac:dyDescent="0.3">
      <c r="A352" s="3">
        <v>2033695</v>
      </c>
      <c r="B352">
        <v>71400</v>
      </c>
      <c r="C352">
        <v>1</v>
      </c>
      <c r="D352" s="9">
        <v>101</v>
      </c>
      <c r="E352">
        <v>1007</v>
      </c>
      <c r="F352" s="1">
        <v>44006</v>
      </c>
      <c r="G352" t="s">
        <v>90</v>
      </c>
      <c r="H352" s="4">
        <v>442.88</v>
      </c>
      <c r="I352" s="4" t="s">
        <v>16</v>
      </c>
      <c r="J352" s="4">
        <v>442.88</v>
      </c>
      <c r="K352" t="str">
        <f>VLOOKUP($C352,Table1[#All],2,FALSE)</f>
        <v>FOOD SERVICE</v>
      </c>
      <c r="L352" t="str">
        <f>VLOOKUP($C352,Table1[#All],3,FALSE)</f>
        <v xml:space="preserve">Transactions related to food and beverage service. Includes all guest transactions in the hotel restaurants, catering-related transactions and food service payroll. </v>
      </c>
      <c r="M352" t="str">
        <f>IFERROR(VLOOKUP($B352,ChartOfAccounts!A351:B436,2,FALSE),"")</f>
        <v/>
      </c>
      <c r="N352" t="str">
        <f>IFERROR(VLOOKUP($B352,ChartOfAccounts!C351:D436,2,FALSE),"")</f>
        <v/>
      </c>
      <c r="O352" t="str">
        <f>IFERROR(VLOOKUP($B352,ChartOfAccounts!E351:F436,2,FALSE),"")</f>
        <v/>
      </c>
      <c r="P352" t="str">
        <f>IFERROR(VLOOKUP(D352,PreparerInfo!A351:B363,2,FALSE),"")</f>
        <v/>
      </c>
      <c r="Q352" t="str">
        <f>IFERROR(VLOOKUP(E352,Source!A351:B359,2,FALSE),"")</f>
        <v/>
      </c>
    </row>
    <row r="353" spans="1:17" x14ac:dyDescent="0.3">
      <c r="A353" s="3">
        <v>2033695</v>
      </c>
      <c r="B353">
        <v>11845</v>
      </c>
      <c r="C353">
        <v>1</v>
      </c>
      <c r="D353" s="9">
        <v>101</v>
      </c>
      <c r="E353">
        <v>1007</v>
      </c>
      <c r="F353" s="1">
        <v>44006</v>
      </c>
      <c r="G353" t="s">
        <v>90</v>
      </c>
      <c r="H353" s="4" t="s">
        <v>16</v>
      </c>
      <c r="I353" s="4">
        <v>-442.88</v>
      </c>
      <c r="J353" s="4">
        <v>-442.88</v>
      </c>
      <c r="K353" t="str">
        <f>VLOOKUP($C353,Table1[#All],2,FALSE)</f>
        <v>FOOD SERVICE</v>
      </c>
      <c r="L353" t="str">
        <f>VLOOKUP($C353,Table1[#All],3,FALSE)</f>
        <v xml:space="preserve">Transactions related to food and beverage service. Includes all guest transactions in the hotel restaurants, catering-related transactions and food service payroll. </v>
      </c>
      <c r="M353" t="str">
        <f>IFERROR(VLOOKUP($B353,ChartOfAccounts!A352:B437,2,FALSE),"")</f>
        <v/>
      </c>
      <c r="N353" t="str">
        <f>IFERROR(VLOOKUP($B353,ChartOfAccounts!C352:D437,2,FALSE),"")</f>
        <v/>
      </c>
      <c r="O353" t="str">
        <f>IFERROR(VLOOKUP($B353,ChartOfAccounts!E352:F437,2,FALSE),"")</f>
        <v/>
      </c>
      <c r="P353" t="str">
        <f>IFERROR(VLOOKUP(D353,PreparerInfo!A352:B364,2,FALSE),"")</f>
        <v/>
      </c>
      <c r="Q353" t="str">
        <f>IFERROR(VLOOKUP(E353,Source!A352:B360,2,FALSE),"")</f>
        <v/>
      </c>
    </row>
    <row r="354" spans="1:17" x14ac:dyDescent="0.3">
      <c r="A354" s="3">
        <v>2033696</v>
      </c>
      <c r="B354">
        <v>11845</v>
      </c>
      <c r="C354">
        <v>1</v>
      </c>
      <c r="D354" s="9">
        <v>102</v>
      </c>
      <c r="E354">
        <v>1003</v>
      </c>
      <c r="F354" s="1">
        <v>44006</v>
      </c>
      <c r="G354" t="s">
        <v>15</v>
      </c>
      <c r="H354" s="4">
        <v>490.03</v>
      </c>
      <c r="I354" s="4" t="s">
        <v>16</v>
      </c>
      <c r="J354" s="4">
        <v>490.03</v>
      </c>
      <c r="K354" t="str">
        <f>VLOOKUP($C354,Table1[#All],2,FALSE)</f>
        <v>FOOD SERVICE</v>
      </c>
      <c r="L354" t="str">
        <f>VLOOKUP($C354,Table1[#All],3,FALSE)</f>
        <v xml:space="preserve">Transactions related to food and beverage service. Includes all guest transactions in the hotel restaurants, catering-related transactions and food service payroll. </v>
      </c>
      <c r="M354" t="str">
        <f>IFERROR(VLOOKUP($B354,ChartOfAccounts!A353:B438,2,FALSE),"")</f>
        <v/>
      </c>
      <c r="N354" t="str">
        <f>IFERROR(VLOOKUP($B354,ChartOfAccounts!C353:D438,2,FALSE),"")</f>
        <v/>
      </c>
      <c r="O354" t="str">
        <f>IFERROR(VLOOKUP($B354,ChartOfAccounts!E353:F438,2,FALSE),"")</f>
        <v/>
      </c>
      <c r="P354" t="str">
        <f>IFERROR(VLOOKUP(D354,PreparerInfo!A353:B365,2,FALSE),"")</f>
        <v/>
      </c>
      <c r="Q354" t="str">
        <f>IFERROR(VLOOKUP(E354,Source!A353:B361,2,FALSE),"")</f>
        <v/>
      </c>
    </row>
    <row r="355" spans="1:17" x14ac:dyDescent="0.3">
      <c r="A355" s="3">
        <v>2033696</v>
      </c>
      <c r="B355">
        <v>43310</v>
      </c>
      <c r="C355">
        <v>1</v>
      </c>
      <c r="D355" s="9">
        <v>102</v>
      </c>
      <c r="E355">
        <v>1003</v>
      </c>
      <c r="F355" s="1">
        <v>44006</v>
      </c>
      <c r="G355" t="s">
        <v>15</v>
      </c>
      <c r="H355" s="4" t="s">
        <v>16</v>
      </c>
      <c r="I355" s="4">
        <v>-490.03</v>
      </c>
      <c r="J355" s="4">
        <v>-490.03</v>
      </c>
      <c r="K355" t="str">
        <f>VLOOKUP($C355,Table1[#All],2,FALSE)</f>
        <v>FOOD SERVICE</v>
      </c>
      <c r="L355" t="str">
        <f>VLOOKUP($C355,Table1[#All],3,FALSE)</f>
        <v xml:space="preserve">Transactions related to food and beverage service. Includes all guest transactions in the hotel restaurants, catering-related transactions and food service payroll. </v>
      </c>
      <c r="M355" t="str">
        <f>IFERROR(VLOOKUP($B355,ChartOfAccounts!A354:B439,2,FALSE),"")</f>
        <v/>
      </c>
      <c r="N355" t="str">
        <f>IFERROR(VLOOKUP($B355,ChartOfAccounts!C354:D439,2,FALSE),"")</f>
        <v/>
      </c>
      <c r="O355" t="str">
        <f>IFERROR(VLOOKUP($B355,ChartOfAccounts!E354:F439,2,FALSE),"")</f>
        <v/>
      </c>
      <c r="P355" t="str">
        <f>IFERROR(VLOOKUP(D355,PreparerInfo!A354:B366,2,FALSE),"")</f>
        <v/>
      </c>
      <c r="Q355" t="str">
        <f>IFERROR(VLOOKUP(E355,Source!A354:B362,2,FALSE),"")</f>
        <v/>
      </c>
    </row>
    <row r="356" spans="1:17" x14ac:dyDescent="0.3">
      <c r="A356" s="3">
        <v>2033697</v>
      </c>
      <c r="B356">
        <v>71400</v>
      </c>
      <c r="C356">
        <v>1</v>
      </c>
      <c r="D356" s="9">
        <v>101</v>
      </c>
      <c r="E356">
        <v>1007</v>
      </c>
      <c r="F356" s="1">
        <v>44006</v>
      </c>
      <c r="G356" t="s">
        <v>90</v>
      </c>
      <c r="H356" s="4">
        <v>521.12</v>
      </c>
      <c r="I356" s="4" t="s">
        <v>16</v>
      </c>
      <c r="J356" s="4">
        <v>521.12</v>
      </c>
      <c r="K356" t="str">
        <f>VLOOKUP($C356,Table1[#All],2,FALSE)</f>
        <v>FOOD SERVICE</v>
      </c>
      <c r="L356" t="str">
        <f>VLOOKUP($C356,Table1[#All],3,FALSE)</f>
        <v xml:space="preserve">Transactions related to food and beverage service. Includes all guest transactions in the hotel restaurants, catering-related transactions and food service payroll. </v>
      </c>
      <c r="M356" t="str">
        <f>IFERROR(VLOOKUP($B356,ChartOfAccounts!A355:B440,2,FALSE),"")</f>
        <v/>
      </c>
      <c r="N356" t="str">
        <f>IFERROR(VLOOKUP($B356,ChartOfAccounts!C355:D440,2,FALSE),"")</f>
        <v/>
      </c>
      <c r="O356" t="str">
        <f>IFERROR(VLOOKUP($B356,ChartOfAccounts!E355:F440,2,FALSE),"")</f>
        <v/>
      </c>
      <c r="P356" t="str">
        <f>IFERROR(VLOOKUP(D356,PreparerInfo!A355:B367,2,FALSE),"")</f>
        <v/>
      </c>
      <c r="Q356" t="str">
        <f>IFERROR(VLOOKUP(E356,Source!A355:B363,2,FALSE),"")</f>
        <v/>
      </c>
    </row>
    <row r="357" spans="1:17" x14ac:dyDescent="0.3">
      <c r="A357" s="3">
        <v>2033697</v>
      </c>
      <c r="B357">
        <v>11845</v>
      </c>
      <c r="C357">
        <v>1</v>
      </c>
      <c r="D357" s="9">
        <v>101</v>
      </c>
      <c r="E357">
        <v>1007</v>
      </c>
      <c r="F357" s="1">
        <v>44006</v>
      </c>
      <c r="G357" t="s">
        <v>90</v>
      </c>
      <c r="H357" s="4" t="s">
        <v>16</v>
      </c>
      <c r="I357" s="4">
        <v>-521.12</v>
      </c>
      <c r="J357" s="4">
        <v>-521.12</v>
      </c>
      <c r="K357" t="str">
        <f>VLOOKUP($C357,Table1[#All],2,FALSE)</f>
        <v>FOOD SERVICE</v>
      </c>
      <c r="L357" t="str">
        <f>VLOOKUP($C357,Table1[#All],3,FALSE)</f>
        <v xml:space="preserve">Transactions related to food and beverage service. Includes all guest transactions in the hotel restaurants, catering-related transactions and food service payroll. </v>
      </c>
      <c r="M357" t="str">
        <f>IFERROR(VLOOKUP($B357,ChartOfAccounts!A356:B441,2,FALSE),"")</f>
        <v/>
      </c>
      <c r="N357" t="str">
        <f>IFERROR(VLOOKUP($B357,ChartOfAccounts!C356:D441,2,FALSE),"")</f>
        <v/>
      </c>
      <c r="O357" t="str">
        <f>IFERROR(VLOOKUP($B357,ChartOfAccounts!E356:F441,2,FALSE),"")</f>
        <v/>
      </c>
      <c r="P357" t="str">
        <f>IFERROR(VLOOKUP(D357,PreparerInfo!A356:B368,2,FALSE),"")</f>
        <v/>
      </c>
      <c r="Q357" t="str">
        <f>IFERROR(VLOOKUP(E357,Source!A356:B364,2,FALSE),"")</f>
        <v/>
      </c>
    </row>
    <row r="358" spans="1:17" x14ac:dyDescent="0.3">
      <c r="A358" s="3">
        <v>2033698</v>
      </c>
      <c r="B358">
        <v>71400</v>
      </c>
      <c r="C358">
        <v>1</v>
      </c>
      <c r="D358" s="9">
        <v>101</v>
      </c>
      <c r="E358">
        <v>1007</v>
      </c>
      <c r="F358" s="1">
        <v>44006</v>
      </c>
      <c r="G358" t="s">
        <v>90</v>
      </c>
      <c r="H358" s="4">
        <v>685.36</v>
      </c>
      <c r="I358" s="4" t="s">
        <v>16</v>
      </c>
      <c r="J358" s="4">
        <v>685.36</v>
      </c>
      <c r="K358" t="str">
        <f>VLOOKUP($C358,Table1[#All],2,FALSE)</f>
        <v>FOOD SERVICE</v>
      </c>
      <c r="L358" t="str">
        <f>VLOOKUP($C358,Table1[#All],3,FALSE)</f>
        <v xml:space="preserve">Transactions related to food and beverage service. Includes all guest transactions in the hotel restaurants, catering-related transactions and food service payroll. </v>
      </c>
      <c r="M358" t="str">
        <f>IFERROR(VLOOKUP($B358,ChartOfAccounts!A357:B442,2,FALSE),"")</f>
        <v/>
      </c>
      <c r="N358" t="str">
        <f>IFERROR(VLOOKUP($B358,ChartOfAccounts!C357:D442,2,FALSE),"")</f>
        <v/>
      </c>
      <c r="O358" t="str">
        <f>IFERROR(VLOOKUP($B358,ChartOfAccounts!E357:F442,2,FALSE),"")</f>
        <v/>
      </c>
      <c r="P358" t="str">
        <f>IFERROR(VLOOKUP(D358,PreparerInfo!A357:B369,2,FALSE),"")</f>
        <v/>
      </c>
      <c r="Q358" t="str">
        <f>IFERROR(VLOOKUP(E358,Source!A357:B365,2,FALSE),"")</f>
        <v/>
      </c>
    </row>
    <row r="359" spans="1:17" x14ac:dyDescent="0.3">
      <c r="A359" s="3">
        <v>2033698</v>
      </c>
      <c r="B359">
        <v>11845</v>
      </c>
      <c r="C359">
        <v>1</v>
      </c>
      <c r="D359" s="9">
        <v>101</v>
      </c>
      <c r="E359">
        <v>1007</v>
      </c>
      <c r="F359" s="1">
        <v>44006</v>
      </c>
      <c r="G359" t="s">
        <v>90</v>
      </c>
      <c r="H359" s="4" t="s">
        <v>16</v>
      </c>
      <c r="I359" s="4">
        <v>-685.36</v>
      </c>
      <c r="J359" s="4">
        <v>-685.36</v>
      </c>
      <c r="K359" t="str">
        <f>VLOOKUP($C359,Table1[#All],2,FALSE)</f>
        <v>FOOD SERVICE</v>
      </c>
      <c r="L359" t="str">
        <f>VLOOKUP($C359,Table1[#All],3,FALSE)</f>
        <v xml:space="preserve">Transactions related to food and beverage service. Includes all guest transactions in the hotel restaurants, catering-related transactions and food service payroll. </v>
      </c>
      <c r="M359" t="str">
        <f>IFERROR(VLOOKUP($B359,ChartOfAccounts!A358:B443,2,FALSE),"")</f>
        <v/>
      </c>
      <c r="N359" t="str">
        <f>IFERROR(VLOOKUP($B359,ChartOfAccounts!C358:D443,2,FALSE),"")</f>
        <v/>
      </c>
      <c r="O359" t="str">
        <f>IFERROR(VLOOKUP($B359,ChartOfAccounts!E358:F443,2,FALSE),"")</f>
        <v/>
      </c>
      <c r="P359" t="str">
        <f>IFERROR(VLOOKUP(D359,PreparerInfo!A358:B370,2,FALSE),"")</f>
        <v/>
      </c>
      <c r="Q359" t="str">
        <f>IFERROR(VLOOKUP(E359,Source!A358:B366,2,FALSE),"")</f>
        <v/>
      </c>
    </row>
    <row r="360" spans="1:17" x14ac:dyDescent="0.3">
      <c r="A360" s="3">
        <v>2033699</v>
      </c>
      <c r="B360">
        <v>14250</v>
      </c>
      <c r="C360">
        <v>3</v>
      </c>
      <c r="D360" s="9">
        <v>101</v>
      </c>
      <c r="E360">
        <v>1007</v>
      </c>
      <c r="F360" s="1">
        <v>44006</v>
      </c>
      <c r="G360" t="s">
        <v>120</v>
      </c>
      <c r="H360" s="4">
        <v>759.61</v>
      </c>
      <c r="I360" s="4" t="s">
        <v>16</v>
      </c>
      <c r="J360" s="4">
        <v>759.61</v>
      </c>
      <c r="K360" t="str">
        <f>VLOOKUP($C360,Table1[#All],2,FALSE)</f>
        <v>HOTEL PANTRY</v>
      </c>
      <c r="L360" t="str">
        <f>VLOOKUP($C360,Table1[#All],3,FALSE)</f>
        <v>Transactions related to the hotel convenience store, including some food and beverage costs.</v>
      </c>
      <c r="M360" t="str">
        <f>IFERROR(VLOOKUP($B360,ChartOfAccounts!A359:B444,2,FALSE),"")</f>
        <v/>
      </c>
      <c r="N360" t="str">
        <f>IFERROR(VLOOKUP($B360,ChartOfAccounts!C359:D444,2,FALSE),"")</f>
        <v/>
      </c>
      <c r="O360" t="str">
        <f>IFERROR(VLOOKUP($B360,ChartOfAccounts!E359:F444,2,FALSE),"")</f>
        <v/>
      </c>
      <c r="P360" t="str">
        <f>IFERROR(VLOOKUP(D360,PreparerInfo!A359:B371,2,FALSE),"")</f>
        <v/>
      </c>
      <c r="Q360" t="str">
        <f>IFERROR(VLOOKUP(E360,Source!A359:B367,2,FALSE),"")</f>
        <v/>
      </c>
    </row>
    <row r="361" spans="1:17" x14ac:dyDescent="0.3">
      <c r="A361" s="3">
        <v>2033699</v>
      </c>
      <c r="B361">
        <v>11845</v>
      </c>
      <c r="C361">
        <v>3</v>
      </c>
      <c r="D361" s="9">
        <v>101</v>
      </c>
      <c r="E361">
        <v>1007</v>
      </c>
      <c r="F361" s="1">
        <v>44006</v>
      </c>
      <c r="G361" t="s">
        <v>120</v>
      </c>
      <c r="H361" s="4" t="s">
        <v>16</v>
      </c>
      <c r="I361" s="4">
        <v>-759.61</v>
      </c>
      <c r="J361" s="4">
        <v>-759.61</v>
      </c>
      <c r="K361" t="str">
        <f>VLOOKUP($C361,Table1[#All],2,FALSE)</f>
        <v>HOTEL PANTRY</v>
      </c>
      <c r="L361" t="str">
        <f>VLOOKUP($C361,Table1[#All],3,FALSE)</f>
        <v>Transactions related to the hotel convenience store, including some food and beverage costs.</v>
      </c>
      <c r="M361" t="str">
        <f>IFERROR(VLOOKUP($B361,ChartOfAccounts!A360:B445,2,FALSE),"")</f>
        <v/>
      </c>
      <c r="N361" t="str">
        <f>IFERROR(VLOOKUP($B361,ChartOfAccounts!C360:D445,2,FALSE),"")</f>
        <v/>
      </c>
      <c r="O361" t="str">
        <f>IFERROR(VLOOKUP($B361,ChartOfAccounts!E360:F445,2,FALSE),"")</f>
        <v/>
      </c>
      <c r="P361" t="str">
        <f>IFERROR(VLOOKUP(D361,PreparerInfo!A360:B372,2,FALSE),"")</f>
        <v/>
      </c>
      <c r="Q361" t="str">
        <f>IFERROR(VLOOKUP(E361,Source!A360:B368,2,FALSE),"")</f>
        <v/>
      </c>
    </row>
    <row r="362" spans="1:17" x14ac:dyDescent="0.3">
      <c r="A362" s="3">
        <v>2033700</v>
      </c>
      <c r="B362">
        <v>14260</v>
      </c>
      <c r="C362">
        <v>1</v>
      </c>
      <c r="D362" s="9">
        <v>102</v>
      </c>
      <c r="E362">
        <v>1002</v>
      </c>
      <c r="F362" s="1">
        <v>44006</v>
      </c>
      <c r="G362" t="s">
        <v>43</v>
      </c>
      <c r="H362" s="4">
        <v>794.16</v>
      </c>
      <c r="I362" s="4" t="s">
        <v>16</v>
      </c>
      <c r="J362" s="4">
        <v>794.16</v>
      </c>
      <c r="K362" t="str">
        <f>VLOOKUP($C362,Table1[#All],2,FALSE)</f>
        <v>FOOD SERVICE</v>
      </c>
      <c r="L362" t="str">
        <f>VLOOKUP($C362,Table1[#All],3,FALSE)</f>
        <v xml:space="preserve">Transactions related to food and beverage service. Includes all guest transactions in the hotel restaurants, catering-related transactions and food service payroll. </v>
      </c>
      <c r="M362" t="str">
        <f>IFERROR(VLOOKUP($B362,ChartOfAccounts!A361:B446,2,FALSE),"")</f>
        <v/>
      </c>
      <c r="N362" t="str">
        <f>IFERROR(VLOOKUP($B362,ChartOfAccounts!C361:D446,2,FALSE),"")</f>
        <v/>
      </c>
      <c r="O362" t="str">
        <f>IFERROR(VLOOKUP($B362,ChartOfAccounts!E361:F446,2,FALSE),"")</f>
        <v/>
      </c>
      <c r="P362" t="str">
        <f>IFERROR(VLOOKUP(D362,PreparerInfo!A361:B373,2,FALSE),"")</f>
        <v/>
      </c>
      <c r="Q362" t="str">
        <f>IFERROR(VLOOKUP(E362,Source!A361:B369,2,FALSE),"")</f>
        <v/>
      </c>
    </row>
    <row r="363" spans="1:17" x14ac:dyDescent="0.3">
      <c r="A363" s="3">
        <v>2033700</v>
      </c>
      <c r="B363">
        <v>11845</v>
      </c>
      <c r="C363">
        <v>1</v>
      </c>
      <c r="D363" s="9">
        <v>102</v>
      </c>
      <c r="E363">
        <v>1002</v>
      </c>
      <c r="F363" s="1">
        <v>44006</v>
      </c>
      <c r="G363" t="s">
        <v>43</v>
      </c>
      <c r="H363" s="4" t="s">
        <v>16</v>
      </c>
      <c r="I363" s="4">
        <v>-794.16</v>
      </c>
      <c r="J363" s="4">
        <v>-794.16</v>
      </c>
      <c r="K363" t="str">
        <f>VLOOKUP($C363,Table1[#All],2,FALSE)</f>
        <v>FOOD SERVICE</v>
      </c>
      <c r="L363" t="str">
        <f>VLOOKUP($C363,Table1[#All],3,FALSE)</f>
        <v xml:space="preserve">Transactions related to food and beverage service. Includes all guest transactions in the hotel restaurants, catering-related transactions and food service payroll. </v>
      </c>
      <c r="M363" t="str">
        <f>IFERROR(VLOOKUP($B363,ChartOfAccounts!A362:B447,2,FALSE),"")</f>
        <v/>
      </c>
      <c r="N363" t="str">
        <f>IFERROR(VLOOKUP($B363,ChartOfAccounts!C362:D447,2,FALSE),"")</f>
        <v/>
      </c>
      <c r="O363" t="str">
        <f>IFERROR(VLOOKUP($B363,ChartOfAccounts!E362:F447,2,FALSE),"")</f>
        <v/>
      </c>
      <c r="P363" t="str">
        <f>IFERROR(VLOOKUP(D363,PreparerInfo!A362:B374,2,FALSE),"")</f>
        <v/>
      </c>
      <c r="Q363" t="str">
        <f>IFERROR(VLOOKUP(E363,Source!A362:B370,2,FALSE),"")</f>
        <v/>
      </c>
    </row>
    <row r="364" spans="1:17" x14ac:dyDescent="0.3">
      <c r="A364" s="3">
        <v>2033701</v>
      </c>
      <c r="B364">
        <v>14260</v>
      </c>
      <c r="C364">
        <v>1</v>
      </c>
      <c r="D364" s="9">
        <v>102</v>
      </c>
      <c r="E364">
        <v>1002</v>
      </c>
      <c r="F364" s="1">
        <v>44006</v>
      </c>
      <c r="G364" t="s">
        <v>39</v>
      </c>
      <c r="H364" s="4">
        <v>1119.04</v>
      </c>
      <c r="I364" s="4" t="s">
        <v>16</v>
      </c>
      <c r="J364" s="4">
        <v>1119.04</v>
      </c>
      <c r="K364" t="str">
        <f>VLOOKUP($C364,Table1[#All],2,FALSE)</f>
        <v>FOOD SERVICE</v>
      </c>
      <c r="L364" t="str">
        <f>VLOOKUP($C364,Table1[#All],3,FALSE)</f>
        <v xml:space="preserve">Transactions related to food and beverage service. Includes all guest transactions in the hotel restaurants, catering-related transactions and food service payroll. </v>
      </c>
      <c r="M364" t="str">
        <f>IFERROR(VLOOKUP($B364,ChartOfAccounts!A363:B448,2,FALSE),"")</f>
        <v/>
      </c>
      <c r="N364" t="str">
        <f>IFERROR(VLOOKUP($B364,ChartOfAccounts!C363:D448,2,FALSE),"")</f>
        <v/>
      </c>
      <c r="O364" t="str">
        <f>IFERROR(VLOOKUP($B364,ChartOfAccounts!E363:F448,2,FALSE),"")</f>
        <v/>
      </c>
      <c r="P364" t="str">
        <f>IFERROR(VLOOKUP(D364,PreparerInfo!A363:B375,2,FALSE),"")</f>
        <v/>
      </c>
      <c r="Q364" t="str">
        <f>IFERROR(VLOOKUP(E364,Source!A363:B371,2,FALSE),"")</f>
        <v/>
      </c>
    </row>
    <row r="365" spans="1:17" x14ac:dyDescent="0.3">
      <c r="A365" s="3">
        <v>2033701</v>
      </c>
      <c r="B365">
        <v>11845</v>
      </c>
      <c r="C365">
        <v>1</v>
      </c>
      <c r="D365" s="9">
        <v>102</v>
      </c>
      <c r="E365">
        <v>1002</v>
      </c>
      <c r="F365" s="1">
        <v>44006</v>
      </c>
      <c r="G365" t="s">
        <v>39</v>
      </c>
      <c r="H365" s="4" t="s">
        <v>16</v>
      </c>
      <c r="I365" s="4">
        <v>-1119.04</v>
      </c>
      <c r="J365" s="4">
        <v>-1119.04</v>
      </c>
      <c r="K365" t="str">
        <f>VLOOKUP($C365,Table1[#All],2,FALSE)</f>
        <v>FOOD SERVICE</v>
      </c>
      <c r="L365" t="str">
        <f>VLOOKUP($C365,Table1[#All],3,FALSE)</f>
        <v xml:space="preserve">Transactions related to food and beverage service. Includes all guest transactions in the hotel restaurants, catering-related transactions and food service payroll. </v>
      </c>
      <c r="M365" t="str">
        <f>IFERROR(VLOOKUP($B365,ChartOfAccounts!A364:B449,2,FALSE),"")</f>
        <v/>
      </c>
      <c r="N365" t="str">
        <f>IFERROR(VLOOKUP($B365,ChartOfAccounts!C364:D449,2,FALSE),"")</f>
        <v/>
      </c>
      <c r="O365" t="str">
        <f>IFERROR(VLOOKUP($B365,ChartOfAccounts!E364:F449,2,FALSE),"")</f>
        <v/>
      </c>
      <c r="P365" t="str">
        <f>IFERROR(VLOOKUP(D365,PreparerInfo!A364:B376,2,FALSE),"")</f>
        <v/>
      </c>
      <c r="Q365" t="str">
        <f>IFERROR(VLOOKUP(E365,Source!A364:B372,2,FALSE),"")</f>
        <v/>
      </c>
    </row>
    <row r="366" spans="1:17" x14ac:dyDescent="0.3">
      <c r="A366" s="3">
        <v>2033702</v>
      </c>
      <c r="B366">
        <v>71400</v>
      </c>
      <c r="C366">
        <v>1</v>
      </c>
      <c r="D366" s="9">
        <v>101</v>
      </c>
      <c r="E366">
        <v>1007</v>
      </c>
      <c r="F366" s="1">
        <v>44006</v>
      </c>
      <c r="G366" t="s">
        <v>90</v>
      </c>
      <c r="H366" s="4">
        <v>1319.55</v>
      </c>
      <c r="I366" s="4" t="s">
        <v>16</v>
      </c>
      <c r="J366" s="4">
        <v>1319.55</v>
      </c>
      <c r="K366" t="str">
        <f>VLOOKUP($C366,Table1[#All],2,FALSE)</f>
        <v>FOOD SERVICE</v>
      </c>
      <c r="L366" t="str">
        <f>VLOOKUP($C366,Table1[#All],3,FALSE)</f>
        <v xml:space="preserve">Transactions related to food and beverage service. Includes all guest transactions in the hotel restaurants, catering-related transactions and food service payroll. </v>
      </c>
      <c r="M366" t="str">
        <f>IFERROR(VLOOKUP($B366,ChartOfAccounts!A365:B450,2,FALSE),"")</f>
        <v/>
      </c>
      <c r="N366" t="str">
        <f>IFERROR(VLOOKUP($B366,ChartOfAccounts!C365:D450,2,FALSE),"")</f>
        <v/>
      </c>
      <c r="O366" t="str">
        <f>IFERROR(VLOOKUP($B366,ChartOfAccounts!E365:F450,2,FALSE),"")</f>
        <v/>
      </c>
      <c r="P366" t="str">
        <f>IFERROR(VLOOKUP(D366,PreparerInfo!A365:B377,2,FALSE),"")</f>
        <v/>
      </c>
      <c r="Q366" t="str">
        <f>IFERROR(VLOOKUP(E366,Source!A365:B373,2,FALSE),"")</f>
        <v/>
      </c>
    </row>
    <row r="367" spans="1:17" x14ac:dyDescent="0.3">
      <c r="A367" s="3">
        <v>2033702</v>
      </c>
      <c r="B367">
        <v>11845</v>
      </c>
      <c r="C367">
        <v>1</v>
      </c>
      <c r="D367" s="9">
        <v>101</v>
      </c>
      <c r="E367">
        <v>1007</v>
      </c>
      <c r="F367" s="1">
        <v>44006</v>
      </c>
      <c r="G367" t="s">
        <v>90</v>
      </c>
      <c r="H367" s="4" t="s">
        <v>16</v>
      </c>
      <c r="I367" s="4">
        <v>-1319.55</v>
      </c>
      <c r="J367" s="4">
        <v>-1319.55</v>
      </c>
      <c r="K367" t="str">
        <f>VLOOKUP($C367,Table1[#All],2,FALSE)</f>
        <v>FOOD SERVICE</v>
      </c>
      <c r="L367" t="str">
        <f>VLOOKUP($C367,Table1[#All],3,FALSE)</f>
        <v xml:space="preserve">Transactions related to food and beverage service. Includes all guest transactions in the hotel restaurants, catering-related transactions and food service payroll. </v>
      </c>
      <c r="M367" t="str">
        <f>IFERROR(VLOOKUP($B367,ChartOfAccounts!A366:B451,2,FALSE),"")</f>
        <v/>
      </c>
      <c r="N367" t="str">
        <f>IFERROR(VLOOKUP($B367,ChartOfAccounts!C366:D451,2,FALSE),"")</f>
        <v/>
      </c>
      <c r="O367" t="str">
        <f>IFERROR(VLOOKUP($B367,ChartOfAccounts!E366:F451,2,FALSE),"")</f>
        <v/>
      </c>
      <c r="P367" t="str">
        <f>IFERROR(VLOOKUP(D367,PreparerInfo!A366:B378,2,FALSE),"")</f>
        <v/>
      </c>
      <c r="Q367" t="str">
        <f>IFERROR(VLOOKUP(E367,Source!A366:B374,2,FALSE),"")</f>
        <v/>
      </c>
    </row>
    <row r="368" spans="1:17" x14ac:dyDescent="0.3">
      <c r="A368" s="3">
        <v>2033703</v>
      </c>
      <c r="B368">
        <v>11845</v>
      </c>
      <c r="C368">
        <v>2</v>
      </c>
      <c r="D368" s="9">
        <v>104</v>
      </c>
      <c r="E368">
        <v>1003</v>
      </c>
      <c r="F368" s="1">
        <v>44006</v>
      </c>
      <c r="G368" t="s">
        <v>15</v>
      </c>
      <c r="H368" s="4">
        <v>1700</v>
      </c>
      <c r="I368" s="4" t="s">
        <v>16</v>
      </c>
      <c r="J368" s="4">
        <v>1700</v>
      </c>
      <c r="K368" t="str">
        <f>VLOOKUP($C368,Table1[#All],2,FALSE)</f>
        <v>HOTEL</v>
      </c>
      <c r="L368" t="str">
        <f>VLOOKUP($C368,Table1[#All],3,FALSE)</f>
        <v xml:space="preserve">Transactions related to guest rooms and overall hotel operations. Includes payroll for administrative staff, clerks and interns. </v>
      </c>
      <c r="M368" t="str">
        <f>IFERROR(VLOOKUP($B368,ChartOfAccounts!A367:B452,2,FALSE),"")</f>
        <v/>
      </c>
      <c r="N368" t="str">
        <f>IFERROR(VLOOKUP($B368,ChartOfAccounts!C367:D452,2,FALSE),"")</f>
        <v/>
      </c>
      <c r="O368" t="str">
        <f>IFERROR(VLOOKUP($B368,ChartOfAccounts!E367:F452,2,FALSE),"")</f>
        <v/>
      </c>
      <c r="P368" t="str">
        <f>IFERROR(VLOOKUP(D368,PreparerInfo!A367:B379,2,FALSE),"")</f>
        <v/>
      </c>
      <c r="Q368" t="str">
        <f>IFERROR(VLOOKUP(E368,Source!A367:B375,2,FALSE),"")</f>
        <v/>
      </c>
    </row>
    <row r="369" spans="1:17" x14ac:dyDescent="0.3">
      <c r="A369" s="3">
        <v>2033703</v>
      </c>
      <c r="B369">
        <v>43180</v>
      </c>
      <c r="C369">
        <v>2</v>
      </c>
      <c r="D369" s="9">
        <v>104</v>
      </c>
      <c r="E369">
        <v>1003</v>
      </c>
      <c r="F369" s="1">
        <v>44006</v>
      </c>
      <c r="G369" t="s">
        <v>15</v>
      </c>
      <c r="H369" s="4" t="s">
        <v>16</v>
      </c>
      <c r="I369" s="4">
        <v>-1700</v>
      </c>
      <c r="J369" s="4">
        <v>-1700</v>
      </c>
      <c r="K369" t="str">
        <f>VLOOKUP($C369,Table1[#All],2,FALSE)</f>
        <v>HOTEL</v>
      </c>
      <c r="L369" t="str">
        <f>VLOOKUP($C369,Table1[#All],3,FALSE)</f>
        <v xml:space="preserve">Transactions related to guest rooms and overall hotel operations. Includes payroll for administrative staff, clerks and interns. </v>
      </c>
      <c r="M369" t="str">
        <f>IFERROR(VLOOKUP($B369,ChartOfAccounts!A368:B453,2,FALSE),"")</f>
        <v/>
      </c>
      <c r="N369" t="str">
        <f>IFERROR(VLOOKUP($B369,ChartOfAccounts!C368:D453,2,FALSE),"")</f>
        <v/>
      </c>
      <c r="O369" t="str">
        <f>IFERROR(VLOOKUP($B369,ChartOfAccounts!E368:F453,2,FALSE),"")</f>
        <v/>
      </c>
      <c r="P369" t="str">
        <f>IFERROR(VLOOKUP(D369,PreparerInfo!A368:B380,2,FALSE),"")</f>
        <v/>
      </c>
      <c r="Q369" t="str">
        <f>IFERROR(VLOOKUP(E369,Source!A368:B376,2,FALSE),"")</f>
        <v/>
      </c>
    </row>
    <row r="370" spans="1:17" x14ac:dyDescent="0.3">
      <c r="A370" s="3">
        <v>2033704</v>
      </c>
      <c r="B370">
        <v>14260</v>
      </c>
      <c r="C370">
        <v>1</v>
      </c>
      <c r="D370" s="9">
        <v>101</v>
      </c>
      <c r="E370">
        <v>1002</v>
      </c>
      <c r="F370" s="1">
        <v>44006</v>
      </c>
      <c r="G370" t="s">
        <v>38</v>
      </c>
      <c r="H370" s="4">
        <v>1817.47</v>
      </c>
      <c r="I370" s="4" t="s">
        <v>16</v>
      </c>
      <c r="J370" s="4">
        <v>1817.47</v>
      </c>
      <c r="K370" t="str">
        <f>VLOOKUP($C370,Table1[#All],2,FALSE)</f>
        <v>FOOD SERVICE</v>
      </c>
      <c r="L370" t="str">
        <f>VLOOKUP($C370,Table1[#All],3,FALSE)</f>
        <v xml:space="preserve">Transactions related to food and beverage service. Includes all guest transactions in the hotel restaurants, catering-related transactions and food service payroll. </v>
      </c>
      <c r="M370" t="str">
        <f>IFERROR(VLOOKUP($B370,ChartOfAccounts!A369:B454,2,FALSE),"")</f>
        <v/>
      </c>
      <c r="N370" t="str">
        <f>IFERROR(VLOOKUP($B370,ChartOfAccounts!C369:D454,2,FALSE),"")</f>
        <v/>
      </c>
      <c r="O370" t="str">
        <f>IFERROR(VLOOKUP($B370,ChartOfAccounts!E369:F454,2,FALSE),"")</f>
        <v/>
      </c>
      <c r="P370" t="str">
        <f>IFERROR(VLOOKUP(D370,PreparerInfo!A369:B381,2,FALSE),"")</f>
        <v/>
      </c>
      <c r="Q370" t="str">
        <f>IFERROR(VLOOKUP(E370,Source!A369:B377,2,FALSE),"")</f>
        <v/>
      </c>
    </row>
    <row r="371" spans="1:17" x14ac:dyDescent="0.3">
      <c r="A371" s="3">
        <v>2033704</v>
      </c>
      <c r="B371">
        <v>11845</v>
      </c>
      <c r="C371">
        <v>1</v>
      </c>
      <c r="D371" s="9">
        <v>101</v>
      </c>
      <c r="E371">
        <v>1002</v>
      </c>
      <c r="F371" s="1">
        <v>44006</v>
      </c>
      <c r="G371" t="s">
        <v>38</v>
      </c>
      <c r="H371" s="4" t="s">
        <v>16</v>
      </c>
      <c r="I371" s="4">
        <v>-1817.47</v>
      </c>
      <c r="J371" s="4">
        <v>-1817.47</v>
      </c>
      <c r="K371" t="str">
        <f>VLOOKUP($C371,Table1[#All],2,FALSE)</f>
        <v>FOOD SERVICE</v>
      </c>
      <c r="L371" t="str">
        <f>VLOOKUP($C371,Table1[#All],3,FALSE)</f>
        <v xml:space="preserve">Transactions related to food and beverage service. Includes all guest transactions in the hotel restaurants, catering-related transactions and food service payroll. </v>
      </c>
      <c r="M371" t="str">
        <f>IFERROR(VLOOKUP($B371,ChartOfAccounts!A370:B455,2,FALSE),"")</f>
        <v/>
      </c>
      <c r="N371" t="str">
        <f>IFERROR(VLOOKUP($B371,ChartOfAccounts!C370:D455,2,FALSE),"")</f>
        <v/>
      </c>
      <c r="O371" t="str">
        <f>IFERROR(VLOOKUP($B371,ChartOfAccounts!E370:F455,2,FALSE),"")</f>
        <v/>
      </c>
      <c r="P371" t="str">
        <f>IFERROR(VLOOKUP(D371,PreparerInfo!A370:B382,2,FALSE),"")</f>
        <v/>
      </c>
      <c r="Q371" t="str">
        <f>IFERROR(VLOOKUP(E371,Source!A370:B378,2,FALSE),"")</f>
        <v/>
      </c>
    </row>
    <row r="372" spans="1:17" x14ac:dyDescent="0.3">
      <c r="A372" s="3">
        <v>2033705</v>
      </c>
      <c r="B372">
        <v>71400</v>
      </c>
      <c r="C372">
        <v>6</v>
      </c>
      <c r="D372" s="9">
        <v>101</v>
      </c>
      <c r="E372">
        <v>1007</v>
      </c>
      <c r="F372" s="1">
        <v>44006</v>
      </c>
      <c r="G372" t="s">
        <v>175</v>
      </c>
      <c r="H372" s="4">
        <v>1995.4</v>
      </c>
      <c r="I372" s="4" t="s">
        <v>16</v>
      </c>
      <c r="J372" s="4">
        <v>1995.4</v>
      </c>
      <c r="K372" t="str">
        <f>VLOOKUP($C372,Table1[#All],2,FALSE)</f>
        <v>MAINTENANCE</v>
      </c>
      <c r="L372" t="str">
        <f>VLOOKUP($C372,Table1[#All],3,FALSE)</f>
        <v>Transactions related to the hotel Maintenance Department. Primarily includes payroll for maintenance, grounds keepers and related supplies.</v>
      </c>
      <c r="M372" t="str">
        <f>IFERROR(VLOOKUP($B372,ChartOfAccounts!A371:B456,2,FALSE),"")</f>
        <v/>
      </c>
      <c r="N372" t="str">
        <f>IFERROR(VLOOKUP($B372,ChartOfAccounts!C371:D456,2,FALSE),"")</f>
        <v/>
      </c>
      <c r="O372" t="str">
        <f>IFERROR(VLOOKUP($B372,ChartOfAccounts!E371:F456,2,FALSE),"")</f>
        <v/>
      </c>
      <c r="P372" t="str">
        <f>IFERROR(VLOOKUP(D372,PreparerInfo!A371:B383,2,FALSE),"")</f>
        <v/>
      </c>
      <c r="Q372" t="str">
        <f>IFERROR(VLOOKUP(E372,Source!A371:B379,2,FALSE),"")</f>
        <v/>
      </c>
    </row>
    <row r="373" spans="1:17" x14ac:dyDescent="0.3">
      <c r="A373" s="3">
        <v>2033705</v>
      </c>
      <c r="B373">
        <v>11845</v>
      </c>
      <c r="C373">
        <v>6</v>
      </c>
      <c r="D373" s="9">
        <v>101</v>
      </c>
      <c r="E373">
        <v>1007</v>
      </c>
      <c r="F373" s="1">
        <v>44006</v>
      </c>
      <c r="G373" t="s">
        <v>175</v>
      </c>
      <c r="H373" s="4" t="s">
        <v>16</v>
      </c>
      <c r="I373" s="4">
        <v>-1995.4</v>
      </c>
      <c r="J373" s="4">
        <v>-1995.4</v>
      </c>
      <c r="K373" t="str">
        <f>VLOOKUP($C373,Table1[#All],2,FALSE)</f>
        <v>MAINTENANCE</v>
      </c>
      <c r="L373" t="str">
        <f>VLOOKUP($C373,Table1[#All],3,FALSE)</f>
        <v>Transactions related to the hotel Maintenance Department. Primarily includes payroll for maintenance, grounds keepers and related supplies.</v>
      </c>
      <c r="M373" t="str">
        <f>IFERROR(VLOOKUP($B373,ChartOfAccounts!A372:B457,2,FALSE),"")</f>
        <v/>
      </c>
      <c r="N373" t="str">
        <f>IFERROR(VLOOKUP($B373,ChartOfAccounts!C372:D457,2,FALSE),"")</f>
        <v/>
      </c>
      <c r="O373" t="str">
        <f>IFERROR(VLOOKUP($B373,ChartOfAccounts!E372:F457,2,FALSE),"")</f>
        <v/>
      </c>
      <c r="P373" t="str">
        <f>IFERROR(VLOOKUP(D373,PreparerInfo!A372:B384,2,FALSE),"")</f>
        <v/>
      </c>
      <c r="Q373" t="str">
        <f>IFERROR(VLOOKUP(E373,Source!A372:B380,2,FALSE),"")</f>
        <v/>
      </c>
    </row>
    <row r="374" spans="1:17" x14ac:dyDescent="0.3">
      <c r="A374" s="3">
        <v>2033706</v>
      </c>
      <c r="B374">
        <v>76030</v>
      </c>
      <c r="C374">
        <v>2</v>
      </c>
      <c r="D374" s="9">
        <v>101</v>
      </c>
      <c r="E374">
        <v>1002</v>
      </c>
      <c r="F374" s="1">
        <v>44006</v>
      </c>
      <c r="G374" t="s">
        <v>196</v>
      </c>
      <c r="H374" s="4">
        <v>2152.38</v>
      </c>
      <c r="I374" s="4" t="s">
        <v>16</v>
      </c>
      <c r="J374" s="4">
        <v>2152.38</v>
      </c>
      <c r="K374" t="str">
        <f>VLOOKUP($C374,Table1[#All],2,FALSE)</f>
        <v>HOTEL</v>
      </c>
      <c r="L374" t="str">
        <f>VLOOKUP($C374,Table1[#All],3,FALSE)</f>
        <v xml:space="preserve">Transactions related to guest rooms and overall hotel operations. Includes payroll for administrative staff, clerks and interns. </v>
      </c>
      <c r="M374" t="str">
        <f>IFERROR(VLOOKUP($B374,ChartOfAccounts!A373:B458,2,FALSE),"")</f>
        <v/>
      </c>
      <c r="N374" t="str">
        <f>IFERROR(VLOOKUP($B374,ChartOfAccounts!C373:D458,2,FALSE),"")</f>
        <v/>
      </c>
      <c r="O374" t="str">
        <f>IFERROR(VLOOKUP($B374,ChartOfAccounts!E373:F458,2,FALSE),"")</f>
        <v/>
      </c>
      <c r="P374" t="str">
        <f>IFERROR(VLOOKUP(D374,PreparerInfo!A373:B385,2,FALSE),"")</f>
        <v/>
      </c>
      <c r="Q374" t="str">
        <f>IFERROR(VLOOKUP(E374,Source!A373:B381,2,FALSE),"")</f>
        <v/>
      </c>
    </row>
    <row r="375" spans="1:17" x14ac:dyDescent="0.3">
      <c r="A375" s="3">
        <v>2033706</v>
      </c>
      <c r="B375">
        <v>11845</v>
      </c>
      <c r="C375">
        <v>2</v>
      </c>
      <c r="D375" s="9">
        <v>101</v>
      </c>
      <c r="E375">
        <v>1002</v>
      </c>
      <c r="F375" s="1">
        <v>44006</v>
      </c>
      <c r="G375" t="s">
        <v>196</v>
      </c>
      <c r="H375" s="4" t="s">
        <v>16</v>
      </c>
      <c r="I375" s="4">
        <v>-2152.38</v>
      </c>
      <c r="J375" s="4">
        <v>-2152.38</v>
      </c>
      <c r="K375" t="str">
        <f>VLOOKUP($C375,Table1[#All],2,FALSE)</f>
        <v>HOTEL</v>
      </c>
      <c r="L375" t="str">
        <f>VLOOKUP($C375,Table1[#All],3,FALSE)</f>
        <v xml:space="preserve">Transactions related to guest rooms and overall hotel operations. Includes payroll for administrative staff, clerks and interns. </v>
      </c>
      <c r="M375" t="str">
        <f>IFERROR(VLOOKUP($B375,ChartOfAccounts!A374:B459,2,FALSE),"")</f>
        <v/>
      </c>
      <c r="N375" t="str">
        <f>IFERROR(VLOOKUP($B375,ChartOfAccounts!C374:D459,2,FALSE),"")</f>
        <v/>
      </c>
      <c r="O375" t="str">
        <f>IFERROR(VLOOKUP($B375,ChartOfAccounts!E374:F459,2,FALSE),"")</f>
        <v/>
      </c>
      <c r="P375" t="str">
        <f>IFERROR(VLOOKUP(D375,PreparerInfo!A374:B386,2,FALSE),"")</f>
        <v/>
      </c>
      <c r="Q375" t="str">
        <f>IFERROR(VLOOKUP(E375,Source!A374:B382,2,FALSE),"")</f>
        <v/>
      </c>
    </row>
    <row r="376" spans="1:17" x14ac:dyDescent="0.3">
      <c r="A376" s="3">
        <v>2033707</v>
      </c>
      <c r="B376">
        <v>14260</v>
      </c>
      <c r="C376">
        <v>1</v>
      </c>
      <c r="D376" s="9">
        <v>102</v>
      </c>
      <c r="E376">
        <v>1002</v>
      </c>
      <c r="F376" s="1">
        <v>44006</v>
      </c>
      <c r="G376" t="s">
        <v>214</v>
      </c>
      <c r="H376" s="4">
        <v>2366.64</v>
      </c>
      <c r="I376" s="4" t="s">
        <v>16</v>
      </c>
      <c r="J376" s="4">
        <v>2366.64</v>
      </c>
      <c r="K376" t="str">
        <f>VLOOKUP($C376,Table1[#All],2,FALSE)</f>
        <v>FOOD SERVICE</v>
      </c>
      <c r="L376" t="str">
        <f>VLOOKUP($C376,Table1[#All],3,FALSE)</f>
        <v xml:space="preserve">Transactions related to food and beverage service. Includes all guest transactions in the hotel restaurants, catering-related transactions and food service payroll. </v>
      </c>
      <c r="M376" t="str">
        <f>IFERROR(VLOOKUP($B376,ChartOfAccounts!A375:B460,2,FALSE),"")</f>
        <v/>
      </c>
      <c r="N376" t="str">
        <f>IFERROR(VLOOKUP($B376,ChartOfAccounts!C375:D460,2,FALSE),"")</f>
        <v/>
      </c>
      <c r="O376" t="str">
        <f>IFERROR(VLOOKUP($B376,ChartOfAccounts!E375:F460,2,FALSE),"")</f>
        <v/>
      </c>
      <c r="P376" t="str">
        <f>IFERROR(VLOOKUP(D376,PreparerInfo!A375:B387,2,FALSE),"")</f>
        <v/>
      </c>
      <c r="Q376" t="str">
        <f>IFERROR(VLOOKUP(E376,Source!A375:B383,2,FALSE),"")</f>
        <v/>
      </c>
    </row>
    <row r="377" spans="1:17" x14ac:dyDescent="0.3">
      <c r="A377" s="3">
        <v>2033707</v>
      </c>
      <c r="B377">
        <v>11845</v>
      </c>
      <c r="C377">
        <v>1</v>
      </c>
      <c r="D377" s="9">
        <v>102</v>
      </c>
      <c r="E377">
        <v>1002</v>
      </c>
      <c r="F377" s="1">
        <v>44006</v>
      </c>
      <c r="G377" t="s">
        <v>214</v>
      </c>
      <c r="H377" s="4" t="s">
        <v>16</v>
      </c>
      <c r="I377" s="4">
        <v>-2366.64</v>
      </c>
      <c r="J377" s="4">
        <v>-2366.64</v>
      </c>
      <c r="K377" t="str">
        <f>VLOOKUP($C377,Table1[#All],2,FALSE)</f>
        <v>FOOD SERVICE</v>
      </c>
      <c r="L377" t="str">
        <f>VLOOKUP($C377,Table1[#All],3,FALSE)</f>
        <v xml:space="preserve">Transactions related to food and beverage service. Includes all guest transactions in the hotel restaurants, catering-related transactions and food service payroll. </v>
      </c>
      <c r="M377" t="str">
        <f>IFERROR(VLOOKUP($B377,ChartOfAccounts!A376:B461,2,FALSE),"")</f>
        <v/>
      </c>
      <c r="N377" t="str">
        <f>IFERROR(VLOOKUP($B377,ChartOfAccounts!C376:D461,2,FALSE),"")</f>
        <v/>
      </c>
      <c r="O377" t="str">
        <f>IFERROR(VLOOKUP($B377,ChartOfAccounts!E376:F461,2,FALSE),"")</f>
        <v/>
      </c>
      <c r="P377" t="str">
        <f>IFERROR(VLOOKUP(D377,PreparerInfo!A376:B388,2,FALSE),"")</f>
        <v/>
      </c>
      <c r="Q377" t="str">
        <f>IFERROR(VLOOKUP(E377,Source!A376:B384,2,FALSE),"")</f>
        <v/>
      </c>
    </row>
    <row r="378" spans="1:17" x14ac:dyDescent="0.3">
      <c r="A378" s="3">
        <v>2033708</v>
      </c>
      <c r="B378">
        <v>11845</v>
      </c>
      <c r="C378">
        <v>2</v>
      </c>
      <c r="D378" s="9">
        <v>104</v>
      </c>
      <c r="E378">
        <v>1003</v>
      </c>
      <c r="F378" s="1">
        <v>44006</v>
      </c>
      <c r="G378" t="s">
        <v>41</v>
      </c>
      <c r="H378" s="4">
        <v>3537</v>
      </c>
      <c r="I378" s="4" t="s">
        <v>16</v>
      </c>
      <c r="J378" s="4">
        <v>3537</v>
      </c>
      <c r="K378" t="str">
        <f>VLOOKUP($C378,Table1[#All],2,FALSE)</f>
        <v>HOTEL</v>
      </c>
      <c r="L378" t="str">
        <f>VLOOKUP($C378,Table1[#All],3,FALSE)</f>
        <v xml:space="preserve">Transactions related to guest rooms and overall hotel operations. Includes payroll for administrative staff, clerks and interns. </v>
      </c>
      <c r="M378" t="str">
        <f>IFERROR(VLOOKUP($B378,ChartOfAccounts!A377:B462,2,FALSE),"")</f>
        <v/>
      </c>
      <c r="N378" t="str">
        <f>IFERROR(VLOOKUP($B378,ChartOfAccounts!C377:D462,2,FALSE),"")</f>
        <v/>
      </c>
      <c r="O378" t="str">
        <f>IFERROR(VLOOKUP($B378,ChartOfAccounts!E377:F462,2,FALSE),"")</f>
        <v/>
      </c>
      <c r="P378" t="str">
        <f>IFERROR(VLOOKUP(D378,PreparerInfo!A377:B389,2,FALSE),"")</f>
        <v/>
      </c>
      <c r="Q378" t="str">
        <f>IFERROR(VLOOKUP(E378,Source!A377:B385,2,FALSE),"")</f>
        <v/>
      </c>
    </row>
    <row r="379" spans="1:17" x14ac:dyDescent="0.3">
      <c r="A379" s="3">
        <v>2033708</v>
      </c>
      <c r="B379">
        <v>43180</v>
      </c>
      <c r="C379">
        <v>2</v>
      </c>
      <c r="D379" s="9">
        <v>104</v>
      </c>
      <c r="E379">
        <v>1003</v>
      </c>
      <c r="F379" s="1">
        <v>44006</v>
      </c>
      <c r="G379" t="s">
        <v>41</v>
      </c>
      <c r="H379" s="4" t="s">
        <v>16</v>
      </c>
      <c r="I379" s="4">
        <v>-3537</v>
      </c>
      <c r="J379" s="4">
        <v>-3537</v>
      </c>
      <c r="K379" t="str">
        <f>VLOOKUP($C379,Table1[#All],2,FALSE)</f>
        <v>HOTEL</v>
      </c>
      <c r="L379" t="str">
        <f>VLOOKUP($C379,Table1[#All],3,FALSE)</f>
        <v xml:space="preserve">Transactions related to guest rooms and overall hotel operations. Includes payroll for administrative staff, clerks and interns. </v>
      </c>
      <c r="M379" t="str">
        <f>IFERROR(VLOOKUP($B379,ChartOfAccounts!A378:B463,2,FALSE),"")</f>
        <v/>
      </c>
      <c r="N379" t="str">
        <f>IFERROR(VLOOKUP($B379,ChartOfAccounts!C378:D463,2,FALSE),"")</f>
        <v/>
      </c>
      <c r="O379" t="str">
        <f>IFERROR(VLOOKUP($B379,ChartOfAccounts!E378:F463,2,FALSE),"")</f>
        <v/>
      </c>
      <c r="P379" t="str">
        <f>IFERROR(VLOOKUP(D379,PreparerInfo!A378:B390,2,FALSE),"")</f>
        <v/>
      </c>
      <c r="Q379" t="str">
        <f>IFERROR(VLOOKUP(E379,Source!A378:B386,2,FALSE),"")</f>
        <v/>
      </c>
    </row>
    <row r="380" spans="1:17" x14ac:dyDescent="0.3">
      <c r="A380" s="3">
        <v>2033709</v>
      </c>
      <c r="B380">
        <v>14260</v>
      </c>
      <c r="C380">
        <v>1</v>
      </c>
      <c r="D380" s="9">
        <v>101</v>
      </c>
      <c r="E380">
        <v>1002</v>
      </c>
      <c r="F380" s="1">
        <v>44006</v>
      </c>
      <c r="G380" t="s">
        <v>38</v>
      </c>
      <c r="H380" s="4">
        <v>4194.0600000000004</v>
      </c>
      <c r="I380" s="4" t="s">
        <v>16</v>
      </c>
      <c r="J380" s="4">
        <v>4194.0600000000004</v>
      </c>
      <c r="K380" t="str">
        <f>VLOOKUP($C380,Table1[#All],2,FALSE)</f>
        <v>FOOD SERVICE</v>
      </c>
      <c r="L380" t="str">
        <f>VLOOKUP($C380,Table1[#All],3,FALSE)</f>
        <v xml:space="preserve">Transactions related to food and beverage service. Includes all guest transactions in the hotel restaurants, catering-related transactions and food service payroll. </v>
      </c>
      <c r="M380" t="str">
        <f>IFERROR(VLOOKUP($B380,ChartOfAccounts!A379:B464,2,FALSE),"")</f>
        <v/>
      </c>
      <c r="N380" t="str">
        <f>IFERROR(VLOOKUP($B380,ChartOfAccounts!C379:D464,2,FALSE),"")</f>
        <v/>
      </c>
      <c r="O380" t="str">
        <f>IFERROR(VLOOKUP($B380,ChartOfAccounts!E379:F464,2,FALSE),"")</f>
        <v/>
      </c>
      <c r="P380" t="str">
        <f>IFERROR(VLOOKUP(D380,PreparerInfo!A379:B391,2,FALSE),"")</f>
        <v/>
      </c>
      <c r="Q380" t="str">
        <f>IFERROR(VLOOKUP(E380,Source!A379:B387,2,FALSE),"")</f>
        <v/>
      </c>
    </row>
    <row r="381" spans="1:17" x14ac:dyDescent="0.3">
      <c r="A381" s="3">
        <v>2033709</v>
      </c>
      <c r="B381">
        <v>11845</v>
      </c>
      <c r="C381">
        <v>1</v>
      </c>
      <c r="D381" s="9">
        <v>101</v>
      </c>
      <c r="E381">
        <v>1002</v>
      </c>
      <c r="F381" s="1">
        <v>44006</v>
      </c>
      <c r="G381" t="s">
        <v>38</v>
      </c>
      <c r="H381" s="4" t="s">
        <v>16</v>
      </c>
      <c r="I381" s="4">
        <v>-4194.0600000000004</v>
      </c>
      <c r="J381" s="4">
        <v>-4194.0600000000004</v>
      </c>
      <c r="K381" t="str">
        <f>VLOOKUP($C381,Table1[#All],2,FALSE)</f>
        <v>FOOD SERVICE</v>
      </c>
      <c r="L381" t="str">
        <f>VLOOKUP($C381,Table1[#All],3,FALSE)</f>
        <v xml:space="preserve">Transactions related to food and beverage service. Includes all guest transactions in the hotel restaurants, catering-related transactions and food service payroll. </v>
      </c>
      <c r="M381" t="str">
        <f>IFERROR(VLOOKUP($B381,ChartOfAccounts!A380:B465,2,FALSE),"")</f>
        <v/>
      </c>
      <c r="N381" t="str">
        <f>IFERROR(VLOOKUP($B381,ChartOfAccounts!C380:D465,2,FALSE),"")</f>
        <v/>
      </c>
      <c r="O381" t="str">
        <f>IFERROR(VLOOKUP($B381,ChartOfAccounts!E380:F465,2,FALSE),"")</f>
        <v/>
      </c>
      <c r="P381" t="str">
        <f>IFERROR(VLOOKUP(D381,PreparerInfo!A380:B392,2,FALSE),"")</f>
        <v/>
      </c>
      <c r="Q381" t="str">
        <f>IFERROR(VLOOKUP(E381,Source!A380:B388,2,FALSE),"")</f>
        <v/>
      </c>
    </row>
    <row r="382" spans="1:17" x14ac:dyDescent="0.3">
      <c r="A382" s="3">
        <v>2033710</v>
      </c>
      <c r="B382">
        <v>14260</v>
      </c>
      <c r="C382">
        <v>1</v>
      </c>
      <c r="D382" s="9">
        <v>101</v>
      </c>
      <c r="E382">
        <v>1002</v>
      </c>
      <c r="F382" s="1">
        <v>44006</v>
      </c>
      <c r="G382" t="s">
        <v>38</v>
      </c>
      <c r="H382" s="4">
        <v>5772.72</v>
      </c>
      <c r="I382" s="4" t="s">
        <v>16</v>
      </c>
      <c r="J382" s="4">
        <v>5772.72</v>
      </c>
      <c r="K382" t="str">
        <f>VLOOKUP($C382,Table1[#All],2,FALSE)</f>
        <v>FOOD SERVICE</v>
      </c>
      <c r="L382" t="str">
        <f>VLOOKUP($C382,Table1[#All],3,FALSE)</f>
        <v xml:space="preserve">Transactions related to food and beverage service. Includes all guest transactions in the hotel restaurants, catering-related transactions and food service payroll. </v>
      </c>
      <c r="M382" t="str">
        <f>IFERROR(VLOOKUP($B382,ChartOfAccounts!A381:B466,2,FALSE),"")</f>
        <v/>
      </c>
      <c r="N382" t="str">
        <f>IFERROR(VLOOKUP($B382,ChartOfAccounts!C381:D466,2,FALSE),"")</f>
        <v/>
      </c>
      <c r="O382" t="str">
        <f>IFERROR(VLOOKUP($B382,ChartOfAccounts!E381:F466,2,FALSE),"")</f>
        <v/>
      </c>
      <c r="P382" t="str">
        <f>IFERROR(VLOOKUP(D382,PreparerInfo!A381:B393,2,FALSE),"")</f>
        <v/>
      </c>
      <c r="Q382" t="str">
        <f>IFERROR(VLOOKUP(E382,Source!A381:B389,2,FALSE),"")</f>
        <v/>
      </c>
    </row>
    <row r="383" spans="1:17" x14ac:dyDescent="0.3">
      <c r="A383" s="3">
        <v>2033710</v>
      </c>
      <c r="B383">
        <v>11845</v>
      </c>
      <c r="C383">
        <v>1</v>
      </c>
      <c r="D383" s="9">
        <v>101</v>
      </c>
      <c r="E383">
        <v>1002</v>
      </c>
      <c r="F383" s="1">
        <v>44006</v>
      </c>
      <c r="G383" t="s">
        <v>38</v>
      </c>
      <c r="H383" s="4" t="s">
        <v>16</v>
      </c>
      <c r="I383" s="4">
        <v>-5772.72</v>
      </c>
      <c r="J383" s="4">
        <v>-5772.72</v>
      </c>
      <c r="K383" t="str">
        <f>VLOOKUP($C383,Table1[#All],2,FALSE)</f>
        <v>FOOD SERVICE</v>
      </c>
      <c r="L383" t="str">
        <f>VLOOKUP($C383,Table1[#All],3,FALSE)</f>
        <v xml:space="preserve">Transactions related to food and beverage service. Includes all guest transactions in the hotel restaurants, catering-related transactions and food service payroll. </v>
      </c>
      <c r="M383" t="str">
        <f>IFERROR(VLOOKUP($B383,ChartOfAccounts!A382:B467,2,FALSE),"")</f>
        <v/>
      </c>
      <c r="N383" t="str">
        <f>IFERROR(VLOOKUP($B383,ChartOfAccounts!C382:D467,2,FALSE),"")</f>
        <v/>
      </c>
      <c r="O383" t="str">
        <f>IFERROR(VLOOKUP($B383,ChartOfAccounts!E382:F467,2,FALSE),"")</f>
        <v/>
      </c>
      <c r="P383" t="str">
        <f>IFERROR(VLOOKUP(D383,PreparerInfo!A382:B394,2,FALSE),"")</f>
        <v/>
      </c>
      <c r="Q383" t="str">
        <f>IFERROR(VLOOKUP(E383,Source!A382:B390,2,FALSE),"")</f>
        <v/>
      </c>
    </row>
    <row r="384" spans="1:17" x14ac:dyDescent="0.3">
      <c r="A384" s="3">
        <v>2033711</v>
      </c>
      <c r="B384">
        <v>16200</v>
      </c>
      <c r="C384">
        <v>2</v>
      </c>
      <c r="D384" s="9">
        <v>102</v>
      </c>
      <c r="E384">
        <v>1002</v>
      </c>
      <c r="F384" s="1">
        <v>44006</v>
      </c>
      <c r="G384" t="s">
        <v>282</v>
      </c>
      <c r="H384" s="4">
        <v>14536.31</v>
      </c>
      <c r="I384" s="4"/>
      <c r="J384" s="4">
        <v>14536.31</v>
      </c>
      <c r="K384" t="str">
        <f>VLOOKUP($C384,Table1[#All],2,FALSE)</f>
        <v>HOTEL</v>
      </c>
      <c r="L384" t="str">
        <f>VLOOKUP($C384,Table1[#All],3,FALSE)</f>
        <v xml:space="preserve">Transactions related to guest rooms and overall hotel operations. Includes payroll for administrative staff, clerks and interns. </v>
      </c>
      <c r="M384" t="str">
        <f>IFERROR(VLOOKUP($B384,ChartOfAccounts!A383:B468,2,FALSE),"")</f>
        <v/>
      </c>
      <c r="N384" t="str">
        <f>IFERROR(VLOOKUP($B384,ChartOfAccounts!C383:D468,2,FALSE),"")</f>
        <v/>
      </c>
      <c r="O384" t="str">
        <f>IFERROR(VLOOKUP($B384,ChartOfAccounts!E383:F468,2,FALSE),"")</f>
        <v/>
      </c>
      <c r="P384" t="str">
        <f>IFERROR(VLOOKUP(D384,PreparerInfo!A383:B395,2,FALSE),"")</f>
        <v/>
      </c>
      <c r="Q384" t="str">
        <f>IFERROR(VLOOKUP(E384,Source!A383:B391,2,FALSE),"")</f>
        <v/>
      </c>
    </row>
    <row r="385" spans="1:17" x14ac:dyDescent="0.3">
      <c r="A385" s="3">
        <v>2033711</v>
      </c>
      <c r="B385" s="2">
        <v>11845</v>
      </c>
      <c r="C385">
        <v>2</v>
      </c>
      <c r="D385" s="9">
        <v>102</v>
      </c>
      <c r="E385">
        <v>1002</v>
      </c>
      <c r="F385" s="1">
        <v>44006</v>
      </c>
      <c r="G385" t="s">
        <v>282</v>
      </c>
      <c r="H385" s="4"/>
      <c r="I385" s="4">
        <v>-14536.31</v>
      </c>
      <c r="J385" s="4">
        <v>-14536.31</v>
      </c>
      <c r="K385" t="str">
        <f>VLOOKUP($C385,Table1[#All],2,FALSE)</f>
        <v>HOTEL</v>
      </c>
      <c r="L385" t="str">
        <f>VLOOKUP($C385,Table1[#All],3,FALSE)</f>
        <v xml:space="preserve">Transactions related to guest rooms and overall hotel operations. Includes payroll for administrative staff, clerks and interns. </v>
      </c>
      <c r="M385" t="str">
        <f>IFERROR(VLOOKUP($B385,ChartOfAccounts!A384:B469,2,FALSE),"")</f>
        <v/>
      </c>
      <c r="N385" t="str">
        <f>IFERROR(VLOOKUP($B385,ChartOfAccounts!C384:D469,2,FALSE),"")</f>
        <v/>
      </c>
      <c r="O385" t="str">
        <f>IFERROR(VLOOKUP($B385,ChartOfAccounts!E384:F469,2,FALSE),"")</f>
        <v/>
      </c>
      <c r="P385" t="str">
        <f>IFERROR(VLOOKUP(D385,PreparerInfo!A384:B396,2,FALSE),"")</f>
        <v/>
      </c>
      <c r="Q385" t="str">
        <f>IFERROR(VLOOKUP(E385,Source!A384:B392,2,FALSE),"")</f>
        <v/>
      </c>
    </row>
    <row r="386" spans="1:17" x14ac:dyDescent="0.3">
      <c r="A386" s="3">
        <v>2033712</v>
      </c>
      <c r="B386">
        <v>74201</v>
      </c>
      <c r="C386">
        <v>2</v>
      </c>
      <c r="D386" s="9">
        <v>103</v>
      </c>
      <c r="E386">
        <v>1008</v>
      </c>
      <c r="F386" s="1">
        <v>44008</v>
      </c>
      <c r="G386" t="s">
        <v>73</v>
      </c>
      <c r="H386" s="4">
        <v>43426.26</v>
      </c>
      <c r="I386" s="4" t="s">
        <v>16</v>
      </c>
      <c r="J386" s="4">
        <v>43426.26</v>
      </c>
      <c r="K386" t="str">
        <f>VLOOKUP($C386,Table1[#All],2,FALSE)</f>
        <v>HOTEL</v>
      </c>
      <c r="L386" t="str">
        <f>VLOOKUP($C386,Table1[#All],3,FALSE)</f>
        <v xml:space="preserve">Transactions related to guest rooms and overall hotel operations. Includes payroll for administrative staff, clerks and interns. </v>
      </c>
      <c r="M386" t="str">
        <f>IFERROR(VLOOKUP($B386,ChartOfAccounts!A385:B470,2,FALSE),"")</f>
        <v/>
      </c>
      <c r="N386" t="str">
        <f>IFERROR(VLOOKUP($B386,ChartOfAccounts!C385:D470,2,FALSE),"")</f>
        <v/>
      </c>
      <c r="O386" t="str">
        <f>IFERROR(VLOOKUP($B386,ChartOfAccounts!E385:F470,2,FALSE),"")</f>
        <v/>
      </c>
      <c r="P386" t="str">
        <f>IFERROR(VLOOKUP(D386,PreparerInfo!A385:B397,2,FALSE),"")</f>
        <v/>
      </c>
      <c r="Q386" t="str">
        <f>IFERROR(VLOOKUP(E386,Source!A385:B393,2,FALSE),"")</f>
        <v/>
      </c>
    </row>
    <row r="387" spans="1:17" x14ac:dyDescent="0.3">
      <c r="A387" s="3">
        <v>2033712</v>
      </c>
      <c r="B387">
        <v>74201</v>
      </c>
      <c r="C387">
        <v>2</v>
      </c>
      <c r="D387" s="9">
        <v>103</v>
      </c>
      <c r="E387">
        <v>1008</v>
      </c>
      <c r="F387" s="1">
        <v>44008</v>
      </c>
      <c r="G387" t="s">
        <v>73</v>
      </c>
      <c r="H387" s="4" t="s">
        <v>16</v>
      </c>
      <c r="I387" s="4">
        <v>-43426.26</v>
      </c>
      <c r="J387" s="4">
        <v>-43426.26</v>
      </c>
      <c r="K387" t="str">
        <f>VLOOKUP($C387,Table1[#All],2,FALSE)</f>
        <v>HOTEL</v>
      </c>
      <c r="L387" t="str">
        <f>VLOOKUP($C387,Table1[#All],3,FALSE)</f>
        <v xml:space="preserve">Transactions related to guest rooms and overall hotel operations. Includes payroll for administrative staff, clerks and interns. </v>
      </c>
      <c r="M387" t="str">
        <f>IFERROR(VLOOKUP($B387,ChartOfAccounts!A386:B471,2,FALSE),"")</f>
        <v/>
      </c>
      <c r="N387" t="str">
        <f>IFERROR(VLOOKUP($B387,ChartOfAccounts!C386:D471,2,FALSE),"")</f>
        <v/>
      </c>
      <c r="O387" t="str">
        <f>IFERROR(VLOOKUP($B387,ChartOfAccounts!E386:F471,2,FALSE),"")</f>
        <v/>
      </c>
      <c r="P387" t="str">
        <f>IFERROR(VLOOKUP(D387,PreparerInfo!A386:B398,2,FALSE),"")</f>
        <v/>
      </c>
      <c r="Q387" t="str">
        <f>IFERROR(VLOOKUP(E387,Source!A386:B394,2,FALSE),"")</f>
        <v/>
      </c>
    </row>
    <row r="388" spans="1:17" x14ac:dyDescent="0.3">
      <c r="A388" s="3">
        <v>2033713</v>
      </c>
      <c r="B388">
        <v>71400</v>
      </c>
      <c r="C388">
        <v>1</v>
      </c>
      <c r="D388" s="9">
        <v>101</v>
      </c>
      <c r="E388">
        <v>1002</v>
      </c>
      <c r="F388" s="1">
        <v>44009</v>
      </c>
      <c r="G388" t="s">
        <v>185</v>
      </c>
      <c r="H388" s="4">
        <v>0.05</v>
      </c>
      <c r="I388" s="4" t="s">
        <v>16</v>
      </c>
      <c r="J388" s="4">
        <v>0.05</v>
      </c>
      <c r="K388" t="str">
        <f>VLOOKUP($C388,Table1[#All],2,FALSE)</f>
        <v>FOOD SERVICE</v>
      </c>
      <c r="L388" t="str">
        <f>VLOOKUP($C388,Table1[#All],3,FALSE)</f>
        <v xml:space="preserve">Transactions related to food and beverage service. Includes all guest transactions in the hotel restaurants, catering-related transactions and food service payroll. </v>
      </c>
      <c r="M388" t="str">
        <f>IFERROR(VLOOKUP($B388,ChartOfAccounts!A387:B472,2,FALSE),"")</f>
        <v/>
      </c>
      <c r="N388" t="str">
        <f>IFERROR(VLOOKUP($B388,ChartOfAccounts!C387:D472,2,FALSE),"")</f>
        <v/>
      </c>
      <c r="O388" t="str">
        <f>IFERROR(VLOOKUP($B388,ChartOfAccounts!E387:F472,2,FALSE),"")</f>
        <v/>
      </c>
      <c r="P388" t="str">
        <f>IFERROR(VLOOKUP(D388,PreparerInfo!A387:B399,2,FALSE),"")</f>
        <v/>
      </c>
      <c r="Q388" t="str">
        <f>IFERROR(VLOOKUP(E388,Source!A387:B395,2,FALSE),"")</f>
        <v/>
      </c>
    </row>
    <row r="389" spans="1:17" x14ac:dyDescent="0.3">
      <c r="A389" s="3">
        <v>2033713</v>
      </c>
      <c r="B389">
        <v>11845</v>
      </c>
      <c r="C389">
        <v>1</v>
      </c>
      <c r="D389" s="9">
        <v>101</v>
      </c>
      <c r="E389">
        <v>1002</v>
      </c>
      <c r="F389" s="1">
        <v>44009</v>
      </c>
      <c r="G389" t="s">
        <v>185</v>
      </c>
      <c r="H389" s="4" t="s">
        <v>16</v>
      </c>
      <c r="I389" s="4">
        <v>-0.05</v>
      </c>
      <c r="J389" s="4">
        <v>-0.05</v>
      </c>
      <c r="K389" t="str">
        <f>VLOOKUP($C389,Table1[#All],2,FALSE)</f>
        <v>FOOD SERVICE</v>
      </c>
      <c r="L389" t="str">
        <f>VLOOKUP($C389,Table1[#All],3,FALSE)</f>
        <v xml:space="preserve">Transactions related to food and beverage service. Includes all guest transactions in the hotel restaurants, catering-related transactions and food service payroll. </v>
      </c>
      <c r="M389" t="str">
        <f>IFERROR(VLOOKUP($B389,ChartOfAccounts!A388:B473,2,FALSE),"")</f>
        <v/>
      </c>
      <c r="N389" t="str">
        <f>IFERROR(VLOOKUP($B389,ChartOfAccounts!C388:D473,2,FALSE),"")</f>
        <v/>
      </c>
      <c r="O389" t="str">
        <f>IFERROR(VLOOKUP($B389,ChartOfAccounts!E388:F473,2,FALSE),"")</f>
        <v/>
      </c>
      <c r="P389" t="str">
        <f>IFERROR(VLOOKUP(D389,PreparerInfo!A388:B400,2,FALSE),"")</f>
        <v/>
      </c>
      <c r="Q389" t="str">
        <f>IFERROR(VLOOKUP(E389,Source!A388:B396,2,FALSE),"")</f>
        <v/>
      </c>
    </row>
    <row r="390" spans="1:17" x14ac:dyDescent="0.3">
      <c r="A390" s="3">
        <v>2033714</v>
      </c>
      <c r="B390">
        <v>71400</v>
      </c>
      <c r="C390">
        <v>6</v>
      </c>
      <c r="D390" s="9">
        <v>101</v>
      </c>
      <c r="E390">
        <v>1002</v>
      </c>
      <c r="F390" s="1">
        <v>44009</v>
      </c>
      <c r="G390" t="s">
        <v>185</v>
      </c>
      <c r="H390" s="4">
        <v>4.1500000000000004</v>
      </c>
      <c r="I390" s="4" t="s">
        <v>16</v>
      </c>
      <c r="J390" s="4">
        <v>4.1500000000000004</v>
      </c>
      <c r="K390" t="str">
        <f>VLOOKUP($C390,Table1[#All],2,FALSE)</f>
        <v>MAINTENANCE</v>
      </c>
      <c r="L390" t="str">
        <f>VLOOKUP($C390,Table1[#All],3,FALSE)</f>
        <v>Transactions related to the hotel Maintenance Department. Primarily includes payroll for maintenance, grounds keepers and related supplies.</v>
      </c>
      <c r="M390" t="str">
        <f>IFERROR(VLOOKUP($B390,ChartOfAccounts!A389:B474,2,FALSE),"")</f>
        <v/>
      </c>
      <c r="N390" t="str">
        <f>IFERROR(VLOOKUP($B390,ChartOfAccounts!C389:D474,2,FALSE),"")</f>
        <v/>
      </c>
      <c r="O390" t="str">
        <f>IFERROR(VLOOKUP($B390,ChartOfAccounts!E389:F474,2,FALSE),"")</f>
        <v/>
      </c>
      <c r="P390" t="str">
        <f>IFERROR(VLOOKUP(D390,PreparerInfo!A389:B401,2,FALSE),"")</f>
        <v/>
      </c>
      <c r="Q390" t="str">
        <f>IFERROR(VLOOKUP(E390,Source!A389:B397,2,FALSE),"")</f>
        <v/>
      </c>
    </row>
    <row r="391" spans="1:17" x14ac:dyDescent="0.3">
      <c r="A391" s="3">
        <v>2033714</v>
      </c>
      <c r="B391">
        <v>11845</v>
      </c>
      <c r="C391">
        <v>6</v>
      </c>
      <c r="D391" s="9">
        <v>101</v>
      </c>
      <c r="E391">
        <v>1002</v>
      </c>
      <c r="F391" s="1">
        <v>44009</v>
      </c>
      <c r="G391" t="s">
        <v>185</v>
      </c>
      <c r="H391" s="4" t="s">
        <v>16</v>
      </c>
      <c r="I391" s="4">
        <v>-4.1500000000000004</v>
      </c>
      <c r="J391" s="4">
        <v>-4.1500000000000004</v>
      </c>
      <c r="K391" t="str">
        <f>VLOOKUP($C391,Table1[#All],2,FALSE)</f>
        <v>MAINTENANCE</v>
      </c>
      <c r="L391" t="str">
        <f>VLOOKUP($C391,Table1[#All],3,FALSE)</f>
        <v>Transactions related to the hotel Maintenance Department. Primarily includes payroll for maintenance, grounds keepers and related supplies.</v>
      </c>
      <c r="M391" t="str">
        <f>IFERROR(VLOOKUP($B391,ChartOfAccounts!A390:B475,2,FALSE),"")</f>
        <v/>
      </c>
      <c r="N391" t="str">
        <f>IFERROR(VLOOKUP($B391,ChartOfAccounts!C390:D475,2,FALSE),"")</f>
        <v/>
      </c>
      <c r="O391" t="str">
        <f>IFERROR(VLOOKUP($B391,ChartOfAccounts!E390:F475,2,FALSE),"")</f>
        <v/>
      </c>
      <c r="P391" t="str">
        <f>IFERROR(VLOOKUP(D391,PreparerInfo!A390:B402,2,FALSE),"")</f>
        <v/>
      </c>
      <c r="Q391" t="str">
        <f>IFERROR(VLOOKUP(E391,Source!A390:B398,2,FALSE),"")</f>
        <v/>
      </c>
    </row>
    <row r="392" spans="1:17" x14ac:dyDescent="0.3">
      <c r="A392" s="3">
        <v>2033715</v>
      </c>
      <c r="B392">
        <v>14260</v>
      </c>
      <c r="C392">
        <v>1</v>
      </c>
      <c r="D392" s="9">
        <v>102</v>
      </c>
      <c r="E392">
        <v>1002</v>
      </c>
      <c r="F392" s="1">
        <v>44009</v>
      </c>
      <c r="G392" t="s">
        <v>39</v>
      </c>
      <c r="H392" s="4">
        <v>7.75</v>
      </c>
      <c r="I392" s="4" t="s">
        <v>16</v>
      </c>
      <c r="J392" s="4">
        <v>7.75</v>
      </c>
      <c r="K392" t="str">
        <f>VLOOKUP($C392,Table1[#All],2,FALSE)</f>
        <v>FOOD SERVICE</v>
      </c>
      <c r="L392" t="str">
        <f>VLOOKUP($C392,Table1[#All],3,FALSE)</f>
        <v xml:space="preserve">Transactions related to food and beverage service. Includes all guest transactions in the hotel restaurants, catering-related transactions and food service payroll. </v>
      </c>
      <c r="M392" t="str">
        <f>IFERROR(VLOOKUP($B392,ChartOfAccounts!A391:B476,2,FALSE),"")</f>
        <v/>
      </c>
      <c r="N392" t="str">
        <f>IFERROR(VLOOKUP($B392,ChartOfAccounts!C391:D476,2,FALSE),"")</f>
        <v/>
      </c>
      <c r="O392" t="str">
        <f>IFERROR(VLOOKUP($B392,ChartOfAccounts!E391:F476,2,FALSE),"")</f>
        <v/>
      </c>
      <c r="P392" t="str">
        <f>IFERROR(VLOOKUP(D392,PreparerInfo!A391:B403,2,FALSE),"")</f>
        <v/>
      </c>
      <c r="Q392" t="str">
        <f>IFERROR(VLOOKUP(E392,Source!A391:B399,2,FALSE),"")</f>
        <v/>
      </c>
    </row>
    <row r="393" spans="1:17" x14ac:dyDescent="0.3">
      <c r="A393" s="3">
        <v>2033715</v>
      </c>
      <c r="B393">
        <v>11845</v>
      </c>
      <c r="C393">
        <v>1</v>
      </c>
      <c r="D393" s="9">
        <v>102</v>
      </c>
      <c r="E393">
        <v>1002</v>
      </c>
      <c r="F393" s="1">
        <v>44009</v>
      </c>
      <c r="G393" t="s">
        <v>39</v>
      </c>
      <c r="H393" s="4" t="s">
        <v>16</v>
      </c>
      <c r="I393" s="4">
        <v>-7.75</v>
      </c>
      <c r="J393" s="4">
        <v>-7.75</v>
      </c>
      <c r="K393" t="str">
        <f>VLOOKUP($C393,Table1[#All],2,FALSE)</f>
        <v>FOOD SERVICE</v>
      </c>
      <c r="L393" t="str">
        <f>VLOOKUP($C393,Table1[#All],3,FALSE)</f>
        <v xml:space="preserve">Transactions related to food and beverage service. Includes all guest transactions in the hotel restaurants, catering-related transactions and food service payroll. </v>
      </c>
      <c r="M393" t="str">
        <f>IFERROR(VLOOKUP($B393,ChartOfAccounts!A392:B477,2,FALSE),"")</f>
        <v/>
      </c>
      <c r="N393" t="str">
        <f>IFERROR(VLOOKUP($B393,ChartOfAccounts!C392:D477,2,FALSE),"")</f>
        <v/>
      </c>
      <c r="O393" t="str">
        <f>IFERROR(VLOOKUP($B393,ChartOfAccounts!E392:F477,2,FALSE),"")</f>
        <v/>
      </c>
      <c r="P393" t="str">
        <f>IFERROR(VLOOKUP(D393,PreparerInfo!A392:B404,2,FALSE),"")</f>
        <v/>
      </c>
      <c r="Q393" t="str">
        <f>IFERROR(VLOOKUP(E393,Source!A392:B400,2,FALSE),"")</f>
        <v/>
      </c>
    </row>
    <row r="394" spans="1:17" x14ac:dyDescent="0.3">
      <c r="A394" s="3">
        <v>2033716</v>
      </c>
      <c r="B394">
        <v>71400</v>
      </c>
      <c r="C394">
        <v>4</v>
      </c>
      <c r="D394" s="9">
        <v>101</v>
      </c>
      <c r="E394">
        <v>1002</v>
      </c>
      <c r="F394" s="1">
        <v>44009</v>
      </c>
      <c r="G394" t="s">
        <v>172</v>
      </c>
      <c r="H394" s="4">
        <v>8</v>
      </c>
      <c r="I394" s="4" t="s">
        <v>16</v>
      </c>
      <c r="J394" s="4">
        <v>8</v>
      </c>
      <c r="K394" t="str">
        <f>VLOOKUP($C394,Table1[#All],2,FALSE)</f>
        <v>HOUSEKEEPING</v>
      </c>
      <c r="L394" t="str">
        <f>VLOOKUP($C394,Table1[#All],3,FALSE)</f>
        <v xml:space="preserve">Transactions related to the Housekeeping Department. Primarily includes payroll for housekeepers and housekeeping supplies. </v>
      </c>
      <c r="M394" t="str">
        <f>IFERROR(VLOOKUP($B394,ChartOfAccounts!A393:B478,2,FALSE),"")</f>
        <v/>
      </c>
      <c r="N394" t="str">
        <f>IFERROR(VLOOKUP($B394,ChartOfAccounts!C393:D478,2,FALSE),"")</f>
        <v/>
      </c>
      <c r="O394" t="str">
        <f>IFERROR(VLOOKUP($B394,ChartOfAccounts!E393:F478,2,FALSE),"")</f>
        <v/>
      </c>
      <c r="P394" t="str">
        <f>IFERROR(VLOOKUP(D394,PreparerInfo!A393:B405,2,FALSE),"")</f>
        <v/>
      </c>
      <c r="Q394" t="str">
        <f>IFERROR(VLOOKUP(E394,Source!A393:B401,2,FALSE),"")</f>
        <v/>
      </c>
    </row>
    <row r="395" spans="1:17" x14ac:dyDescent="0.3">
      <c r="A395" s="3">
        <v>2033716</v>
      </c>
      <c r="B395">
        <v>11845</v>
      </c>
      <c r="C395">
        <v>4</v>
      </c>
      <c r="D395" s="9">
        <v>101</v>
      </c>
      <c r="E395">
        <v>1002</v>
      </c>
      <c r="F395" s="1">
        <v>44009</v>
      </c>
      <c r="G395" t="s">
        <v>172</v>
      </c>
      <c r="H395" s="4" t="s">
        <v>16</v>
      </c>
      <c r="I395" s="4">
        <v>-8</v>
      </c>
      <c r="J395" s="4">
        <v>-8</v>
      </c>
      <c r="K395" t="str">
        <f>VLOOKUP($C395,Table1[#All],2,FALSE)</f>
        <v>HOUSEKEEPING</v>
      </c>
      <c r="L395" t="str">
        <f>VLOOKUP($C395,Table1[#All],3,FALSE)</f>
        <v xml:space="preserve">Transactions related to the Housekeeping Department. Primarily includes payroll for housekeepers and housekeeping supplies. </v>
      </c>
      <c r="M395" t="str">
        <f>IFERROR(VLOOKUP($B395,ChartOfAccounts!A394:B479,2,FALSE),"")</f>
        <v/>
      </c>
      <c r="N395" t="str">
        <f>IFERROR(VLOOKUP($B395,ChartOfAccounts!C394:D479,2,FALSE),"")</f>
        <v/>
      </c>
      <c r="O395" t="str">
        <f>IFERROR(VLOOKUP($B395,ChartOfAccounts!E394:F479,2,FALSE),"")</f>
        <v/>
      </c>
      <c r="P395" t="str">
        <f>IFERROR(VLOOKUP(D395,PreparerInfo!A394:B406,2,FALSE),"")</f>
        <v/>
      </c>
      <c r="Q395" t="str">
        <f>IFERROR(VLOOKUP(E395,Source!A394:B402,2,FALSE),"")</f>
        <v/>
      </c>
    </row>
    <row r="396" spans="1:17" x14ac:dyDescent="0.3">
      <c r="A396" s="3">
        <v>2033717</v>
      </c>
      <c r="B396">
        <v>71400</v>
      </c>
      <c r="C396">
        <v>4</v>
      </c>
      <c r="D396" s="9">
        <v>101</v>
      </c>
      <c r="E396">
        <v>1002</v>
      </c>
      <c r="F396" s="1">
        <v>44009</v>
      </c>
      <c r="G396" t="s">
        <v>185</v>
      </c>
      <c r="H396" s="4">
        <v>10.35</v>
      </c>
      <c r="I396" s="4" t="s">
        <v>16</v>
      </c>
      <c r="J396" s="4">
        <v>10.35</v>
      </c>
      <c r="K396" t="str">
        <f>VLOOKUP($C396,Table1[#All],2,FALSE)</f>
        <v>HOUSEKEEPING</v>
      </c>
      <c r="L396" t="str">
        <f>VLOOKUP($C396,Table1[#All],3,FALSE)</f>
        <v xml:space="preserve">Transactions related to the Housekeeping Department. Primarily includes payroll for housekeepers and housekeeping supplies. </v>
      </c>
      <c r="M396" t="str">
        <f>IFERROR(VLOOKUP($B396,ChartOfAccounts!A395:B480,2,FALSE),"")</f>
        <v/>
      </c>
      <c r="N396" t="str">
        <f>IFERROR(VLOOKUP($B396,ChartOfAccounts!C395:D480,2,FALSE),"")</f>
        <v/>
      </c>
      <c r="O396" t="str">
        <f>IFERROR(VLOOKUP($B396,ChartOfAccounts!E395:F480,2,FALSE),"")</f>
        <v/>
      </c>
      <c r="P396" t="str">
        <f>IFERROR(VLOOKUP(D396,PreparerInfo!A395:B407,2,FALSE),"")</f>
        <v/>
      </c>
      <c r="Q396" t="str">
        <f>IFERROR(VLOOKUP(E396,Source!A395:B403,2,FALSE),"")</f>
        <v/>
      </c>
    </row>
    <row r="397" spans="1:17" x14ac:dyDescent="0.3">
      <c r="A397" s="3">
        <v>2033717</v>
      </c>
      <c r="B397">
        <v>11845</v>
      </c>
      <c r="C397">
        <v>4</v>
      </c>
      <c r="D397" s="9">
        <v>101</v>
      </c>
      <c r="E397">
        <v>1002</v>
      </c>
      <c r="F397" s="1">
        <v>44009</v>
      </c>
      <c r="G397" t="s">
        <v>185</v>
      </c>
      <c r="H397" s="4" t="s">
        <v>16</v>
      </c>
      <c r="I397" s="4">
        <v>-10.35</v>
      </c>
      <c r="J397" s="4">
        <v>-10.35</v>
      </c>
      <c r="K397" t="str">
        <f>VLOOKUP($C397,Table1[#All],2,FALSE)</f>
        <v>HOUSEKEEPING</v>
      </c>
      <c r="L397" t="str">
        <f>VLOOKUP($C397,Table1[#All],3,FALSE)</f>
        <v xml:space="preserve">Transactions related to the Housekeeping Department. Primarily includes payroll for housekeepers and housekeeping supplies. </v>
      </c>
      <c r="M397" t="str">
        <f>IFERROR(VLOOKUP($B397,ChartOfAccounts!A396:B481,2,FALSE),"")</f>
        <v/>
      </c>
      <c r="N397" t="str">
        <f>IFERROR(VLOOKUP($B397,ChartOfAccounts!C396:D481,2,FALSE),"")</f>
        <v/>
      </c>
      <c r="O397" t="str">
        <f>IFERROR(VLOOKUP($B397,ChartOfAccounts!E396:F481,2,FALSE),"")</f>
        <v/>
      </c>
      <c r="P397" t="str">
        <f>IFERROR(VLOOKUP(D397,PreparerInfo!A396:B408,2,FALSE),"")</f>
        <v/>
      </c>
      <c r="Q397" t="str">
        <f>IFERROR(VLOOKUP(E397,Source!A396:B404,2,FALSE),"")</f>
        <v/>
      </c>
    </row>
    <row r="398" spans="1:17" x14ac:dyDescent="0.3">
      <c r="A398" s="3">
        <v>2033718</v>
      </c>
      <c r="B398">
        <v>71400</v>
      </c>
      <c r="C398">
        <v>2</v>
      </c>
      <c r="D398" s="9">
        <v>101</v>
      </c>
      <c r="E398">
        <v>1002</v>
      </c>
      <c r="F398" s="1">
        <v>44009</v>
      </c>
      <c r="G398" t="s">
        <v>185</v>
      </c>
      <c r="H398" s="4">
        <v>25.35</v>
      </c>
      <c r="I398" s="4" t="s">
        <v>16</v>
      </c>
      <c r="J398" s="4">
        <v>25.35</v>
      </c>
      <c r="K398" t="str">
        <f>VLOOKUP($C398,Table1[#All],2,FALSE)</f>
        <v>HOTEL</v>
      </c>
      <c r="L398" t="str">
        <f>VLOOKUP($C398,Table1[#All],3,FALSE)</f>
        <v xml:space="preserve">Transactions related to guest rooms and overall hotel operations. Includes payroll for administrative staff, clerks and interns. </v>
      </c>
      <c r="M398" t="str">
        <f>IFERROR(VLOOKUP($B398,ChartOfAccounts!A397:B482,2,FALSE),"")</f>
        <v/>
      </c>
      <c r="N398" t="str">
        <f>IFERROR(VLOOKUP($B398,ChartOfAccounts!C397:D482,2,FALSE),"")</f>
        <v/>
      </c>
      <c r="O398" t="str">
        <f>IFERROR(VLOOKUP($B398,ChartOfAccounts!E397:F482,2,FALSE),"")</f>
        <v/>
      </c>
      <c r="P398" t="str">
        <f>IFERROR(VLOOKUP(D398,PreparerInfo!A397:B409,2,FALSE),"")</f>
        <v/>
      </c>
      <c r="Q398" t="str">
        <f>IFERROR(VLOOKUP(E398,Source!A397:B405,2,FALSE),"")</f>
        <v/>
      </c>
    </row>
    <row r="399" spans="1:17" x14ac:dyDescent="0.3">
      <c r="A399" s="3">
        <v>2033718</v>
      </c>
      <c r="B399">
        <v>11845</v>
      </c>
      <c r="C399">
        <v>2</v>
      </c>
      <c r="D399" s="9">
        <v>101</v>
      </c>
      <c r="E399">
        <v>1002</v>
      </c>
      <c r="F399" s="1">
        <v>44009</v>
      </c>
      <c r="G399" t="s">
        <v>185</v>
      </c>
      <c r="H399" s="4" t="s">
        <v>16</v>
      </c>
      <c r="I399" s="4">
        <v>-25.35</v>
      </c>
      <c r="J399" s="4">
        <v>-25.35</v>
      </c>
      <c r="K399" t="str">
        <f>VLOOKUP($C399,Table1[#All],2,FALSE)</f>
        <v>HOTEL</v>
      </c>
      <c r="L399" t="str">
        <f>VLOOKUP($C399,Table1[#All],3,FALSE)</f>
        <v xml:space="preserve">Transactions related to guest rooms and overall hotel operations. Includes payroll for administrative staff, clerks and interns. </v>
      </c>
      <c r="M399" t="str">
        <f>IFERROR(VLOOKUP($B399,ChartOfAccounts!A398:B483,2,FALSE),"")</f>
        <v/>
      </c>
      <c r="N399" t="str">
        <f>IFERROR(VLOOKUP($B399,ChartOfAccounts!C398:D483,2,FALSE),"")</f>
        <v/>
      </c>
      <c r="O399" t="str">
        <f>IFERROR(VLOOKUP($B399,ChartOfAccounts!E398:F483,2,FALSE),"")</f>
        <v/>
      </c>
      <c r="P399" t="str">
        <f>IFERROR(VLOOKUP(D399,PreparerInfo!A398:B410,2,FALSE),"")</f>
        <v/>
      </c>
      <c r="Q399" t="str">
        <f>IFERROR(VLOOKUP(E399,Source!A398:B406,2,FALSE),"")</f>
        <v/>
      </c>
    </row>
    <row r="400" spans="1:17" x14ac:dyDescent="0.3">
      <c r="A400" s="3">
        <v>2033719</v>
      </c>
      <c r="B400">
        <v>11845</v>
      </c>
      <c r="C400">
        <v>3</v>
      </c>
      <c r="D400" s="9">
        <v>102</v>
      </c>
      <c r="E400">
        <v>1003</v>
      </c>
      <c r="F400" s="1">
        <v>44009</v>
      </c>
      <c r="G400" t="s">
        <v>15</v>
      </c>
      <c r="H400" s="4">
        <v>44.43</v>
      </c>
      <c r="I400" s="4" t="s">
        <v>16</v>
      </c>
      <c r="J400" s="4">
        <v>44.43</v>
      </c>
      <c r="K400" t="str">
        <f>VLOOKUP($C400,Table1[#All],2,FALSE)</f>
        <v>HOTEL PANTRY</v>
      </c>
      <c r="L400" t="str">
        <f>VLOOKUP($C400,Table1[#All],3,FALSE)</f>
        <v>Transactions related to the hotel convenience store, including some food and beverage costs.</v>
      </c>
      <c r="M400" t="str">
        <f>IFERROR(VLOOKUP($B400,ChartOfAccounts!A399:B484,2,FALSE),"")</f>
        <v/>
      </c>
      <c r="N400" t="str">
        <f>IFERROR(VLOOKUP($B400,ChartOfAccounts!C399:D484,2,FALSE),"")</f>
        <v/>
      </c>
      <c r="O400" t="str">
        <f>IFERROR(VLOOKUP($B400,ChartOfAccounts!E399:F484,2,FALSE),"")</f>
        <v/>
      </c>
      <c r="P400" t="str">
        <f>IFERROR(VLOOKUP(D400,PreparerInfo!A399:B411,2,FALSE),"")</f>
        <v/>
      </c>
      <c r="Q400" t="str">
        <f>IFERROR(VLOOKUP(E400,Source!A399:B407,2,FALSE),"")</f>
        <v/>
      </c>
    </row>
    <row r="401" spans="1:17" x14ac:dyDescent="0.3">
      <c r="A401" s="3">
        <v>2033719</v>
      </c>
      <c r="B401">
        <v>43440</v>
      </c>
      <c r="C401">
        <v>3</v>
      </c>
      <c r="D401" s="9">
        <v>102</v>
      </c>
      <c r="E401">
        <v>1003</v>
      </c>
      <c r="F401" s="1">
        <v>44009</v>
      </c>
      <c r="G401" t="s">
        <v>15</v>
      </c>
      <c r="H401" s="4" t="s">
        <v>16</v>
      </c>
      <c r="I401" s="4">
        <v>-44.43</v>
      </c>
      <c r="J401" s="4">
        <v>-44.43</v>
      </c>
      <c r="K401" t="str">
        <f>VLOOKUP($C401,Table1[#All],2,FALSE)</f>
        <v>HOTEL PANTRY</v>
      </c>
      <c r="L401" t="str">
        <f>VLOOKUP($C401,Table1[#All],3,FALSE)</f>
        <v>Transactions related to the hotel convenience store, including some food and beverage costs.</v>
      </c>
      <c r="M401" t="str">
        <f>IFERROR(VLOOKUP($B401,ChartOfAccounts!A400:B485,2,FALSE),"")</f>
        <v/>
      </c>
      <c r="N401" t="str">
        <f>IFERROR(VLOOKUP($B401,ChartOfAccounts!C400:D485,2,FALSE),"")</f>
        <v/>
      </c>
      <c r="O401" t="str">
        <f>IFERROR(VLOOKUP($B401,ChartOfAccounts!E400:F485,2,FALSE),"")</f>
        <v/>
      </c>
      <c r="P401" t="str">
        <f>IFERROR(VLOOKUP(D401,PreparerInfo!A400:B412,2,FALSE),"")</f>
        <v/>
      </c>
      <c r="Q401" t="str">
        <f>IFERROR(VLOOKUP(E401,Source!A400:B408,2,FALSE),"")</f>
        <v/>
      </c>
    </row>
    <row r="402" spans="1:17" x14ac:dyDescent="0.3">
      <c r="A402" s="3">
        <v>2033720</v>
      </c>
      <c r="B402">
        <v>11845</v>
      </c>
      <c r="C402">
        <v>1</v>
      </c>
      <c r="D402" s="9">
        <v>106</v>
      </c>
      <c r="E402">
        <v>1003</v>
      </c>
      <c r="F402" s="1">
        <v>44009</v>
      </c>
      <c r="G402" t="s">
        <v>80</v>
      </c>
      <c r="H402" s="4">
        <v>50</v>
      </c>
      <c r="I402" s="4" t="s">
        <v>16</v>
      </c>
      <c r="J402" s="4">
        <v>50</v>
      </c>
      <c r="K402" t="str">
        <f>VLOOKUP($C402,Table1[#All],2,FALSE)</f>
        <v>FOOD SERVICE</v>
      </c>
      <c r="L402" t="str">
        <f>VLOOKUP($C402,Table1[#All],3,FALSE)</f>
        <v xml:space="preserve">Transactions related to food and beverage service. Includes all guest transactions in the hotel restaurants, catering-related transactions and food service payroll. </v>
      </c>
      <c r="M402" t="str">
        <f>IFERROR(VLOOKUP($B402,ChartOfAccounts!A401:B486,2,FALSE),"")</f>
        <v/>
      </c>
      <c r="N402" t="str">
        <f>IFERROR(VLOOKUP($B402,ChartOfAccounts!C401:D486,2,FALSE),"")</f>
        <v/>
      </c>
      <c r="O402" t="str">
        <f>IFERROR(VLOOKUP($B402,ChartOfAccounts!E401:F486,2,FALSE),"")</f>
        <v/>
      </c>
      <c r="P402" t="str">
        <f>IFERROR(VLOOKUP(D402,PreparerInfo!A401:B413,2,FALSE),"")</f>
        <v/>
      </c>
      <c r="Q402" t="str">
        <f>IFERROR(VLOOKUP(E402,Source!A401:B409,2,FALSE),"")</f>
        <v/>
      </c>
    </row>
    <row r="403" spans="1:17" x14ac:dyDescent="0.3">
      <c r="A403" s="3">
        <v>2033720</v>
      </c>
      <c r="B403">
        <v>43440</v>
      </c>
      <c r="C403">
        <v>1</v>
      </c>
      <c r="D403" s="9">
        <v>106</v>
      </c>
      <c r="E403">
        <v>1003</v>
      </c>
      <c r="F403" s="1">
        <v>44009</v>
      </c>
      <c r="G403" t="s">
        <v>80</v>
      </c>
      <c r="H403" s="4" t="s">
        <v>16</v>
      </c>
      <c r="I403" s="4">
        <v>-50</v>
      </c>
      <c r="J403" s="4">
        <v>-50</v>
      </c>
      <c r="K403" t="str">
        <f>VLOOKUP($C403,Table1[#All],2,FALSE)</f>
        <v>FOOD SERVICE</v>
      </c>
      <c r="L403" t="str">
        <f>VLOOKUP($C403,Table1[#All],3,FALSE)</f>
        <v xml:space="preserve">Transactions related to food and beverage service. Includes all guest transactions in the hotel restaurants, catering-related transactions and food service payroll. </v>
      </c>
      <c r="M403" t="str">
        <f>IFERROR(VLOOKUP($B403,ChartOfAccounts!A402:B487,2,FALSE),"")</f>
        <v/>
      </c>
      <c r="N403" t="str">
        <f>IFERROR(VLOOKUP($B403,ChartOfAccounts!C402:D487,2,FALSE),"")</f>
        <v/>
      </c>
      <c r="O403" t="str">
        <f>IFERROR(VLOOKUP($B403,ChartOfAccounts!E402:F487,2,FALSE),"")</f>
        <v/>
      </c>
      <c r="P403" t="str">
        <f>IFERROR(VLOOKUP(D403,PreparerInfo!A402:B414,2,FALSE),"")</f>
        <v/>
      </c>
      <c r="Q403" t="str">
        <f>IFERROR(VLOOKUP(E403,Source!A402:B410,2,FALSE),"")</f>
        <v/>
      </c>
    </row>
    <row r="404" spans="1:17" x14ac:dyDescent="0.3">
      <c r="A404" s="3">
        <v>2033721</v>
      </c>
      <c r="B404">
        <v>71420</v>
      </c>
      <c r="C404">
        <v>2</v>
      </c>
      <c r="D404" s="9">
        <v>101</v>
      </c>
      <c r="E404">
        <v>1002</v>
      </c>
      <c r="F404" s="1">
        <v>44009</v>
      </c>
      <c r="G404" t="s">
        <v>171</v>
      </c>
      <c r="H404" s="4">
        <v>54.61</v>
      </c>
      <c r="I404" s="4" t="s">
        <v>16</v>
      </c>
      <c r="J404" s="4">
        <v>54.61</v>
      </c>
      <c r="K404" t="str">
        <f>VLOOKUP($C404,Table1[#All],2,FALSE)</f>
        <v>HOTEL</v>
      </c>
      <c r="L404" t="str">
        <f>VLOOKUP($C404,Table1[#All],3,FALSE)</f>
        <v xml:space="preserve">Transactions related to guest rooms and overall hotel operations. Includes payroll for administrative staff, clerks and interns. </v>
      </c>
      <c r="M404" t="str">
        <f>IFERROR(VLOOKUP($B404,ChartOfAccounts!A403:B488,2,FALSE),"")</f>
        <v/>
      </c>
      <c r="N404" t="str">
        <f>IFERROR(VLOOKUP($B404,ChartOfAccounts!C403:D488,2,FALSE),"")</f>
        <v/>
      </c>
      <c r="O404" t="str">
        <f>IFERROR(VLOOKUP($B404,ChartOfAccounts!E403:F488,2,FALSE),"")</f>
        <v/>
      </c>
      <c r="P404" t="str">
        <f>IFERROR(VLOOKUP(D404,PreparerInfo!A403:B415,2,FALSE),"")</f>
        <v/>
      </c>
      <c r="Q404" t="str">
        <f>IFERROR(VLOOKUP(E404,Source!A403:B411,2,FALSE),"")</f>
        <v/>
      </c>
    </row>
    <row r="405" spans="1:17" x14ac:dyDescent="0.3">
      <c r="A405" s="3">
        <v>2033721</v>
      </c>
      <c r="B405">
        <v>11845</v>
      </c>
      <c r="C405">
        <v>2</v>
      </c>
      <c r="D405" s="9">
        <v>101</v>
      </c>
      <c r="E405">
        <v>1002</v>
      </c>
      <c r="F405" s="1">
        <v>44009</v>
      </c>
      <c r="G405" t="s">
        <v>171</v>
      </c>
      <c r="H405" s="4" t="s">
        <v>16</v>
      </c>
      <c r="I405" s="4">
        <v>-54.61</v>
      </c>
      <c r="J405" s="4">
        <v>-54.61</v>
      </c>
      <c r="K405" t="str">
        <f>VLOOKUP($C405,Table1[#All],2,FALSE)</f>
        <v>HOTEL</v>
      </c>
      <c r="L405" t="str">
        <f>VLOOKUP($C405,Table1[#All],3,FALSE)</f>
        <v xml:space="preserve">Transactions related to guest rooms and overall hotel operations. Includes payroll for administrative staff, clerks and interns. </v>
      </c>
      <c r="M405" t="str">
        <f>IFERROR(VLOOKUP($B405,ChartOfAccounts!A404:B489,2,FALSE),"")</f>
        <v/>
      </c>
      <c r="N405" t="str">
        <f>IFERROR(VLOOKUP($B405,ChartOfAccounts!C404:D489,2,FALSE),"")</f>
        <v/>
      </c>
      <c r="O405" t="str">
        <f>IFERROR(VLOOKUP($B405,ChartOfAccounts!E404:F489,2,FALSE),"")</f>
        <v/>
      </c>
      <c r="P405" t="str">
        <f>IFERROR(VLOOKUP(D405,PreparerInfo!A404:B416,2,FALSE),"")</f>
        <v/>
      </c>
      <c r="Q405" t="str">
        <f>IFERROR(VLOOKUP(E405,Source!A404:B412,2,FALSE),"")</f>
        <v/>
      </c>
    </row>
    <row r="406" spans="1:17" x14ac:dyDescent="0.3">
      <c r="A406" s="3">
        <v>2033722</v>
      </c>
      <c r="B406">
        <v>74220</v>
      </c>
      <c r="C406">
        <v>1</v>
      </c>
      <c r="D406" s="9">
        <v>101</v>
      </c>
      <c r="E406">
        <v>1002</v>
      </c>
      <c r="F406" s="1">
        <v>44009</v>
      </c>
      <c r="G406" t="s">
        <v>172</v>
      </c>
      <c r="H406" s="4">
        <v>55</v>
      </c>
      <c r="I406" s="4" t="s">
        <v>16</v>
      </c>
      <c r="J406" s="4">
        <v>55</v>
      </c>
      <c r="K406" t="str">
        <f>VLOOKUP($C406,Table1[#All],2,FALSE)</f>
        <v>FOOD SERVICE</v>
      </c>
      <c r="L406" t="str">
        <f>VLOOKUP($C406,Table1[#All],3,FALSE)</f>
        <v xml:space="preserve">Transactions related to food and beverage service. Includes all guest transactions in the hotel restaurants, catering-related transactions and food service payroll. </v>
      </c>
      <c r="M406" t="str">
        <f>IFERROR(VLOOKUP($B406,ChartOfAccounts!A405:B490,2,FALSE),"")</f>
        <v/>
      </c>
      <c r="N406" t="str">
        <f>IFERROR(VLOOKUP($B406,ChartOfAccounts!C405:D490,2,FALSE),"")</f>
        <v/>
      </c>
      <c r="O406" t="str">
        <f>IFERROR(VLOOKUP($B406,ChartOfAccounts!E405:F490,2,FALSE),"")</f>
        <v/>
      </c>
      <c r="P406" t="str">
        <f>IFERROR(VLOOKUP(D406,PreparerInfo!A405:B417,2,FALSE),"")</f>
        <v/>
      </c>
      <c r="Q406" t="str">
        <f>IFERROR(VLOOKUP(E406,Source!A405:B413,2,FALSE),"")</f>
        <v/>
      </c>
    </row>
    <row r="407" spans="1:17" x14ac:dyDescent="0.3">
      <c r="A407" s="3">
        <v>2033722</v>
      </c>
      <c r="B407">
        <v>11845</v>
      </c>
      <c r="C407">
        <v>1</v>
      </c>
      <c r="D407" s="9">
        <v>101</v>
      </c>
      <c r="E407">
        <v>1002</v>
      </c>
      <c r="F407" s="1">
        <v>44009</v>
      </c>
      <c r="G407" t="s">
        <v>172</v>
      </c>
      <c r="H407" s="4" t="s">
        <v>16</v>
      </c>
      <c r="I407" s="4">
        <v>-55</v>
      </c>
      <c r="J407" s="4">
        <v>-55</v>
      </c>
      <c r="K407" t="str">
        <f>VLOOKUP($C407,Table1[#All],2,FALSE)</f>
        <v>FOOD SERVICE</v>
      </c>
      <c r="L407" t="str">
        <f>VLOOKUP($C407,Table1[#All],3,FALSE)</f>
        <v xml:space="preserve">Transactions related to food and beverage service. Includes all guest transactions in the hotel restaurants, catering-related transactions and food service payroll. </v>
      </c>
      <c r="M407" t="str">
        <f>IFERROR(VLOOKUP($B407,ChartOfAccounts!A406:B491,2,FALSE),"")</f>
        <v/>
      </c>
      <c r="N407" t="str">
        <f>IFERROR(VLOOKUP($B407,ChartOfAccounts!C406:D491,2,FALSE),"")</f>
        <v/>
      </c>
      <c r="O407" t="str">
        <f>IFERROR(VLOOKUP($B407,ChartOfAccounts!E406:F491,2,FALSE),"")</f>
        <v/>
      </c>
      <c r="P407" t="str">
        <f>IFERROR(VLOOKUP(D407,PreparerInfo!A406:B418,2,FALSE),"")</f>
        <v/>
      </c>
      <c r="Q407" t="str">
        <f>IFERROR(VLOOKUP(E407,Source!A406:B414,2,FALSE),"")</f>
        <v/>
      </c>
    </row>
    <row r="408" spans="1:17" x14ac:dyDescent="0.3">
      <c r="A408" s="3">
        <v>2033723</v>
      </c>
      <c r="B408">
        <v>11845</v>
      </c>
      <c r="C408">
        <v>1</v>
      </c>
      <c r="D408" s="9">
        <v>106</v>
      </c>
      <c r="E408">
        <v>1003</v>
      </c>
      <c r="F408" s="1">
        <v>44009</v>
      </c>
      <c r="G408" t="s">
        <v>80</v>
      </c>
      <c r="H408" s="4">
        <v>75</v>
      </c>
      <c r="I408" s="4" t="s">
        <v>16</v>
      </c>
      <c r="J408" s="4">
        <v>75</v>
      </c>
      <c r="K408" t="str">
        <f>VLOOKUP($C408,Table1[#All],2,FALSE)</f>
        <v>FOOD SERVICE</v>
      </c>
      <c r="L408" t="str">
        <f>VLOOKUP($C408,Table1[#All],3,FALSE)</f>
        <v xml:space="preserve">Transactions related to food and beverage service. Includes all guest transactions in the hotel restaurants, catering-related transactions and food service payroll. </v>
      </c>
      <c r="M408" t="str">
        <f>IFERROR(VLOOKUP($B408,ChartOfAccounts!A407:B492,2,FALSE),"")</f>
        <v/>
      </c>
      <c r="N408" t="str">
        <f>IFERROR(VLOOKUP($B408,ChartOfAccounts!C407:D492,2,FALSE),"")</f>
        <v/>
      </c>
      <c r="O408" t="str">
        <f>IFERROR(VLOOKUP($B408,ChartOfAccounts!E407:F492,2,FALSE),"")</f>
        <v/>
      </c>
      <c r="P408" t="str">
        <f>IFERROR(VLOOKUP(D408,PreparerInfo!A407:B419,2,FALSE),"")</f>
        <v/>
      </c>
      <c r="Q408" t="str">
        <f>IFERROR(VLOOKUP(E408,Source!A407:B415,2,FALSE),"")</f>
        <v/>
      </c>
    </row>
    <row r="409" spans="1:17" x14ac:dyDescent="0.3">
      <c r="A409" s="3">
        <v>2033723</v>
      </c>
      <c r="B409">
        <v>43440</v>
      </c>
      <c r="C409">
        <v>1</v>
      </c>
      <c r="D409" s="9">
        <v>106</v>
      </c>
      <c r="E409">
        <v>1003</v>
      </c>
      <c r="F409" s="1">
        <v>44009</v>
      </c>
      <c r="G409" t="s">
        <v>80</v>
      </c>
      <c r="H409" s="4" t="s">
        <v>16</v>
      </c>
      <c r="I409" s="4">
        <v>-75</v>
      </c>
      <c r="J409" s="4">
        <v>-75</v>
      </c>
      <c r="K409" t="str">
        <f>VLOOKUP($C409,Table1[#All],2,FALSE)</f>
        <v>FOOD SERVICE</v>
      </c>
      <c r="L409" t="str">
        <f>VLOOKUP($C409,Table1[#All],3,FALSE)</f>
        <v xml:space="preserve">Transactions related to food and beverage service. Includes all guest transactions in the hotel restaurants, catering-related transactions and food service payroll. </v>
      </c>
      <c r="M409" t="str">
        <f>IFERROR(VLOOKUP($B409,ChartOfAccounts!A408:B493,2,FALSE),"")</f>
        <v/>
      </c>
      <c r="N409" t="str">
        <f>IFERROR(VLOOKUP($B409,ChartOfAccounts!C408:D493,2,FALSE),"")</f>
        <v/>
      </c>
      <c r="O409" t="str">
        <f>IFERROR(VLOOKUP($B409,ChartOfAccounts!E408:F493,2,FALSE),"")</f>
        <v/>
      </c>
      <c r="P409" t="str">
        <f>IFERROR(VLOOKUP(D409,PreparerInfo!A408:B420,2,FALSE),"")</f>
        <v/>
      </c>
      <c r="Q409" t="str">
        <f>IFERROR(VLOOKUP(E409,Source!A408:B416,2,FALSE),"")</f>
        <v/>
      </c>
    </row>
    <row r="410" spans="1:17" x14ac:dyDescent="0.3">
      <c r="A410" s="3">
        <v>2033724</v>
      </c>
      <c r="B410">
        <v>11845</v>
      </c>
      <c r="C410">
        <v>3</v>
      </c>
      <c r="D410" s="9">
        <v>102</v>
      </c>
      <c r="E410">
        <v>1001</v>
      </c>
      <c r="F410" s="1">
        <v>44009</v>
      </c>
      <c r="G410" t="s">
        <v>41</v>
      </c>
      <c r="H410" s="4">
        <v>98.84</v>
      </c>
      <c r="I410" s="4" t="s">
        <v>16</v>
      </c>
      <c r="J410" s="4">
        <v>98.84</v>
      </c>
      <c r="K410" t="str">
        <f>VLOOKUP($C410,Table1[#All],2,FALSE)</f>
        <v>HOTEL PANTRY</v>
      </c>
      <c r="L410" t="str">
        <f>VLOOKUP($C410,Table1[#All],3,FALSE)</f>
        <v>Transactions related to the hotel convenience store, including some food and beverage costs.</v>
      </c>
      <c r="M410" t="str">
        <f>IFERROR(VLOOKUP($B410,ChartOfAccounts!A409:B494,2,FALSE),"")</f>
        <v/>
      </c>
      <c r="N410" t="str">
        <f>IFERROR(VLOOKUP($B410,ChartOfAccounts!C409:D494,2,FALSE),"")</f>
        <v/>
      </c>
      <c r="O410" t="str">
        <f>IFERROR(VLOOKUP($B410,ChartOfAccounts!E409:F494,2,FALSE),"")</f>
        <v/>
      </c>
      <c r="P410" t="str">
        <f>IFERROR(VLOOKUP(D410,PreparerInfo!A409:B421,2,FALSE),"")</f>
        <v/>
      </c>
      <c r="Q410" t="str">
        <f>IFERROR(VLOOKUP(E410,Source!A409:B417,2,FALSE),"")</f>
        <v/>
      </c>
    </row>
    <row r="411" spans="1:17" x14ac:dyDescent="0.3">
      <c r="A411" s="3">
        <v>2033724</v>
      </c>
      <c r="B411">
        <v>43440</v>
      </c>
      <c r="C411">
        <v>3</v>
      </c>
      <c r="D411" s="9">
        <v>102</v>
      </c>
      <c r="E411">
        <v>1001</v>
      </c>
      <c r="F411" s="1">
        <v>44009</v>
      </c>
      <c r="G411" t="s">
        <v>41</v>
      </c>
      <c r="H411" s="4" t="s">
        <v>16</v>
      </c>
      <c r="I411" s="4">
        <v>-98.84</v>
      </c>
      <c r="J411" s="4">
        <v>-98.84</v>
      </c>
      <c r="K411" t="str">
        <f>VLOOKUP($C411,Table1[#All],2,FALSE)</f>
        <v>HOTEL PANTRY</v>
      </c>
      <c r="L411" t="str">
        <f>VLOOKUP($C411,Table1[#All],3,FALSE)</f>
        <v>Transactions related to the hotel convenience store, including some food and beverage costs.</v>
      </c>
      <c r="M411" t="str">
        <f>IFERROR(VLOOKUP($B411,ChartOfAccounts!A410:B495,2,FALSE),"")</f>
        <v/>
      </c>
      <c r="N411" t="str">
        <f>IFERROR(VLOOKUP($B411,ChartOfAccounts!C410:D495,2,FALSE),"")</f>
        <v/>
      </c>
      <c r="O411" t="str">
        <f>IFERROR(VLOOKUP($B411,ChartOfAccounts!E410:F495,2,FALSE),"")</f>
        <v/>
      </c>
      <c r="P411" t="str">
        <f>IFERROR(VLOOKUP(D411,PreparerInfo!A410:B422,2,FALSE),"")</f>
        <v/>
      </c>
      <c r="Q411" t="str">
        <f>IFERROR(VLOOKUP(E411,Source!A410:B418,2,FALSE),"")</f>
        <v/>
      </c>
    </row>
    <row r="412" spans="1:17" x14ac:dyDescent="0.3">
      <c r="A412" s="3">
        <v>2033725</v>
      </c>
      <c r="B412">
        <v>11845</v>
      </c>
      <c r="C412">
        <v>2</v>
      </c>
      <c r="D412" s="9">
        <v>106</v>
      </c>
      <c r="E412">
        <v>1003</v>
      </c>
      <c r="F412" s="1">
        <v>44009</v>
      </c>
      <c r="G412" t="s">
        <v>81</v>
      </c>
      <c r="H412" s="4">
        <v>99</v>
      </c>
      <c r="I412" s="4" t="s">
        <v>16</v>
      </c>
      <c r="J412" s="4">
        <v>99</v>
      </c>
      <c r="K412" t="str">
        <f>VLOOKUP($C412,Table1[#All],2,FALSE)</f>
        <v>HOTEL</v>
      </c>
      <c r="L412" t="str">
        <f>VLOOKUP($C412,Table1[#All],3,FALSE)</f>
        <v xml:space="preserve">Transactions related to guest rooms and overall hotel operations. Includes payroll for administrative staff, clerks and interns. </v>
      </c>
      <c r="M412" t="str">
        <f>IFERROR(VLOOKUP($B412,ChartOfAccounts!A411:B496,2,FALSE),"")</f>
        <v/>
      </c>
      <c r="N412" t="str">
        <f>IFERROR(VLOOKUP($B412,ChartOfAccounts!C411:D496,2,FALSE),"")</f>
        <v/>
      </c>
      <c r="O412" t="str">
        <f>IFERROR(VLOOKUP($B412,ChartOfAccounts!E411:F496,2,FALSE),"")</f>
        <v/>
      </c>
      <c r="P412" t="str">
        <f>IFERROR(VLOOKUP(D412,PreparerInfo!A411:B423,2,FALSE),"")</f>
        <v/>
      </c>
      <c r="Q412" t="str">
        <f>IFERROR(VLOOKUP(E412,Source!A411:B419,2,FALSE),"")</f>
        <v/>
      </c>
    </row>
    <row r="413" spans="1:17" x14ac:dyDescent="0.3">
      <c r="A413" s="3">
        <v>2033725</v>
      </c>
      <c r="B413">
        <v>43180</v>
      </c>
      <c r="C413">
        <v>2</v>
      </c>
      <c r="D413" s="9">
        <v>106</v>
      </c>
      <c r="E413">
        <v>1003</v>
      </c>
      <c r="F413" s="1">
        <v>44009</v>
      </c>
      <c r="G413" t="s">
        <v>81</v>
      </c>
      <c r="H413" s="4" t="s">
        <v>16</v>
      </c>
      <c r="I413" s="4">
        <v>-99</v>
      </c>
      <c r="J413" s="4">
        <v>-99</v>
      </c>
      <c r="K413" t="str">
        <f>VLOOKUP($C413,Table1[#All],2,FALSE)</f>
        <v>HOTEL</v>
      </c>
      <c r="L413" t="str">
        <f>VLOOKUP($C413,Table1[#All],3,FALSE)</f>
        <v xml:space="preserve">Transactions related to guest rooms and overall hotel operations. Includes payroll for administrative staff, clerks and interns. </v>
      </c>
      <c r="M413" t="str">
        <f>IFERROR(VLOOKUP($B413,ChartOfAccounts!A412:B497,2,FALSE),"")</f>
        <v/>
      </c>
      <c r="N413" t="str">
        <f>IFERROR(VLOOKUP($B413,ChartOfAccounts!C412:D497,2,FALSE),"")</f>
        <v/>
      </c>
      <c r="O413" t="str">
        <f>IFERROR(VLOOKUP($B413,ChartOfAccounts!E412:F497,2,FALSE),"")</f>
        <v/>
      </c>
      <c r="P413" t="str">
        <f>IFERROR(VLOOKUP(D413,PreparerInfo!A412:B424,2,FALSE),"")</f>
        <v/>
      </c>
      <c r="Q413" t="str">
        <f>IFERROR(VLOOKUP(E413,Source!A412:B420,2,FALSE),"")</f>
        <v/>
      </c>
    </row>
    <row r="414" spans="1:17" x14ac:dyDescent="0.3">
      <c r="A414" s="3">
        <v>2033726</v>
      </c>
      <c r="B414">
        <v>11845</v>
      </c>
      <c r="C414">
        <v>2</v>
      </c>
      <c r="D414" s="9">
        <v>104</v>
      </c>
      <c r="E414">
        <v>1003</v>
      </c>
      <c r="F414" s="1">
        <v>44009</v>
      </c>
      <c r="G414" t="s">
        <v>234</v>
      </c>
      <c r="H414" s="4">
        <v>99</v>
      </c>
      <c r="I414" s="4" t="s">
        <v>16</v>
      </c>
      <c r="J414" s="4">
        <v>99</v>
      </c>
      <c r="K414" t="str">
        <f>VLOOKUP($C414,Table1[#All],2,FALSE)</f>
        <v>HOTEL</v>
      </c>
      <c r="L414" t="str">
        <f>VLOOKUP($C414,Table1[#All],3,FALSE)</f>
        <v xml:space="preserve">Transactions related to guest rooms and overall hotel operations. Includes payroll for administrative staff, clerks and interns. </v>
      </c>
      <c r="M414" t="str">
        <f>IFERROR(VLOOKUP($B414,ChartOfAccounts!A413:B498,2,FALSE),"")</f>
        <v/>
      </c>
      <c r="N414" t="str">
        <f>IFERROR(VLOOKUP($B414,ChartOfAccounts!C413:D498,2,FALSE),"")</f>
        <v/>
      </c>
      <c r="O414" t="str">
        <f>IFERROR(VLOOKUP($B414,ChartOfAccounts!E413:F498,2,FALSE),"")</f>
        <v/>
      </c>
      <c r="P414" t="str">
        <f>IFERROR(VLOOKUP(D414,PreparerInfo!A413:B425,2,FALSE),"")</f>
        <v/>
      </c>
      <c r="Q414" t="str">
        <f>IFERROR(VLOOKUP(E414,Source!A413:B421,2,FALSE),"")</f>
        <v/>
      </c>
    </row>
    <row r="415" spans="1:17" x14ac:dyDescent="0.3">
      <c r="A415" s="3">
        <v>2033726</v>
      </c>
      <c r="B415">
        <v>43180</v>
      </c>
      <c r="C415">
        <v>2</v>
      </c>
      <c r="D415" s="9">
        <v>104</v>
      </c>
      <c r="E415">
        <v>1003</v>
      </c>
      <c r="F415" s="1">
        <v>44009</v>
      </c>
      <c r="G415" t="s">
        <v>234</v>
      </c>
      <c r="H415" s="4" t="s">
        <v>16</v>
      </c>
      <c r="I415" s="4">
        <v>-99</v>
      </c>
      <c r="J415" s="4">
        <v>-99</v>
      </c>
      <c r="K415" t="str">
        <f>VLOOKUP($C415,Table1[#All],2,FALSE)</f>
        <v>HOTEL</v>
      </c>
      <c r="L415" t="str">
        <f>VLOOKUP($C415,Table1[#All],3,FALSE)</f>
        <v xml:space="preserve">Transactions related to guest rooms and overall hotel operations. Includes payroll for administrative staff, clerks and interns. </v>
      </c>
      <c r="M415" t="str">
        <f>IFERROR(VLOOKUP($B415,ChartOfAccounts!A414:B499,2,FALSE),"")</f>
        <v/>
      </c>
      <c r="N415" t="str">
        <f>IFERROR(VLOOKUP($B415,ChartOfAccounts!C414:D499,2,FALSE),"")</f>
        <v/>
      </c>
      <c r="O415" t="str">
        <f>IFERROR(VLOOKUP($B415,ChartOfAccounts!E414:F499,2,FALSE),"")</f>
        <v/>
      </c>
      <c r="P415" t="str">
        <f>IFERROR(VLOOKUP(D415,PreparerInfo!A414:B426,2,FALSE),"")</f>
        <v/>
      </c>
      <c r="Q415" t="str">
        <f>IFERROR(VLOOKUP(E415,Source!A414:B422,2,FALSE),"")</f>
        <v/>
      </c>
    </row>
    <row r="416" spans="1:17" x14ac:dyDescent="0.3">
      <c r="A416" s="3">
        <v>2033727</v>
      </c>
      <c r="B416">
        <v>11845</v>
      </c>
      <c r="C416">
        <v>2</v>
      </c>
      <c r="D416" s="9">
        <v>104</v>
      </c>
      <c r="E416">
        <v>1003</v>
      </c>
      <c r="F416" s="1">
        <v>44009</v>
      </c>
      <c r="G416" t="s">
        <v>235</v>
      </c>
      <c r="H416" s="4">
        <v>99</v>
      </c>
      <c r="I416" s="4" t="s">
        <v>16</v>
      </c>
      <c r="J416" s="4">
        <v>99</v>
      </c>
      <c r="K416" t="str">
        <f>VLOOKUP($C416,Table1[#All],2,FALSE)</f>
        <v>HOTEL</v>
      </c>
      <c r="L416" t="str">
        <f>VLOOKUP($C416,Table1[#All],3,FALSE)</f>
        <v xml:space="preserve">Transactions related to guest rooms and overall hotel operations. Includes payroll for administrative staff, clerks and interns. </v>
      </c>
      <c r="M416" t="str">
        <f>IFERROR(VLOOKUP($B416,ChartOfAccounts!A415:B500,2,FALSE),"")</f>
        <v/>
      </c>
      <c r="N416" t="str">
        <f>IFERROR(VLOOKUP($B416,ChartOfAccounts!C415:D500,2,FALSE),"")</f>
        <v/>
      </c>
      <c r="O416" t="str">
        <f>IFERROR(VLOOKUP($B416,ChartOfAccounts!E415:F500,2,FALSE),"")</f>
        <v/>
      </c>
      <c r="P416" t="str">
        <f>IFERROR(VLOOKUP(D416,PreparerInfo!A415:B427,2,FALSE),"")</f>
        <v/>
      </c>
      <c r="Q416" t="str">
        <f>IFERROR(VLOOKUP(E416,Source!A415:B423,2,FALSE),"")</f>
        <v/>
      </c>
    </row>
    <row r="417" spans="1:17" x14ac:dyDescent="0.3">
      <c r="A417" s="3">
        <v>2033727</v>
      </c>
      <c r="B417">
        <v>43180</v>
      </c>
      <c r="C417">
        <v>2</v>
      </c>
      <c r="D417" s="9">
        <v>104</v>
      </c>
      <c r="E417">
        <v>1003</v>
      </c>
      <c r="F417" s="1">
        <v>44009</v>
      </c>
      <c r="G417" t="s">
        <v>235</v>
      </c>
      <c r="H417" s="4" t="s">
        <v>16</v>
      </c>
      <c r="I417" s="4">
        <v>-99</v>
      </c>
      <c r="J417" s="4">
        <v>-99</v>
      </c>
      <c r="K417" t="str">
        <f>VLOOKUP($C417,Table1[#All],2,FALSE)</f>
        <v>HOTEL</v>
      </c>
      <c r="L417" t="str">
        <f>VLOOKUP($C417,Table1[#All],3,FALSE)</f>
        <v xml:space="preserve">Transactions related to guest rooms and overall hotel operations. Includes payroll for administrative staff, clerks and interns. </v>
      </c>
      <c r="M417" t="str">
        <f>IFERROR(VLOOKUP($B417,ChartOfAccounts!A416:B501,2,FALSE),"")</f>
        <v/>
      </c>
      <c r="N417" t="str">
        <f>IFERROR(VLOOKUP($B417,ChartOfAccounts!C416:D501,2,FALSE),"")</f>
        <v/>
      </c>
      <c r="O417" t="str">
        <f>IFERROR(VLOOKUP($B417,ChartOfAccounts!E416:F501,2,FALSE),"")</f>
        <v/>
      </c>
      <c r="P417" t="str">
        <f>IFERROR(VLOOKUP(D417,PreparerInfo!A416:B428,2,FALSE),"")</f>
        <v/>
      </c>
      <c r="Q417" t="str">
        <f>IFERROR(VLOOKUP(E417,Source!A416:B424,2,FALSE),"")</f>
        <v/>
      </c>
    </row>
    <row r="418" spans="1:17" x14ac:dyDescent="0.3">
      <c r="A418" s="3">
        <v>2033728</v>
      </c>
      <c r="B418">
        <v>11845</v>
      </c>
      <c r="C418">
        <v>3</v>
      </c>
      <c r="D418" s="9">
        <v>102</v>
      </c>
      <c r="E418">
        <v>1001</v>
      </c>
      <c r="F418" s="1">
        <v>44009</v>
      </c>
      <c r="G418" t="s">
        <v>41</v>
      </c>
      <c r="H418" s="4">
        <v>112.7</v>
      </c>
      <c r="I418" s="4" t="s">
        <v>16</v>
      </c>
      <c r="J418" s="4">
        <v>112.7</v>
      </c>
      <c r="K418" t="str">
        <f>VLOOKUP($C418,Table1[#All],2,FALSE)</f>
        <v>HOTEL PANTRY</v>
      </c>
      <c r="L418" t="str">
        <f>VLOOKUP($C418,Table1[#All],3,FALSE)</f>
        <v>Transactions related to the hotel convenience store, including some food and beverage costs.</v>
      </c>
      <c r="M418" t="str">
        <f>IFERROR(VLOOKUP($B418,ChartOfAccounts!A417:B502,2,FALSE),"")</f>
        <v/>
      </c>
      <c r="N418" t="str">
        <f>IFERROR(VLOOKUP($B418,ChartOfAccounts!C417:D502,2,FALSE),"")</f>
        <v/>
      </c>
      <c r="O418" t="str">
        <f>IFERROR(VLOOKUP($B418,ChartOfAccounts!E417:F502,2,FALSE),"")</f>
        <v/>
      </c>
      <c r="P418" t="str">
        <f>IFERROR(VLOOKUP(D418,PreparerInfo!A417:B429,2,FALSE),"")</f>
        <v/>
      </c>
      <c r="Q418" t="str">
        <f>IFERROR(VLOOKUP(E418,Source!A417:B425,2,FALSE),"")</f>
        <v/>
      </c>
    </row>
    <row r="419" spans="1:17" x14ac:dyDescent="0.3">
      <c r="A419" s="3">
        <v>2033728</v>
      </c>
      <c r="B419">
        <v>43440</v>
      </c>
      <c r="C419">
        <v>3</v>
      </c>
      <c r="D419" s="9">
        <v>102</v>
      </c>
      <c r="E419">
        <v>1001</v>
      </c>
      <c r="F419" s="1">
        <v>44009</v>
      </c>
      <c r="G419" t="s">
        <v>41</v>
      </c>
      <c r="H419" s="4" t="s">
        <v>16</v>
      </c>
      <c r="I419" s="4">
        <v>-112.7</v>
      </c>
      <c r="J419" s="4">
        <v>-112.7</v>
      </c>
      <c r="K419" t="str">
        <f>VLOOKUP($C419,Table1[#All],2,FALSE)</f>
        <v>HOTEL PANTRY</v>
      </c>
      <c r="L419" t="str">
        <f>VLOOKUP($C419,Table1[#All],3,FALSE)</f>
        <v>Transactions related to the hotel convenience store, including some food and beverage costs.</v>
      </c>
      <c r="M419" t="str">
        <f>IFERROR(VLOOKUP($B419,ChartOfAccounts!A418:B503,2,FALSE),"")</f>
        <v/>
      </c>
      <c r="N419" t="str">
        <f>IFERROR(VLOOKUP($B419,ChartOfAccounts!C418:D503,2,FALSE),"")</f>
        <v/>
      </c>
      <c r="O419" t="str">
        <f>IFERROR(VLOOKUP($B419,ChartOfAccounts!E418:F503,2,FALSE),"")</f>
        <v/>
      </c>
      <c r="P419" t="str">
        <f>IFERROR(VLOOKUP(D419,PreparerInfo!A418:B430,2,FALSE),"")</f>
        <v/>
      </c>
      <c r="Q419" t="str">
        <f>IFERROR(VLOOKUP(E419,Source!A418:B426,2,FALSE),"")</f>
        <v/>
      </c>
    </row>
    <row r="420" spans="1:17" x14ac:dyDescent="0.3">
      <c r="A420" s="3">
        <v>2033729</v>
      </c>
      <c r="B420">
        <v>43180</v>
      </c>
      <c r="C420">
        <v>2</v>
      </c>
      <c r="D420" s="9">
        <v>102</v>
      </c>
      <c r="E420">
        <v>1002</v>
      </c>
      <c r="F420" s="1">
        <v>44009</v>
      </c>
      <c r="G420" t="s">
        <v>236</v>
      </c>
      <c r="H420" s="4">
        <v>170</v>
      </c>
      <c r="I420" s="4" t="s">
        <v>16</v>
      </c>
      <c r="J420" s="4">
        <v>170</v>
      </c>
      <c r="K420" t="str">
        <f>VLOOKUP($C420,Table1[#All],2,FALSE)</f>
        <v>HOTEL</v>
      </c>
      <c r="L420" t="str">
        <f>VLOOKUP($C420,Table1[#All],3,FALSE)</f>
        <v xml:space="preserve">Transactions related to guest rooms and overall hotel operations. Includes payroll for administrative staff, clerks and interns. </v>
      </c>
      <c r="M420" t="str">
        <f>IFERROR(VLOOKUP($B420,ChartOfAccounts!A419:B504,2,FALSE),"")</f>
        <v/>
      </c>
      <c r="N420" t="str">
        <f>IFERROR(VLOOKUP($B420,ChartOfAccounts!C419:D504,2,FALSE),"")</f>
        <v/>
      </c>
      <c r="O420" t="str">
        <f>IFERROR(VLOOKUP($B420,ChartOfAccounts!E419:F504,2,FALSE),"")</f>
        <v/>
      </c>
      <c r="P420" t="str">
        <f>IFERROR(VLOOKUP(D420,PreparerInfo!A419:B431,2,FALSE),"")</f>
        <v/>
      </c>
      <c r="Q420" t="str">
        <f>IFERROR(VLOOKUP(E420,Source!A419:B427,2,FALSE),"")</f>
        <v/>
      </c>
    </row>
    <row r="421" spans="1:17" x14ac:dyDescent="0.3">
      <c r="A421" s="3">
        <v>2033729</v>
      </c>
      <c r="B421">
        <v>11845</v>
      </c>
      <c r="C421">
        <v>2</v>
      </c>
      <c r="D421" s="9">
        <v>102</v>
      </c>
      <c r="E421">
        <v>1002</v>
      </c>
      <c r="F421" s="1">
        <v>44009</v>
      </c>
      <c r="G421" t="s">
        <v>236</v>
      </c>
      <c r="H421" s="4" t="s">
        <v>16</v>
      </c>
      <c r="I421" s="4">
        <v>-170</v>
      </c>
      <c r="J421" s="4">
        <v>-170</v>
      </c>
      <c r="K421" t="str">
        <f>VLOOKUP($C421,Table1[#All],2,FALSE)</f>
        <v>HOTEL</v>
      </c>
      <c r="L421" t="str">
        <f>VLOOKUP($C421,Table1[#All],3,FALSE)</f>
        <v xml:space="preserve">Transactions related to guest rooms and overall hotel operations. Includes payroll for administrative staff, clerks and interns. </v>
      </c>
      <c r="M421" t="str">
        <f>IFERROR(VLOOKUP($B421,ChartOfAccounts!A420:B505,2,FALSE),"")</f>
        <v/>
      </c>
      <c r="N421" t="str">
        <f>IFERROR(VLOOKUP($B421,ChartOfAccounts!C420:D505,2,FALSE),"")</f>
        <v/>
      </c>
      <c r="O421" t="str">
        <f>IFERROR(VLOOKUP($B421,ChartOfAccounts!E420:F505,2,FALSE),"")</f>
        <v/>
      </c>
      <c r="P421" t="str">
        <f>IFERROR(VLOOKUP(D421,PreparerInfo!A420:B432,2,FALSE),"")</f>
        <v/>
      </c>
      <c r="Q421" t="str">
        <f>IFERROR(VLOOKUP(E421,Source!A420:B428,2,FALSE),"")</f>
        <v/>
      </c>
    </row>
    <row r="422" spans="1:17" x14ac:dyDescent="0.3">
      <c r="A422" s="3">
        <v>2033730</v>
      </c>
      <c r="B422">
        <v>11845</v>
      </c>
      <c r="C422">
        <v>1</v>
      </c>
      <c r="D422" s="9">
        <v>102</v>
      </c>
      <c r="E422">
        <v>1001</v>
      </c>
      <c r="F422" s="1">
        <v>44009</v>
      </c>
      <c r="G422" t="s">
        <v>41</v>
      </c>
      <c r="H422" s="4">
        <v>175.56</v>
      </c>
      <c r="I422" s="4" t="s">
        <v>16</v>
      </c>
      <c r="J422" s="4">
        <v>175.56</v>
      </c>
      <c r="K422" t="str">
        <f>VLOOKUP($C422,Table1[#All],2,FALSE)</f>
        <v>FOOD SERVICE</v>
      </c>
      <c r="L422" t="str">
        <f>VLOOKUP($C422,Table1[#All],3,FALSE)</f>
        <v xml:space="preserve">Transactions related to food and beverage service. Includes all guest transactions in the hotel restaurants, catering-related transactions and food service payroll. </v>
      </c>
      <c r="M422" t="str">
        <f>IFERROR(VLOOKUP($B422,ChartOfAccounts!A421:B506,2,FALSE),"")</f>
        <v/>
      </c>
      <c r="N422" t="str">
        <f>IFERROR(VLOOKUP($B422,ChartOfAccounts!C421:D506,2,FALSE),"")</f>
        <v/>
      </c>
      <c r="O422" t="str">
        <f>IFERROR(VLOOKUP($B422,ChartOfAccounts!E421:F506,2,FALSE),"")</f>
        <v/>
      </c>
      <c r="P422" t="str">
        <f>IFERROR(VLOOKUP(D422,PreparerInfo!A421:B433,2,FALSE),"")</f>
        <v/>
      </c>
      <c r="Q422" t="str">
        <f>IFERROR(VLOOKUP(E422,Source!A421:B429,2,FALSE),"")</f>
        <v/>
      </c>
    </row>
    <row r="423" spans="1:17" x14ac:dyDescent="0.3">
      <c r="A423" s="3">
        <v>2033730</v>
      </c>
      <c r="B423">
        <v>43310</v>
      </c>
      <c r="C423">
        <v>1</v>
      </c>
      <c r="D423" s="9">
        <v>102</v>
      </c>
      <c r="E423">
        <v>1001</v>
      </c>
      <c r="F423" s="1">
        <v>44009</v>
      </c>
      <c r="G423" t="s">
        <v>41</v>
      </c>
      <c r="H423" s="4" t="s">
        <v>16</v>
      </c>
      <c r="I423" s="4">
        <v>-175.56</v>
      </c>
      <c r="J423" s="4">
        <v>-175.56</v>
      </c>
      <c r="K423" t="str">
        <f>VLOOKUP($C423,Table1[#All],2,FALSE)</f>
        <v>FOOD SERVICE</v>
      </c>
      <c r="L423" t="str">
        <f>VLOOKUP($C423,Table1[#All],3,FALSE)</f>
        <v xml:space="preserve">Transactions related to food and beverage service. Includes all guest transactions in the hotel restaurants, catering-related transactions and food service payroll. </v>
      </c>
      <c r="M423" t="str">
        <f>IFERROR(VLOOKUP($B423,ChartOfAccounts!A422:B507,2,FALSE),"")</f>
        <v/>
      </c>
      <c r="N423" t="str">
        <f>IFERROR(VLOOKUP($B423,ChartOfAccounts!C422:D507,2,FALSE),"")</f>
        <v/>
      </c>
      <c r="O423" t="str">
        <f>IFERROR(VLOOKUP($B423,ChartOfAccounts!E422:F507,2,FALSE),"")</f>
        <v/>
      </c>
      <c r="P423" t="str">
        <f>IFERROR(VLOOKUP(D423,PreparerInfo!A422:B434,2,FALSE),"")</f>
        <v/>
      </c>
      <c r="Q423" t="str">
        <f>IFERROR(VLOOKUP(E423,Source!A422:B430,2,FALSE),"")</f>
        <v/>
      </c>
    </row>
    <row r="424" spans="1:17" x14ac:dyDescent="0.3">
      <c r="A424" s="3">
        <v>2033731</v>
      </c>
      <c r="B424">
        <v>14260</v>
      </c>
      <c r="C424">
        <v>1</v>
      </c>
      <c r="D424" s="9">
        <v>102</v>
      </c>
      <c r="E424">
        <v>1002</v>
      </c>
      <c r="F424" s="1">
        <v>44009</v>
      </c>
      <c r="G424" t="s">
        <v>47</v>
      </c>
      <c r="H424" s="4">
        <v>188.71</v>
      </c>
      <c r="I424" s="4" t="s">
        <v>16</v>
      </c>
      <c r="J424" s="4">
        <v>188.71</v>
      </c>
      <c r="K424" t="str">
        <f>VLOOKUP($C424,Table1[#All],2,FALSE)</f>
        <v>FOOD SERVICE</v>
      </c>
      <c r="L424" t="str">
        <f>VLOOKUP($C424,Table1[#All],3,FALSE)</f>
        <v xml:space="preserve">Transactions related to food and beverage service. Includes all guest transactions in the hotel restaurants, catering-related transactions and food service payroll. </v>
      </c>
      <c r="M424" t="str">
        <f>IFERROR(VLOOKUP($B424,ChartOfAccounts!A423:B508,2,FALSE),"")</f>
        <v/>
      </c>
      <c r="N424" t="str">
        <f>IFERROR(VLOOKUP($B424,ChartOfAccounts!C423:D508,2,FALSE),"")</f>
        <v/>
      </c>
      <c r="O424" t="str">
        <f>IFERROR(VLOOKUP($B424,ChartOfAccounts!E423:F508,2,FALSE),"")</f>
        <v/>
      </c>
      <c r="P424" t="str">
        <f>IFERROR(VLOOKUP(D424,PreparerInfo!A423:B435,2,FALSE),"")</f>
        <v/>
      </c>
      <c r="Q424" t="str">
        <f>IFERROR(VLOOKUP(E424,Source!A423:B431,2,FALSE),"")</f>
        <v/>
      </c>
    </row>
    <row r="425" spans="1:17" x14ac:dyDescent="0.3">
      <c r="A425" s="3">
        <v>2033731</v>
      </c>
      <c r="B425">
        <v>11845</v>
      </c>
      <c r="C425">
        <v>1</v>
      </c>
      <c r="D425" s="9">
        <v>102</v>
      </c>
      <c r="E425">
        <v>1002</v>
      </c>
      <c r="F425" s="1">
        <v>44009</v>
      </c>
      <c r="G425" t="s">
        <v>47</v>
      </c>
      <c r="H425" s="4" t="s">
        <v>16</v>
      </c>
      <c r="I425" s="4">
        <v>-188.71</v>
      </c>
      <c r="J425" s="4">
        <v>-188.71</v>
      </c>
      <c r="K425" t="str">
        <f>VLOOKUP($C425,Table1[#All],2,FALSE)</f>
        <v>FOOD SERVICE</v>
      </c>
      <c r="L425" t="str">
        <f>VLOOKUP($C425,Table1[#All],3,FALSE)</f>
        <v xml:space="preserve">Transactions related to food and beverage service. Includes all guest transactions in the hotel restaurants, catering-related transactions and food service payroll. </v>
      </c>
      <c r="M425" t="str">
        <f>IFERROR(VLOOKUP($B425,ChartOfAccounts!A424:B509,2,FALSE),"")</f>
        <v/>
      </c>
      <c r="N425" t="str">
        <f>IFERROR(VLOOKUP($B425,ChartOfAccounts!C424:D509,2,FALSE),"")</f>
        <v/>
      </c>
      <c r="O425" t="str">
        <f>IFERROR(VLOOKUP($B425,ChartOfAccounts!E424:F509,2,FALSE),"")</f>
        <v/>
      </c>
      <c r="P425" t="str">
        <f>IFERROR(VLOOKUP(D425,PreparerInfo!A424:B436,2,FALSE),"")</f>
        <v/>
      </c>
      <c r="Q425" t="str">
        <f>IFERROR(VLOOKUP(E425,Source!A424:B432,2,FALSE),"")</f>
        <v/>
      </c>
    </row>
    <row r="426" spans="1:17" x14ac:dyDescent="0.3">
      <c r="A426" s="3">
        <v>2033732</v>
      </c>
      <c r="B426">
        <v>71400</v>
      </c>
      <c r="C426">
        <v>1</v>
      </c>
      <c r="D426" s="9">
        <v>101</v>
      </c>
      <c r="E426">
        <v>1002</v>
      </c>
      <c r="F426" s="1">
        <v>44009</v>
      </c>
      <c r="G426" t="s">
        <v>172</v>
      </c>
      <c r="H426" s="4">
        <v>190</v>
      </c>
      <c r="I426" s="4" t="s">
        <v>16</v>
      </c>
      <c r="J426" s="4">
        <v>190</v>
      </c>
      <c r="K426" t="str">
        <f>VLOOKUP($C426,Table1[#All],2,FALSE)</f>
        <v>FOOD SERVICE</v>
      </c>
      <c r="L426" t="str">
        <f>VLOOKUP($C426,Table1[#All],3,FALSE)</f>
        <v xml:space="preserve">Transactions related to food and beverage service. Includes all guest transactions in the hotel restaurants, catering-related transactions and food service payroll. </v>
      </c>
      <c r="M426" t="str">
        <f>IFERROR(VLOOKUP($B426,ChartOfAccounts!A425:B510,2,FALSE),"")</f>
        <v/>
      </c>
      <c r="N426" t="str">
        <f>IFERROR(VLOOKUP($B426,ChartOfAccounts!C425:D510,2,FALSE),"")</f>
        <v/>
      </c>
      <c r="O426" t="str">
        <f>IFERROR(VLOOKUP($B426,ChartOfAccounts!E425:F510,2,FALSE),"")</f>
        <v/>
      </c>
      <c r="P426" t="str">
        <f>IFERROR(VLOOKUP(D426,PreparerInfo!A425:B437,2,FALSE),"")</f>
        <v/>
      </c>
      <c r="Q426" t="str">
        <f>IFERROR(VLOOKUP(E426,Source!A425:B433,2,FALSE),"")</f>
        <v/>
      </c>
    </row>
    <row r="427" spans="1:17" x14ac:dyDescent="0.3">
      <c r="A427" s="3">
        <v>2033732</v>
      </c>
      <c r="B427">
        <v>11845</v>
      </c>
      <c r="C427">
        <v>1</v>
      </c>
      <c r="D427" s="9">
        <v>101</v>
      </c>
      <c r="E427">
        <v>1002</v>
      </c>
      <c r="F427" s="1">
        <v>44009</v>
      </c>
      <c r="G427" t="s">
        <v>172</v>
      </c>
      <c r="H427" s="4" t="s">
        <v>16</v>
      </c>
      <c r="I427" s="4">
        <v>-190</v>
      </c>
      <c r="J427" s="4">
        <v>-190</v>
      </c>
      <c r="K427" t="str">
        <f>VLOOKUP($C427,Table1[#All],2,FALSE)</f>
        <v>FOOD SERVICE</v>
      </c>
      <c r="L427" t="str">
        <f>VLOOKUP($C427,Table1[#All],3,FALSE)</f>
        <v xml:space="preserve">Transactions related to food and beverage service. Includes all guest transactions in the hotel restaurants, catering-related transactions and food service payroll. </v>
      </c>
      <c r="M427" t="str">
        <f>IFERROR(VLOOKUP($B427,ChartOfAccounts!A426:B511,2,FALSE),"")</f>
        <v/>
      </c>
      <c r="N427" t="str">
        <f>IFERROR(VLOOKUP($B427,ChartOfAccounts!C426:D511,2,FALSE),"")</f>
        <v/>
      </c>
      <c r="O427" t="str">
        <f>IFERROR(VLOOKUP($B427,ChartOfAccounts!E426:F511,2,FALSE),"")</f>
        <v/>
      </c>
      <c r="P427" t="str">
        <f>IFERROR(VLOOKUP(D427,PreparerInfo!A426:B438,2,FALSE),"")</f>
        <v/>
      </c>
      <c r="Q427" t="str">
        <f>IFERROR(VLOOKUP(E427,Source!A426:B434,2,FALSE),"")</f>
        <v/>
      </c>
    </row>
    <row r="428" spans="1:17" x14ac:dyDescent="0.3">
      <c r="A428" s="3">
        <v>2033733</v>
      </c>
      <c r="B428">
        <v>11845</v>
      </c>
      <c r="C428">
        <v>2</v>
      </c>
      <c r="D428" s="9">
        <v>104</v>
      </c>
      <c r="E428">
        <v>1003</v>
      </c>
      <c r="F428" s="1">
        <v>44009</v>
      </c>
      <c r="G428" t="s">
        <v>237</v>
      </c>
      <c r="H428" s="4">
        <v>198</v>
      </c>
      <c r="I428" s="4" t="s">
        <v>16</v>
      </c>
      <c r="J428" s="4">
        <v>198</v>
      </c>
      <c r="K428" t="str">
        <f>VLOOKUP($C428,Table1[#All],2,FALSE)</f>
        <v>HOTEL</v>
      </c>
      <c r="L428" t="str">
        <f>VLOOKUP($C428,Table1[#All],3,FALSE)</f>
        <v xml:space="preserve">Transactions related to guest rooms and overall hotel operations. Includes payroll for administrative staff, clerks and interns. </v>
      </c>
      <c r="M428" t="str">
        <f>IFERROR(VLOOKUP($B428,ChartOfAccounts!A427:B512,2,FALSE),"")</f>
        <v/>
      </c>
      <c r="N428" t="str">
        <f>IFERROR(VLOOKUP($B428,ChartOfAccounts!C427:D512,2,FALSE),"")</f>
        <v/>
      </c>
      <c r="O428" t="str">
        <f>IFERROR(VLOOKUP($B428,ChartOfAccounts!E427:F512,2,FALSE),"")</f>
        <v/>
      </c>
      <c r="P428" t="str">
        <f>IFERROR(VLOOKUP(D428,PreparerInfo!A427:B439,2,FALSE),"")</f>
        <v/>
      </c>
      <c r="Q428" t="str">
        <f>IFERROR(VLOOKUP(E428,Source!A427:B435,2,FALSE),"")</f>
        <v/>
      </c>
    </row>
    <row r="429" spans="1:17" x14ac:dyDescent="0.3">
      <c r="A429" s="3">
        <v>2033733</v>
      </c>
      <c r="B429">
        <v>43180</v>
      </c>
      <c r="C429">
        <v>2</v>
      </c>
      <c r="D429" s="9">
        <v>104</v>
      </c>
      <c r="E429">
        <v>1003</v>
      </c>
      <c r="F429" s="1">
        <v>44009</v>
      </c>
      <c r="G429" t="s">
        <v>237</v>
      </c>
      <c r="H429" s="4" t="s">
        <v>16</v>
      </c>
      <c r="I429" s="4">
        <v>-198</v>
      </c>
      <c r="J429" s="4">
        <v>-198</v>
      </c>
      <c r="K429" t="str">
        <f>VLOOKUP($C429,Table1[#All],2,FALSE)</f>
        <v>HOTEL</v>
      </c>
      <c r="L429" t="str">
        <f>VLOOKUP($C429,Table1[#All],3,FALSE)</f>
        <v xml:space="preserve">Transactions related to guest rooms and overall hotel operations. Includes payroll for administrative staff, clerks and interns. </v>
      </c>
      <c r="M429" t="str">
        <f>IFERROR(VLOOKUP($B429,ChartOfAccounts!A428:B513,2,FALSE),"")</f>
        <v/>
      </c>
      <c r="N429" t="str">
        <f>IFERROR(VLOOKUP($B429,ChartOfAccounts!C428:D513,2,FALSE),"")</f>
        <v/>
      </c>
      <c r="O429" t="str">
        <f>IFERROR(VLOOKUP($B429,ChartOfAccounts!E428:F513,2,FALSE),"")</f>
        <v/>
      </c>
      <c r="P429" t="str">
        <f>IFERROR(VLOOKUP(D429,PreparerInfo!A428:B440,2,FALSE),"")</f>
        <v/>
      </c>
      <c r="Q429" t="str">
        <f>IFERROR(VLOOKUP(E429,Source!A428:B436,2,FALSE),"")</f>
        <v/>
      </c>
    </row>
    <row r="430" spans="1:17" x14ac:dyDescent="0.3">
      <c r="A430" s="3">
        <v>2033734</v>
      </c>
      <c r="B430">
        <v>74200</v>
      </c>
      <c r="C430">
        <v>2</v>
      </c>
      <c r="D430" s="9">
        <v>101</v>
      </c>
      <c r="E430">
        <v>1002</v>
      </c>
      <c r="F430" s="1">
        <v>44009</v>
      </c>
      <c r="G430" t="s">
        <v>172</v>
      </c>
      <c r="H430" s="4">
        <v>216</v>
      </c>
      <c r="I430" s="4" t="s">
        <v>16</v>
      </c>
      <c r="J430" s="4">
        <v>216</v>
      </c>
      <c r="K430" t="str">
        <f>VLOOKUP($C430,Table1[#All],2,FALSE)</f>
        <v>HOTEL</v>
      </c>
      <c r="L430" t="str">
        <f>VLOOKUP($C430,Table1[#All],3,FALSE)</f>
        <v xml:space="preserve">Transactions related to guest rooms and overall hotel operations. Includes payroll for administrative staff, clerks and interns. </v>
      </c>
      <c r="M430" t="str">
        <f>IFERROR(VLOOKUP($B430,ChartOfAccounts!A429:B514,2,FALSE),"")</f>
        <v/>
      </c>
      <c r="N430" t="str">
        <f>IFERROR(VLOOKUP($B430,ChartOfAccounts!C429:D514,2,FALSE),"")</f>
        <v/>
      </c>
      <c r="O430" t="str">
        <f>IFERROR(VLOOKUP($B430,ChartOfAccounts!E429:F514,2,FALSE),"")</f>
        <v/>
      </c>
      <c r="P430" t="str">
        <f>IFERROR(VLOOKUP(D430,PreparerInfo!A429:B441,2,FALSE),"")</f>
        <v/>
      </c>
      <c r="Q430" t="str">
        <f>IFERROR(VLOOKUP(E430,Source!A429:B437,2,FALSE),"")</f>
        <v/>
      </c>
    </row>
    <row r="431" spans="1:17" x14ac:dyDescent="0.3">
      <c r="A431" s="3">
        <v>2033734</v>
      </c>
      <c r="B431">
        <v>11845</v>
      </c>
      <c r="C431">
        <v>2</v>
      </c>
      <c r="D431" s="9">
        <v>101</v>
      </c>
      <c r="E431">
        <v>1002</v>
      </c>
      <c r="F431" s="1">
        <v>44009</v>
      </c>
      <c r="G431" t="s">
        <v>172</v>
      </c>
      <c r="H431" s="4" t="s">
        <v>16</v>
      </c>
      <c r="I431" s="4">
        <v>-216</v>
      </c>
      <c r="J431" s="4">
        <v>-216</v>
      </c>
      <c r="K431" t="str">
        <f>VLOOKUP($C431,Table1[#All],2,FALSE)</f>
        <v>HOTEL</v>
      </c>
      <c r="L431" t="str">
        <f>VLOOKUP($C431,Table1[#All],3,FALSE)</f>
        <v xml:space="preserve">Transactions related to guest rooms and overall hotel operations. Includes payroll for administrative staff, clerks and interns. </v>
      </c>
      <c r="M431" t="str">
        <f>IFERROR(VLOOKUP($B431,ChartOfAccounts!A430:B515,2,FALSE),"")</f>
        <v/>
      </c>
      <c r="N431" t="str">
        <f>IFERROR(VLOOKUP($B431,ChartOfAccounts!C430:D515,2,FALSE),"")</f>
        <v/>
      </c>
      <c r="O431" t="str">
        <f>IFERROR(VLOOKUP($B431,ChartOfAccounts!E430:F515,2,FALSE),"")</f>
        <v/>
      </c>
      <c r="P431" t="str">
        <f>IFERROR(VLOOKUP(D431,PreparerInfo!A430:B442,2,FALSE),"")</f>
        <v/>
      </c>
      <c r="Q431" t="str">
        <f>IFERROR(VLOOKUP(E431,Source!A430:B438,2,FALSE),"")</f>
        <v/>
      </c>
    </row>
    <row r="432" spans="1:17" x14ac:dyDescent="0.3">
      <c r="A432" s="3">
        <v>2033735</v>
      </c>
      <c r="B432">
        <v>14250</v>
      </c>
      <c r="C432">
        <v>3</v>
      </c>
      <c r="D432" s="9">
        <v>102</v>
      </c>
      <c r="E432">
        <v>1002</v>
      </c>
      <c r="F432" s="1">
        <v>44009</v>
      </c>
      <c r="G432" t="s">
        <v>47</v>
      </c>
      <c r="H432" s="4">
        <v>226.49</v>
      </c>
      <c r="I432" s="4" t="s">
        <v>16</v>
      </c>
      <c r="J432" s="4">
        <v>226.49</v>
      </c>
      <c r="K432" t="str">
        <f>VLOOKUP($C432,Table1[#All],2,FALSE)</f>
        <v>HOTEL PANTRY</v>
      </c>
      <c r="L432" t="str">
        <f>VLOOKUP($C432,Table1[#All],3,FALSE)</f>
        <v>Transactions related to the hotel convenience store, including some food and beverage costs.</v>
      </c>
      <c r="M432" t="str">
        <f>IFERROR(VLOOKUP($B432,ChartOfAccounts!A431:B516,2,FALSE),"")</f>
        <v/>
      </c>
      <c r="N432" t="str">
        <f>IFERROR(VLOOKUP($B432,ChartOfAccounts!C431:D516,2,FALSE),"")</f>
        <v/>
      </c>
      <c r="O432" t="str">
        <f>IFERROR(VLOOKUP($B432,ChartOfAccounts!E431:F516,2,FALSE),"")</f>
        <v/>
      </c>
      <c r="P432" t="str">
        <f>IFERROR(VLOOKUP(D432,PreparerInfo!A431:B443,2,FALSE),"")</f>
        <v/>
      </c>
      <c r="Q432" t="str">
        <f>IFERROR(VLOOKUP(E432,Source!A431:B439,2,FALSE),"")</f>
        <v/>
      </c>
    </row>
    <row r="433" spans="1:17" x14ac:dyDescent="0.3">
      <c r="A433" s="3">
        <v>2033735</v>
      </c>
      <c r="B433">
        <v>11845</v>
      </c>
      <c r="C433">
        <v>3</v>
      </c>
      <c r="D433" s="9">
        <v>102</v>
      </c>
      <c r="E433">
        <v>1002</v>
      </c>
      <c r="F433" s="1">
        <v>44009</v>
      </c>
      <c r="G433" t="s">
        <v>47</v>
      </c>
      <c r="H433" s="4" t="s">
        <v>16</v>
      </c>
      <c r="I433" s="4">
        <v>-226.49</v>
      </c>
      <c r="J433" s="4">
        <v>-226.49</v>
      </c>
      <c r="K433" t="str">
        <f>VLOOKUP($C433,Table1[#All],2,FALSE)</f>
        <v>HOTEL PANTRY</v>
      </c>
      <c r="L433" t="str">
        <f>VLOOKUP($C433,Table1[#All],3,FALSE)</f>
        <v>Transactions related to the hotel convenience store, including some food and beverage costs.</v>
      </c>
      <c r="M433" t="str">
        <f>IFERROR(VLOOKUP($B433,ChartOfAccounts!A432:B517,2,FALSE),"")</f>
        <v/>
      </c>
      <c r="N433" t="str">
        <f>IFERROR(VLOOKUP($B433,ChartOfAccounts!C432:D517,2,FALSE),"")</f>
        <v/>
      </c>
      <c r="O433" t="str">
        <f>IFERROR(VLOOKUP($B433,ChartOfAccounts!E432:F517,2,FALSE),"")</f>
        <v/>
      </c>
      <c r="P433" t="str">
        <f>IFERROR(VLOOKUP(D433,PreparerInfo!A432:B444,2,FALSE),"")</f>
        <v/>
      </c>
      <c r="Q433" t="str">
        <f>IFERROR(VLOOKUP(E433,Source!A432:B440,2,FALSE),"")</f>
        <v/>
      </c>
    </row>
    <row r="434" spans="1:17" x14ac:dyDescent="0.3">
      <c r="A434" s="3">
        <v>2033736</v>
      </c>
      <c r="B434">
        <v>11845</v>
      </c>
      <c r="C434">
        <v>2</v>
      </c>
      <c r="D434" s="9">
        <v>104</v>
      </c>
      <c r="E434">
        <v>1003</v>
      </c>
      <c r="F434" s="1">
        <v>44009</v>
      </c>
      <c r="G434" t="s">
        <v>41</v>
      </c>
      <c r="H434" s="4">
        <v>263</v>
      </c>
      <c r="I434" s="4" t="s">
        <v>16</v>
      </c>
      <c r="J434" s="4">
        <v>263</v>
      </c>
      <c r="K434" t="str">
        <f>VLOOKUP($C434,Table1[#All],2,FALSE)</f>
        <v>HOTEL</v>
      </c>
      <c r="L434" t="str">
        <f>VLOOKUP($C434,Table1[#All],3,FALSE)</f>
        <v xml:space="preserve">Transactions related to guest rooms and overall hotel operations. Includes payroll for administrative staff, clerks and interns. </v>
      </c>
      <c r="M434" t="str">
        <f>IFERROR(VLOOKUP($B434,ChartOfAccounts!A433:B518,2,FALSE),"")</f>
        <v/>
      </c>
      <c r="N434" t="str">
        <f>IFERROR(VLOOKUP($B434,ChartOfAccounts!C433:D518,2,FALSE),"")</f>
        <v/>
      </c>
      <c r="O434" t="str">
        <f>IFERROR(VLOOKUP($B434,ChartOfAccounts!E433:F518,2,FALSE),"")</f>
        <v/>
      </c>
      <c r="P434" t="str">
        <f>IFERROR(VLOOKUP(D434,PreparerInfo!A433:B445,2,FALSE),"")</f>
        <v/>
      </c>
      <c r="Q434" t="str">
        <f>IFERROR(VLOOKUP(E434,Source!A433:B441,2,FALSE),"")</f>
        <v/>
      </c>
    </row>
    <row r="435" spans="1:17" x14ac:dyDescent="0.3">
      <c r="A435" s="3">
        <v>2033736</v>
      </c>
      <c r="B435">
        <v>43180</v>
      </c>
      <c r="C435">
        <v>2</v>
      </c>
      <c r="D435" s="9">
        <v>104</v>
      </c>
      <c r="E435">
        <v>1003</v>
      </c>
      <c r="F435" s="1">
        <v>44009</v>
      </c>
      <c r="G435" t="s">
        <v>41</v>
      </c>
      <c r="H435" s="4" t="s">
        <v>16</v>
      </c>
      <c r="I435" s="4">
        <v>-263</v>
      </c>
      <c r="J435" s="4">
        <v>-263</v>
      </c>
      <c r="K435" t="str">
        <f>VLOOKUP($C435,Table1[#All],2,FALSE)</f>
        <v>HOTEL</v>
      </c>
      <c r="L435" t="str">
        <f>VLOOKUP($C435,Table1[#All],3,FALSE)</f>
        <v xml:space="preserve">Transactions related to guest rooms and overall hotel operations. Includes payroll for administrative staff, clerks and interns. </v>
      </c>
      <c r="M435" t="str">
        <f>IFERROR(VLOOKUP($B435,ChartOfAccounts!A434:B519,2,FALSE),"")</f>
        <v/>
      </c>
      <c r="N435" t="str">
        <f>IFERROR(VLOOKUP($B435,ChartOfAccounts!C434:D519,2,FALSE),"")</f>
        <v/>
      </c>
      <c r="O435" t="str">
        <f>IFERROR(VLOOKUP($B435,ChartOfAccounts!E434:F519,2,FALSE),"")</f>
        <v/>
      </c>
      <c r="P435" t="str">
        <f>IFERROR(VLOOKUP(D435,PreparerInfo!A434:B446,2,FALSE),"")</f>
        <v/>
      </c>
      <c r="Q435" t="str">
        <f>IFERROR(VLOOKUP(E435,Source!A434:B442,2,FALSE),"")</f>
        <v/>
      </c>
    </row>
    <row r="436" spans="1:17" x14ac:dyDescent="0.3">
      <c r="A436" s="3">
        <v>2033737</v>
      </c>
      <c r="B436">
        <v>14260</v>
      </c>
      <c r="C436">
        <v>1</v>
      </c>
      <c r="D436" s="9">
        <v>102</v>
      </c>
      <c r="E436">
        <v>1002</v>
      </c>
      <c r="F436" s="1">
        <v>44009</v>
      </c>
      <c r="G436" t="s">
        <v>210</v>
      </c>
      <c r="H436" s="4">
        <v>266.98</v>
      </c>
      <c r="I436" s="4" t="s">
        <v>16</v>
      </c>
      <c r="J436" s="4">
        <v>266.98</v>
      </c>
      <c r="K436" t="str">
        <f>VLOOKUP($C436,Table1[#All],2,FALSE)</f>
        <v>FOOD SERVICE</v>
      </c>
      <c r="L436" t="str">
        <f>VLOOKUP($C436,Table1[#All],3,FALSE)</f>
        <v xml:space="preserve">Transactions related to food and beverage service. Includes all guest transactions in the hotel restaurants, catering-related transactions and food service payroll. </v>
      </c>
      <c r="M436" t="str">
        <f>IFERROR(VLOOKUP($B436,ChartOfAccounts!A435:B520,2,FALSE),"")</f>
        <v/>
      </c>
      <c r="N436" t="str">
        <f>IFERROR(VLOOKUP($B436,ChartOfAccounts!C435:D520,2,FALSE),"")</f>
        <v/>
      </c>
      <c r="O436" t="str">
        <f>IFERROR(VLOOKUP($B436,ChartOfAccounts!E435:F520,2,FALSE),"")</f>
        <v/>
      </c>
      <c r="P436" t="str">
        <f>IFERROR(VLOOKUP(D436,PreparerInfo!A435:B447,2,FALSE),"")</f>
        <v/>
      </c>
      <c r="Q436" t="str">
        <f>IFERROR(VLOOKUP(E436,Source!A435:B443,2,FALSE),"")</f>
        <v/>
      </c>
    </row>
    <row r="437" spans="1:17" x14ac:dyDescent="0.3">
      <c r="A437" s="3">
        <v>2033737</v>
      </c>
      <c r="B437">
        <v>11845</v>
      </c>
      <c r="C437">
        <v>1</v>
      </c>
      <c r="D437" s="9">
        <v>102</v>
      </c>
      <c r="E437">
        <v>1002</v>
      </c>
      <c r="F437" s="1">
        <v>44009</v>
      </c>
      <c r="G437" t="s">
        <v>210</v>
      </c>
      <c r="H437" s="4" t="s">
        <v>16</v>
      </c>
      <c r="I437" s="4">
        <v>-266.98</v>
      </c>
      <c r="J437" s="4">
        <v>-266.98</v>
      </c>
      <c r="K437" t="str">
        <f>VLOOKUP($C437,Table1[#All],2,FALSE)</f>
        <v>FOOD SERVICE</v>
      </c>
      <c r="L437" t="str">
        <f>VLOOKUP($C437,Table1[#All],3,FALSE)</f>
        <v xml:space="preserve">Transactions related to food and beverage service. Includes all guest transactions in the hotel restaurants, catering-related transactions and food service payroll. </v>
      </c>
      <c r="M437" t="str">
        <f>IFERROR(VLOOKUP($B437,ChartOfAccounts!A436:B521,2,FALSE),"")</f>
        <v/>
      </c>
      <c r="N437" t="str">
        <f>IFERROR(VLOOKUP($B437,ChartOfAccounts!C436:D521,2,FALSE),"")</f>
        <v/>
      </c>
      <c r="O437" t="str">
        <f>IFERROR(VLOOKUP($B437,ChartOfAccounts!E436:F521,2,FALSE),"")</f>
        <v/>
      </c>
      <c r="P437" t="str">
        <f>IFERROR(VLOOKUP(D437,PreparerInfo!A436:B448,2,FALSE),"")</f>
        <v/>
      </c>
      <c r="Q437" t="str">
        <f>IFERROR(VLOOKUP(E437,Source!A436:B444,2,FALSE),"")</f>
        <v/>
      </c>
    </row>
    <row r="438" spans="1:17" x14ac:dyDescent="0.3">
      <c r="A438" s="3">
        <v>2033738</v>
      </c>
      <c r="B438">
        <v>14260</v>
      </c>
      <c r="C438">
        <v>1</v>
      </c>
      <c r="D438" s="9">
        <v>102</v>
      </c>
      <c r="E438">
        <v>1002</v>
      </c>
      <c r="F438" s="1">
        <v>44009</v>
      </c>
      <c r="G438" t="s">
        <v>214</v>
      </c>
      <c r="H438" s="4">
        <v>267.12</v>
      </c>
      <c r="I438" s="4" t="s">
        <v>16</v>
      </c>
      <c r="J438" s="4">
        <v>267.12</v>
      </c>
      <c r="K438" t="str">
        <f>VLOOKUP($C438,Table1[#All],2,FALSE)</f>
        <v>FOOD SERVICE</v>
      </c>
      <c r="L438" t="str">
        <f>VLOOKUP($C438,Table1[#All],3,FALSE)</f>
        <v xml:space="preserve">Transactions related to food and beverage service. Includes all guest transactions in the hotel restaurants, catering-related transactions and food service payroll. </v>
      </c>
      <c r="M438" t="str">
        <f>IFERROR(VLOOKUP($B438,ChartOfAccounts!A437:B522,2,FALSE),"")</f>
        <v/>
      </c>
      <c r="N438" t="str">
        <f>IFERROR(VLOOKUP($B438,ChartOfAccounts!C437:D522,2,FALSE),"")</f>
        <v/>
      </c>
      <c r="O438" t="str">
        <f>IFERROR(VLOOKUP($B438,ChartOfAccounts!E437:F522,2,FALSE),"")</f>
        <v/>
      </c>
      <c r="P438" t="str">
        <f>IFERROR(VLOOKUP(D438,PreparerInfo!A437:B449,2,FALSE),"")</f>
        <v/>
      </c>
      <c r="Q438" t="str">
        <f>IFERROR(VLOOKUP(E438,Source!A437:B445,2,FALSE),"")</f>
        <v/>
      </c>
    </row>
    <row r="439" spans="1:17" x14ac:dyDescent="0.3">
      <c r="A439" s="3">
        <v>2033738</v>
      </c>
      <c r="B439">
        <v>11845</v>
      </c>
      <c r="C439">
        <v>1</v>
      </c>
      <c r="D439" s="9">
        <v>102</v>
      </c>
      <c r="E439">
        <v>1002</v>
      </c>
      <c r="F439" s="1">
        <v>44009</v>
      </c>
      <c r="G439" t="s">
        <v>214</v>
      </c>
      <c r="H439" s="4" t="s">
        <v>16</v>
      </c>
      <c r="I439" s="4">
        <v>-267.12</v>
      </c>
      <c r="J439" s="4">
        <v>-267.12</v>
      </c>
      <c r="K439" t="str">
        <f>VLOOKUP($C439,Table1[#All],2,FALSE)</f>
        <v>FOOD SERVICE</v>
      </c>
      <c r="L439" t="str">
        <f>VLOOKUP($C439,Table1[#All],3,FALSE)</f>
        <v xml:space="preserve">Transactions related to food and beverage service. Includes all guest transactions in the hotel restaurants, catering-related transactions and food service payroll. </v>
      </c>
      <c r="M439" t="str">
        <f>IFERROR(VLOOKUP($B439,ChartOfAccounts!A438:B523,2,FALSE),"")</f>
        <v/>
      </c>
      <c r="N439" t="str">
        <f>IFERROR(VLOOKUP($B439,ChartOfAccounts!C438:D523,2,FALSE),"")</f>
        <v/>
      </c>
      <c r="O439" t="str">
        <f>IFERROR(VLOOKUP($B439,ChartOfAccounts!E438:F523,2,FALSE),"")</f>
        <v/>
      </c>
      <c r="P439" t="str">
        <f>IFERROR(VLOOKUP(D439,PreparerInfo!A438:B450,2,FALSE),"")</f>
        <v/>
      </c>
      <c r="Q439" t="str">
        <f>IFERROR(VLOOKUP(E439,Source!A438:B446,2,FALSE),"")</f>
        <v/>
      </c>
    </row>
    <row r="440" spans="1:17" x14ac:dyDescent="0.3">
      <c r="A440" s="3">
        <v>2033739</v>
      </c>
      <c r="B440">
        <v>43180</v>
      </c>
      <c r="C440">
        <v>2</v>
      </c>
      <c r="D440" s="9">
        <v>102</v>
      </c>
      <c r="E440">
        <v>1002</v>
      </c>
      <c r="F440" s="1">
        <v>44009</v>
      </c>
      <c r="G440" t="s">
        <v>211</v>
      </c>
      <c r="H440" s="4">
        <v>357</v>
      </c>
      <c r="I440" s="4" t="s">
        <v>16</v>
      </c>
      <c r="J440" s="4">
        <v>357</v>
      </c>
      <c r="K440" t="str">
        <f>VLOOKUP($C440,Table1[#All],2,FALSE)</f>
        <v>HOTEL</v>
      </c>
      <c r="L440" t="str">
        <f>VLOOKUP($C440,Table1[#All],3,FALSE)</f>
        <v xml:space="preserve">Transactions related to guest rooms and overall hotel operations. Includes payroll for administrative staff, clerks and interns. </v>
      </c>
      <c r="M440" t="str">
        <f>IFERROR(VLOOKUP($B440,ChartOfAccounts!A439:B524,2,FALSE),"")</f>
        <v/>
      </c>
      <c r="N440" t="str">
        <f>IFERROR(VLOOKUP($B440,ChartOfAccounts!C439:D524,2,FALSE),"")</f>
        <v/>
      </c>
      <c r="O440" t="str">
        <f>IFERROR(VLOOKUP($B440,ChartOfAccounts!E439:F524,2,FALSE),"")</f>
        <v/>
      </c>
      <c r="P440" t="str">
        <f>IFERROR(VLOOKUP(D440,PreparerInfo!A439:B451,2,FALSE),"")</f>
        <v/>
      </c>
      <c r="Q440" t="str">
        <f>IFERROR(VLOOKUP(E440,Source!A439:B447,2,FALSE),"")</f>
        <v/>
      </c>
    </row>
    <row r="441" spans="1:17" x14ac:dyDescent="0.3">
      <c r="A441" s="3">
        <v>2033739</v>
      </c>
      <c r="B441">
        <v>11845</v>
      </c>
      <c r="C441">
        <v>2</v>
      </c>
      <c r="D441" s="9">
        <v>102</v>
      </c>
      <c r="E441">
        <v>1002</v>
      </c>
      <c r="F441" s="1">
        <v>44009</v>
      </c>
      <c r="G441" t="s">
        <v>211</v>
      </c>
      <c r="H441" s="4" t="s">
        <v>16</v>
      </c>
      <c r="I441" s="4">
        <v>-357</v>
      </c>
      <c r="J441" s="4">
        <v>-357</v>
      </c>
      <c r="K441" t="str">
        <f>VLOOKUP($C441,Table1[#All],2,FALSE)</f>
        <v>HOTEL</v>
      </c>
      <c r="L441" t="str">
        <f>VLOOKUP($C441,Table1[#All],3,FALSE)</f>
        <v xml:space="preserve">Transactions related to guest rooms and overall hotel operations. Includes payroll for administrative staff, clerks and interns. </v>
      </c>
      <c r="M441" t="str">
        <f>IFERROR(VLOOKUP($B441,ChartOfAccounts!A440:B525,2,FALSE),"")</f>
        <v/>
      </c>
      <c r="N441" t="str">
        <f>IFERROR(VLOOKUP($B441,ChartOfAccounts!C440:D525,2,FALSE),"")</f>
        <v/>
      </c>
      <c r="O441" t="str">
        <f>IFERROR(VLOOKUP($B441,ChartOfAccounts!E440:F525,2,FALSE),"")</f>
        <v/>
      </c>
      <c r="P441" t="str">
        <f>IFERROR(VLOOKUP(D441,PreparerInfo!A440:B452,2,FALSE),"")</f>
        <v/>
      </c>
      <c r="Q441" t="str">
        <f>IFERROR(VLOOKUP(E441,Source!A440:B448,2,FALSE),"")</f>
        <v/>
      </c>
    </row>
    <row r="442" spans="1:17" x14ac:dyDescent="0.3">
      <c r="A442" s="3">
        <v>2033740</v>
      </c>
      <c r="B442">
        <v>11845</v>
      </c>
      <c r="C442">
        <v>1</v>
      </c>
      <c r="D442" s="9">
        <v>106</v>
      </c>
      <c r="E442">
        <v>1003</v>
      </c>
      <c r="F442" s="1">
        <v>44009</v>
      </c>
      <c r="G442" t="s">
        <v>80</v>
      </c>
      <c r="H442" s="4">
        <v>362.96</v>
      </c>
      <c r="I442" s="4" t="s">
        <v>16</v>
      </c>
      <c r="J442" s="4">
        <v>362.96</v>
      </c>
      <c r="K442" t="str">
        <f>VLOOKUP($C442,Table1[#All],2,FALSE)</f>
        <v>FOOD SERVICE</v>
      </c>
      <c r="L442" t="str">
        <f>VLOOKUP($C442,Table1[#All],3,FALSE)</f>
        <v xml:space="preserve">Transactions related to food and beverage service. Includes all guest transactions in the hotel restaurants, catering-related transactions and food service payroll. </v>
      </c>
      <c r="M442" t="str">
        <f>IFERROR(VLOOKUP($B442,ChartOfAccounts!A441:B526,2,FALSE),"")</f>
        <v/>
      </c>
      <c r="N442" t="str">
        <f>IFERROR(VLOOKUP($B442,ChartOfAccounts!C441:D526,2,FALSE),"")</f>
        <v/>
      </c>
      <c r="O442" t="str">
        <f>IFERROR(VLOOKUP($B442,ChartOfAccounts!E441:F526,2,FALSE),"")</f>
        <v/>
      </c>
      <c r="P442" t="str">
        <f>IFERROR(VLOOKUP(D442,PreparerInfo!A441:B453,2,FALSE),"")</f>
        <v/>
      </c>
      <c r="Q442" t="str">
        <f>IFERROR(VLOOKUP(E442,Source!A441:B449,2,FALSE),"")</f>
        <v/>
      </c>
    </row>
    <row r="443" spans="1:17" x14ac:dyDescent="0.3">
      <c r="A443" s="3">
        <v>2033740</v>
      </c>
      <c r="B443">
        <v>43310</v>
      </c>
      <c r="C443">
        <v>1</v>
      </c>
      <c r="D443" s="9">
        <v>106</v>
      </c>
      <c r="E443">
        <v>1003</v>
      </c>
      <c r="F443" s="1">
        <v>44009</v>
      </c>
      <c r="G443" t="s">
        <v>80</v>
      </c>
      <c r="H443" s="4" t="s">
        <v>16</v>
      </c>
      <c r="I443" s="4">
        <v>-362.96</v>
      </c>
      <c r="J443" s="4">
        <v>-362.96</v>
      </c>
      <c r="K443" t="str">
        <f>VLOOKUP($C443,Table1[#All],2,FALSE)</f>
        <v>FOOD SERVICE</v>
      </c>
      <c r="L443" t="str">
        <f>VLOOKUP($C443,Table1[#All],3,FALSE)</f>
        <v xml:space="preserve">Transactions related to food and beverage service. Includes all guest transactions in the hotel restaurants, catering-related transactions and food service payroll. </v>
      </c>
      <c r="M443" t="str">
        <f>IFERROR(VLOOKUP($B443,ChartOfAccounts!A442:B527,2,FALSE),"")</f>
        <v/>
      </c>
      <c r="N443" t="str">
        <f>IFERROR(VLOOKUP($B443,ChartOfAccounts!C442:D527,2,FALSE),"")</f>
        <v/>
      </c>
      <c r="O443" t="str">
        <f>IFERROR(VLOOKUP($B443,ChartOfAccounts!E442:F527,2,FALSE),"")</f>
        <v/>
      </c>
      <c r="P443" t="str">
        <f>IFERROR(VLOOKUP(D443,PreparerInfo!A442:B454,2,FALSE),"")</f>
        <v/>
      </c>
      <c r="Q443" t="str">
        <f>IFERROR(VLOOKUP(E443,Source!A442:B450,2,FALSE),"")</f>
        <v/>
      </c>
    </row>
    <row r="444" spans="1:17" x14ac:dyDescent="0.3">
      <c r="A444" s="3">
        <v>2033741</v>
      </c>
      <c r="B444">
        <v>14260</v>
      </c>
      <c r="C444">
        <v>1</v>
      </c>
      <c r="D444" s="9">
        <v>102</v>
      </c>
      <c r="E444">
        <v>1002</v>
      </c>
      <c r="F444" s="1">
        <v>44009</v>
      </c>
      <c r="G444" t="s">
        <v>214</v>
      </c>
      <c r="H444" s="4">
        <v>374.4</v>
      </c>
      <c r="I444" s="4" t="s">
        <v>16</v>
      </c>
      <c r="J444" s="4">
        <v>374.4</v>
      </c>
      <c r="K444" t="str">
        <f>VLOOKUP($C444,Table1[#All],2,FALSE)</f>
        <v>FOOD SERVICE</v>
      </c>
      <c r="L444" t="str">
        <f>VLOOKUP($C444,Table1[#All],3,FALSE)</f>
        <v xml:space="preserve">Transactions related to food and beverage service. Includes all guest transactions in the hotel restaurants, catering-related transactions and food service payroll. </v>
      </c>
      <c r="M444" t="str">
        <f>IFERROR(VLOOKUP($B444,ChartOfAccounts!A443:B528,2,FALSE),"")</f>
        <v/>
      </c>
      <c r="N444" t="str">
        <f>IFERROR(VLOOKUP($B444,ChartOfAccounts!C443:D528,2,FALSE),"")</f>
        <v/>
      </c>
      <c r="O444" t="str">
        <f>IFERROR(VLOOKUP($B444,ChartOfAccounts!E443:F528,2,FALSE),"")</f>
        <v/>
      </c>
      <c r="P444" t="str">
        <f>IFERROR(VLOOKUP(D444,PreparerInfo!A443:B455,2,FALSE),"")</f>
        <v/>
      </c>
      <c r="Q444" t="str">
        <f>IFERROR(VLOOKUP(E444,Source!A443:B451,2,FALSE),"")</f>
        <v/>
      </c>
    </row>
    <row r="445" spans="1:17" x14ac:dyDescent="0.3">
      <c r="A445" s="3">
        <v>2033741</v>
      </c>
      <c r="B445">
        <v>11845</v>
      </c>
      <c r="C445">
        <v>1</v>
      </c>
      <c r="D445" s="9">
        <v>102</v>
      </c>
      <c r="E445">
        <v>1002</v>
      </c>
      <c r="F445" s="1">
        <v>44009</v>
      </c>
      <c r="G445" t="s">
        <v>214</v>
      </c>
      <c r="H445" s="4" t="s">
        <v>16</v>
      </c>
      <c r="I445" s="4">
        <v>-374.4</v>
      </c>
      <c r="J445" s="4">
        <v>-374.4</v>
      </c>
      <c r="K445" t="str">
        <f>VLOOKUP($C445,Table1[#All],2,FALSE)</f>
        <v>FOOD SERVICE</v>
      </c>
      <c r="L445" t="str">
        <f>VLOOKUP($C445,Table1[#All],3,FALSE)</f>
        <v xml:space="preserve">Transactions related to food and beverage service. Includes all guest transactions in the hotel restaurants, catering-related transactions and food service payroll. </v>
      </c>
      <c r="M445" t="str">
        <f>IFERROR(VLOOKUP($B445,ChartOfAccounts!A444:B529,2,FALSE),"")</f>
        <v/>
      </c>
      <c r="N445" t="str">
        <f>IFERROR(VLOOKUP($B445,ChartOfAccounts!C444:D529,2,FALSE),"")</f>
        <v/>
      </c>
      <c r="O445" t="str">
        <f>IFERROR(VLOOKUP($B445,ChartOfAccounts!E444:F529,2,FALSE),"")</f>
        <v/>
      </c>
      <c r="P445" t="str">
        <f>IFERROR(VLOOKUP(D445,PreparerInfo!A444:B456,2,FALSE),"")</f>
        <v/>
      </c>
      <c r="Q445" t="str">
        <f>IFERROR(VLOOKUP(E445,Source!A444:B452,2,FALSE),"")</f>
        <v/>
      </c>
    </row>
    <row r="446" spans="1:17" x14ac:dyDescent="0.3">
      <c r="A446" s="3">
        <v>2033742</v>
      </c>
      <c r="B446">
        <v>11845</v>
      </c>
      <c r="C446">
        <v>2</v>
      </c>
      <c r="D446" s="9">
        <v>104</v>
      </c>
      <c r="E446">
        <v>1003</v>
      </c>
      <c r="F446" s="1">
        <v>44009</v>
      </c>
      <c r="G446" t="s">
        <v>41</v>
      </c>
      <c r="H446" s="4">
        <v>396</v>
      </c>
      <c r="I446" s="4" t="s">
        <v>16</v>
      </c>
      <c r="J446" s="4">
        <v>396</v>
      </c>
      <c r="K446" t="str">
        <f>VLOOKUP($C446,Table1[#All],2,FALSE)</f>
        <v>HOTEL</v>
      </c>
      <c r="L446" t="str">
        <f>VLOOKUP($C446,Table1[#All],3,FALSE)</f>
        <v xml:space="preserve">Transactions related to guest rooms and overall hotel operations. Includes payroll for administrative staff, clerks and interns. </v>
      </c>
      <c r="M446" t="str">
        <f>IFERROR(VLOOKUP($B446,ChartOfAccounts!A445:B530,2,FALSE),"")</f>
        <v/>
      </c>
      <c r="N446" t="str">
        <f>IFERROR(VLOOKUP($B446,ChartOfAccounts!C445:D530,2,FALSE),"")</f>
        <v/>
      </c>
      <c r="O446" t="str">
        <f>IFERROR(VLOOKUP($B446,ChartOfAccounts!E445:F530,2,FALSE),"")</f>
        <v/>
      </c>
      <c r="P446" t="str">
        <f>IFERROR(VLOOKUP(D446,PreparerInfo!A445:B457,2,FALSE),"")</f>
        <v/>
      </c>
      <c r="Q446" t="str">
        <f>IFERROR(VLOOKUP(E446,Source!A445:B453,2,FALSE),"")</f>
        <v/>
      </c>
    </row>
    <row r="447" spans="1:17" x14ac:dyDescent="0.3">
      <c r="A447" s="3">
        <v>2033742</v>
      </c>
      <c r="B447">
        <v>43180</v>
      </c>
      <c r="C447">
        <v>2</v>
      </c>
      <c r="D447" s="9">
        <v>104</v>
      </c>
      <c r="E447">
        <v>1003</v>
      </c>
      <c r="F447" s="1">
        <v>44009</v>
      </c>
      <c r="G447" t="s">
        <v>41</v>
      </c>
      <c r="H447" s="4" t="s">
        <v>16</v>
      </c>
      <c r="I447" s="4">
        <v>-396</v>
      </c>
      <c r="J447" s="4">
        <v>-396</v>
      </c>
      <c r="K447" t="str">
        <f>VLOOKUP($C447,Table1[#All],2,FALSE)</f>
        <v>HOTEL</v>
      </c>
      <c r="L447" t="str">
        <f>VLOOKUP($C447,Table1[#All],3,FALSE)</f>
        <v xml:space="preserve">Transactions related to guest rooms and overall hotel operations. Includes payroll for administrative staff, clerks and interns. </v>
      </c>
      <c r="M447" t="str">
        <f>IFERROR(VLOOKUP($B447,ChartOfAccounts!A446:B531,2,FALSE),"")</f>
        <v/>
      </c>
      <c r="N447" t="str">
        <f>IFERROR(VLOOKUP($B447,ChartOfAccounts!C446:D531,2,FALSE),"")</f>
        <v/>
      </c>
      <c r="O447" t="str">
        <f>IFERROR(VLOOKUP($B447,ChartOfAccounts!E446:F531,2,FALSE),"")</f>
        <v/>
      </c>
      <c r="P447" t="str">
        <f>IFERROR(VLOOKUP(D447,PreparerInfo!A446:B458,2,FALSE),"")</f>
        <v/>
      </c>
      <c r="Q447" t="str">
        <f>IFERROR(VLOOKUP(E447,Source!A446:B454,2,FALSE),"")</f>
        <v/>
      </c>
    </row>
    <row r="448" spans="1:17" x14ac:dyDescent="0.3">
      <c r="A448" s="3">
        <v>2033743</v>
      </c>
      <c r="B448">
        <v>14260</v>
      </c>
      <c r="C448">
        <v>1</v>
      </c>
      <c r="D448" s="9">
        <v>102</v>
      </c>
      <c r="E448">
        <v>1002</v>
      </c>
      <c r="F448" s="1">
        <v>44009</v>
      </c>
      <c r="G448" t="s">
        <v>47</v>
      </c>
      <c r="H448" s="4">
        <v>396.12</v>
      </c>
      <c r="I448" s="4" t="s">
        <v>16</v>
      </c>
      <c r="J448" s="4">
        <v>396.12</v>
      </c>
      <c r="K448" t="str">
        <f>VLOOKUP($C448,Table1[#All],2,FALSE)</f>
        <v>FOOD SERVICE</v>
      </c>
      <c r="L448" t="str">
        <f>VLOOKUP($C448,Table1[#All],3,FALSE)</f>
        <v xml:space="preserve">Transactions related to food and beverage service. Includes all guest transactions in the hotel restaurants, catering-related transactions and food service payroll. </v>
      </c>
      <c r="M448" t="str">
        <f>IFERROR(VLOOKUP($B448,ChartOfAccounts!A447:B532,2,FALSE),"")</f>
        <v/>
      </c>
      <c r="N448" t="str">
        <f>IFERROR(VLOOKUP($B448,ChartOfAccounts!C447:D532,2,FALSE),"")</f>
        <v/>
      </c>
      <c r="O448" t="str">
        <f>IFERROR(VLOOKUP($B448,ChartOfAccounts!E447:F532,2,FALSE),"")</f>
        <v/>
      </c>
      <c r="P448" t="str">
        <f>IFERROR(VLOOKUP(D448,PreparerInfo!A447:B459,2,FALSE),"")</f>
        <v/>
      </c>
      <c r="Q448" t="str">
        <f>IFERROR(VLOOKUP(E448,Source!A447:B455,2,FALSE),"")</f>
        <v/>
      </c>
    </row>
    <row r="449" spans="1:17" x14ac:dyDescent="0.3">
      <c r="A449" s="3">
        <v>2033743</v>
      </c>
      <c r="B449">
        <v>11845</v>
      </c>
      <c r="C449">
        <v>1</v>
      </c>
      <c r="D449" s="9">
        <v>102</v>
      </c>
      <c r="E449">
        <v>1002</v>
      </c>
      <c r="F449" s="1">
        <v>44009</v>
      </c>
      <c r="G449" t="s">
        <v>47</v>
      </c>
      <c r="H449" s="4" t="s">
        <v>16</v>
      </c>
      <c r="I449" s="4">
        <v>-396.12</v>
      </c>
      <c r="J449" s="4">
        <v>-396.12</v>
      </c>
      <c r="K449" t="str">
        <f>VLOOKUP($C449,Table1[#All],2,FALSE)</f>
        <v>FOOD SERVICE</v>
      </c>
      <c r="L449" t="str">
        <f>VLOOKUP($C449,Table1[#All],3,FALSE)</f>
        <v xml:space="preserve">Transactions related to food and beverage service. Includes all guest transactions in the hotel restaurants, catering-related transactions and food service payroll. </v>
      </c>
      <c r="M449" t="str">
        <f>IFERROR(VLOOKUP($B449,ChartOfAccounts!A448:B533,2,FALSE),"")</f>
        <v/>
      </c>
      <c r="N449" t="str">
        <f>IFERROR(VLOOKUP($B449,ChartOfAccounts!C448:D533,2,FALSE),"")</f>
        <v/>
      </c>
      <c r="O449" t="str">
        <f>IFERROR(VLOOKUP($B449,ChartOfAccounts!E448:F533,2,FALSE),"")</f>
        <v/>
      </c>
      <c r="P449" t="str">
        <f>IFERROR(VLOOKUP(D449,PreparerInfo!A448:B460,2,FALSE),"")</f>
        <v/>
      </c>
      <c r="Q449" t="str">
        <f>IFERROR(VLOOKUP(E449,Source!A448:B456,2,FALSE),"")</f>
        <v/>
      </c>
    </row>
    <row r="450" spans="1:17" x14ac:dyDescent="0.3">
      <c r="A450" s="3">
        <v>2033744</v>
      </c>
      <c r="B450">
        <v>14260</v>
      </c>
      <c r="C450">
        <v>1</v>
      </c>
      <c r="D450" s="9">
        <v>102</v>
      </c>
      <c r="E450">
        <v>1002</v>
      </c>
      <c r="F450" s="1">
        <v>44009</v>
      </c>
      <c r="G450" t="s">
        <v>43</v>
      </c>
      <c r="H450" s="4">
        <v>497.59</v>
      </c>
      <c r="I450" s="4" t="s">
        <v>16</v>
      </c>
      <c r="J450" s="4">
        <v>497.59</v>
      </c>
      <c r="K450" t="str">
        <f>VLOOKUP($C450,Table1[#All],2,FALSE)</f>
        <v>FOOD SERVICE</v>
      </c>
      <c r="L450" t="str">
        <f>VLOOKUP($C450,Table1[#All],3,FALSE)</f>
        <v xml:space="preserve">Transactions related to food and beverage service. Includes all guest transactions in the hotel restaurants, catering-related transactions and food service payroll. </v>
      </c>
      <c r="M450" t="str">
        <f>IFERROR(VLOOKUP($B450,ChartOfAccounts!A449:B534,2,FALSE),"")</f>
        <v/>
      </c>
      <c r="N450" t="str">
        <f>IFERROR(VLOOKUP($B450,ChartOfAccounts!C449:D534,2,FALSE),"")</f>
        <v/>
      </c>
      <c r="O450" t="str">
        <f>IFERROR(VLOOKUP($B450,ChartOfAccounts!E449:F534,2,FALSE),"")</f>
        <v/>
      </c>
      <c r="P450" t="str">
        <f>IFERROR(VLOOKUP(D450,PreparerInfo!A449:B461,2,FALSE),"")</f>
        <v/>
      </c>
      <c r="Q450" t="str">
        <f>IFERROR(VLOOKUP(E450,Source!A449:B457,2,FALSE),"")</f>
        <v/>
      </c>
    </row>
    <row r="451" spans="1:17" x14ac:dyDescent="0.3">
      <c r="A451" s="3">
        <v>2033744</v>
      </c>
      <c r="B451">
        <v>11845</v>
      </c>
      <c r="C451">
        <v>1</v>
      </c>
      <c r="D451" s="9">
        <v>102</v>
      </c>
      <c r="E451">
        <v>1002</v>
      </c>
      <c r="F451" s="1">
        <v>44009</v>
      </c>
      <c r="G451" t="s">
        <v>43</v>
      </c>
      <c r="H451" s="4" t="s">
        <v>16</v>
      </c>
      <c r="I451" s="4">
        <v>-497.59</v>
      </c>
      <c r="J451" s="4">
        <v>-497.59</v>
      </c>
      <c r="K451" t="str">
        <f>VLOOKUP($C451,Table1[#All],2,FALSE)</f>
        <v>FOOD SERVICE</v>
      </c>
      <c r="L451" t="str">
        <f>VLOOKUP($C451,Table1[#All],3,FALSE)</f>
        <v xml:space="preserve">Transactions related to food and beverage service. Includes all guest transactions in the hotel restaurants, catering-related transactions and food service payroll. </v>
      </c>
      <c r="M451" t="str">
        <f>IFERROR(VLOOKUP($B451,ChartOfAccounts!A450:B535,2,FALSE),"")</f>
        <v/>
      </c>
      <c r="N451" t="str">
        <f>IFERROR(VLOOKUP($B451,ChartOfAccounts!C450:D535,2,FALSE),"")</f>
        <v/>
      </c>
      <c r="O451" t="str">
        <f>IFERROR(VLOOKUP($B451,ChartOfAccounts!E450:F535,2,FALSE),"")</f>
        <v/>
      </c>
      <c r="P451" t="str">
        <f>IFERROR(VLOOKUP(D451,PreparerInfo!A450:B462,2,FALSE),"")</f>
        <v/>
      </c>
      <c r="Q451" t="str">
        <f>IFERROR(VLOOKUP(E451,Source!A450:B458,2,FALSE),"")</f>
        <v/>
      </c>
    </row>
    <row r="452" spans="1:17" x14ac:dyDescent="0.3">
      <c r="A452" s="3">
        <v>2033745</v>
      </c>
      <c r="B452">
        <v>14260</v>
      </c>
      <c r="C452">
        <v>1</v>
      </c>
      <c r="D452" s="9">
        <v>102</v>
      </c>
      <c r="E452">
        <v>1002</v>
      </c>
      <c r="F452" s="1">
        <v>44009</v>
      </c>
      <c r="G452" t="s">
        <v>39</v>
      </c>
      <c r="H452" s="4">
        <v>539.96</v>
      </c>
      <c r="I452" s="4" t="s">
        <v>16</v>
      </c>
      <c r="J452" s="4">
        <v>539.96</v>
      </c>
      <c r="K452" t="str">
        <f>VLOOKUP($C452,Table1[#All],2,FALSE)</f>
        <v>FOOD SERVICE</v>
      </c>
      <c r="L452" t="str">
        <f>VLOOKUP($C452,Table1[#All],3,FALSE)</f>
        <v xml:space="preserve">Transactions related to food and beverage service. Includes all guest transactions in the hotel restaurants, catering-related transactions and food service payroll. </v>
      </c>
      <c r="M452" t="str">
        <f>IFERROR(VLOOKUP($B452,ChartOfAccounts!A451:B536,2,FALSE),"")</f>
        <v/>
      </c>
      <c r="N452" t="str">
        <f>IFERROR(VLOOKUP($B452,ChartOfAccounts!C451:D536,2,FALSE),"")</f>
        <v/>
      </c>
      <c r="O452" t="str">
        <f>IFERROR(VLOOKUP($B452,ChartOfAccounts!E451:F536,2,FALSE),"")</f>
        <v/>
      </c>
      <c r="P452" t="str">
        <f>IFERROR(VLOOKUP(D452,PreparerInfo!A451:B463,2,FALSE),"")</f>
        <v/>
      </c>
      <c r="Q452" t="str">
        <f>IFERROR(VLOOKUP(E452,Source!A451:B459,2,FALSE),"")</f>
        <v/>
      </c>
    </row>
    <row r="453" spans="1:17" x14ac:dyDescent="0.3">
      <c r="A453" s="3">
        <v>2033745</v>
      </c>
      <c r="B453">
        <v>11845</v>
      </c>
      <c r="C453">
        <v>1</v>
      </c>
      <c r="D453" s="9">
        <v>102</v>
      </c>
      <c r="E453">
        <v>1002</v>
      </c>
      <c r="F453" s="1">
        <v>44009</v>
      </c>
      <c r="G453" t="s">
        <v>39</v>
      </c>
      <c r="H453" s="4" t="s">
        <v>16</v>
      </c>
      <c r="I453" s="4">
        <v>-539.96</v>
      </c>
      <c r="J453" s="4">
        <v>-539.96</v>
      </c>
      <c r="K453" t="str">
        <f>VLOOKUP($C453,Table1[#All],2,FALSE)</f>
        <v>FOOD SERVICE</v>
      </c>
      <c r="L453" t="str">
        <f>VLOOKUP($C453,Table1[#All],3,FALSE)</f>
        <v xml:space="preserve">Transactions related to food and beverage service. Includes all guest transactions in the hotel restaurants, catering-related transactions and food service payroll. </v>
      </c>
      <c r="M453" t="str">
        <f>IFERROR(VLOOKUP($B453,ChartOfAccounts!A452:B537,2,FALSE),"")</f>
        <v/>
      </c>
      <c r="N453" t="str">
        <f>IFERROR(VLOOKUP($B453,ChartOfAccounts!C452:D537,2,FALSE),"")</f>
        <v/>
      </c>
      <c r="O453" t="str">
        <f>IFERROR(VLOOKUP($B453,ChartOfAccounts!E452:F537,2,FALSE),"")</f>
        <v/>
      </c>
      <c r="P453" t="str">
        <f>IFERROR(VLOOKUP(D453,PreparerInfo!A452:B464,2,FALSE),"")</f>
        <v/>
      </c>
      <c r="Q453" t="str">
        <f>IFERROR(VLOOKUP(E453,Source!A452:B460,2,FALSE),"")</f>
        <v/>
      </c>
    </row>
    <row r="454" spans="1:17" x14ac:dyDescent="0.3">
      <c r="A454" s="3">
        <v>2033746</v>
      </c>
      <c r="B454">
        <v>72712</v>
      </c>
      <c r="C454">
        <v>2</v>
      </c>
      <c r="D454" s="9">
        <v>101</v>
      </c>
      <c r="E454">
        <v>1002</v>
      </c>
      <c r="F454" s="1">
        <v>44009</v>
      </c>
      <c r="G454" t="s">
        <v>238</v>
      </c>
      <c r="H454" s="4">
        <v>553.27</v>
      </c>
      <c r="I454" s="4" t="s">
        <v>16</v>
      </c>
      <c r="J454" s="4">
        <v>553.27</v>
      </c>
      <c r="K454" t="str">
        <f>VLOOKUP($C454,Table1[#All],2,FALSE)</f>
        <v>HOTEL</v>
      </c>
      <c r="L454" t="str">
        <f>VLOOKUP($C454,Table1[#All],3,FALSE)</f>
        <v xml:space="preserve">Transactions related to guest rooms and overall hotel operations. Includes payroll for administrative staff, clerks and interns. </v>
      </c>
      <c r="M454" t="str">
        <f>IFERROR(VLOOKUP($B454,ChartOfAccounts!A453:B538,2,FALSE),"")</f>
        <v/>
      </c>
      <c r="N454" t="str">
        <f>IFERROR(VLOOKUP($B454,ChartOfAccounts!C453:D538,2,FALSE),"")</f>
        <v/>
      </c>
      <c r="O454" t="str">
        <f>IFERROR(VLOOKUP($B454,ChartOfAccounts!E453:F538,2,FALSE),"")</f>
        <v/>
      </c>
      <c r="P454" t="str">
        <f>IFERROR(VLOOKUP(D454,PreparerInfo!A453:B465,2,FALSE),"")</f>
        <v/>
      </c>
      <c r="Q454" t="str">
        <f>IFERROR(VLOOKUP(E454,Source!A453:B461,2,FALSE),"")</f>
        <v/>
      </c>
    </row>
    <row r="455" spans="1:17" x14ac:dyDescent="0.3">
      <c r="A455" s="3">
        <v>2033746</v>
      </c>
      <c r="B455">
        <v>11845</v>
      </c>
      <c r="C455">
        <v>2</v>
      </c>
      <c r="D455" s="9">
        <v>101</v>
      </c>
      <c r="E455">
        <v>1002</v>
      </c>
      <c r="F455" s="1">
        <v>44009</v>
      </c>
      <c r="G455" t="s">
        <v>238</v>
      </c>
      <c r="H455" s="4" t="s">
        <v>16</v>
      </c>
      <c r="I455" s="4">
        <v>-553.27</v>
      </c>
      <c r="J455" s="4">
        <v>-553.27</v>
      </c>
      <c r="K455" t="str">
        <f>VLOOKUP($C455,Table1[#All],2,FALSE)</f>
        <v>HOTEL</v>
      </c>
      <c r="L455" t="str">
        <f>VLOOKUP($C455,Table1[#All],3,FALSE)</f>
        <v xml:space="preserve">Transactions related to guest rooms and overall hotel operations. Includes payroll for administrative staff, clerks and interns. </v>
      </c>
      <c r="M455" t="str">
        <f>IFERROR(VLOOKUP($B455,ChartOfAccounts!A454:B539,2,FALSE),"")</f>
        <v/>
      </c>
      <c r="N455" t="str">
        <f>IFERROR(VLOOKUP($B455,ChartOfAccounts!C454:D539,2,FALSE),"")</f>
        <v/>
      </c>
      <c r="O455" t="str">
        <f>IFERROR(VLOOKUP($B455,ChartOfAccounts!E454:F539,2,FALSE),"")</f>
        <v/>
      </c>
      <c r="P455" t="str">
        <f>IFERROR(VLOOKUP(D455,PreparerInfo!A454:B466,2,FALSE),"")</f>
        <v/>
      </c>
      <c r="Q455" t="str">
        <f>IFERROR(VLOOKUP(E455,Source!A454:B462,2,FALSE),"")</f>
        <v/>
      </c>
    </row>
    <row r="456" spans="1:17" x14ac:dyDescent="0.3">
      <c r="A456" s="3">
        <v>2033747</v>
      </c>
      <c r="B456">
        <v>71400</v>
      </c>
      <c r="C456">
        <v>2</v>
      </c>
      <c r="D456" s="9">
        <v>101</v>
      </c>
      <c r="E456">
        <v>1002</v>
      </c>
      <c r="F456" s="1">
        <v>44009</v>
      </c>
      <c r="G456" t="s">
        <v>172</v>
      </c>
      <c r="H456" s="4">
        <v>566.99</v>
      </c>
      <c r="I456" s="4" t="s">
        <v>16</v>
      </c>
      <c r="J456" s="4">
        <v>566.99</v>
      </c>
      <c r="K456" t="str">
        <f>VLOOKUP($C456,Table1[#All],2,FALSE)</f>
        <v>HOTEL</v>
      </c>
      <c r="L456" t="str">
        <f>VLOOKUP($C456,Table1[#All],3,FALSE)</f>
        <v xml:space="preserve">Transactions related to guest rooms and overall hotel operations. Includes payroll for administrative staff, clerks and interns. </v>
      </c>
      <c r="M456" t="str">
        <f>IFERROR(VLOOKUP($B456,ChartOfAccounts!A455:B540,2,FALSE),"")</f>
        <v/>
      </c>
      <c r="N456" t="str">
        <f>IFERROR(VLOOKUP($B456,ChartOfAccounts!C455:D540,2,FALSE),"")</f>
        <v/>
      </c>
      <c r="O456" t="str">
        <f>IFERROR(VLOOKUP($B456,ChartOfAccounts!E455:F540,2,FALSE),"")</f>
        <v/>
      </c>
      <c r="P456" t="str">
        <f>IFERROR(VLOOKUP(D456,PreparerInfo!A455:B467,2,FALSE),"")</f>
        <v/>
      </c>
      <c r="Q456" t="str">
        <f>IFERROR(VLOOKUP(E456,Source!A455:B463,2,FALSE),"")</f>
        <v/>
      </c>
    </row>
    <row r="457" spans="1:17" x14ac:dyDescent="0.3">
      <c r="A457" s="3">
        <v>2033747</v>
      </c>
      <c r="B457">
        <v>11845</v>
      </c>
      <c r="C457">
        <v>2</v>
      </c>
      <c r="D457" s="9">
        <v>101</v>
      </c>
      <c r="E457">
        <v>1002</v>
      </c>
      <c r="F457" s="1">
        <v>44009</v>
      </c>
      <c r="G457" t="s">
        <v>172</v>
      </c>
      <c r="H457" s="4" t="s">
        <v>16</v>
      </c>
      <c r="I457" s="4">
        <v>-566.99</v>
      </c>
      <c r="J457" s="4">
        <v>-566.99</v>
      </c>
      <c r="K457" t="str">
        <f>VLOOKUP($C457,Table1[#All],2,FALSE)</f>
        <v>HOTEL</v>
      </c>
      <c r="L457" t="str">
        <f>VLOOKUP($C457,Table1[#All],3,FALSE)</f>
        <v xml:space="preserve">Transactions related to guest rooms and overall hotel operations. Includes payroll for administrative staff, clerks and interns. </v>
      </c>
      <c r="M457" t="str">
        <f>IFERROR(VLOOKUP($B457,ChartOfAccounts!A456:B541,2,FALSE),"")</f>
        <v/>
      </c>
      <c r="N457" t="str">
        <f>IFERROR(VLOOKUP($B457,ChartOfAccounts!C456:D541,2,FALSE),"")</f>
        <v/>
      </c>
      <c r="O457" t="str">
        <f>IFERROR(VLOOKUP($B457,ChartOfAccounts!E456:F541,2,FALSE),"")</f>
        <v/>
      </c>
      <c r="P457" t="str">
        <f>IFERROR(VLOOKUP(D457,PreparerInfo!A456:B468,2,FALSE),"")</f>
        <v/>
      </c>
      <c r="Q457" t="str">
        <f>IFERROR(VLOOKUP(E457,Source!A456:B464,2,FALSE),"")</f>
        <v/>
      </c>
    </row>
    <row r="458" spans="1:17" x14ac:dyDescent="0.3">
      <c r="A458" s="3">
        <v>2033748</v>
      </c>
      <c r="B458">
        <v>14260</v>
      </c>
      <c r="C458">
        <v>1</v>
      </c>
      <c r="D458" s="9">
        <v>102</v>
      </c>
      <c r="E458">
        <v>1002</v>
      </c>
      <c r="F458" s="1">
        <v>44009</v>
      </c>
      <c r="G458" t="s">
        <v>39</v>
      </c>
      <c r="H458" s="4">
        <v>584.45000000000005</v>
      </c>
      <c r="I458" s="4" t="s">
        <v>16</v>
      </c>
      <c r="J458" s="4">
        <v>584.45000000000005</v>
      </c>
      <c r="K458" t="str">
        <f>VLOOKUP($C458,Table1[#All],2,FALSE)</f>
        <v>FOOD SERVICE</v>
      </c>
      <c r="L458" t="str">
        <f>VLOOKUP($C458,Table1[#All],3,FALSE)</f>
        <v xml:space="preserve">Transactions related to food and beverage service. Includes all guest transactions in the hotel restaurants, catering-related transactions and food service payroll. </v>
      </c>
      <c r="M458" t="str">
        <f>IFERROR(VLOOKUP($B458,ChartOfAccounts!A457:B542,2,FALSE),"")</f>
        <v/>
      </c>
      <c r="N458" t="str">
        <f>IFERROR(VLOOKUP($B458,ChartOfAccounts!C457:D542,2,FALSE),"")</f>
        <v/>
      </c>
      <c r="O458" t="str">
        <f>IFERROR(VLOOKUP($B458,ChartOfAccounts!E457:F542,2,FALSE),"")</f>
        <v/>
      </c>
      <c r="P458" t="str">
        <f>IFERROR(VLOOKUP(D458,PreparerInfo!A457:B469,2,FALSE),"")</f>
        <v/>
      </c>
      <c r="Q458" t="str">
        <f>IFERROR(VLOOKUP(E458,Source!A457:B465,2,FALSE),"")</f>
        <v/>
      </c>
    </row>
    <row r="459" spans="1:17" x14ac:dyDescent="0.3">
      <c r="A459" s="3">
        <v>2033748</v>
      </c>
      <c r="B459">
        <v>11845</v>
      </c>
      <c r="C459">
        <v>1</v>
      </c>
      <c r="D459" s="9">
        <v>102</v>
      </c>
      <c r="E459">
        <v>1002</v>
      </c>
      <c r="F459" s="1">
        <v>44009</v>
      </c>
      <c r="G459" t="s">
        <v>39</v>
      </c>
      <c r="H459" s="4" t="s">
        <v>16</v>
      </c>
      <c r="I459" s="4">
        <v>-584.45000000000005</v>
      </c>
      <c r="J459" s="4">
        <v>-584.45000000000005</v>
      </c>
      <c r="K459" t="str">
        <f>VLOOKUP($C459,Table1[#All],2,FALSE)</f>
        <v>FOOD SERVICE</v>
      </c>
      <c r="L459" t="str">
        <f>VLOOKUP($C459,Table1[#All],3,FALSE)</f>
        <v xml:space="preserve">Transactions related to food and beverage service. Includes all guest transactions in the hotel restaurants, catering-related transactions and food service payroll. </v>
      </c>
      <c r="M459" t="str">
        <f>IFERROR(VLOOKUP($B459,ChartOfAccounts!A458:B543,2,FALSE),"")</f>
        <v/>
      </c>
      <c r="N459" t="str">
        <f>IFERROR(VLOOKUP($B459,ChartOfAccounts!C458:D543,2,FALSE),"")</f>
        <v/>
      </c>
      <c r="O459" t="str">
        <f>IFERROR(VLOOKUP($B459,ChartOfAccounts!E458:F543,2,FALSE),"")</f>
        <v/>
      </c>
      <c r="P459" t="str">
        <f>IFERROR(VLOOKUP(D459,PreparerInfo!A458:B470,2,FALSE),"")</f>
        <v/>
      </c>
      <c r="Q459" t="str">
        <f>IFERROR(VLOOKUP(E459,Source!A458:B466,2,FALSE),"")</f>
        <v/>
      </c>
    </row>
    <row r="460" spans="1:17" x14ac:dyDescent="0.3">
      <c r="A460" s="3">
        <v>2033749</v>
      </c>
      <c r="B460">
        <v>14260</v>
      </c>
      <c r="C460">
        <v>1</v>
      </c>
      <c r="D460" s="9">
        <v>102</v>
      </c>
      <c r="E460">
        <v>1002</v>
      </c>
      <c r="F460" s="1">
        <v>44009</v>
      </c>
      <c r="G460" t="s">
        <v>126</v>
      </c>
      <c r="H460" s="4">
        <v>699.11</v>
      </c>
      <c r="I460" s="4" t="s">
        <v>16</v>
      </c>
      <c r="J460" s="4">
        <v>699.11</v>
      </c>
      <c r="K460" t="str">
        <f>VLOOKUP($C460,Table1[#All],2,FALSE)</f>
        <v>FOOD SERVICE</v>
      </c>
      <c r="L460" t="str">
        <f>VLOOKUP($C460,Table1[#All],3,FALSE)</f>
        <v xml:space="preserve">Transactions related to food and beverage service. Includes all guest transactions in the hotel restaurants, catering-related transactions and food service payroll. </v>
      </c>
      <c r="M460" t="str">
        <f>IFERROR(VLOOKUP($B460,ChartOfAccounts!A459:B544,2,FALSE),"")</f>
        <v/>
      </c>
      <c r="N460" t="str">
        <f>IFERROR(VLOOKUP($B460,ChartOfAccounts!C459:D544,2,FALSE),"")</f>
        <v/>
      </c>
      <c r="O460" t="str">
        <f>IFERROR(VLOOKUP($B460,ChartOfAccounts!E459:F544,2,FALSE),"")</f>
        <v/>
      </c>
      <c r="P460" t="str">
        <f>IFERROR(VLOOKUP(D460,PreparerInfo!A459:B471,2,FALSE),"")</f>
        <v/>
      </c>
      <c r="Q460" t="str">
        <f>IFERROR(VLOOKUP(E460,Source!A459:B467,2,FALSE),"")</f>
        <v/>
      </c>
    </row>
    <row r="461" spans="1:17" x14ac:dyDescent="0.3">
      <c r="A461" s="3">
        <v>2033749</v>
      </c>
      <c r="B461">
        <v>11845</v>
      </c>
      <c r="C461">
        <v>1</v>
      </c>
      <c r="D461" s="9">
        <v>102</v>
      </c>
      <c r="E461">
        <v>1002</v>
      </c>
      <c r="F461" s="1">
        <v>44009</v>
      </c>
      <c r="G461" t="s">
        <v>126</v>
      </c>
      <c r="H461" s="4" t="s">
        <v>16</v>
      </c>
      <c r="I461" s="4">
        <v>-699.11</v>
      </c>
      <c r="J461" s="4">
        <v>-699.11</v>
      </c>
      <c r="K461" t="str">
        <f>VLOOKUP($C461,Table1[#All],2,FALSE)</f>
        <v>FOOD SERVICE</v>
      </c>
      <c r="L461" t="str">
        <f>VLOOKUP($C461,Table1[#All],3,FALSE)</f>
        <v xml:space="preserve">Transactions related to food and beverage service. Includes all guest transactions in the hotel restaurants, catering-related transactions and food service payroll. </v>
      </c>
      <c r="M461" t="str">
        <f>IFERROR(VLOOKUP($B461,ChartOfAccounts!A460:B545,2,FALSE),"")</f>
        <v/>
      </c>
      <c r="N461" t="str">
        <f>IFERROR(VLOOKUP($B461,ChartOfAccounts!C460:D545,2,FALSE),"")</f>
        <v/>
      </c>
      <c r="O461" t="str">
        <f>IFERROR(VLOOKUP($B461,ChartOfAccounts!E460:F545,2,FALSE),"")</f>
        <v/>
      </c>
      <c r="P461" t="str">
        <f>IFERROR(VLOOKUP(D461,PreparerInfo!A460:B472,2,FALSE),"")</f>
        <v/>
      </c>
      <c r="Q461" t="str">
        <f>IFERROR(VLOOKUP(E461,Source!A460:B468,2,FALSE),"")</f>
        <v/>
      </c>
    </row>
    <row r="462" spans="1:17" x14ac:dyDescent="0.3">
      <c r="A462" s="3">
        <v>2033750</v>
      </c>
      <c r="B462">
        <v>11845</v>
      </c>
      <c r="C462">
        <v>1</v>
      </c>
      <c r="D462" s="9">
        <v>102</v>
      </c>
      <c r="E462">
        <v>1001</v>
      </c>
      <c r="F462" s="1">
        <v>44009</v>
      </c>
      <c r="G462" t="s">
        <v>41</v>
      </c>
      <c r="H462" s="4">
        <v>785.17</v>
      </c>
      <c r="I462" s="4" t="s">
        <v>16</v>
      </c>
      <c r="J462" s="4">
        <v>785.17</v>
      </c>
      <c r="K462" t="str">
        <f>VLOOKUP($C462,Table1[#All],2,FALSE)</f>
        <v>FOOD SERVICE</v>
      </c>
      <c r="L462" t="str">
        <f>VLOOKUP($C462,Table1[#All],3,FALSE)</f>
        <v xml:space="preserve">Transactions related to food and beverage service. Includes all guest transactions in the hotel restaurants, catering-related transactions and food service payroll. </v>
      </c>
      <c r="M462" t="str">
        <f>IFERROR(VLOOKUP($B462,ChartOfAccounts!A461:B546,2,FALSE),"")</f>
        <v/>
      </c>
      <c r="N462" t="str">
        <f>IFERROR(VLOOKUP($B462,ChartOfAccounts!C461:D546,2,FALSE),"")</f>
        <v/>
      </c>
      <c r="O462" t="str">
        <f>IFERROR(VLOOKUP($B462,ChartOfAccounts!E461:F546,2,FALSE),"")</f>
        <v/>
      </c>
      <c r="P462" t="str">
        <f>IFERROR(VLOOKUP(D462,PreparerInfo!A461:B473,2,FALSE),"")</f>
        <v/>
      </c>
      <c r="Q462" t="str">
        <f>IFERROR(VLOOKUP(E462,Source!A461:B469,2,FALSE),"")</f>
        <v/>
      </c>
    </row>
    <row r="463" spans="1:17" x14ac:dyDescent="0.3">
      <c r="A463" s="3">
        <v>2033750</v>
      </c>
      <c r="B463">
        <v>43310</v>
      </c>
      <c r="C463">
        <v>1</v>
      </c>
      <c r="D463" s="9">
        <v>102</v>
      </c>
      <c r="E463">
        <v>1001</v>
      </c>
      <c r="F463" s="1">
        <v>44009</v>
      </c>
      <c r="G463" t="s">
        <v>41</v>
      </c>
      <c r="H463" s="4" t="s">
        <v>16</v>
      </c>
      <c r="I463" s="4">
        <v>-785.17</v>
      </c>
      <c r="J463" s="4">
        <v>-785.17</v>
      </c>
      <c r="K463" t="str">
        <f>VLOOKUP($C463,Table1[#All],2,FALSE)</f>
        <v>FOOD SERVICE</v>
      </c>
      <c r="L463" t="str">
        <f>VLOOKUP($C463,Table1[#All],3,FALSE)</f>
        <v xml:space="preserve">Transactions related to food and beverage service. Includes all guest transactions in the hotel restaurants, catering-related transactions and food service payroll. </v>
      </c>
      <c r="M463" t="str">
        <f>IFERROR(VLOOKUP($B463,ChartOfAccounts!A462:B547,2,FALSE),"")</f>
        <v/>
      </c>
      <c r="N463" t="str">
        <f>IFERROR(VLOOKUP($B463,ChartOfAccounts!C462:D547,2,FALSE),"")</f>
        <v/>
      </c>
      <c r="O463" t="str">
        <f>IFERROR(VLOOKUP($B463,ChartOfAccounts!E462:F547,2,FALSE),"")</f>
        <v/>
      </c>
      <c r="P463" t="str">
        <f>IFERROR(VLOOKUP(D463,PreparerInfo!A462:B474,2,FALSE),"")</f>
        <v/>
      </c>
      <c r="Q463" t="str">
        <f>IFERROR(VLOOKUP(E463,Source!A462:B470,2,FALSE),"")</f>
        <v/>
      </c>
    </row>
    <row r="464" spans="1:17" x14ac:dyDescent="0.3">
      <c r="A464" s="3">
        <v>2033751</v>
      </c>
      <c r="B464">
        <v>11845</v>
      </c>
      <c r="C464">
        <v>1</v>
      </c>
      <c r="D464" s="9">
        <v>106</v>
      </c>
      <c r="E464">
        <v>1003</v>
      </c>
      <c r="F464" s="1">
        <v>44009</v>
      </c>
      <c r="G464" t="s">
        <v>80</v>
      </c>
      <c r="H464" s="4">
        <v>829.14</v>
      </c>
      <c r="I464" s="4" t="s">
        <v>16</v>
      </c>
      <c r="J464" s="4">
        <v>829.14</v>
      </c>
      <c r="K464" t="str">
        <f>VLOOKUP($C464,Table1[#All],2,FALSE)</f>
        <v>FOOD SERVICE</v>
      </c>
      <c r="L464" t="str">
        <f>VLOOKUP($C464,Table1[#All],3,FALSE)</f>
        <v xml:space="preserve">Transactions related to food and beverage service. Includes all guest transactions in the hotel restaurants, catering-related transactions and food service payroll. </v>
      </c>
      <c r="M464" t="str">
        <f>IFERROR(VLOOKUP($B464,ChartOfAccounts!A463:B548,2,FALSE),"")</f>
        <v/>
      </c>
      <c r="N464" t="str">
        <f>IFERROR(VLOOKUP($B464,ChartOfAccounts!C463:D548,2,FALSE),"")</f>
        <v/>
      </c>
      <c r="O464" t="str">
        <f>IFERROR(VLOOKUP($B464,ChartOfAccounts!E463:F548,2,FALSE),"")</f>
        <v/>
      </c>
      <c r="P464" t="str">
        <f>IFERROR(VLOOKUP(D464,PreparerInfo!A463:B475,2,FALSE),"")</f>
        <v/>
      </c>
      <c r="Q464" t="str">
        <f>IFERROR(VLOOKUP(E464,Source!A463:B471,2,FALSE),"")</f>
        <v/>
      </c>
    </row>
    <row r="465" spans="1:17" x14ac:dyDescent="0.3">
      <c r="A465" s="3">
        <v>2033751</v>
      </c>
      <c r="B465">
        <v>43310</v>
      </c>
      <c r="C465">
        <v>1</v>
      </c>
      <c r="D465" s="9">
        <v>106</v>
      </c>
      <c r="E465">
        <v>1003</v>
      </c>
      <c r="F465" s="1">
        <v>44009</v>
      </c>
      <c r="G465" t="s">
        <v>80</v>
      </c>
      <c r="H465" s="4" t="s">
        <v>16</v>
      </c>
      <c r="I465" s="4">
        <v>-829.14</v>
      </c>
      <c r="J465" s="4">
        <v>-829.14</v>
      </c>
      <c r="K465" t="str">
        <f>VLOOKUP($C465,Table1[#All],2,FALSE)</f>
        <v>FOOD SERVICE</v>
      </c>
      <c r="L465" t="str">
        <f>VLOOKUP($C465,Table1[#All],3,FALSE)</f>
        <v xml:space="preserve">Transactions related to food and beverage service. Includes all guest transactions in the hotel restaurants, catering-related transactions and food service payroll. </v>
      </c>
      <c r="M465" t="str">
        <f>IFERROR(VLOOKUP($B465,ChartOfAccounts!A464:B549,2,FALSE),"")</f>
        <v/>
      </c>
      <c r="N465" t="str">
        <f>IFERROR(VLOOKUP($B465,ChartOfAccounts!C464:D549,2,FALSE),"")</f>
        <v/>
      </c>
      <c r="O465" t="str">
        <f>IFERROR(VLOOKUP($B465,ChartOfAccounts!E464:F549,2,FALSE),"")</f>
        <v/>
      </c>
      <c r="P465" t="str">
        <f>IFERROR(VLOOKUP(D465,PreparerInfo!A464:B476,2,FALSE),"")</f>
        <v/>
      </c>
      <c r="Q465" t="str">
        <f>IFERROR(VLOOKUP(E465,Source!A464:B472,2,FALSE),"")</f>
        <v/>
      </c>
    </row>
    <row r="466" spans="1:17" x14ac:dyDescent="0.3">
      <c r="A466" s="3">
        <v>2033752</v>
      </c>
      <c r="B466">
        <v>14250</v>
      </c>
      <c r="C466">
        <v>3</v>
      </c>
      <c r="D466" s="9">
        <v>101</v>
      </c>
      <c r="E466">
        <v>1001</v>
      </c>
      <c r="F466" s="1">
        <v>44009</v>
      </c>
      <c r="G466" t="s">
        <v>172</v>
      </c>
      <c r="H466" s="4">
        <v>894.27</v>
      </c>
      <c r="I466" s="4" t="s">
        <v>16</v>
      </c>
      <c r="J466" s="4">
        <v>894.27</v>
      </c>
      <c r="K466" t="str">
        <f>VLOOKUP($C466,Table1[#All],2,FALSE)</f>
        <v>HOTEL PANTRY</v>
      </c>
      <c r="L466" t="str">
        <f>VLOOKUP($C466,Table1[#All],3,FALSE)</f>
        <v>Transactions related to the hotel convenience store, including some food and beverage costs.</v>
      </c>
      <c r="M466" t="str">
        <f>IFERROR(VLOOKUP($B466,ChartOfAccounts!A465:B550,2,FALSE),"")</f>
        <v/>
      </c>
      <c r="N466" t="str">
        <f>IFERROR(VLOOKUP($B466,ChartOfAccounts!C465:D550,2,FALSE),"")</f>
        <v/>
      </c>
      <c r="O466" t="str">
        <f>IFERROR(VLOOKUP($B466,ChartOfAccounts!E465:F550,2,FALSE),"")</f>
        <v/>
      </c>
      <c r="P466" t="str">
        <f>IFERROR(VLOOKUP(D466,PreparerInfo!A465:B477,2,FALSE),"")</f>
        <v/>
      </c>
      <c r="Q466" t="str">
        <f>IFERROR(VLOOKUP(E466,Source!A465:B473,2,FALSE),"")</f>
        <v/>
      </c>
    </row>
    <row r="467" spans="1:17" x14ac:dyDescent="0.3">
      <c r="A467" s="3">
        <v>2033752</v>
      </c>
      <c r="B467">
        <v>11845</v>
      </c>
      <c r="C467">
        <v>3</v>
      </c>
      <c r="D467" s="9">
        <v>101</v>
      </c>
      <c r="E467">
        <v>1001</v>
      </c>
      <c r="F467" s="1">
        <v>44009</v>
      </c>
      <c r="G467" t="s">
        <v>172</v>
      </c>
      <c r="H467" s="4" t="s">
        <v>16</v>
      </c>
      <c r="I467" s="4">
        <v>-894.27</v>
      </c>
      <c r="J467" s="4">
        <v>-894.27</v>
      </c>
      <c r="K467" t="str">
        <f>VLOOKUP($C467,Table1[#All],2,FALSE)</f>
        <v>HOTEL PANTRY</v>
      </c>
      <c r="L467" t="str">
        <f>VLOOKUP($C467,Table1[#All],3,FALSE)</f>
        <v>Transactions related to the hotel convenience store, including some food and beverage costs.</v>
      </c>
      <c r="M467" t="str">
        <f>IFERROR(VLOOKUP($B467,ChartOfAccounts!A466:B551,2,FALSE),"")</f>
        <v/>
      </c>
      <c r="N467" t="str">
        <f>IFERROR(VLOOKUP($B467,ChartOfAccounts!C466:D551,2,FALSE),"")</f>
        <v/>
      </c>
      <c r="O467" t="str">
        <f>IFERROR(VLOOKUP($B467,ChartOfAccounts!E466:F551,2,FALSE),"")</f>
        <v/>
      </c>
      <c r="P467" t="str">
        <f>IFERROR(VLOOKUP(D467,PreparerInfo!A466:B478,2,FALSE),"")</f>
        <v/>
      </c>
      <c r="Q467" t="str">
        <f>IFERROR(VLOOKUP(E467,Source!A466:B474,2,FALSE),"")</f>
        <v/>
      </c>
    </row>
    <row r="468" spans="1:17" x14ac:dyDescent="0.3">
      <c r="A468" s="3">
        <v>2033753</v>
      </c>
      <c r="B468">
        <v>11845</v>
      </c>
      <c r="C468">
        <v>1</v>
      </c>
      <c r="D468" s="9">
        <v>102</v>
      </c>
      <c r="E468">
        <v>1001</v>
      </c>
      <c r="F468" s="1">
        <v>44009</v>
      </c>
      <c r="G468" t="s">
        <v>41</v>
      </c>
      <c r="H468" s="4">
        <v>1162.6199999999999</v>
      </c>
      <c r="I468" s="4" t="s">
        <v>16</v>
      </c>
      <c r="J468" s="4">
        <v>1162.6199999999999</v>
      </c>
      <c r="K468" t="str">
        <f>VLOOKUP($C468,Table1[#All],2,FALSE)</f>
        <v>FOOD SERVICE</v>
      </c>
      <c r="L468" t="str">
        <f>VLOOKUP($C468,Table1[#All],3,FALSE)</f>
        <v xml:space="preserve">Transactions related to food and beverage service. Includes all guest transactions in the hotel restaurants, catering-related transactions and food service payroll. </v>
      </c>
      <c r="M468" t="str">
        <f>IFERROR(VLOOKUP($B468,ChartOfAccounts!A467:B552,2,FALSE),"")</f>
        <v/>
      </c>
      <c r="N468" t="str">
        <f>IFERROR(VLOOKUP($B468,ChartOfAccounts!C467:D552,2,FALSE),"")</f>
        <v/>
      </c>
      <c r="O468" t="str">
        <f>IFERROR(VLOOKUP($B468,ChartOfAccounts!E467:F552,2,FALSE),"")</f>
        <v/>
      </c>
      <c r="P468" t="str">
        <f>IFERROR(VLOOKUP(D468,PreparerInfo!A467:B479,2,FALSE),"")</f>
        <v/>
      </c>
      <c r="Q468" t="str">
        <f>IFERROR(VLOOKUP(E468,Source!A467:B475,2,FALSE),"")</f>
        <v/>
      </c>
    </row>
    <row r="469" spans="1:17" x14ac:dyDescent="0.3">
      <c r="A469" s="3">
        <v>2033753</v>
      </c>
      <c r="B469">
        <v>43310</v>
      </c>
      <c r="C469">
        <v>1</v>
      </c>
      <c r="D469" s="9">
        <v>102</v>
      </c>
      <c r="E469">
        <v>1001</v>
      </c>
      <c r="F469" s="1">
        <v>44009</v>
      </c>
      <c r="G469" t="s">
        <v>41</v>
      </c>
      <c r="H469" s="4" t="s">
        <v>16</v>
      </c>
      <c r="I469" s="4">
        <v>-1162.6199999999999</v>
      </c>
      <c r="J469" s="4">
        <v>-1162.6199999999999</v>
      </c>
      <c r="K469" t="str">
        <f>VLOOKUP($C469,Table1[#All],2,FALSE)</f>
        <v>FOOD SERVICE</v>
      </c>
      <c r="L469" t="str">
        <f>VLOOKUP($C469,Table1[#All],3,FALSE)</f>
        <v xml:space="preserve">Transactions related to food and beverage service. Includes all guest transactions in the hotel restaurants, catering-related transactions and food service payroll. </v>
      </c>
      <c r="M469" t="str">
        <f>IFERROR(VLOOKUP($B469,ChartOfAccounts!A468:B553,2,FALSE),"")</f>
        <v/>
      </c>
      <c r="N469" t="str">
        <f>IFERROR(VLOOKUP($B469,ChartOfAccounts!C468:D553,2,FALSE),"")</f>
        <v/>
      </c>
      <c r="O469" t="str">
        <f>IFERROR(VLOOKUP($B469,ChartOfAccounts!E468:F553,2,FALSE),"")</f>
        <v/>
      </c>
      <c r="P469" t="str">
        <f>IFERROR(VLOOKUP(D469,PreparerInfo!A468:B480,2,FALSE),"")</f>
        <v/>
      </c>
      <c r="Q469" t="str">
        <f>IFERROR(VLOOKUP(E469,Source!A468:B476,2,FALSE),"")</f>
        <v/>
      </c>
    </row>
    <row r="470" spans="1:17" x14ac:dyDescent="0.3">
      <c r="A470" s="3">
        <v>2033754</v>
      </c>
      <c r="B470">
        <v>43180</v>
      </c>
      <c r="C470">
        <v>2</v>
      </c>
      <c r="D470" s="9">
        <v>101</v>
      </c>
      <c r="E470">
        <v>1002</v>
      </c>
      <c r="F470" s="1">
        <v>44009</v>
      </c>
      <c r="G470" t="s">
        <v>239</v>
      </c>
      <c r="H470" s="4">
        <v>1220</v>
      </c>
      <c r="I470" s="4" t="s">
        <v>16</v>
      </c>
      <c r="J470" s="4">
        <v>1220</v>
      </c>
      <c r="K470" t="str">
        <f>VLOOKUP($C470,Table1[#All],2,FALSE)</f>
        <v>HOTEL</v>
      </c>
      <c r="L470" t="str">
        <f>VLOOKUP($C470,Table1[#All],3,FALSE)</f>
        <v xml:space="preserve">Transactions related to guest rooms and overall hotel operations. Includes payroll for administrative staff, clerks and interns. </v>
      </c>
      <c r="M470" t="str">
        <f>IFERROR(VLOOKUP($B470,ChartOfAccounts!A469:B554,2,FALSE),"")</f>
        <v/>
      </c>
      <c r="N470" t="str">
        <f>IFERROR(VLOOKUP($B470,ChartOfAccounts!C469:D554,2,FALSE),"")</f>
        <v/>
      </c>
      <c r="O470" t="str">
        <f>IFERROR(VLOOKUP($B470,ChartOfAccounts!E469:F554,2,FALSE),"")</f>
        <v/>
      </c>
      <c r="P470" t="str">
        <f>IFERROR(VLOOKUP(D470,PreparerInfo!A469:B481,2,FALSE),"")</f>
        <v/>
      </c>
      <c r="Q470" t="str">
        <f>IFERROR(VLOOKUP(E470,Source!A469:B477,2,FALSE),"")</f>
        <v/>
      </c>
    </row>
    <row r="471" spans="1:17" x14ac:dyDescent="0.3">
      <c r="A471" s="3">
        <v>2033754</v>
      </c>
      <c r="B471">
        <v>11845</v>
      </c>
      <c r="C471">
        <v>2</v>
      </c>
      <c r="D471" s="9">
        <v>101</v>
      </c>
      <c r="E471">
        <v>1002</v>
      </c>
      <c r="F471" s="1">
        <v>44009</v>
      </c>
      <c r="G471" t="s">
        <v>239</v>
      </c>
      <c r="H471" s="4" t="s">
        <v>16</v>
      </c>
      <c r="I471" s="4">
        <v>-1220</v>
      </c>
      <c r="J471" s="4">
        <v>-1220</v>
      </c>
      <c r="K471" t="str">
        <f>VLOOKUP($C471,Table1[#All],2,FALSE)</f>
        <v>HOTEL</v>
      </c>
      <c r="L471" t="str">
        <f>VLOOKUP($C471,Table1[#All],3,FALSE)</f>
        <v xml:space="preserve">Transactions related to guest rooms and overall hotel operations. Includes payroll for administrative staff, clerks and interns. </v>
      </c>
      <c r="M471" t="str">
        <f>IFERROR(VLOOKUP($B471,ChartOfAccounts!A470:B555,2,FALSE),"")</f>
        <v/>
      </c>
      <c r="N471" t="str">
        <f>IFERROR(VLOOKUP($B471,ChartOfAccounts!C470:D555,2,FALSE),"")</f>
        <v/>
      </c>
      <c r="O471" t="str">
        <f>IFERROR(VLOOKUP($B471,ChartOfAccounts!E470:F555,2,FALSE),"")</f>
        <v/>
      </c>
      <c r="P471" t="str">
        <f>IFERROR(VLOOKUP(D471,PreparerInfo!A470:B482,2,FALSE),"")</f>
        <v/>
      </c>
      <c r="Q471" t="str">
        <f>IFERROR(VLOOKUP(E471,Source!A470:B478,2,FALSE),"")</f>
        <v/>
      </c>
    </row>
    <row r="472" spans="1:17" x14ac:dyDescent="0.3">
      <c r="A472" s="3">
        <v>2033755</v>
      </c>
      <c r="B472">
        <v>43180</v>
      </c>
      <c r="C472">
        <v>2</v>
      </c>
      <c r="D472" s="9">
        <v>101</v>
      </c>
      <c r="E472">
        <v>1002</v>
      </c>
      <c r="F472" s="1">
        <v>44009</v>
      </c>
      <c r="G472" t="s">
        <v>239</v>
      </c>
      <c r="H472" s="4">
        <v>1490.8</v>
      </c>
      <c r="I472" s="4" t="s">
        <v>16</v>
      </c>
      <c r="J472" s="4">
        <v>1490.8</v>
      </c>
      <c r="K472" t="str">
        <f>VLOOKUP($C472,Table1[#All],2,FALSE)</f>
        <v>HOTEL</v>
      </c>
      <c r="L472" t="str">
        <f>VLOOKUP($C472,Table1[#All],3,FALSE)</f>
        <v xml:space="preserve">Transactions related to guest rooms and overall hotel operations. Includes payroll for administrative staff, clerks and interns. </v>
      </c>
      <c r="M472" t="str">
        <f>IFERROR(VLOOKUP($B472,ChartOfAccounts!A471:B556,2,FALSE),"")</f>
        <v/>
      </c>
      <c r="N472" t="str">
        <f>IFERROR(VLOOKUP($B472,ChartOfAccounts!C471:D556,2,FALSE),"")</f>
        <v/>
      </c>
      <c r="O472" t="str">
        <f>IFERROR(VLOOKUP($B472,ChartOfAccounts!E471:F556,2,FALSE),"")</f>
        <v/>
      </c>
      <c r="P472" t="str">
        <f>IFERROR(VLOOKUP(D472,PreparerInfo!A471:B483,2,FALSE),"")</f>
        <v/>
      </c>
      <c r="Q472" t="str">
        <f>IFERROR(VLOOKUP(E472,Source!A471:B479,2,FALSE),"")</f>
        <v/>
      </c>
    </row>
    <row r="473" spans="1:17" x14ac:dyDescent="0.3">
      <c r="A473" s="3">
        <v>2033755</v>
      </c>
      <c r="B473">
        <v>11845</v>
      </c>
      <c r="C473">
        <v>2</v>
      </c>
      <c r="D473" s="9">
        <v>101</v>
      </c>
      <c r="E473">
        <v>1002</v>
      </c>
      <c r="F473" s="1">
        <v>44009</v>
      </c>
      <c r="G473" t="s">
        <v>239</v>
      </c>
      <c r="H473" s="4" t="s">
        <v>16</v>
      </c>
      <c r="I473" s="4">
        <v>-1490.8</v>
      </c>
      <c r="J473" s="4">
        <v>-1490.8</v>
      </c>
      <c r="K473" t="str">
        <f>VLOOKUP($C473,Table1[#All],2,FALSE)</f>
        <v>HOTEL</v>
      </c>
      <c r="L473" t="str">
        <f>VLOOKUP($C473,Table1[#All],3,FALSE)</f>
        <v xml:space="preserve">Transactions related to guest rooms and overall hotel operations. Includes payroll for administrative staff, clerks and interns. </v>
      </c>
      <c r="M473" t="str">
        <f>IFERROR(VLOOKUP($B473,ChartOfAccounts!A472:B557,2,FALSE),"")</f>
        <v/>
      </c>
      <c r="N473" t="str">
        <f>IFERROR(VLOOKUP($B473,ChartOfAccounts!C472:D557,2,FALSE),"")</f>
        <v/>
      </c>
      <c r="O473" t="str">
        <f>IFERROR(VLOOKUP($B473,ChartOfAccounts!E472:F557,2,FALSE),"")</f>
        <v/>
      </c>
      <c r="P473" t="str">
        <f>IFERROR(VLOOKUP(D473,PreparerInfo!A472:B484,2,FALSE),"")</f>
        <v/>
      </c>
      <c r="Q473" t="str">
        <f>IFERROR(VLOOKUP(E473,Source!A472:B480,2,FALSE),"")</f>
        <v/>
      </c>
    </row>
    <row r="474" spans="1:17" x14ac:dyDescent="0.3">
      <c r="A474" s="3">
        <v>2033756</v>
      </c>
      <c r="B474">
        <v>11845</v>
      </c>
      <c r="C474">
        <v>1</v>
      </c>
      <c r="D474" s="9">
        <v>102</v>
      </c>
      <c r="E474">
        <v>1003</v>
      </c>
      <c r="F474" s="1">
        <v>44009</v>
      </c>
      <c r="G474" t="s">
        <v>15</v>
      </c>
      <c r="H474" s="4">
        <v>2195.11</v>
      </c>
      <c r="I474" s="4" t="s">
        <v>16</v>
      </c>
      <c r="J474" s="4">
        <v>2195.11</v>
      </c>
      <c r="K474" t="str">
        <f>VLOOKUP($C474,Table1[#All],2,FALSE)</f>
        <v>FOOD SERVICE</v>
      </c>
      <c r="L474" t="str">
        <f>VLOOKUP($C474,Table1[#All],3,FALSE)</f>
        <v xml:space="preserve">Transactions related to food and beverage service. Includes all guest transactions in the hotel restaurants, catering-related transactions and food service payroll. </v>
      </c>
      <c r="M474" t="str">
        <f>IFERROR(VLOOKUP($B474,ChartOfAccounts!A473:B558,2,FALSE),"")</f>
        <v/>
      </c>
      <c r="N474" t="str">
        <f>IFERROR(VLOOKUP($B474,ChartOfAccounts!C473:D558,2,FALSE),"")</f>
        <v/>
      </c>
      <c r="O474" t="str">
        <f>IFERROR(VLOOKUP($B474,ChartOfAccounts!E473:F558,2,FALSE),"")</f>
        <v/>
      </c>
      <c r="P474" t="str">
        <f>IFERROR(VLOOKUP(D474,PreparerInfo!A473:B485,2,FALSE),"")</f>
        <v/>
      </c>
      <c r="Q474" t="str">
        <f>IFERROR(VLOOKUP(E474,Source!A473:B481,2,FALSE),"")</f>
        <v/>
      </c>
    </row>
    <row r="475" spans="1:17" x14ac:dyDescent="0.3">
      <c r="A475" s="3">
        <v>2033756</v>
      </c>
      <c r="B475">
        <v>43310</v>
      </c>
      <c r="C475">
        <v>1</v>
      </c>
      <c r="D475" s="9">
        <v>102</v>
      </c>
      <c r="E475">
        <v>1003</v>
      </c>
      <c r="F475" s="1">
        <v>44009</v>
      </c>
      <c r="G475" t="s">
        <v>15</v>
      </c>
      <c r="H475" s="4" t="s">
        <v>16</v>
      </c>
      <c r="I475" s="4">
        <v>-2195.11</v>
      </c>
      <c r="J475" s="4">
        <v>-2195.11</v>
      </c>
      <c r="K475" t="str">
        <f>VLOOKUP($C475,Table1[#All],2,FALSE)</f>
        <v>FOOD SERVICE</v>
      </c>
      <c r="L475" t="str">
        <f>VLOOKUP($C475,Table1[#All],3,FALSE)</f>
        <v xml:space="preserve">Transactions related to food and beverage service. Includes all guest transactions in the hotel restaurants, catering-related transactions and food service payroll. </v>
      </c>
      <c r="M475" t="str">
        <f>IFERROR(VLOOKUP($B475,ChartOfAccounts!A474:B559,2,FALSE),"")</f>
        <v/>
      </c>
      <c r="N475" t="str">
        <f>IFERROR(VLOOKUP($B475,ChartOfAccounts!C474:D559,2,FALSE),"")</f>
        <v/>
      </c>
      <c r="O475" t="str">
        <f>IFERROR(VLOOKUP($B475,ChartOfAccounts!E474:F559,2,FALSE),"")</f>
        <v/>
      </c>
      <c r="P475" t="str">
        <f>IFERROR(VLOOKUP(D475,PreparerInfo!A474:B486,2,FALSE),"")</f>
        <v/>
      </c>
      <c r="Q475" t="str">
        <f>IFERROR(VLOOKUP(E475,Source!A474:B482,2,FALSE),"")</f>
        <v/>
      </c>
    </row>
    <row r="476" spans="1:17" x14ac:dyDescent="0.3">
      <c r="A476" s="3">
        <v>2033757</v>
      </c>
      <c r="B476">
        <v>74201</v>
      </c>
      <c r="C476">
        <v>2</v>
      </c>
      <c r="D476" s="9">
        <v>101</v>
      </c>
      <c r="E476">
        <v>1002</v>
      </c>
      <c r="F476" s="1">
        <v>44009</v>
      </c>
      <c r="G476" t="s">
        <v>182</v>
      </c>
      <c r="H476" s="4">
        <v>2800</v>
      </c>
      <c r="I476" s="4" t="s">
        <v>16</v>
      </c>
      <c r="J476" s="4">
        <v>2800</v>
      </c>
      <c r="K476" t="str">
        <f>VLOOKUP($C476,Table1[#All],2,FALSE)</f>
        <v>HOTEL</v>
      </c>
      <c r="L476" t="str">
        <f>VLOOKUP($C476,Table1[#All],3,FALSE)</f>
        <v xml:space="preserve">Transactions related to guest rooms and overall hotel operations. Includes payroll for administrative staff, clerks and interns. </v>
      </c>
      <c r="M476" t="str">
        <f>IFERROR(VLOOKUP($B476,ChartOfAccounts!A475:B560,2,FALSE),"")</f>
        <v/>
      </c>
      <c r="N476" t="str">
        <f>IFERROR(VLOOKUP($B476,ChartOfAccounts!C475:D560,2,FALSE),"")</f>
        <v/>
      </c>
      <c r="O476" t="str">
        <f>IFERROR(VLOOKUP($B476,ChartOfAccounts!E475:F560,2,FALSE),"")</f>
        <v/>
      </c>
      <c r="P476" t="str">
        <f>IFERROR(VLOOKUP(D476,PreparerInfo!A475:B487,2,FALSE),"")</f>
        <v/>
      </c>
      <c r="Q476" t="str">
        <f>IFERROR(VLOOKUP(E476,Source!A475:B483,2,FALSE),"")</f>
        <v/>
      </c>
    </row>
    <row r="477" spans="1:17" x14ac:dyDescent="0.3">
      <c r="A477" s="3">
        <v>2033757</v>
      </c>
      <c r="B477">
        <v>11845</v>
      </c>
      <c r="C477">
        <v>2</v>
      </c>
      <c r="D477" s="9">
        <v>101</v>
      </c>
      <c r="E477">
        <v>1002</v>
      </c>
      <c r="F477" s="1">
        <v>44009</v>
      </c>
      <c r="G477" t="s">
        <v>182</v>
      </c>
      <c r="H477" s="4" t="s">
        <v>16</v>
      </c>
      <c r="I477" s="4">
        <v>-2800</v>
      </c>
      <c r="J477" s="4">
        <v>-2800</v>
      </c>
      <c r="K477" t="str">
        <f>VLOOKUP($C477,Table1[#All],2,FALSE)</f>
        <v>HOTEL</v>
      </c>
      <c r="L477" t="str">
        <f>VLOOKUP($C477,Table1[#All],3,FALSE)</f>
        <v xml:space="preserve">Transactions related to guest rooms and overall hotel operations. Includes payroll for administrative staff, clerks and interns. </v>
      </c>
      <c r="M477" t="str">
        <f>IFERROR(VLOOKUP($B477,ChartOfAccounts!A476:B561,2,FALSE),"")</f>
        <v/>
      </c>
      <c r="N477" t="str">
        <f>IFERROR(VLOOKUP($B477,ChartOfAccounts!C476:D561,2,FALSE),"")</f>
        <v/>
      </c>
      <c r="O477" t="str">
        <f>IFERROR(VLOOKUP($B477,ChartOfAccounts!E476:F561,2,FALSE),"")</f>
        <v/>
      </c>
      <c r="P477" t="str">
        <f>IFERROR(VLOOKUP(D477,PreparerInfo!A476:B488,2,FALSE),"")</f>
        <v/>
      </c>
      <c r="Q477" t="str">
        <f>IFERROR(VLOOKUP(E477,Source!A476:B484,2,FALSE),"")</f>
        <v/>
      </c>
    </row>
    <row r="478" spans="1:17" x14ac:dyDescent="0.3">
      <c r="A478" s="3">
        <v>2033758</v>
      </c>
      <c r="B478">
        <v>14260</v>
      </c>
      <c r="C478">
        <v>1</v>
      </c>
      <c r="D478" s="9">
        <v>101</v>
      </c>
      <c r="E478">
        <v>1002</v>
      </c>
      <c r="F478" s="1">
        <v>44009</v>
      </c>
      <c r="G478" t="s">
        <v>38</v>
      </c>
      <c r="H478" s="4">
        <v>4003.54</v>
      </c>
      <c r="I478" s="4" t="s">
        <v>16</v>
      </c>
      <c r="J478" s="4">
        <v>4003.54</v>
      </c>
      <c r="K478" t="str">
        <f>VLOOKUP($C478,Table1[#All],2,FALSE)</f>
        <v>FOOD SERVICE</v>
      </c>
      <c r="L478" t="str">
        <f>VLOOKUP($C478,Table1[#All],3,FALSE)</f>
        <v xml:space="preserve">Transactions related to food and beverage service. Includes all guest transactions in the hotel restaurants, catering-related transactions and food service payroll. </v>
      </c>
      <c r="M478" t="str">
        <f>IFERROR(VLOOKUP($B478,ChartOfAccounts!A477:B562,2,FALSE),"")</f>
        <v/>
      </c>
      <c r="N478" t="str">
        <f>IFERROR(VLOOKUP($B478,ChartOfAccounts!C477:D562,2,FALSE),"")</f>
        <v/>
      </c>
      <c r="O478" t="str">
        <f>IFERROR(VLOOKUP($B478,ChartOfAccounts!E477:F562,2,FALSE),"")</f>
        <v/>
      </c>
      <c r="P478" t="str">
        <f>IFERROR(VLOOKUP(D478,PreparerInfo!A477:B489,2,FALSE),"")</f>
        <v/>
      </c>
      <c r="Q478" t="str">
        <f>IFERROR(VLOOKUP(E478,Source!A477:B485,2,FALSE),"")</f>
        <v/>
      </c>
    </row>
    <row r="479" spans="1:17" x14ac:dyDescent="0.3">
      <c r="A479" s="3">
        <v>2033758</v>
      </c>
      <c r="B479">
        <v>11845</v>
      </c>
      <c r="C479">
        <v>1</v>
      </c>
      <c r="D479" s="9">
        <v>101</v>
      </c>
      <c r="E479">
        <v>1002</v>
      </c>
      <c r="F479" s="1">
        <v>44009</v>
      </c>
      <c r="G479" t="s">
        <v>38</v>
      </c>
      <c r="H479" s="4" t="s">
        <v>16</v>
      </c>
      <c r="I479" s="4">
        <v>-4003.54</v>
      </c>
      <c r="J479" s="4">
        <v>-4003.54</v>
      </c>
      <c r="K479" t="str">
        <f>VLOOKUP($C479,Table1[#All],2,FALSE)</f>
        <v>FOOD SERVICE</v>
      </c>
      <c r="L479" t="str">
        <f>VLOOKUP($C479,Table1[#All],3,FALSE)</f>
        <v xml:space="preserve">Transactions related to food and beverage service. Includes all guest transactions in the hotel restaurants, catering-related transactions and food service payroll. </v>
      </c>
      <c r="M479" t="str">
        <f>IFERROR(VLOOKUP($B479,ChartOfAccounts!A478:B563,2,FALSE),"")</f>
        <v/>
      </c>
      <c r="N479" t="str">
        <f>IFERROR(VLOOKUP($B479,ChartOfAccounts!C478:D563,2,FALSE),"")</f>
        <v/>
      </c>
      <c r="O479" t="str">
        <f>IFERROR(VLOOKUP($B479,ChartOfAccounts!E478:F563,2,FALSE),"")</f>
        <v/>
      </c>
      <c r="P479" t="str">
        <f>IFERROR(VLOOKUP(D479,PreparerInfo!A478:B490,2,FALSE),"")</f>
        <v/>
      </c>
      <c r="Q479" t="str">
        <f>IFERROR(VLOOKUP(E479,Source!A478:B486,2,FALSE),"")</f>
        <v/>
      </c>
    </row>
    <row r="480" spans="1:17" x14ac:dyDescent="0.3">
      <c r="A480" s="3">
        <v>2033759</v>
      </c>
      <c r="B480">
        <v>11845</v>
      </c>
      <c r="C480">
        <v>1</v>
      </c>
      <c r="D480" s="9">
        <v>106</v>
      </c>
      <c r="E480">
        <v>1003</v>
      </c>
      <c r="F480" s="1">
        <v>44009</v>
      </c>
      <c r="G480" t="s">
        <v>80</v>
      </c>
      <c r="H480" s="4">
        <v>4349.0200000000004</v>
      </c>
      <c r="I480" s="4" t="s">
        <v>16</v>
      </c>
      <c r="J480" s="4">
        <v>4349.0200000000004</v>
      </c>
      <c r="K480" t="str">
        <f>VLOOKUP($C480,Table1[#All],2,FALSE)</f>
        <v>FOOD SERVICE</v>
      </c>
      <c r="L480" t="str">
        <f>VLOOKUP($C480,Table1[#All],3,FALSE)</f>
        <v xml:space="preserve">Transactions related to food and beverage service. Includes all guest transactions in the hotel restaurants, catering-related transactions and food service payroll. </v>
      </c>
      <c r="M480" t="str">
        <f>IFERROR(VLOOKUP($B480,ChartOfAccounts!A479:B564,2,FALSE),"")</f>
        <v/>
      </c>
      <c r="N480" t="str">
        <f>IFERROR(VLOOKUP($B480,ChartOfAccounts!C479:D564,2,FALSE),"")</f>
        <v/>
      </c>
      <c r="O480" t="str">
        <f>IFERROR(VLOOKUP($B480,ChartOfAccounts!E479:F564,2,FALSE),"")</f>
        <v/>
      </c>
      <c r="P480" t="str">
        <f>IFERROR(VLOOKUP(D480,PreparerInfo!A479:B491,2,FALSE),"")</f>
        <v/>
      </c>
      <c r="Q480" t="str">
        <f>IFERROR(VLOOKUP(E480,Source!A479:B487,2,FALSE),"")</f>
        <v/>
      </c>
    </row>
    <row r="481" spans="1:17" x14ac:dyDescent="0.3">
      <c r="A481" s="3">
        <v>2033759</v>
      </c>
      <c r="B481">
        <v>43310</v>
      </c>
      <c r="C481">
        <v>1</v>
      </c>
      <c r="D481" s="9">
        <v>106</v>
      </c>
      <c r="E481">
        <v>1003</v>
      </c>
      <c r="F481" s="1">
        <v>44009</v>
      </c>
      <c r="G481" t="s">
        <v>80</v>
      </c>
      <c r="H481" s="4" t="s">
        <v>16</v>
      </c>
      <c r="I481" s="4">
        <v>-4349.0200000000004</v>
      </c>
      <c r="J481" s="4">
        <v>-4349.0200000000004</v>
      </c>
      <c r="K481" t="str">
        <f>VLOOKUP($C481,Table1[#All],2,FALSE)</f>
        <v>FOOD SERVICE</v>
      </c>
      <c r="L481" t="str">
        <f>VLOOKUP($C481,Table1[#All],3,FALSE)</f>
        <v xml:space="preserve">Transactions related to food and beverage service. Includes all guest transactions in the hotel restaurants, catering-related transactions and food service payroll. </v>
      </c>
      <c r="M481" t="str">
        <f>IFERROR(VLOOKUP($B481,ChartOfAccounts!A480:B565,2,FALSE),"")</f>
        <v/>
      </c>
      <c r="N481" t="str">
        <f>IFERROR(VLOOKUP($B481,ChartOfAccounts!C480:D565,2,FALSE),"")</f>
        <v/>
      </c>
      <c r="O481" t="str">
        <f>IFERROR(VLOOKUP($B481,ChartOfAccounts!E480:F565,2,FALSE),"")</f>
        <v/>
      </c>
      <c r="P481" t="str">
        <f>IFERROR(VLOOKUP(D481,PreparerInfo!A480:B492,2,FALSE),"")</f>
        <v/>
      </c>
      <c r="Q481" t="str">
        <f>IFERROR(VLOOKUP(E481,Source!A480:B488,2,FALSE),"")</f>
        <v/>
      </c>
    </row>
    <row r="482" spans="1:17" x14ac:dyDescent="0.3">
      <c r="A482" s="3">
        <v>2033760</v>
      </c>
      <c r="B482">
        <v>11845</v>
      </c>
      <c r="C482">
        <v>1</v>
      </c>
      <c r="D482" s="9">
        <v>106</v>
      </c>
      <c r="E482">
        <v>1003</v>
      </c>
      <c r="F482" s="1">
        <v>44009</v>
      </c>
      <c r="G482" t="s">
        <v>80</v>
      </c>
      <c r="H482" s="4">
        <v>5062</v>
      </c>
      <c r="I482" s="4" t="s">
        <v>16</v>
      </c>
      <c r="J482" s="4">
        <v>5062</v>
      </c>
      <c r="K482" t="str">
        <f>VLOOKUP($C482,Table1[#All],2,FALSE)</f>
        <v>FOOD SERVICE</v>
      </c>
      <c r="L482" t="str">
        <f>VLOOKUP($C482,Table1[#All],3,FALSE)</f>
        <v xml:space="preserve">Transactions related to food and beverage service. Includes all guest transactions in the hotel restaurants, catering-related transactions and food service payroll. </v>
      </c>
      <c r="M482" t="str">
        <f>IFERROR(VLOOKUP($B482,ChartOfAccounts!A481:B566,2,FALSE),"")</f>
        <v/>
      </c>
      <c r="N482" t="str">
        <f>IFERROR(VLOOKUP($B482,ChartOfAccounts!C481:D566,2,FALSE),"")</f>
        <v/>
      </c>
      <c r="O482" t="str">
        <f>IFERROR(VLOOKUP($B482,ChartOfAccounts!E481:F566,2,FALSE),"")</f>
        <v/>
      </c>
      <c r="P482" t="str">
        <f>IFERROR(VLOOKUP(D482,PreparerInfo!A481:B493,2,FALSE),"")</f>
        <v/>
      </c>
      <c r="Q482" t="str">
        <f>IFERROR(VLOOKUP(E482,Source!A481:B489,2,FALSE),"")</f>
        <v/>
      </c>
    </row>
    <row r="483" spans="1:17" x14ac:dyDescent="0.3">
      <c r="A483" s="3">
        <v>2033760</v>
      </c>
      <c r="B483">
        <v>43310</v>
      </c>
      <c r="C483">
        <v>1</v>
      </c>
      <c r="D483" s="9">
        <v>106</v>
      </c>
      <c r="E483">
        <v>1003</v>
      </c>
      <c r="F483" s="1">
        <v>44009</v>
      </c>
      <c r="G483" t="s">
        <v>80</v>
      </c>
      <c r="H483" s="4" t="s">
        <v>16</v>
      </c>
      <c r="I483" s="4">
        <v>-5062</v>
      </c>
      <c r="J483" s="4">
        <v>-5062</v>
      </c>
      <c r="K483" t="str">
        <f>VLOOKUP($C483,Table1[#All],2,FALSE)</f>
        <v>FOOD SERVICE</v>
      </c>
      <c r="L483" t="str">
        <f>VLOOKUP($C483,Table1[#All],3,FALSE)</f>
        <v xml:space="preserve">Transactions related to food and beverage service. Includes all guest transactions in the hotel restaurants, catering-related transactions and food service payroll. </v>
      </c>
      <c r="M483" t="str">
        <f>IFERROR(VLOOKUP($B483,ChartOfAccounts!A482:B567,2,FALSE),"")</f>
        <v/>
      </c>
      <c r="N483" t="str">
        <f>IFERROR(VLOOKUP($B483,ChartOfAccounts!C482:D567,2,FALSE),"")</f>
        <v/>
      </c>
      <c r="O483" t="str">
        <f>IFERROR(VLOOKUP($B483,ChartOfAccounts!E482:F567,2,FALSE),"")</f>
        <v/>
      </c>
      <c r="P483" t="str">
        <f>IFERROR(VLOOKUP(D483,PreparerInfo!A482:B494,2,FALSE),"")</f>
        <v/>
      </c>
      <c r="Q483" t="str">
        <f>IFERROR(VLOOKUP(E483,Source!A482:B490,2,FALSE),"")</f>
        <v/>
      </c>
    </row>
    <row r="484" spans="1:17" x14ac:dyDescent="0.3">
      <c r="A484" s="3">
        <v>2033761</v>
      </c>
      <c r="B484">
        <v>11845</v>
      </c>
      <c r="C484">
        <v>2</v>
      </c>
      <c r="D484" s="9">
        <v>106</v>
      </c>
      <c r="E484">
        <v>1003</v>
      </c>
      <c r="F484" s="1">
        <v>44009</v>
      </c>
      <c r="G484" t="s">
        <v>81</v>
      </c>
      <c r="H484" s="4">
        <v>5346</v>
      </c>
      <c r="I484" s="4" t="s">
        <v>16</v>
      </c>
      <c r="J484" s="4">
        <v>5346</v>
      </c>
      <c r="K484" t="str">
        <f>VLOOKUP($C484,Table1[#All],2,FALSE)</f>
        <v>HOTEL</v>
      </c>
      <c r="L484" t="str">
        <f>VLOOKUP($C484,Table1[#All],3,FALSE)</f>
        <v xml:space="preserve">Transactions related to guest rooms and overall hotel operations. Includes payroll for administrative staff, clerks and interns. </v>
      </c>
      <c r="M484" t="str">
        <f>IFERROR(VLOOKUP($B484,ChartOfAccounts!A483:B568,2,FALSE),"")</f>
        <v/>
      </c>
      <c r="N484" t="str">
        <f>IFERROR(VLOOKUP($B484,ChartOfAccounts!C483:D568,2,FALSE),"")</f>
        <v/>
      </c>
      <c r="O484" t="str">
        <f>IFERROR(VLOOKUP($B484,ChartOfAccounts!E483:F568,2,FALSE),"")</f>
        <v/>
      </c>
      <c r="P484" t="str">
        <f>IFERROR(VLOOKUP(D484,PreparerInfo!A483:B495,2,FALSE),"")</f>
        <v/>
      </c>
      <c r="Q484" t="str">
        <f>IFERROR(VLOOKUP(E484,Source!A483:B491,2,FALSE),"")</f>
        <v/>
      </c>
    </row>
    <row r="485" spans="1:17" x14ac:dyDescent="0.3">
      <c r="A485" s="3">
        <v>2033761</v>
      </c>
      <c r="B485">
        <v>43180</v>
      </c>
      <c r="C485">
        <v>2</v>
      </c>
      <c r="D485" s="9">
        <v>106</v>
      </c>
      <c r="E485">
        <v>1003</v>
      </c>
      <c r="F485" s="1">
        <v>44009</v>
      </c>
      <c r="G485" t="s">
        <v>81</v>
      </c>
      <c r="H485" s="4" t="s">
        <v>16</v>
      </c>
      <c r="I485" s="4">
        <v>-5346</v>
      </c>
      <c r="J485" s="4">
        <v>-5346</v>
      </c>
      <c r="K485" t="str">
        <f>VLOOKUP($C485,Table1[#All],2,FALSE)</f>
        <v>HOTEL</v>
      </c>
      <c r="L485" t="str">
        <f>VLOOKUP($C485,Table1[#All],3,FALSE)</f>
        <v xml:space="preserve">Transactions related to guest rooms and overall hotel operations. Includes payroll for administrative staff, clerks and interns. </v>
      </c>
      <c r="M485" t="str">
        <f>IFERROR(VLOOKUP($B485,ChartOfAccounts!A484:B569,2,FALSE),"")</f>
        <v/>
      </c>
      <c r="N485" t="str">
        <f>IFERROR(VLOOKUP($B485,ChartOfAccounts!C484:D569,2,FALSE),"")</f>
        <v/>
      </c>
      <c r="O485" t="str">
        <f>IFERROR(VLOOKUP($B485,ChartOfAccounts!E484:F569,2,FALSE),"")</f>
        <v/>
      </c>
      <c r="P485" t="str">
        <f>IFERROR(VLOOKUP(D485,PreparerInfo!A484:B496,2,FALSE),"")</f>
        <v/>
      </c>
      <c r="Q485" t="str">
        <f>IFERROR(VLOOKUP(E485,Source!A484:B492,2,FALSE),"")</f>
        <v/>
      </c>
    </row>
    <row r="486" spans="1:17" x14ac:dyDescent="0.3">
      <c r="A486" s="3">
        <v>2033762</v>
      </c>
      <c r="B486">
        <v>11845</v>
      </c>
      <c r="C486">
        <v>2</v>
      </c>
      <c r="D486" s="9">
        <v>104</v>
      </c>
      <c r="E486">
        <v>1003</v>
      </c>
      <c r="F486" s="1">
        <v>44009</v>
      </c>
      <c r="G486" t="s">
        <v>15</v>
      </c>
      <c r="H486" s="4">
        <v>12300</v>
      </c>
      <c r="I486" s="4" t="s">
        <v>16</v>
      </c>
      <c r="J486" s="4">
        <v>12300</v>
      </c>
      <c r="K486" t="str">
        <f>VLOOKUP($C486,Table1[#All],2,FALSE)</f>
        <v>HOTEL</v>
      </c>
      <c r="L486" t="str">
        <f>VLOOKUP($C486,Table1[#All],3,FALSE)</f>
        <v xml:space="preserve">Transactions related to guest rooms and overall hotel operations. Includes payroll for administrative staff, clerks and interns. </v>
      </c>
      <c r="M486" t="str">
        <f>IFERROR(VLOOKUP($B486,ChartOfAccounts!A485:B570,2,FALSE),"")</f>
        <v/>
      </c>
      <c r="N486" t="str">
        <f>IFERROR(VLOOKUP($B486,ChartOfAccounts!C485:D570,2,FALSE),"")</f>
        <v/>
      </c>
      <c r="O486" t="str">
        <f>IFERROR(VLOOKUP($B486,ChartOfAccounts!E485:F570,2,FALSE),"")</f>
        <v/>
      </c>
      <c r="P486" t="str">
        <f>IFERROR(VLOOKUP(D486,PreparerInfo!A485:B497,2,FALSE),"")</f>
        <v/>
      </c>
      <c r="Q486" t="str">
        <f>IFERROR(VLOOKUP(E486,Source!A485:B493,2,FALSE),"")</f>
        <v/>
      </c>
    </row>
    <row r="487" spans="1:17" x14ac:dyDescent="0.3">
      <c r="A487" s="3">
        <v>2033762</v>
      </c>
      <c r="B487">
        <v>43180</v>
      </c>
      <c r="C487">
        <v>2</v>
      </c>
      <c r="D487" s="9">
        <v>104</v>
      </c>
      <c r="E487">
        <v>1003</v>
      </c>
      <c r="F487" s="1">
        <v>44009</v>
      </c>
      <c r="G487" t="s">
        <v>15</v>
      </c>
      <c r="H487" s="4" t="s">
        <v>16</v>
      </c>
      <c r="I487" s="4">
        <v>-12300</v>
      </c>
      <c r="J487" s="4">
        <v>-12300</v>
      </c>
      <c r="K487" t="str">
        <f>VLOOKUP($C487,Table1[#All],2,FALSE)</f>
        <v>HOTEL</v>
      </c>
      <c r="L487" t="str">
        <f>VLOOKUP($C487,Table1[#All],3,FALSE)</f>
        <v xml:space="preserve">Transactions related to guest rooms and overall hotel operations. Includes payroll for administrative staff, clerks and interns. </v>
      </c>
      <c r="M487" t="str">
        <f>IFERROR(VLOOKUP($B487,ChartOfAccounts!A486:B571,2,FALSE),"")</f>
        <v/>
      </c>
      <c r="N487" t="str">
        <f>IFERROR(VLOOKUP($B487,ChartOfAccounts!C486:D571,2,FALSE),"")</f>
        <v/>
      </c>
      <c r="O487" t="str">
        <f>IFERROR(VLOOKUP($B487,ChartOfAccounts!E486:F571,2,FALSE),"")</f>
        <v/>
      </c>
      <c r="P487" t="str">
        <f>IFERROR(VLOOKUP(D487,PreparerInfo!A486:B498,2,FALSE),"")</f>
        <v/>
      </c>
      <c r="Q487" t="str">
        <f>IFERROR(VLOOKUP(E487,Source!A486:B494,2,FALSE),"")</f>
        <v/>
      </c>
    </row>
    <row r="488" spans="1:17" x14ac:dyDescent="0.3">
      <c r="A488" s="3">
        <v>2033763</v>
      </c>
      <c r="B488">
        <v>11845</v>
      </c>
      <c r="C488">
        <v>1</v>
      </c>
      <c r="D488" s="9">
        <v>106</v>
      </c>
      <c r="E488">
        <v>1003</v>
      </c>
      <c r="F488" s="1">
        <v>44009</v>
      </c>
      <c r="G488" t="s">
        <v>80</v>
      </c>
      <c r="H488" s="4">
        <v>27320.65</v>
      </c>
      <c r="I488" s="4" t="s">
        <v>16</v>
      </c>
      <c r="J488" s="4">
        <v>27320.65</v>
      </c>
      <c r="K488" t="str">
        <f>VLOOKUP($C488,Table1[#All],2,FALSE)</f>
        <v>FOOD SERVICE</v>
      </c>
      <c r="L488" t="str">
        <f>VLOOKUP($C488,Table1[#All],3,FALSE)</f>
        <v xml:space="preserve">Transactions related to food and beverage service. Includes all guest transactions in the hotel restaurants, catering-related transactions and food service payroll. </v>
      </c>
      <c r="M488" t="str">
        <f>IFERROR(VLOOKUP($B488,ChartOfAccounts!A487:B572,2,FALSE),"")</f>
        <v/>
      </c>
      <c r="N488" t="str">
        <f>IFERROR(VLOOKUP($B488,ChartOfAccounts!C487:D572,2,FALSE),"")</f>
        <v/>
      </c>
      <c r="O488" t="str">
        <f>IFERROR(VLOOKUP($B488,ChartOfAccounts!E487:F572,2,FALSE),"")</f>
        <v/>
      </c>
      <c r="P488" t="str">
        <f>IFERROR(VLOOKUP(D488,PreparerInfo!A487:B499,2,FALSE),"")</f>
        <v/>
      </c>
      <c r="Q488" t="str">
        <f>IFERROR(VLOOKUP(E488,Source!A487:B495,2,FALSE),"")</f>
        <v/>
      </c>
    </row>
    <row r="489" spans="1:17" x14ac:dyDescent="0.3">
      <c r="A489" s="3">
        <v>2033763</v>
      </c>
      <c r="B489">
        <v>43310</v>
      </c>
      <c r="C489">
        <v>1</v>
      </c>
      <c r="D489" s="9">
        <v>106</v>
      </c>
      <c r="E489">
        <v>1003</v>
      </c>
      <c r="F489" s="1">
        <v>44009</v>
      </c>
      <c r="G489" t="s">
        <v>80</v>
      </c>
      <c r="H489" s="4" t="s">
        <v>16</v>
      </c>
      <c r="I489" s="4">
        <v>-27320.65</v>
      </c>
      <c r="J489" s="4">
        <v>-27320.65</v>
      </c>
      <c r="K489" t="str">
        <f>VLOOKUP($C489,Table1[#All],2,FALSE)</f>
        <v>FOOD SERVICE</v>
      </c>
      <c r="L489" t="str">
        <f>VLOOKUP($C489,Table1[#All],3,FALSE)</f>
        <v xml:space="preserve">Transactions related to food and beverage service. Includes all guest transactions in the hotel restaurants, catering-related transactions and food service payroll. </v>
      </c>
      <c r="M489" t="str">
        <f>IFERROR(VLOOKUP($B489,ChartOfAccounts!A488:B573,2,FALSE),"")</f>
        <v/>
      </c>
      <c r="N489" t="str">
        <f>IFERROR(VLOOKUP($B489,ChartOfAccounts!C488:D573,2,FALSE),"")</f>
        <v/>
      </c>
      <c r="O489" t="str">
        <f>IFERROR(VLOOKUP($B489,ChartOfAccounts!E488:F573,2,FALSE),"")</f>
        <v/>
      </c>
      <c r="P489" t="str">
        <f>IFERROR(VLOOKUP(D489,PreparerInfo!A488:B500,2,FALSE),"")</f>
        <v/>
      </c>
      <c r="Q489" t="str">
        <f>IFERROR(VLOOKUP(E489,Source!A488:B496,2,FALSE),"")</f>
        <v/>
      </c>
    </row>
    <row r="490" spans="1:17" x14ac:dyDescent="0.3">
      <c r="A490" s="3">
        <v>2033764</v>
      </c>
      <c r="B490">
        <v>51620</v>
      </c>
      <c r="C490">
        <v>6</v>
      </c>
      <c r="D490" s="9">
        <v>105</v>
      </c>
      <c r="E490">
        <v>1006</v>
      </c>
      <c r="F490" s="1">
        <v>44010</v>
      </c>
      <c r="G490" t="s">
        <v>91</v>
      </c>
      <c r="H490" s="4">
        <v>11.48</v>
      </c>
      <c r="I490" s="4" t="s">
        <v>16</v>
      </c>
      <c r="J490" s="4">
        <v>11.48</v>
      </c>
      <c r="K490" t="str">
        <f>VLOOKUP($C490,Table1[#All],2,FALSE)</f>
        <v>MAINTENANCE</v>
      </c>
      <c r="L490" t="str">
        <f>VLOOKUP($C490,Table1[#All],3,FALSE)</f>
        <v>Transactions related to the hotel Maintenance Department. Primarily includes payroll for maintenance, grounds keepers and related supplies.</v>
      </c>
      <c r="M490" t="str">
        <f>IFERROR(VLOOKUP($B490,ChartOfAccounts!A489:B574,2,FALSE),"")</f>
        <v/>
      </c>
      <c r="N490" t="str">
        <f>IFERROR(VLOOKUP($B490,ChartOfAccounts!C489:D574,2,FALSE),"")</f>
        <v/>
      </c>
      <c r="O490" t="str">
        <f>IFERROR(VLOOKUP($B490,ChartOfAccounts!E489:F574,2,FALSE),"")</f>
        <v/>
      </c>
      <c r="P490" t="str">
        <f>IFERROR(VLOOKUP(D490,PreparerInfo!A489:B501,2,FALSE),"")</f>
        <v/>
      </c>
      <c r="Q490" t="str">
        <f>IFERROR(VLOOKUP(E490,Source!A489:B497,2,FALSE),"")</f>
        <v/>
      </c>
    </row>
    <row r="491" spans="1:17" x14ac:dyDescent="0.3">
      <c r="A491" s="3">
        <v>2033764</v>
      </c>
      <c r="B491">
        <v>22110</v>
      </c>
      <c r="C491">
        <v>6</v>
      </c>
      <c r="D491" s="9">
        <v>105</v>
      </c>
      <c r="E491">
        <v>1006</v>
      </c>
      <c r="F491" s="1">
        <v>44010</v>
      </c>
      <c r="G491" t="s">
        <v>91</v>
      </c>
      <c r="H491" s="4" t="s">
        <v>16</v>
      </c>
      <c r="I491" s="4">
        <v>-11.48</v>
      </c>
      <c r="J491" s="4">
        <v>-11.48</v>
      </c>
      <c r="K491" t="str">
        <f>VLOOKUP($C491,Table1[#All],2,FALSE)</f>
        <v>MAINTENANCE</v>
      </c>
      <c r="L491" t="str">
        <f>VLOOKUP($C491,Table1[#All],3,FALSE)</f>
        <v>Transactions related to the hotel Maintenance Department. Primarily includes payroll for maintenance, grounds keepers and related supplies.</v>
      </c>
      <c r="M491" t="str">
        <f>IFERROR(VLOOKUP($B491,ChartOfAccounts!A490:B575,2,FALSE),"")</f>
        <v/>
      </c>
      <c r="N491" t="str">
        <f>IFERROR(VLOOKUP($B491,ChartOfAccounts!C490:D575,2,FALSE),"")</f>
        <v/>
      </c>
      <c r="O491" t="str">
        <f>IFERROR(VLOOKUP($B491,ChartOfAccounts!E490:F575,2,FALSE),"")</f>
        <v/>
      </c>
      <c r="P491" t="str">
        <f>IFERROR(VLOOKUP(D491,PreparerInfo!A490:B502,2,FALSE),"")</f>
        <v/>
      </c>
      <c r="Q491" t="str">
        <f>IFERROR(VLOOKUP(E491,Source!A490:B498,2,FALSE),"")</f>
        <v/>
      </c>
    </row>
    <row r="492" spans="1:17" x14ac:dyDescent="0.3">
      <c r="A492" s="3">
        <v>2033765</v>
      </c>
      <c r="B492">
        <v>51620</v>
      </c>
      <c r="C492">
        <v>4</v>
      </c>
      <c r="D492" s="9">
        <v>105</v>
      </c>
      <c r="E492">
        <v>1006</v>
      </c>
      <c r="F492" s="1">
        <v>44010</v>
      </c>
      <c r="G492" t="s">
        <v>91</v>
      </c>
      <c r="H492" s="4">
        <v>22.96</v>
      </c>
      <c r="I492" s="4" t="s">
        <v>16</v>
      </c>
      <c r="J492" s="4">
        <v>22.96</v>
      </c>
      <c r="K492" t="str">
        <f>VLOOKUP($C492,Table1[#All],2,FALSE)</f>
        <v>HOUSEKEEPING</v>
      </c>
      <c r="L492" t="str">
        <f>VLOOKUP($C492,Table1[#All],3,FALSE)</f>
        <v xml:space="preserve">Transactions related to the Housekeeping Department. Primarily includes payroll for housekeepers and housekeeping supplies. </v>
      </c>
      <c r="M492" t="str">
        <f>IFERROR(VLOOKUP($B492,ChartOfAccounts!A491:B576,2,FALSE),"")</f>
        <v/>
      </c>
      <c r="N492" t="str">
        <f>IFERROR(VLOOKUP($B492,ChartOfAccounts!C491:D576,2,FALSE),"")</f>
        <v/>
      </c>
      <c r="O492" t="str">
        <f>IFERROR(VLOOKUP($B492,ChartOfAccounts!E491:F576,2,FALSE),"")</f>
        <v/>
      </c>
      <c r="P492" t="str">
        <f>IFERROR(VLOOKUP(D492,PreparerInfo!A491:B503,2,FALSE),"")</f>
        <v/>
      </c>
      <c r="Q492" t="str">
        <f>IFERROR(VLOOKUP(E492,Source!A491:B499,2,FALSE),"")</f>
        <v/>
      </c>
    </row>
    <row r="493" spans="1:17" x14ac:dyDescent="0.3">
      <c r="A493" s="3">
        <v>2033765</v>
      </c>
      <c r="B493">
        <v>22110</v>
      </c>
      <c r="C493">
        <v>4</v>
      </c>
      <c r="D493" s="9">
        <v>105</v>
      </c>
      <c r="E493">
        <v>1006</v>
      </c>
      <c r="F493" s="1">
        <v>44010</v>
      </c>
      <c r="G493" t="s">
        <v>91</v>
      </c>
      <c r="H493" s="4" t="s">
        <v>16</v>
      </c>
      <c r="I493" s="4">
        <v>-22.96</v>
      </c>
      <c r="J493" s="4">
        <v>-22.96</v>
      </c>
      <c r="K493" t="str">
        <f>VLOOKUP($C493,Table1[#All],2,FALSE)</f>
        <v>HOUSEKEEPING</v>
      </c>
      <c r="L493" t="str">
        <f>VLOOKUP($C493,Table1[#All],3,FALSE)</f>
        <v xml:space="preserve">Transactions related to the Housekeeping Department. Primarily includes payroll for housekeepers and housekeeping supplies. </v>
      </c>
      <c r="M493" t="str">
        <f>IFERROR(VLOOKUP($B493,ChartOfAccounts!A492:B577,2,FALSE),"")</f>
        <v/>
      </c>
      <c r="N493" t="str">
        <f>IFERROR(VLOOKUP($B493,ChartOfAccounts!C492:D577,2,FALSE),"")</f>
        <v/>
      </c>
      <c r="O493" t="str">
        <f>IFERROR(VLOOKUP($B493,ChartOfAccounts!E492:F577,2,FALSE),"")</f>
        <v/>
      </c>
      <c r="P493" t="str">
        <f>IFERROR(VLOOKUP(D493,PreparerInfo!A492:B504,2,FALSE),"")</f>
        <v/>
      </c>
      <c r="Q493" t="str">
        <f>IFERROR(VLOOKUP(E493,Source!A492:B500,2,FALSE),"")</f>
        <v/>
      </c>
    </row>
    <row r="494" spans="1:17" x14ac:dyDescent="0.3">
      <c r="A494" s="3">
        <v>2033766</v>
      </c>
      <c r="B494">
        <v>14260</v>
      </c>
      <c r="C494">
        <v>1</v>
      </c>
      <c r="D494" s="9">
        <v>102</v>
      </c>
      <c r="E494">
        <v>1002</v>
      </c>
      <c r="F494" s="1">
        <v>44010</v>
      </c>
      <c r="G494" t="s">
        <v>39</v>
      </c>
      <c r="H494" s="4">
        <v>32.049999999999997</v>
      </c>
      <c r="I494" s="4" t="s">
        <v>16</v>
      </c>
      <c r="J494" s="4">
        <v>32.049999999999997</v>
      </c>
      <c r="K494" t="str">
        <f>VLOOKUP($C494,Table1[#All],2,FALSE)</f>
        <v>FOOD SERVICE</v>
      </c>
      <c r="L494" t="str">
        <f>VLOOKUP($C494,Table1[#All],3,FALSE)</f>
        <v xml:space="preserve">Transactions related to food and beverage service. Includes all guest transactions in the hotel restaurants, catering-related transactions and food service payroll. </v>
      </c>
      <c r="M494" t="str">
        <f>IFERROR(VLOOKUP($B494,ChartOfAccounts!A493:B578,2,FALSE),"")</f>
        <v/>
      </c>
      <c r="N494" t="str">
        <f>IFERROR(VLOOKUP($B494,ChartOfAccounts!C493:D578,2,FALSE),"")</f>
        <v/>
      </c>
      <c r="O494" t="str">
        <f>IFERROR(VLOOKUP($B494,ChartOfAccounts!E493:F578,2,FALSE),"")</f>
        <v/>
      </c>
      <c r="P494" t="str">
        <f>IFERROR(VLOOKUP(D494,PreparerInfo!A493:B505,2,FALSE),"")</f>
        <v/>
      </c>
      <c r="Q494" t="str">
        <f>IFERROR(VLOOKUP(E494,Source!A493:B501,2,FALSE),"")</f>
        <v/>
      </c>
    </row>
    <row r="495" spans="1:17" x14ac:dyDescent="0.3">
      <c r="A495" s="3">
        <v>2033766</v>
      </c>
      <c r="B495">
        <v>11845</v>
      </c>
      <c r="C495">
        <v>1</v>
      </c>
      <c r="D495" s="9">
        <v>102</v>
      </c>
      <c r="E495">
        <v>1002</v>
      </c>
      <c r="F495" s="1">
        <v>44010</v>
      </c>
      <c r="G495" t="s">
        <v>39</v>
      </c>
      <c r="H495" s="4" t="s">
        <v>16</v>
      </c>
      <c r="I495" s="4">
        <v>-32.049999999999997</v>
      </c>
      <c r="J495" s="4">
        <v>-32.049999999999997</v>
      </c>
      <c r="K495" t="str">
        <f>VLOOKUP($C495,Table1[#All],2,FALSE)</f>
        <v>FOOD SERVICE</v>
      </c>
      <c r="L495" t="str">
        <f>VLOOKUP($C495,Table1[#All],3,FALSE)</f>
        <v xml:space="preserve">Transactions related to food and beverage service. Includes all guest transactions in the hotel restaurants, catering-related transactions and food service payroll. </v>
      </c>
      <c r="M495" t="str">
        <f>IFERROR(VLOOKUP($B495,ChartOfAccounts!A494:B579,2,FALSE),"")</f>
        <v/>
      </c>
      <c r="N495" t="str">
        <f>IFERROR(VLOOKUP($B495,ChartOfAccounts!C494:D579,2,FALSE),"")</f>
        <v/>
      </c>
      <c r="O495" t="str">
        <f>IFERROR(VLOOKUP($B495,ChartOfAccounts!E494:F579,2,FALSE),"")</f>
        <v/>
      </c>
      <c r="P495" t="str">
        <f>IFERROR(VLOOKUP(D495,PreparerInfo!A494:B506,2,FALSE),"")</f>
        <v/>
      </c>
      <c r="Q495" t="str">
        <f>IFERROR(VLOOKUP(E495,Source!A494:B502,2,FALSE),"")</f>
        <v/>
      </c>
    </row>
    <row r="496" spans="1:17" x14ac:dyDescent="0.3">
      <c r="A496" s="3">
        <v>2033767</v>
      </c>
      <c r="B496">
        <v>51620</v>
      </c>
      <c r="C496">
        <v>2</v>
      </c>
      <c r="D496" s="9">
        <v>105</v>
      </c>
      <c r="E496">
        <v>1006</v>
      </c>
      <c r="F496" s="1">
        <v>44010</v>
      </c>
      <c r="G496" t="s">
        <v>91</v>
      </c>
      <c r="H496" s="4">
        <v>34.44</v>
      </c>
      <c r="I496" s="4" t="s">
        <v>16</v>
      </c>
      <c r="J496" s="4">
        <v>34.44</v>
      </c>
      <c r="K496" t="str">
        <f>VLOOKUP($C496,Table1[#All],2,FALSE)</f>
        <v>HOTEL</v>
      </c>
      <c r="L496" t="str">
        <f>VLOOKUP($C496,Table1[#All],3,FALSE)</f>
        <v xml:space="preserve">Transactions related to guest rooms and overall hotel operations. Includes payroll for administrative staff, clerks and interns. </v>
      </c>
      <c r="M496" t="str">
        <f>IFERROR(VLOOKUP($B496,ChartOfAccounts!A495:B580,2,FALSE),"")</f>
        <v/>
      </c>
      <c r="N496" t="str">
        <f>IFERROR(VLOOKUP($B496,ChartOfAccounts!C495:D580,2,FALSE),"")</f>
        <v/>
      </c>
      <c r="O496" t="str">
        <f>IFERROR(VLOOKUP($B496,ChartOfAccounts!E495:F580,2,FALSE),"")</f>
        <v/>
      </c>
      <c r="P496" t="str">
        <f>IFERROR(VLOOKUP(D496,PreparerInfo!A495:B507,2,FALSE),"")</f>
        <v/>
      </c>
      <c r="Q496" t="str">
        <f>IFERROR(VLOOKUP(E496,Source!A495:B503,2,FALSE),"")</f>
        <v/>
      </c>
    </row>
    <row r="497" spans="1:17" x14ac:dyDescent="0.3">
      <c r="A497" s="3">
        <v>2033767</v>
      </c>
      <c r="B497">
        <v>22110</v>
      </c>
      <c r="C497">
        <v>2</v>
      </c>
      <c r="D497" s="9">
        <v>105</v>
      </c>
      <c r="E497">
        <v>1006</v>
      </c>
      <c r="F497" s="1">
        <v>44010</v>
      </c>
      <c r="G497" t="s">
        <v>91</v>
      </c>
      <c r="H497" s="4" t="s">
        <v>16</v>
      </c>
      <c r="I497" s="4">
        <v>-34.44</v>
      </c>
      <c r="J497" s="4">
        <v>-34.44</v>
      </c>
      <c r="K497" t="str">
        <f>VLOOKUP($C497,Table1[#All],2,FALSE)</f>
        <v>HOTEL</v>
      </c>
      <c r="L497" t="str">
        <f>VLOOKUP($C497,Table1[#All],3,FALSE)</f>
        <v xml:space="preserve">Transactions related to guest rooms and overall hotel operations. Includes payroll for administrative staff, clerks and interns. </v>
      </c>
      <c r="M497" t="str">
        <f>IFERROR(VLOOKUP($B497,ChartOfAccounts!A496:B581,2,FALSE),"")</f>
        <v/>
      </c>
      <c r="N497" t="str">
        <f>IFERROR(VLOOKUP($B497,ChartOfAccounts!C496:D581,2,FALSE),"")</f>
        <v/>
      </c>
      <c r="O497" t="str">
        <f>IFERROR(VLOOKUP($B497,ChartOfAccounts!E496:F581,2,FALSE),"")</f>
        <v/>
      </c>
      <c r="P497" t="str">
        <f>IFERROR(VLOOKUP(D497,PreparerInfo!A496:B508,2,FALSE),"")</f>
        <v/>
      </c>
      <c r="Q497" t="str">
        <f>IFERROR(VLOOKUP(E497,Source!A496:B504,2,FALSE),"")</f>
        <v/>
      </c>
    </row>
    <row r="498" spans="1:17" x14ac:dyDescent="0.3">
      <c r="A498" s="3">
        <v>2033768</v>
      </c>
      <c r="B498">
        <v>14260</v>
      </c>
      <c r="C498">
        <v>1</v>
      </c>
      <c r="D498" s="9">
        <v>102</v>
      </c>
      <c r="E498">
        <v>1002</v>
      </c>
      <c r="F498" s="1">
        <v>44010</v>
      </c>
      <c r="G498" t="s">
        <v>26</v>
      </c>
      <c r="H498" s="4">
        <v>39.4</v>
      </c>
      <c r="I498" s="4" t="s">
        <v>16</v>
      </c>
      <c r="J498" s="4">
        <v>39.4</v>
      </c>
      <c r="K498" t="str">
        <f>VLOOKUP($C498,Table1[#All],2,FALSE)</f>
        <v>FOOD SERVICE</v>
      </c>
      <c r="L498" t="str">
        <f>VLOOKUP($C498,Table1[#All],3,FALSE)</f>
        <v xml:space="preserve">Transactions related to food and beverage service. Includes all guest transactions in the hotel restaurants, catering-related transactions and food service payroll. </v>
      </c>
      <c r="M498" t="str">
        <f>IFERROR(VLOOKUP($B498,ChartOfAccounts!A497:B582,2,FALSE),"")</f>
        <v/>
      </c>
      <c r="N498" t="str">
        <f>IFERROR(VLOOKUP($B498,ChartOfAccounts!C497:D582,2,FALSE),"")</f>
        <v/>
      </c>
      <c r="O498" t="str">
        <f>IFERROR(VLOOKUP($B498,ChartOfAccounts!E497:F582,2,FALSE),"")</f>
        <v/>
      </c>
      <c r="P498" t="str">
        <f>IFERROR(VLOOKUP(D498,PreparerInfo!A497:B509,2,FALSE),"")</f>
        <v/>
      </c>
      <c r="Q498" t="str">
        <f>IFERROR(VLOOKUP(E498,Source!A497:B505,2,FALSE),"")</f>
        <v/>
      </c>
    </row>
    <row r="499" spans="1:17" x14ac:dyDescent="0.3">
      <c r="A499" s="3">
        <v>2033768</v>
      </c>
      <c r="B499">
        <v>11845</v>
      </c>
      <c r="C499">
        <v>1</v>
      </c>
      <c r="D499" s="9">
        <v>102</v>
      </c>
      <c r="E499">
        <v>1002</v>
      </c>
      <c r="F499" s="1">
        <v>44010</v>
      </c>
      <c r="G499" t="s">
        <v>26</v>
      </c>
      <c r="H499" s="4" t="s">
        <v>16</v>
      </c>
      <c r="I499" s="4">
        <v>-39.4</v>
      </c>
      <c r="J499" s="4">
        <v>-39.4</v>
      </c>
      <c r="K499" t="str">
        <f>VLOOKUP($C499,Table1[#All],2,FALSE)</f>
        <v>FOOD SERVICE</v>
      </c>
      <c r="L499" t="str">
        <f>VLOOKUP($C499,Table1[#All],3,FALSE)</f>
        <v xml:space="preserve">Transactions related to food and beverage service. Includes all guest transactions in the hotel restaurants, catering-related transactions and food service payroll. </v>
      </c>
      <c r="M499" t="str">
        <f>IFERROR(VLOOKUP($B499,ChartOfAccounts!A498:B583,2,FALSE),"")</f>
        <v/>
      </c>
      <c r="N499" t="str">
        <f>IFERROR(VLOOKUP($B499,ChartOfAccounts!C498:D583,2,FALSE),"")</f>
        <v/>
      </c>
      <c r="O499" t="str">
        <f>IFERROR(VLOOKUP($B499,ChartOfAccounts!E498:F583,2,FALSE),"")</f>
        <v/>
      </c>
      <c r="P499" t="str">
        <f>IFERROR(VLOOKUP(D499,PreparerInfo!A498:B510,2,FALSE),"")</f>
        <v/>
      </c>
      <c r="Q499" t="str">
        <f>IFERROR(VLOOKUP(E499,Source!A498:B506,2,FALSE),"")</f>
        <v/>
      </c>
    </row>
    <row r="500" spans="1:17" x14ac:dyDescent="0.3">
      <c r="A500" s="3">
        <v>2033769</v>
      </c>
      <c r="B500">
        <v>43180</v>
      </c>
      <c r="C500">
        <v>2</v>
      </c>
      <c r="D500" s="9">
        <v>104</v>
      </c>
      <c r="E500">
        <v>1003</v>
      </c>
      <c r="F500" s="1">
        <v>44010</v>
      </c>
      <c r="G500" t="s">
        <v>240</v>
      </c>
      <c r="H500" s="4">
        <v>40</v>
      </c>
      <c r="I500" s="4" t="s">
        <v>16</v>
      </c>
      <c r="J500" s="4">
        <v>40</v>
      </c>
      <c r="K500" t="str">
        <f>VLOOKUP($C500,Table1[#All],2,FALSE)</f>
        <v>HOTEL</v>
      </c>
      <c r="L500" t="str">
        <f>VLOOKUP($C500,Table1[#All],3,FALSE)</f>
        <v xml:space="preserve">Transactions related to guest rooms and overall hotel operations. Includes payroll for administrative staff, clerks and interns. </v>
      </c>
      <c r="M500" t="str">
        <f>IFERROR(VLOOKUP($B500,ChartOfAccounts!A499:B584,2,FALSE),"")</f>
        <v/>
      </c>
      <c r="N500" t="str">
        <f>IFERROR(VLOOKUP($B500,ChartOfAccounts!C499:D584,2,FALSE),"")</f>
        <v/>
      </c>
      <c r="O500" t="str">
        <f>IFERROR(VLOOKUP($B500,ChartOfAccounts!E499:F584,2,FALSE),"")</f>
        <v/>
      </c>
      <c r="P500" t="str">
        <f>IFERROR(VLOOKUP(D500,PreparerInfo!A499:B511,2,FALSE),"")</f>
        <v/>
      </c>
      <c r="Q500" t="str">
        <f>IFERROR(VLOOKUP(E500,Source!A499:B507,2,FALSE),"")</f>
        <v/>
      </c>
    </row>
    <row r="501" spans="1:17" x14ac:dyDescent="0.3">
      <c r="A501" s="3">
        <v>2033769</v>
      </c>
      <c r="B501">
        <v>11845</v>
      </c>
      <c r="C501">
        <v>2</v>
      </c>
      <c r="D501" s="9">
        <v>104</v>
      </c>
      <c r="E501">
        <v>1003</v>
      </c>
      <c r="F501" s="1">
        <v>44010</v>
      </c>
      <c r="G501" t="s">
        <v>240</v>
      </c>
      <c r="H501" s="4" t="s">
        <v>16</v>
      </c>
      <c r="I501" s="4">
        <v>-40</v>
      </c>
      <c r="J501" s="4">
        <v>-40</v>
      </c>
      <c r="K501" t="str">
        <f>VLOOKUP($C501,Table1[#All],2,FALSE)</f>
        <v>HOTEL</v>
      </c>
      <c r="L501" t="str">
        <f>VLOOKUP($C501,Table1[#All],3,FALSE)</f>
        <v xml:space="preserve">Transactions related to guest rooms and overall hotel operations. Includes payroll for administrative staff, clerks and interns. </v>
      </c>
      <c r="M501" t="str">
        <f>IFERROR(VLOOKUP($B501,ChartOfAccounts!A500:B585,2,FALSE),"")</f>
        <v/>
      </c>
      <c r="N501" t="str">
        <f>IFERROR(VLOOKUP($B501,ChartOfAccounts!C500:D585,2,FALSE),"")</f>
        <v/>
      </c>
      <c r="O501" t="str">
        <f>IFERROR(VLOOKUP($B501,ChartOfAccounts!E500:F585,2,FALSE),"")</f>
        <v/>
      </c>
      <c r="P501" t="str">
        <f>IFERROR(VLOOKUP(D501,PreparerInfo!A500:B512,2,FALSE),"")</f>
        <v/>
      </c>
      <c r="Q501" t="str">
        <f>IFERROR(VLOOKUP(E501,Source!A500:B508,2,FALSE),"")</f>
        <v/>
      </c>
    </row>
    <row r="502" spans="1:17" x14ac:dyDescent="0.3">
      <c r="A502" s="3">
        <v>2033770</v>
      </c>
      <c r="B502">
        <v>14260</v>
      </c>
      <c r="C502">
        <v>1</v>
      </c>
      <c r="D502" s="9">
        <v>102</v>
      </c>
      <c r="E502">
        <v>1002</v>
      </c>
      <c r="F502" s="1">
        <v>44010</v>
      </c>
      <c r="G502" t="s">
        <v>26</v>
      </c>
      <c r="H502" s="4">
        <v>43.9</v>
      </c>
      <c r="I502" s="4" t="s">
        <v>16</v>
      </c>
      <c r="J502" s="4">
        <v>43.9</v>
      </c>
      <c r="K502" t="str">
        <f>VLOOKUP($C502,Table1[#All],2,FALSE)</f>
        <v>FOOD SERVICE</v>
      </c>
      <c r="L502" t="str">
        <f>VLOOKUP($C502,Table1[#All],3,FALSE)</f>
        <v xml:space="preserve">Transactions related to food and beverage service. Includes all guest transactions in the hotel restaurants, catering-related transactions and food service payroll. </v>
      </c>
      <c r="M502" t="str">
        <f>IFERROR(VLOOKUP($B502,ChartOfAccounts!A501:B586,2,FALSE),"")</f>
        <v/>
      </c>
      <c r="N502" t="str">
        <f>IFERROR(VLOOKUP($B502,ChartOfAccounts!C501:D586,2,FALSE),"")</f>
        <v/>
      </c>
      <c r="O502" t="str">
        <f>IFERROR(VLOOKUP($B502,ChartOfAccounts!E501:F586,2,FALSE),"")</f>
        <v/>
      </c>
      <c r="P502" t="str">
        <f>IFERROR(VLOOKUP(D502,PreparerInfo!A501:B513,2,FALSE),"")</f>
        <v/>
      </c>
      <c r="Q502" t="str">
        <f>IFERROR(VLOOKUP(E502,Source!A501:B509,2,FALSE),"")</f>
        <v/>
      </c>
    </row>
    <row r="503" spans="1:17" x14ac:dyDescent="0.3">
      <c r="A503" s="3">
        <v>2033770</v>
      </c>
      <c r="B503">
        <v>11845</v>
      </c>
      <c r="C503">
        <v>1</v>
      </c>
      <c r="D503" s="9">
        <v>102</v>
      </c>
      <c r="E503">
        <v>1002</v>
      </c>
      <c r="F503" s="1">
        <v>44010</v>
      </c>
      <c r="G503" t="s">
        <v>26</v>
      </c>
      <c r="H503" s="4" t="s">
        <v>16</v>
      </c>
      <c r="I503" s="4">
        <v>-43.9</v>
      </c>
      <c r="J503" s="4">
        <v>-43.9</v>
      </c>
      <c r="K503" t="str">
        <f>VLOOKUP($C503,Table1[#All],2,FALSE)</f>
        <v>FOOD SERVICE</v>
      </c>
      <c r="L503" t="str">
        <f>VLOOKUP($C503,Table1[#All],3,FALSE)</f>
        <v xml:space="preserve">Transactions related to food and beverage service. Includes all guest transactions in the hotel restaurants, catering-related transactions and food service payroll. </v>
      </c>
      <c r="M503" t="str">
        <f>IFERROR(VLOOKUP($B503,ChartOfAccounts!A502:B587,2,FALSE),"")</f>
        <v/>
      </c>
      <c r="N503" t="str">
        <f>IFERROR(VLOOKUP($B503,ChartOfAccounts!C502:D587,2,FALSE),"")</f>
        <v/>
      </c>
      <c r="O503" t="str">
        <f>IFERROR(VLOOKUP($B503,ChartOfAccounts!E502:F587,2,FALSE),"")</f>
        <v/>
      </c>
      <c r="P503" t="str">
        <f>IFERROR(VLOOKUP(D503,PreparerInfo!A502:B514,2,FALSE),"")</f>
        <v/>
      </c>
      <c r="Q503" t="str">
        <f>IFERROR(VLOOKUP(E503,Source!A502:B510,2,FALSE),"")</f>
        <v/>
      </c>
    </row>
    <row r="504" spans="1:17" x14ac:dyDescent="0.3">
      <c r="A504" s="3">
        <v>2033771</v>
      </c>
      <c r="B504">
        <v>51402</v>
      </c>
      <c r="C504">
        <v>6</v>
      </c>
      <c r="D504" s="9">
        <v>105</v>
      </c>
      <c r="E504">
        <v>1006</v>
      </c>
      <c r="F504" s="1">
        <v>44010</v>
      </c>
      <c r="G504" t="s">
        <v>93</v>
      </c>
      <c r="H504" s="4">
        <v>47.82</v>
      </c>
      <c r="I504" s="4" t="s">
        <v>16</v>
      </c>
      <c r="J504" s="4">
        <v>47.82</v>
      </c>
      <c r="K504" t="str">
        <f>VLOOKUP($C504,Table1[#All],2,FALSE)</f>
        <v>MAINTENANCE</v>
      </c>
      <c r="L504" t="str">
        <f>VLOOKUP($C504,Table1[#All],3,FALSE)</f>
        <v>Transactions related to the hotel Maintenance Department. Primarily includes payroll for maintenance, grounds keepers and related supplies.</v>
      </c>
      <c r="M504" t="str">
        <f>IFERROR(VLOOKUP($B504,ChartOfAccounts!A503:B588,2,FALSE),"")</f>
        <v/>
      </c>
      <c r="N504" t="str">
        <f>IFERROR(VLOOKUP($B504,ChartOfAccounts!C503:D588,2,FALSE),"")</f>
        <v/>
      </c>
      <c r="O504" t="str">
        <f>IFERROR(VLOOKUP($B504,ChartOfAccounts!E503:F588,2,FALSE),"")</f>
        <v/>
      </c>
      <c r="P504" t="str">
        <f>IFERROR(VLOOKUP(D504,PreparerInfo!A503:B515,2,FALSE),"")</f>
        <v/>
      </c>
      <c r="Q504" t="str">
        <f>IFERROR(VLOOKUP(E504,Source!A503:B511,2,FALSE),"")</f>
        <v/>
      </c>
    </row>
    <row r="505" spans="1:17" x14ac:dyDescent="0.3">
      <c r="A505" s="3">
        <v>2033771</v>
      </c>
      <c r="B505">
        <v>22110</v>
      </c>
      <c r="C505">
        <v>6</v>
      </c>
      <c r="D505" s="9">
        <v>105</v>
      </c>
      <c r="E505">
        <v>1006</v>
      </c>
      <c r="F505" s="1">
        <v>44010</v>
      </c>
      <c r="G505" t="s">
        <v>93</v>
      </c>
      <c r="H505" s="4" t="s">
        <v>16</v>
      </c>
      <c r="I505" s="4">
        <v>-47.82</v>
      </c>
      <c r="J505" s="4">
        <v>-47.82</v>
      </c>
      <c r="K505" t="str">
        <f>VLOOKUP($C505,Table1[#All],2,FALSE)</f>
        <v>MAINTENANCE</v>
      </c>
      <c r="L505" t="str">
        <f>VLOOKUP($C505,Table1[#All],3,FALSE)</f>
        <v>Transactions related to the hotel Maintenance Department. Primarily includes payroll for maintenance, grounds keepers and related supplies.</v>
      </c>
      <c r="M505" t="str">
        <f>IFERROR(VLOOKUP($B505,ChartOfAccounts!A504:B589,2,FALSE),"")</f>
        <v/>
      </c>
      <c r="N505" t="str">
        <f>IFERROR(VLOOKUP($B505,ChartOfAccounts!C504:D589,2,FALSE),"")</f>
        <v/>
      </c>
      <c r="O505" t="str">
        <f>IFERROR(VLOOKUP($B505,ChartOfAccounts!E504:F589,2,FALSE),"")</f>
        <v/>
      </c>
      <c r="P505" t="str">
        <f>IFERROR(VLOOKUP(D505,PreparerInfo!A504:B516,2,FALSE),"")</f>
        <v/>
      </c>
      <c r="Q505" t="str">
        <f>IFERROR(VLOOKUP(E505,Source!A504:B512,2,FALSE),"")</f>
        <v/>
      </c>
    </row>
    <row r="506" spans="1:17" x14ac:dyDescent="0.3">
      <c r="A506" s="3">
        <v>2033772</v>
      </c>
      <c r="B506">
        <v>11845</v>
      </c>
      <c r="C506">
        <v>3</v>
      </c>
      <c r="D506" s="9">
        <v>102</v>
      </c>
      <c r="E506">
        <v>1003</v>
      </c>
      <c r="F506" s="1">
        <v>44010</v>
      </c>
      <c r="G506" t="s">
        <v>15</v>
      </c>
      <c r="H506" s="4">
        <v>48.78</v>
      </c>
      <c r="I506" s="4" t="s">
        <v>16</v>
      </c>
      <c r="J506" s="4">
        <v>48.78</v>
      </c>
      <c r="K506" t="str">
        <f>VLOOKUP($C506,Table1[#All],2,FALSE)</f>
        <v>HOTEL PANTRY</v>
      </c>
      <c r="L506" t="str">
        <f>VLOOKUP($C506,Table1[#All],3,FALSE)</f>
        <v>Transactions related to the hotel convenience store, including some food and beverage costs.</v>
      </c>
      <c r="M506" t="str">
        <f>IFERROR(VLOOKUP($B506,ChartOfAccounts!A505:B590,2,FALSE),"")</f>
        <v/>
      </c>
      <c r="N506" t="str">
        <f>IFERROR(VLOOKUP($B506,ChartOfAccounts!C505:D590,2,FALSE),"")</f>
        <v/>
      </c>
      <c r="O506" t="str">
        <f>IFERROR(VLOOKUP($B506,ChartOfAccounts!E505:F590,2,FALSE),"")</f>
        <v/>
      </c>
      <c r="P506" t="str">
        <f>IFERROR(VLOOKUP(D506,PreparerInfo!A505:B517,2,FALSE),"")</f>
        <v/>
      </c>
      <c r="Q506" t="str">
        <f>IFERROR(VLOOKUP(E506,Source!A505:B513,2,FALSE),"")</f>
        <v/>
      </c>
    </row>
    <row r="507" spans="1:17" x14ac:dyDescent="0.3">
      <c r="A507" s="3">
        <v>2033772</v>
      </c>
      <c r="B507">
        <v>43440</v>
      </c>
      <c r="C507">
        <v>3</v>
      </c>
      <c r="D507" s="9">
        <v>102</v>
      </c>
      <c r="E507">
        <v>1003</v>
      </c>
      <c r="F507" s="1">
        <v>44010</v>
      </c>
      <c r="G507" t="s">
        <v>15</v>
      </c>
      <c r="H507" s="4" t="s">
        <v>16</v>
      </c>
      <c r="I507" s="4">
        <v>-48.78</v>
      </c>
      <c r="J507" s="4">
        <v>-48.78</v>
      </c>
      <c r="K507" t="str">
        <f>VLOOKUP($C507,Table1[#All],2,FALSE)</f>
        <v>HOTEL PANTRY</v>
      </c>
      <c r="L507" t="str">
        <f>VLOOKUP($C507,Table1[#All],3,FALSE)</f>
        <v>Transactions related to the hotel convenience store, including some food and beverage costs.</v>
      </c>
      <c r="M507" t="str">
        <f>IFERROR(VLOOKUP($B507,ChartOfAccounts!A506:B591,2,FALSE),"")</f>
        <v/>
      </c>
      <c r="N507" t="str">
        <f>IFERROR(VLOOKUP($B507,ChartOfAccounts!C506:D591,2,FALSE),"")</f>
        <v/>
      </c>
      <c r="O507" t="str">
        <f>IFERROR(VLOOKUP($B507,ChartOfAccounts!E506:F591,2,FALSE),"")</f>
        <v/>
      </c>
      <c r="P507" t="str">
        <f>IFERROR(VLOOKUP(D507,PreparerInfo!A506:B518,2,FALSE),"")</f>
        <v/>
      </c>
      <c r="Q507" t="str">
        <f>IFERROR(VLOOKUP(E507,Source!A506:B514,2,FALSE),"")</f>
        <v/>
      </c>
    </row>
    <row r="508" spans="1:17" x14ac:dyDescent="0.3">
      <c r="A508" s="3">
        <v>2033773</v>
      </c>
      <c r="B508">
        <v>14260</v>
      </c>
      <c r="C508">
        <v>1</v>
      </c>
      <c r="D508" s="9">
        <v>102</v>
      </c>
      <c r="E508">
        <v>1002</v>
      </c>
      <c r="F508" s="1">
        <v>44010</v>
      </c>
      <c r="G508" t="s">
        <v>39</v>
      </c>
      <c r="H508" s="4">
        <v>48.9</v>
      </c>
      <c r="I508" s="4" t="s">
        <v>16</v>
      </c>
      <c r="J508" s="4">
        <v>48.9</v>
      </c>
      <c r="K508" t="str">
        <f>VLOOKUP($C508,Table1[#All],2,FALSE)</f>
        <v>FOOD SERVICE</v>
      </c>
      <c r="L508" t="str">
        <f>VLOOKUP($C508,Table1[#All],3,FALSE)</f>
        <v xml:space="preserve">Transactions related to food and beverage service. Includes all guest transactions in the hotel restaurants, catering-related transactions and food service payroll. </v>
      </c>
      <c r="M508" t="str">
        <f>IFERROR(VLOOKUP($B508,ChartOfAccounts!A507:B592,2,FALSE),"")</f>
        <v/>
      </c>
      <c r="N508" t="str">
        <f>IFERROR(VLOOKUP($B508,ChartOfAccounts!C507:D592,2,FALSE),"")</f>
        <v/>
      </c>
      <c r="O508" t="str">
        <f>IFERROR(VLOOKUP($B508,ChartOfAccounts!E507:F592,2,FALSE),"")</f>
        <v/>
      </c>
      <c r="P508" t="str">
        <f>IFERROR(VLOOKUP(D508,PreparerInfo!A507:B519,2,FALSE),"")</f>
        <v/>
      </c>
      <c r="Q508" t="str">
        <f>IFERROR(VLOOKUP(E508,Source!A507:B515,2,FALSE),"")</f>
        <v/>
      </c>
    </row>
    <row r="509" spans="1:17" x14ac:dyDescent="0.3">
      <c r="A509" s="3">
        <v>2033773</v>
      </c>
      <c r="B509">
        <v>11845</v>
      </c>
      <c r="C509">
        <v>1</v>
      </c>
      <c r="D509" s="9">
        <v>102</v>
      </c>
      <c r="E509">
        <v>1002</v>
      </c>
      <c r="F509" s="1">
        <v>44010</v>
      </c>
      <c r="G509" t="s">
        <v>39</v>
      </c>
      <c r="H509" s="4" t="s">
        <v>16</v>
      </c>
      <c r="I509" s="4">
        <v>-48.9</v>
      </c>
      <c r="J509" s="4">
        <v>-48.9</v>
      </c>
      <c r="K509" t="str">
        <f>VLOOKUP($C509,Table1[#All],2,FALSE)</f>
        <v>FOOD SERVICE</v>
      </c>
      <c r="L509" t="str">
        <f>VLOOKUP($C509,Table1[#All],3,FALSE)</f>
        <v xml:space="preserve">Transactions related to food and beverage service. Includes all guest transactions in the hotel restaurants, catering-related transactions and food service payroll. </v>
      </c>
      <c r="M509" t="str">
        <f>IFERROR(VLOOKUP($B509,ChartOfAccounts!A508:B593,2,FALSE),"")</f>
        <v/>
      </c>
      <c r="N509" t="str">
        <f>IFERROR(VLOOKUP($B509,ChartOfAccounts!C508:D593,2,FALSE),"")</f>
        <v/>
      </c>
      <c r="O509" t="str">
        <f>IFERROR(VLOOKUP($B509,ChartOfAccounts!E508:F593,2,FALSE),"")</f>
        <v/>
      </c>
      <c r="P509" t="str">
        <f>IFERROR(VLOOKUP(D509,PreparerInfo!A508:B520,2,FALSE),"")</f>
        <v/>
      </c>
      <c r="Q509" t="str">
        <f>IFERROR(VLOOKUP(E509,Source!A508:B516,2,FALSE),"")</f>
        <v/>
      </c>
    </row>
    <row r="510" spans="1:17" x14ac:dyDescent="0.3">
      <c r="A510" s="3">
        <v>2033774</v>
      </c>
      <c r="B510">
        <v>14260</v>
      </c>
      <c r="C510">
        <v>1</v>
      </c>
      <c r="D510" s="9">
        <v>102</v>
      </c>
      <c r="E510">
        <v>1002</v>
      </c>
      <c r="F510" s="1">
        <v>44010</v>
      </c>
      <c r="G510" t="s">
        <v>26</v>
      </c>
      <c r="H510" s="4">
        <v>63.55</v>
      </c>
      <c r="I510" s="4" t="s">
        <v>16</v>
      </c>
      <c r="J510" s="4">
        <v>63.55</v>
      </c>
      <c r="K510" t="str">
        <f>VLOOKUP($C510,Table1[#All],2,FALSE)</f>
        <v>FOOD SERVICE</v>
      </c>
      <c r="L510" t="str">
        <f>VLOOKUP($C510,Table1[#All],3,FALSE)</f>
        <v xml:space="preserve">Transactions related to food and beverage service. Includes all guest transactions in the hotel restaurants, catering-related transactions and food service payroll. </v>
      </c>
      <c r="M510" t="str">
        <f>IFERROR(VLOOKUP($B510,ChartOfAccounts!A509:B594,2,FALSE),"")</f>
        <v/>
      </c>
      <c r="N510" t="str">
        <f>IFERROR(VLOOKUP($B510,ChartOfAccounts!C509:D594,2,FALSE),"")</f>
        <v/>
      </c>
      <c r="O510" t="str">
        <f>IFERROR(VLOOKUP($B510,ChartOfAccounts!E509:F594,2,FALSE),"")</f>
        <v/>
      </c>
      <c r="P510" t="str">
        <f>IFERROR(VLOOKUP(D510,PreparerInfo!A509:B521,2,FALSE),"")</f>
        <v/>
      </c>
      <c r="Q510" t="str">
        <f>IFERROR(VLOOKUP(E510,Source!A509:B517,2,FALSE),"")</f>
        <v/>
      </c>
    </row>
    <row r="511" spans="1:17" x14ac:dyDescent="0.3">
      <c r="A511" s="3">
        <v>2033774</v>
      </c>
      <c r="B511">
        <v>11845</v>
      </c>
      <c r="C511">
        <v>1</v>
      </c>
      <c r="D511" s="9">
        <v>102</v>
      </c>
      <c r="E511">
        <v>1002</v>
      </c>
      <c r="F511" s="1">
        <v>44010</v>
      </c>
      <c r="G511" t="s">
        <v>26</v>
      </c>
      <c r="H511" s="4" t="s">
        <v>16</v>
      </c>
      <c r="I511" s="4">
        <v>-63.55</v>
      </c>
      <c r="J511" s="4">
        <v>-63.55</v>
      </c>
      <c r="K511" t="str">
        <f>VLOOKUP($C511,Table1[#All],2,FALSE)</f>
        <v>FOOD SERVICE</v>
      </c>
      <c r="L511" t="str">
        <f>VLOOKUP($C511,Table1[#All],3,FALSE)</f>
        <v xml:space="preserve">Transactions related to food and beverage service. Includes all guest transactions in the hotel restaurants, catering-related transactions and food service payroll. </v>
      </c>
      <c r="M511" t="str">
        <f>IFERROR(VLOOKUP($B511,ChartOfAccounts!A510:B595,2,FALSE),"")</f>
        <v/>
      </c>
      <c r="N511" t="str">
        <f>IFERROR(VLOOKUP($B511,ChartOfAccounts!C510:D595,2,FALSE),"")</f>
        <v/>
      </c>
      <c r="O511" t="str">
        <f>IFERROR(VLOOKUP($B511,ChartOfAccounts!E510:F595,2,FALSE),"")</f>
        <v/>
      </c>
      <c r="P511" t="str">
        <f>IFERROR(VLOOKUP(D511,PreparerInfo!A510:B522,2,FALSE),"")</f>
        <v/>
      </c>
      <c r="Q511" t="str">
        <f>IFERROR(VLOOKUP(E511,Source!A510:B518,2,FALSE),"")</f>
        <v/>
      </c>
    </row>
    <row r="512" spans="1:17" x14ac:dyDescent="0.3">
      <c r="A512" s="3">
        <v>2033775</v>
      </c>
      <c r="B512">
        <v>11845</v>
      </c>
      <c r="C512">
        <v>1</v>
      </c>
      <c r="D512" s="9">
        <v>102</v>
      </c>
      <c r="E512">
        <v>1003</v>
      </c>
      <c r="F512" s="1">
        <v>44010</v>
      </c>
      <c r="G512" t="s">
        <v>87</v>
      </c>
      <c r="H512" s="4">
        <v>75.52</v>
      </c>
      <c r="I512" s="4" t="s">
        <v>16</v>
      </c>
      <c r="J512" s="4">
        <v>75.52</v>
      </c>
      <c r="K512" t="str">
        <f>VLOOKUP($C512,Table1[#All],2,FALSE)</f>
        <v>FOOD SERVICE</v>
      </c>
      <c r="L512" t="str">
        <f>VLOOKUP($C512,Table1[#All],3,FALSE)</f>
        <v xml:space="preserve">Transactions related to food and beverage service. Includes all guest transactions in the hotel restaurants, catering-related transactions and food service payroll. </v>
      </c>
      <c r="M512" t="str">
        <f>IFERROR(VLOOKUP($B512,ChartOfAccounts!A511:B596,2,FALSE),"")</f>
        <v/>
      </c>
      <c r="N512" t="str">
        <f>IFERROR(VLOOKUP($B512,ChartOfAccounts!C511:D596,2,FALSE),"")</f>
        <v/>
      </c>
      <c r="O512" t="str">
        <f>IFERROR(VLOOKUP($B512,ChartOfAccounts!E511:F596,2,FALSE),"")</f>
        <v/>
      </c>
      <c r="P512" t="str">
        <f>IFERROR(VLOOKUP(D512,PreparerInfo!A511:B523,2,FALSE),"")</f>
        <v/>
      </c>
      <c r="Q512" t="str">
        <f>IFERROR(VLOOKUP(E512,Source!A511:B519,2,FALSE),"")</f>
        <v/>
      </c>
    </row>
    <row r="513" spans="1:17" x14ac:dyDescent="0.3">
      <c r="A513" s="3">
        <v>2033775</v>
      </c>
      <c r="B513">
        <v>43310</v>
      </c>
      <c r="C513">
        <v>1</v>
      </c>
      <c r="D513" s="9">
        <v>102</v>
      </c>
      <c r="E513">
        <v>1003</v>
      </c>
      <c r="F513" s="1">
        <v>44010</v>
      </c>
      <c r="G513" t="s">
        <v>87</v>
      </c>
      <c r="H513" s="4" t="s">
        <v>16</v>
      </c>
      <c r="I513" s="4">
        <v>-75.52</v>
      </c>
      <c r="J513" s="4">
        <v>-75.52</v>
      </c>
      <c r="K513" t="str">
        <f>VLOOKUP($C513,Table1[#All],2,FALSE)</f>
        <v>FOOD SERVICE</v>
      </c>
      <c r="L513" t="str">
        <f>VLOOKUP($C513,Table1[#All],3,FALSE)</f>
        <v xml:space="preserve">Transactions related to food and beverage service. Includes all guest transactions in the hotel restaurants, catering-related transactions and food service payroll. </v>
      </c>
      <c r="M513" t="str">
        <f>IFERROR(VLOOKUP($B513,ChartOfAccounts!A512:B597,2,FALSE),"")</f>
        <v/>
      </c>
      <c r="N513" t="str">
        <f>IFERROR(VLOOKUP($B513,ChartOfAccounts!C512:D597,2,FALSE),"")</f>
        <v/>
      </c>
      <c r="O513" t="str">
        <f>IFERROR(VLOOKUP($B513,ChartOfAccounts!E512:F597,2,FALSE),"")</f>
        <v/>
      </c>
      <c r="P513" t="str">
        <f>IFERROR(VLOOKUP(D513,PreparerInfo!A512:B524,2,FALSE),"")</f>
        <v/>
      </c>
      <c r="Q513" t="str">
        <f>IFERROR(VLOOKUP(E513,Source!A512:B520,2,FALSE),"")</f>
        <v/>
      </c>
    </row>
    <row r="514" spans="1:17" x14ac:dyDescent="0.3">
      <c r="A514" s="3">
        <v>2033776</v>
      </c>
      <c r="B514">
        <v>51402</v>
      </c>
      <c r="C514">
        <v>4</v>
      </c>
      <c r="D514" s="9">
        <v>105</v>
      </c>
      <c r="E514">
        <v>1006</v>
      </c>
      <c r="F514" s="1">
        <v>44010</v>
      </c>
      <c r="G514" t="s">
        <v>93</v>
      </c>
      <c r="H514" s="4">
        <v>87.37</v>
      </c>
      <c r="I514" s="4" t="s">
        <v>16</v>
      </c>
      <c r="J514" s="4">
        <v>87.37</v>
      </c>
      <c r="K514" t="str">
        <f>VLOOKUP($C514,Table1[#All],2,FALSE)</f>
        <v>HOUSEKEEPING</v>
      </c>
      <c r="L514" t="str">
        <f>VLOOKUP($C514,Table1[#All],3,FALSE)</f>
        <v xml:space="preserve">Transactions related to the Housekeeping Department. Primarily includes payroll for housekeepers and housekeeping supplies. </v>
      </c>
      <c r="M514" t="str">
        <f>IFERROR(VLOOKUP($B514,ChartOfAccounts!A513:B598,2,FALSE),"")</f>
        <v/>
      </c>
      <c r="N514" t="str">
        <f>IFERROR(VLOOKUP($B514,ChartOfAccounts!C513:D598,2,FALSE),"")</f>
        <v/>
      </c>
      <c r="O514" t="str">
        <f>IFERROR(VLOOKUP($B514,ChartOfAccounts!E513:F598,2,FALSE),"")</f>
        <v/>
      </c>
      <c r="P514" t="str">
        <f>IFERROR(VLOOKUP(D514,PreparerInfo!A513:B525,2,FALSE),"")</f>
        <v/>
      </c>
      <c r="Q514" t="str">
        <f>IFERROR(VLOOKUP(E514,Source!A513:B521,2,FALSE),"")</f>
        <v/>
      </c>
    </row>
    <row r="515" spans="1:17" x14ac:dyDescent="0.3">
      <c r="A515" s="3">
        <v>2033776</v>
      </c>
      <c r="B515">
        <v>22110</v>
      </c>
      <c r="C515">
        <v>4</v>
      </c>
      <c r="D515" s="9">
        <v>105</v>
      </c>
      <c r="E515">
        <v>1006</v>
      </c>
      <c r="F515" s="1">
        <v>44010</v>
      </c>
      <c r="G515" t="s">
        <v>93</v>
      </c>
      <c r="H515" s="4" t="s">
        <v>16</v>
      </c>
      <c r="I515" s="4">
        <v>-87.37</v>
      </c>
      <c r="J515" s="4">
        <v>-87.37</v>
      </c>
      <c r="K515" t="str">
        <f>VLOOKUP($C515,Table1[#All],2,FALSE)</f>
        <v>HOUSEKEEPING</v>
      </c>
      <c r="L515" t="str">
        <f>VLOOKUP($C515,Table1[#All],3,FALSE)</f>
        <v xml:space="preserve">Transactions related to the Housekeeping Department. Primarily includes payroll for housekeepers and housekeeping supplies. </v>
      </c>
      <c r="M515" t="str">
        <f>IFERROR(VLOOKUP($B515,ChartOfAccounts!A514:B599,2,FALSE),"")</f>
        <v/>
      </c>
      <c r="N515" t="str">
        <f>IFERROR(VLOOKUP($B515,ChartOfAccounts!C514:D599,2,FALSE),"")</f>
        <v/>
      </c>
      <c r="O515" t="str">
        <f>IFERROR(VLOOKUP($B515,ChartOfAccounts!E514:F599,2,FALSE),"")</f>
        <v/>
      </c>
      <c r="P515" t="str">
        <f>IFERROR(VLOOKUP(D515,PreparerInfo!A514:B526,2,FALSE),"")</f>
        <v/>
      </c>
      <c r="Q515" t="str">
        <f>IFERROR(VLOOKUP(E515,Source!A514:B522,2,FALSE),"")</f>
        <v/>
      </c>
    </row>
    <row r="516" spans="1:17" x14ac:dyDescent="0.3">
      <c r="A516" s="3">
        <v>2033777</v>
      </c>
      <c r="B516">
        <v>11845</v>
      </c>
      <c r="C516">
        <v>3</v>
      </c>
      <c r="D516" s="9">
        <v>102</v>
      </c>
      <c r="E516">
        <v>1001</v>
      </c>
      <c r="F516" s="1">
        <v>44010</v>
      </c>
      <c r="G516" t="s">
        <v>41</v>
      </c>
      <c r="H516" s="4">
        <v>90.33</v>
      </c>
      <c r="I516" s="4" t="s">
        <v>16</v>
      </c>
      <c r="J516" s="4">
        <v>90.33</v>
      </c>
      <c r="K516" t="str">
        <f>VLOOKUP($C516,Table1[#All],2,FALSE)</f>
        <v>HOTEL PANTRY</v>
      </c>
      <c r="L516" t="str">
        <f>VLOOKUP($C516,Table1[#All],3,FALSE)</f>
        <v>Transactions related to the hotel convenience store, including some food and beverage costs.</v>
      </c>
      <c r="M516" t="str">
        <f>IFERROR(VLOOKUP($B516,ChartOfAccounts!A515:B600,2,FALSE),"")</f>
        <v/>
      </c>
      <c r="N516" t="str">
        <f>IFERROR(VLOOKUP($B516,ChartOfAccounts!C515:D600,2,FALSE),"")</f>
        <v/>
      </c>
      <c r="O516" t="str">
        <f>IFERROR(VLOOKUP($B516,ChartOfAccounts!E515:F600,2,FALSE),"")</f>
        <v/>
      </c>
      <c r="P516" t="str">
        <f>IFERROR(VLOOKUP(D516,PreparerInfo!A515:B527,2,FALSE),"")</f>
        <v/>
      </c>
      <c r="Q516" t="str">
        <f>IFERROR(VLOOKUP(E516,Source!A515:B523,2,FALSE),"")</f>
        <v/>
      </c>
    </row>
    <row r="517" spans="1:17" x14ac:dyDescent="0.3">
      <c r="A517" s="3">
        <v>2033777</v>
      </c>
      <c r="B517">
        <v>43440</v>
      </c>
      <c r="C517">
        <v>3</v>
      </c>
      <c r="D517" s="9">
        <v>102</v>
      </c>
      <c r="E517">
        <v>1001</v>
      </c>
      <c r="F517" s="1">
        <v>44010</v>
      </c>
      <c r="G517" t="s">
        <v>41</v>
      </c>
      <c r="H517" s="4" t="s">
        <v>16</v>
      </c>
      <c r="I517" s="4">
        <v>-90.33</v>
      </c>
      <c r="J517" s="4">
        <v>-90.33</v>
      </c>
      <c r="K517" t="str">
        <f>VLOOKUP($C517,Table1[#All],2,FALSE)</f>
        <v>HOTEL PANTRY</v>
      </c>
      <c r="L517" t="str">
        <f>VLOOKUP($C517,Table1[#All],3,FALSE)</f>
        <v>Transactions related to the hotel convenience store, including some food and beverage costs.</v>
      </c>
      <c r="M517" t="str">
        <f>IFERROR(VLOOKUP($B517,ChartOfAccounts!A516:B601,2,FALSE),"")</f>
        <v/>
      </c>
      <c r="N517" t="str">
        <f>IFERROR(VLOOKUP($B517,ChartOfAccounts!C516:D601,2,FALSE),"")</f>
        <v/>
      </c>
      <c r="O517" t="str">
        <f>IFERROR(VLOOKUP($B517,ChartOfAccounts!E516:F601,2,FALSE),"")</f>
        <v/>
      </c>
      <c r="P517" t="str">
        <f>IFERROR(VLOOKUP(D517,PreparerInfo!A516:B528,2,FALSE),"")</f>
        <v/>
      </c>
      <c r="Q517" t="str">
        <f>IFERROR(VLOOKUP(E517,Source!A516:B524,2,FALSE),"")</f>
        <v/>
      </c>
    </row>
    <row r="518" spans="1:17" x14ac:dyDescent="0.3">
      <c r="A518" s="3">
        <v>2033778</v>
      </c>
      <c r="B518">
        <v>14260</v>
      </c>
      <c r="C518">
        <v>1</v>
      </c>
      <c r="D518" s="9">
        <v>102</v>
      </c>
      <c r="E518">
        <v>1002</v>
      </c>
      <c r="F518" s="1">
        <v>44010</v>
      </c>
      <c r="G518" t="s">
        <v>39</v>
      </c>
      <c r="H518" s="4">
        <v>106</v>
      </c>
      <c r="I518" s="4" t="s">
        <v>16</v>
      </c>
      <c r="J518" s="4">
        <v>106</v>
      </c>
      <c r="K518" t="str">
        <f>VLOOKUP($C518,Table1[#All],2,FALSE)</f>
        <v>FOOD SERVICE</v>
      </c>
      <c r="L518" t="str">
        <f>VLOOKUP($C518,Table1[#All],3,FALSE)</f>
        <v xml:space="preserve">Transactions related to food and beverage service. Includes all guest transactions in the hotel restaurants, catering-related transactions and food service payroll. </v>
      </c>
      <c r="M518" t="str">
        <f>IFERROR(VLOOKUP($B518,ChartOfAccounts!A517:B602,2,FALSE),"")</f>
        <v/>
      </c>
      <c r="N518" t="str">
        <f>IFERROR(VLOOKUP($B518,ChartOfAccounts!C517:D602,2,FALSE),"")</f>
        <v/>
      </c>
      <c r="O518" t="str">
        <f>IFERROR(VLOOKUP($B518,ChartOfAccounts!E517:F602,2,FALSE),"")</f>
        <v/>
      </c>
      <c r="P518" t="str">
        <f>IFERROR(VLOOKUP(D518,PreparerInfo!A517:B529,2,FALSE),"")</f>
        <v/>
      </c>
      <c r="Q518" t="str">
        <f>IFERROR(VLOOKUP(E518,Source!A517:B525,2,FALSE),"")</f>
        <v/>
      </c>
    </row>
    <row r="519" spans="1:17" x14ac:dyDescent="0.3">
      <c r="A519" s="3">
        <v>2033778</v>
      </c>
      <c r="B519">
        <v>11845</v>
      </c>
      <c r="C519">
        <v>1</v>
      </c>
      <c r="D519" s="9">
        <v>102</v>
      </c>
      <c r="E519">
        <v>1002</v>
      </c>
      <c r="F519" s="1">
        <v>44010</v>
      </c>
      <c r="G519" t="s">
        <v>39</v>
      </c>
      <c r="H519" s="4" t="s">
        <v>16</v>
      </c>
      <c r="I519" s="4">
        <v>-106</v>
      </c>
      <c r="J519" s="4">
        <v>-106</v>
      </c>
      <c r="K519" t="str">
        <f>VLOOKUP($C519,Table1[#All],2,FALSE)</f>
        <v>FOOD SERVICE</v>
      </c>
      <c r="L519" t="str">
        <f>VLOOKUP($C519,Table1[#All],3,FALSE)</f>
        <v xml:space="preserve">Transactions related to food and beverage service. Includes all guest transactions in the hotel restaurants, catering-related transactions and food service payroll. </v>
      </c>
      <c r="M519" t="str">
        <f>IFERROR(VLOOKUP($B519,ChartOfAccounts!A518:B603,2,FALSE),"")</f>
        <v/>
      </c>
      <c r="N519" t="str">
        <f>IFERROR(VLOOKUP($B519,ChartOfAccounts!C518:D603,2,FALSE),"")</f>
        <v/>
      </c>
      <c r="O519" t="str">
        <f>IFERROR(VLOOKUP($B519,ChartOfAccounts!E518:F603,2,FALSE),"")</f>
        <v/>
      </c>
      <c r="P519" t="str">
        <f>IFERROR(VLOOKUP(D519,PreparerInfo!A518:B530,2,FALSE),"")</f>
        <v/>
      </c>
      <c r="Q519" t="str">
        <f>IFERROR(VLOOKUP(E519,Source!A518:B526,2,FALSE),"")</f>
        <v/>
      </c>
    </row>
    <row r="520" spans="1:17" x14ac:dyDescent="0.3">
      <c r="A520" s="3">
        <v>2033779</v>
      </c>
      <c r="B520">
        <v>14260</v>
      </c>
      <c r="C520">
        <v>1</v>
      </c>
      <c r="D520" s="9">
        <v>102</v>
      </c>
      <c r="E520">
        <v>1002</v>
      </c>
      <c r="F520" s="1">
        <v>44010</v>
      </c>
      <c r="G520" t="s">
        <v>39</v>
      </c>
      <c r="H520" s="4">
        <v>108.25</v>
      </c>
      <c r="I520" s="4" t="s">
        <v>16</v>
      </c>
      <c r="J520" s="4">
        <v>108.25</v>
      </c>
      <c r="K520" t="str">
        <f>VLOOKUP($C520,Table1[#All],2,FALSE)</f>
        <v>FOOD SERVICE</v>
      </c>
      <c r="L520" t="str">
        <f>VLOOKUP($C520,Table1[#All],3,FALSE)</f>
        <v xml:space="preserve">Transactions related to food and beverage service. Includes all guest transactions in the hotel restaurants, catering-related transactions and food service payroll. </v>
      </c>
      <c r="M520" t="str">
        <f>IFERROR(VLOOKUP($B520,ChartOfAccounts!A519:B604,2,FALSE),"")</f>
        <v/>
      </c>
      <c r="N520" t="str">
        <f>IFERROR(VLOOKUP($B520,ChartOfAccounts!C519:D604,2,FALSE),"")</f>
        <v/>
      </c>
      <c r="O520" t="str">
        <f>IFERROR(VLOOKUP($B520,ChartOfAccounts!E519:F604,2,FALSE),"")</f>
        <v/>
      </c>
      <c r="P520" t="str">
        <f>IFERROR(VLOOKUP(D520,PreparerInfo!A519:B531,2,FALSE),"")</f>
        <v/>
      </c>
      <c r="Q520" t="str">
        <f>IFERROR(VLOOKUP(E520,Source!A519:B527,2,FALSE),"")</f>
        <v/>
      </c>
    </row>
    <row r="521" spans="1:17" x14ac:dyDescent="0.3">
      <c r="A521" s="3">
        <v>2033779</v>
      </c>
      <c r="B521">
        <v>11845</v>
      </c>
      <c r="C521">
        <v>1</v>
      </c>
      <c r="D521" s="9">
        <v>102</v>
      </c>
      <c r="E521">
        <v>1002</v>
      </c>
      <c r="F521" s="1">
        <v>44010</v>
      </c>
      <c r="G521" t="s">
        <v>39</v>
      </c>
      <c r="H521" s="4" t="s">
        <v>16</v>
      </c>
      <c r="I521" s="4">
        <v>-108.25</v>
      </c>
      <c r="J521" s="4">
        <v>-108.25</v>
      </c>
      <c r="K521" t="str">
        <f>VLOOKUP($C521,Table1[#All],2,FALSE)</f>
        <v>FOOD SERVICE</v>
      </c>
      <c r="L521" t="str">
        <f>VLOOKUP($C521,Table1[#All],3,FALSE)</f>
        <v xml:space="preserve">Transactions related to food and beverage service. Includes all guest transactions in the hotel restaurants, catering-related transactions and food service payroll. </v>
      </c>
      <c r="M521" t="str">
        <f>IFERROR(VLOOKUP($B521,ChartOfAccounts!A520:B605,2,FALSE),"")</f>
        <v/>
      </c>
      <c r="N521" t="str">
        <f>IFERROR(VLOOKUP($B521,ChartOfAccounts!C520:D605,2,FALSE),"")</f>
        <v/>
      </c>
      <c r="O521" t="str">
        <f>IFERROR(VLOOKUP($B521,ChartOfAccounts!E520:F605,2,FALSE),"")</f>
        <v/>
      </c>
      <c r="P521" t="str">
        <f>IFERROR(VLOOKUP(D521,PreparerInfo!A520:B532,2,FALSE),"")</f>
        <v/>
      </c>
      <c r="Q521" t="str">
        <f>IFERROR(VLOOKUP(E521,Source!A520:B528,2,FALSE),"")</f>
        <v/>
      </c>
    </row>
    <row r="522" spans="1:17" x14ac:dyDescent="0.3">
      <c r="A522" s="3">
        <v>2033780</v>
      </c>
      <c r="B522">
        <v>14260</v>
      </c>
      <c r="C522">
        <v>1</v>
      </c>
      <c r="D522" s="9">
        <v>102</v>
      </c>
      <c r="E522">
        <v>1002</v>
      </c>
      <c r="F522" s="1">
        <v>44010</v>
      </c>
      <c r="G522" t="s">
        <v>39</v>
      </c>
      <c r="H522" s="4">
        <v>115.11</v>
      </c>
      <c r="I522" s="4" t="s">
        <v>16</v>
      </c>
      <c r="J522" s="4">
        <v>115.11</v>
      </c>
      <c r="K522" t="str">
        <f>VLOOKUP($C522,Table1[#All],2,FALSE)</f>
        <v>FOOD SERVICE</v>
      </c>
      <c r="L522" t="str">
        <f>VLOOKUP($C522,Table1[#All],3,FALSE)</f>
        <v xml:space="preserve">Transactions related to food and beverage service. Includes all guest transactions in the hotel restaurants, catering-related transactions and food service payroll. </v>
      </c>
      <c r="M522" t="str">
        <f>IFERROR(VLOOKUP($B522,ChartOfAccounts!A521:B606,2,FALSE),"")</f>
        <v/>
      </c>
      <c r="N522" t="str">
        <f>IFERROR(VLOOKUP($B522,ChartOfAccounts!C521:D606,2,FALSE),"")</f>
        <v/>
      </c>
      <c r="O522" t="str">
        <f>IFERROR(VLOOKUP($B522,ChartOfAccounts!E521:F606,2,FALSE),"")</f>
        <v/>
      </c>
      <c r="P522" t="str">
        <f>IFERROR(VLOOKUP(D522,PreparerInfo!A521:B533,2,FALSE),"")</f>
        <v/>
      </c>
      <c r="Q522" t="str">
        <f>IFERROR(VLOOKUP(E522,Source!A521:B529,2,FALSE),"")</f>
        <v/>
      </c>
    </row>
    <row r="523" spans="1:17" x14ac:dyDescent="0.3">
      <c r="A523" s="3">
        <v>2033780</v>
      </c>
      <c r="B523">
        <v>11845</v>
      </c>
      <c r="C523">
        <v>1</v>
      </c>
      <c r="D523" s="9">
        <v>102</v>
      </c>
      <c r="E523">
        <v>1002</v>
      </c>
      <c r="F523" s="1">
        <v>44010</v>
      </c>
      <c r="G523" t="s">
        <v>39</v>
      </c>
      <c r="H523" s="4" t="s">
        <v>16</v>
      </c>
      <c r="I523" s="4">
        <v>-115.11</v>
      </c>
      <c r="J523" s="4">
        <v>-115.11</v>
      </c>
      <c r="K523" t="str">
        <f>VLOOKUP($C523,Table1[#All],2,FALSE)</f>
        <v>FOOD SERVICE</v>
      </c>
      <c r="L523" t="str">
        <f>VLOOKUP($C523,Table1[#All],3,FALSE)</f>
        <v xml:space="preserve">Transactions related to food and beverage service. Includes all guest transactions in the hotel restaurants, catering-related transactions and food service payroll. </v>
      </c>
      <c r="M523" t="str">
        <f>IFERROR(VLOOKUP($B523,ChartOfAccounts!A522:B607,2,FALSE),"")</f>
        <v/>
      </c>
      <c r="N523" t="str">
        <f>IFERROR(VLOOKUP($B523,ChartOfAccounts!C522:D607,2,FALSE),"")</f>
        <v/>
      </c>
      <c r="O523" t="str">
        <f>IFERROR(VLOOKUP($B523,ChartOfAccounts!E522:F607,2,FALSE),"")</f>
        <v/>
      </c>
      <c r="P523" t="str">
        <f>IFERROR(VLOOKUP(D523,PreparerInfo!A522:B534,2,FALSE),"")</f>
        <v/>
      </c>
      <c r="Q523" t="str">
        <f>IFERROR(VLOOKUP(E523,Source!A522:B530,2,FALSE),"")</f>
        <v/>
      </c>
    </row>
    <row r="524" spans="1:17" x14ac:dyDescent="0.3">
      <c r="A524" s="3">
        <v>2033781</v>
      </c>
      <c r="B524">
        <v>11845</v>
      </c>
      <c r="C524">
        <v>2</v>
      </c>
      <c r="D524" s="9">
        <v>104</v>
      </c>
      <c r="E524">
        <v>1003</v>
      </c>
      <c r="F524" s="1">
        <v>44010</v>
      </c>
      <c r="G524" t="s">
        <v>241</v>
      </c>
      <c r="H524" s="4">
        <v>129</v>
      </c>
      <c r="I524" s="4" t="s">
        <v>16</v>
      </c>
      <c r="J524" s="4">
        <v>129</v>
      </c>
      <c r="K524" t="str">
        <f>VLOOKUP($C524,Table1[#All],2,FALSE)</f>
        <v>HOTEL</v>
      </c>
      <c r="L524" t="str">
        <f>VLOOKUP($C524,Table1[#All],3,FALSE)</f>
        <v xml:space="preserve">Transactions related to guest rooms and overall hotel operations. Includes payroll for administrative staff, clerks and interns. </v>
      </c>
      <c r="M524" t="str">
        <f>IFERROR(VLOOKUP($B524,ChartOfAccounts!A523:B608,2,FALSE),"")</f>
        <v/>
      </c>
      <c r="N524" t="str">
        <f>IFERROR(VLOOKUP($B524,ChartOfAccounts!C523:D608,2,FALSE),"")</f>
        <v/>
      </c>
      <c r="O524" t="str">
        <f>IFERROR(VLOOKUP($B524,ChartOfAccounts!E523:F608,2,FALSE),"")</f>
        <v/>
      </c>
      <c r="P524" t="str">
        <f>IFERROR(VLOOKUP(D524,PreparerInfo!A523:B535,2,FALSE),"")</f>
        <v/>
      </c>
      <c r="Q524" t="str">
        <f>IFERROR(VLOOKUP(E524,Source!A523:B531,2,FALSE),"")</f>
        <v/>
      </c>
    </row>
    <row r="525" spans="1:17" x14ac:dyDescent="0.3">
      <c r="A525" s="3">
        <v>2033781</v>
      </c>
      <c r="B525">
        <v>43180</v>
      </c>
      <c r="C525">
        <v>2</v>
      </c>
      <c r="D525" s="9">
        <v>104</v>
      </c>
      <c r="E525">
        <v>1003</v>
      </c>
      <c r="F525" s="1">
        <v>44010</v>
      </c>
      <c r="G525" t="s">
        <v>241</v>
      </c>
      <c r="H525" s="4" t="s">
        <v>16</v>
      </c>
      <c r="I525" s="4">
        <v>-129</v>
      </c>
      <c r="J525" s="4">
        <v>-129</v>
      </c>
      <c r="K525" t="str">
        <f>VLOOKUP($C525,Table1[#All],2,FALSE)</f>
        <v>HOTEL</v>
      </c>
      <c r="L525" t="str">
        <f>VLOOKUP($C525,Table1[#All],3,FALSE)</f>
        <v xml:space="preserve">Transactions related to guest rooms and overall hotel operations. Includes payroll for administrative staff, clerks and interns. </v>
      </c>
      <c r="M525" t="str">
        <f>IFERROR(VLOOKUP($B525,ChartOfAccounts!A524:B609,2,FALSE),"")</f>
        <v/>
      </c>
      <c r="N525" t="str">
        <f>IFERROR(VLOOKUP($B525,ChartOfAccounts!C524:D609,2,FALSE),"")</f>
        <v/>
      </c>
      <c r="O525" t="str">
        <f>IFERROR(VLOOKUP($B525,ChartOfAccounts!E524:F609,2,FALSE),"")</f>
        <v/>
      </c>
      <c r="P525" t="str">
        <f>IFERROR(VLOOKUP(D525,PreparerInfo!A524:B536,2,FALSE),"")</f>
        <v/>
      </c>
      <c r="Q525" t="str">
        <f>IFERROR(VLOOKUP(E525,Source!A524:B532,2,FALSE),"")</f>
        <v/>
      </c>
    </row>
    <row r="526" spans="1:17" x14ac:dyDescent="0.3">
      <c r="A526" s="3">
        <v>2033782</v>
      </c>
      <c r="B526">
        <v>51402</v>
      </c>
      <c r="C526">
        <v>2</v>
      </c>
      <c r="D526" s="9">
        <v>105</v>
      </c>
      <c r="E526">
        <v>1006</v>
      </c>
      <c r="F526" s="1">
        <v>44010</v>
      </c>
      <c r="G526" t="s">
        <v>93</v>
      </c>
      <c r="H526" s="4">
        <v>167.08</v>
      </c>
      <c r="I526" s="4" t="s">
        <v>16</v>
      </c>
      <c r="J526" s="4">
        <v>167.08</v>
      </c>
      <c r="K526" t="str">
        <f>VLOOKUP($C526,Table1[#All],2,FALSE)</f>
        <v>HOTEL</v>
      </c>
      <c r="L526" t="str">
        <f>VLOOKUP($C526,Table1[#All],3,FALSE)</f>
        <v xml:space="preserve">Transactions related to guest rooms and overall hotel operations. Includes payroll for administrative staff, clerks and interns. </v>
      </c>
      <c r="M526" t="str">
        <f>IFERROR(VLOOKUP($B526,ChartOfAccounts!A525:B610,2,FALSE),"")</f>
        <v/>
      </c>
      <c r="N526" t="str">
        <f>IFERROR(VLOOKUP($B526,ChartOfAccounts!C525:D610,2,FALSE),"")</f>
        <v/>
      </c>
      <c r="O526" t="str">
        <f>IFERROR(VLOOKUP($B526,ChartOfAccounts!E525:F610,2,FALSE),"")</f>
        <v/>
      </c>
      <c r="P526" t="str">
        <f>IFERROR(VLOOKUP(D526,PreparerInfo!A525:B537,2,FALSE),"")</f>
        <v/>
      </c>
      <c r="Q526" t="str">
        <f>IFERROR(VLOOKUP(E526,Source!A525:B533,2,FALSE),"")</f>
        <v/>
      </c>
    </row>
    <row r="527" spans="1:17" x14ac:dyDescent="0.3">
      <c r="A527" s="3">
        <v>2033782</v>
      </c>
      <c r="B527">
        <v>22110</v>
      </c>
      <c r="C527">
        <v>2</v>
      </c>
      <c r="D527" s="9">
        <v>105</v>
      </c>
      <c r="E527">
        <v>1006</v>
      </c>
      <c r="F527" s="1">
        <v>44010</v>
      </c>
      <c r="G527" t="s">
        <v>93</v>
      </c>
      <c r="H527" s="4" t="s">
        <v>16</v>
      </c>
      <c r="I527" s="4">
        <v>-167.08</v>
      </c>
      <c r="J527" s="4">
        <v>-167.08</v>
      </c>
      <c r="K527" t="str">
        <f>VLOOKUP($C527,Table1[#All],2,FALSE)</f>
        <v>HOTEL</v>
      </c>
      <c r="L527" t="str">
        <f>VLOOKUP($C527,Table1[#All],3,FALSE)</f>
        <v xml:space="preserve">Transactions related to guest rooms and overall hotel operations. Includes payroll for administrative staff, clerks and interns. </v>
      </c>
      <c r="M527" t="str">
        <f>IFERROR(VLOOKUP($B527,ChartOfAccounts!A526:B611,2,FALSE),"")</f>
        <v/>
      </c>
      <c r="N527" t="str">
        <f>IFERROR(VLOOKUP($B527,ChartOfAccounts!C526:D611,2,FALSE),"")</f>
        <v/>
      </c>
      <c r="O527" t="str">
        <f>IFERROR(VLOOKUP($B527,ChartOfAccounts!E526:F611,2,FALSE),"")</f>
        <v/>
      </c>
      <c r="P527" t="str">
        <f>IFERROR(VLOOKUP(D527,PreparerInfo!A526:B538,2,FALSE),"")</f>
        <v/>
      </c>
      <c r="Q527" t="str">
        <f>IFERROR(VLOOKUP(E527,Source!A526:B534,2,FALSE),"")</f>
        <v/>
      </c>
    </row>
    <row r="528" spans="1:17" x14ac:dyDescent="0.3">
      <c r="A528" s="3">
        <v>2033783</v>
      </c>
      <c r="B528">
        <v>11845</v>
      </c>
      <c r="C528">
        <v>1</v>
      </c>
      <c r="D528" s="9">
        <v>106</v>
      </c>
      <c r="E528">
        <v>1003</v>
      </c>
      <c r="F528" s="1">
        <v>44010</v>
      </c>
      <c r="G528" t="s">
        <v>80</v>
      </c>
      <c r="H528" s="4">
        <v>172.08</v>
      </c>
      <c r="I528" s="4" t="s">
        <v>16</v>
      </c>
      <c r="J528" s="4">
        <v>172.08</v>
      </c>
      <c r="K528" t="str">
        <f>VLOOKUP($C528,Table1[#All],2,FALSE)</f>
        <v>FOOD SERVICE</v>
      </c>
      <c r="L528" t="str">
        <f>VLOOKUP($C528,Table1[#All],3,FALSE)</f>
        <v xml:space="preserve">Transactions related to food and beverage service. Includes all guest transactions in the hotel restaurants, catering-related transactions and food service payroll. </v>
      </c>
      <c r="M528" t="str">
        <f>IFERROR(VLOOKUP($B528,ChartOfAccounts!A527:B612,2,FALSE),"")</f>
        <v/>
      </c>
      <c r="N528" t="str">
        <f>IFERROR(VLOOKUP($B528,ChartOfAccounts!C527:D612,2,FALSE),"")</f>
        <v/>
      </c>
      <c r="O528" t="str">
        <f>IFERROR(VLOOKUP($B528,ChartOfAccounts!E527:F612,2,FALSE),"")</f>
        <v/>
      </c>
      <c r="P528" t="str">
        <f>IFERROR(VLOOKUP(D528,PreparerInfo!A527:B539,2,FALSE),"")</f>
        <v/>
      </c>
      <c r="Q528" t="str">
        <f>IFERROR(VLOOKUP(E528,Source!A527:B535,2,FALSE),"")</f>
        <v/>
      </c>
    </row>
    <row r="529" spans="1:17" x14ac:dyDescent="0.3">
      <c r="A529" s="3">
        <v>2033783</v>
      </c>
      <c r="B529">
        <v>43310</v>
      </c>
      <c r="C529">
        <v>1</v>
      </c>
      <c r="D529" s="9">
        <v>106</v>
      </c>
      <c r="E529">
        <v>1003</v>
      </c>
      <c r="F529" s="1">
        <v>44010</v>
      </c>
      <c r="G529" t="s">
        <v>80</v>
      </c>
      <c r="H529" s="4" t="s">
        <v>16</v>
      </c>
      <c r="I529" s="4">
        <v>-172.08</v>
      </c>
      <c r="J529" s="4">
        <v>-172.08</v>
      </c>
      <c r="K529" t="str">
        <f>VLOOKUP($C529,Table1[#All],2,FALSE)</f>
        <v>FOOD SERVICE</v>
      </c>
      <c r="L529" t="str">
        <f>VLOOKUP($C529,Table1[#All],3,FALSE)</f>
        <v xml:space="preserve">Transactions related to food and beverage service. Includes all guest transactions in the hotel restaurants, catering-related transactions and food service payroll. </v>
      </c>
      <c r="M529" t="str">
        <f>IFERROR(VLOOKUP($B529,ChartOfAccounts!A528:B613,2,FALSE),"")</f>
        <v/>
      </c>
      <c r="N529" t="str">
        <f>IFERROR(VLOOKUP($B529,ChartOfAccounts!C528:D613,2,FALSE),"")</f>
        <v/>
      </c>
      <c r="O529" t="str">
        <f>IFERROR(VLOOKUP($B529,ChartOfAccounts!E528:F613,2,FALSE),"")</f>
        <v/>
      </c>
      <c r="P529" t="str">
        <f>IFERROR(VLOOKUP(D529,PreparerInfo!A528:B540,2,FALSE),"")</f>
        <v/>
      </c>
      <c r="Q529" t="str">
        <f>IFERROR(VLOOKUP(E529,Source!A528:B536,2,FALSE),"")</f>
        <v/>
      </c>
    </row>
    <row r="530" spans="1:17" x14ac:dyDescent="0.3">
      <c r="A530" s="3">
        <v>2033784</v>
      </c>
      <c r="B530">
        <v>14260</v>
      </c>
      <c r="C530">
        <v>1</v>
      </c>
      <c r="D530" s="9">
        <v>102</v>
      </c>
      <c r="E530">
        <v>1002</v>
      </c>
      <c r="F530" s="1">
        <v>44010</v>
      </c>
      <c r="G530" t="s">
        <v>47</v>
      </c>
      <c r="H530" s="4">
        <v>185.97</v>
      </c>
      <c r="I530" s="4" t="s">
        <v>16</v>
      </c>
      <c r="J530" s="4">
        <v>185.97</v>
      </c>
      <c r="K530" t="str">
        <f>VLOOKUP($C530,Table1[#All],2,FALSE)</f>
        <v>FOOD SERVICE</v>
      </c>
      <c r="L530" t="str">
        <f>VLOOKUP($C530,Table1[#All],3,FALSE)</f>
        <v xml:space="preserve">Transactions related to food and beverage service. Includes all guest transactions in the hotel restaurants, catering-related transactions and food service payroll. </v>
      </c>
      <c r="M530" t="str">
        <f>IFERROR(VLOOKUP($B530,ChartOfAccounts!A529:B614,2,FALSE),"")</f>
        <v/>
      </c>
      <c r="N530" t="str">
        <f>IFERROR(VLOOKUP($B530,ChartOfAccounts!C529:D614,2,FALSE),"")</f>
        <v/>
      </c>
      <c r="O530" t="str">
        <f>IFERROR(VLOOKUP($B530,ChartOfAccounts!E529:F614,2,FALSE),"")</f>
        <v/>
      </c>
      <c r="P530" t="str">
        <f>IFERROR(VLOOKUP(D530,PreparerInfo!A529:B541,2,FALSE),"")</f>
        <v/>
      </c>
      <c r="Q530" t="str">
        <f>IFERROR(VLOOKUP(E530,Source!A529:B537,2,FALSE),"")</f>
        <v/>
      </c>
    </row>
    <row r="531" spans="1:17" x14ac:dyDescent="0.3">
      <c r="A531" s="3">
        <v>2033784</v>
      </c>
      <c r="B531">
        <v>11845</v>
      </c>
      <c r="C531">
        <v>1</v>
      </c>
      <c r="D531" s="9">
        <v>102</v>
      </c>
      <c r="E531">
        <v>1002</v>
      </c>
      <c r="F531" s="1">
        <v>44010</v>
      </c>
      <c r="G531" t="s">
        <v>47</v>
      </c>
      <c r="H531" s="4" t="s">
        <v>16</v>
      </c>
      <c r="I531" s="4">
        <v>-185.97</v>
      </c>
      <c r="J531" s="4">
        <v>-185.97</v>
      </c>
      <c r="K531" t="str">
        <f>VLOOKUP($C531,Table1[#All],2,FALSE)</f>
        <v>FOOD SERVICE</v>
      </c>
      <c r="L531" t="str">
        <f>VLOOKUP($C531,Table1[#All],3,FALSE)</f>
        <v xml:space="preserve">Transactions related to food and beverage service. Includes all guest transactions in the hotel restaurants, catering-related transactions and food service payroll. </v>
      </c>
      <c r="M531" t="str">
        <f>IFERROR(VLOOKUP($B531,ChartOfAccounts!A530:B615,2,FALSE),"")</f>
        <v/>
      </c>
      <c r="N531" t="str">
        <f>IFERROR(VLOOKUP($B531,ChartOfAccounts!C530:D615,2,FALSE),"")</f>
        <v/>
      </c>
      <c r="O531" t="str">
        <f>IFERROR(VLOOKUP($B531,ChartOfAccounts!E530:F615,2,FALSE),"")</f>
        <v/>
      </c>
      <c r="P531" t="str">
        <f>IFERROR(VLOOKUP(D531,PreparerInfo!A530:B542,2,FALSE),"")</f>
        <v/>
      </c>
      <c r="Q531" t="str">
        <f>IFERROR(VLOOKUP(E531,Source!A530:B538,2,FALSE),"")</f>
        <v/>
      </c>
    </row>
    <row r="532" spans="1:17" x14ac:dyDescent="0.3">
      <c r="A532" s="3">
        <v>2033785</v>
      </c>
      <c r="B532">
        <v>51620</v>
      </c>
      <c r="C532">
        <v>1</v>
      </c>
      <c r="D532" s="9">
        <v>105</v>
      </c>
      <c r="E532">
        <v>1006</v>
      </c>
      <c r="F532" s="1">
        <v>44010</v>
      </c>
      <c r="G532" t="s">
        <v>91</v>
      </c>
      <c r="H532" s="4">
        <v>195.16</v>
      </c>
      <c r="I532" s="4" t="s">
        <v>16</v>
      </c>
      <c r="J532" s="4">
        <v>195.16</v>
      </c>
      <c r="K532" t="str">
        <f>VLOOKUP($C532,Table1[#All],2,FALSE)</f>
        <v>FOOD SERVICE</v>
      </c>
      <c r="L532" t="str">
        <f>VLOOKUP($C532,Table1[#All],3,FALSE)</f>
        <v xml:space="preserve">Transactions related to food and beverage service. Includes all guest transactions in the hotel restaurants, catering-related transactions and food service payroll. </v>
      </c>
      <c r="M532" t="str">
        <f>IFERROR(VLOOKUP($B532,ChartOfAccounts!A531:B616,2,FALSE),"")</f>
        <v/>
      </c>
      <c r="N532" t="str">
        <f>IFERROR(VLOOKUP($B532,ChartOfAccounts!C531:D616,2,FALSE),"")</f>
        <v/>
      </c>
      <c r="O532" t="str">
        <f>IFERROR(VLOOKUP($B532,ChartOfAccounts!E531:F616,2,FALSE),"")</f>
        <v/>
      </c>
      <c r="P532" t="str">
        <f>IFERROR(VLOOKUP(D532,PreparerInfo!A531:B543,2,FALSE),"")</f>
        <v/>
      </c>
      <c r="Q532" t="str">
        <f>IFERROR(VLOOKUP(E532,Source!A531:B539,2,FALSE),"")</f>
        <v/>
      </c>
    </row>
    <row r="533" spans="1:17" x14ac:dyDescent="0.3">
      <c r="A533" s="3">
        <v>2033785</v>
      </c>
      <c r="B533">
        <v>22110</v>
      </c>
      <c r="C533">
        <v>1</v>
      </c>
      <c r="D533" s="9">
        <v>105</v>
      </c>
      <c r="E533">
        <v>1006</v>
      </c>
      <c r="F533" s="1">
        <v>44010</v>
      </c>
      <c r="G533" t="s">
        <v>91</v>
      </c>
      <c r="H533" s="4" t="s">
        <v>16</v>
      </c>
      <c r="I533" s="4">
        <v>-195.16</v>
      </c>
      <c r="J533" s="4">
        <v>-195.16</v>
      </c>
      <c r="K533" t="str">
        <f>VLOOKUP($C533,Table1[#All],2,FALSE)</f>
        <v>FOOD SERVICE</v>
      </c>
      <c r="L533" t="str">
        <f>VLOOKUP($C533,Table1[#All],3,FALSE)</f>
        <v xml:space="preserve">Transactions related to food and beverage service. Includes all guest transactions in the hotel restaurants, catering-related transactions and food service payroll. </v>
      </c>
      <c r="M533" t="str">
        <f>IFERROR(VLOOKUP($B533,ChartOfAccounts!A532:B617,2,FALSE),"")</f>
        <v/>
      </c>
      <c r="N533" t="str">
        <f>IFERROR(VLOOKUP($B533,ChartOfAccounts!C532:D617,2,FALSE),"")</f>
        <v/>
      </c>
      <c r="O533" t="str">
        <f>IFERROR(VLOOKUP($B533,ChartOfAccounts!E532:F617,2,FALSE),"")</f>
        <v/>
      </c>
      <c r="P533" t="str">
        <f>IFERROR(VLOOKUP(D533,PreparerInfo!A532:B544,2,FALSE),"")</f>
        <v/>
      </c>
      <c r="Q533" t="str">
        <f>IFERROR(VLOOKUP(E533,Source!A532:B540,2,FALSE),"")</f>
        <v/>
      </c>
    </row>
    <row r="534" spans="1:17" x14ac:dyDescent="0.3">
      <c r="A534" s="3">
        <v>2033786</v>
      </c>
      <c r="B534">
        <v>11845</v>
      </c>
      <c r="C534">
        <v>2</v>
      </c>
      <c r="D534" s="9">
        <v>104</v>
      </c>
      <c r="E534">
        <v>1003</v>
      </c>
      <c r="F534" s="1">
        <v>44010</v>
      </c>
      <c r="G534" t="s">
        <v>242</v>
      </c>
      <c r="H534" s="4">
        <v>198</v>
      </c>
      <c r="I534" s="4" t="s">
        <v>16</v>
      </c>
      <c r="J534" s="4">
        <v>198</v>
      </c>
      <c r="K534" t="str">
        <f>VLOOKUP($C534,Table1[#All],2,FALSE)</f>
        <v>HOTEL</v>
      </c>
      <c r="L534" t="str">
        <f>VLOOKUP($C534,Table1[#All],3,FALSE)</f>
        <v xml:space="preserve">Transactions related to guest rooms and overall hotel operations. Includes payroll for administrative staff, clerks and interns. </v>
      </c>
      <c r="M534" t="str">
        <f>IFERROR(VLOOKUP($B534,ChartOfAccounts!A533:B618,2,FALSE),"")</f>
        <v/>
      </c>
      <c r="N534" t="str">
        <f>IFERROR(VLOOKUP($B534,ChartOfAccounts!C533:D618,2,FALSE),"")</f>
        <v/>
      </c>
      <c r="O534" t="str">
        <f>IFERROR(VLOOKUP($B534,ChartOfAccounts!E533:F618,2,FALSE),"")</f>
        <v/>
      </c>
      <c r="P534" t="str">
        <f>IFERROR(VLOOKUP(D534,PreparerInfo!A533:B545,2,FALSE),"")</f>
        <v/>
      </c>
      <c r="Q534" t="str">
        <f>IFERROR(VLOOKUP(E534,Source!A533:B541,2,FALSE),"")</f>
        <v/>
      </c>
    </row>
    <row r="535" spans="1:17" x14ac:dyDescent="0.3">
      <c r="A535" s="3">
        <v>2033786</v>
      </c>
      <c r="B535">
        <v>43180</v>
      </c>
      <c r="C535">
        <v>2</v>
      </c>
      <c r="D535" s="9">
        <v>104</v>
      </c>
      <c r="E535">
        <v>1003</v>
      </c>
      <c r="F535" s="1">
        <v>44010</v>
      </c>
      <c r="G535" t="s">
        <v>242</v>
      </c>
      <c r="H535" s="4" t="s">
        <v>16</v>
      </c>
      <c r="I535" s="4">
        <v>-198</v>
      </c>
      <c r="J535" s="4">
        <v>-198</v>
      </c>
      <c r="K535" t="str">
        <f>VLOOKUP($C535,Table1[#All],2,FALSE)</f>
        <v>HOTEL</v>
      </c>
      <c r="L535" t="str">
        <f>VLOOKUP($C535,Table1[#All],3,FALSE)</f>
        <v xml:space="preserve">Transactions related to guest rooms and overall hotel operations. Includes payroll for administrative staff, clerks and interns. </v>
      </c>
      <c r="M535" t="str">
        <f>IFERROR(VLOOKUP($B535,ChartOfAccounts!A534:B619,2,FALSE),"")</f>
        <v/>
      </c>
      <c r="N535" t="str">
        <f>IFERROR(VLOOKUP($B535,ChartOfAccounts!C534:D619,2,FALSE),"")</f>
        <v/>
      </c>
      <c r="O535" t="str">
        <f>IFERROR(VLOOKUP($B535,ChartOfAccounts!E534:F619,2,FALSE),"")</f>
        <v/>
      </c>
      <c r="P535" t="str">
        <f>IFERROR(VLOOKUP(D535,PreparerInfo!A534:B546,2,FALSE),"")</f>
        <v/>
      </c>
      <c r="Q535" t="str">
        <f>IFERROR(VLOOKUP(E535,Source!A534:B542,2,FALSE),"")</f>
        <v/>
      </c>
    </row>
    <row r="536" spans="1:17" x14ac:dyDescent="0.3">
      <c r="A536" s="3">
        <v>2033787</v>
      </c>
      <c r="B536">
        <v>14260</v>
      </c>
      <c r="C536">
        <v>1</v>
      </c>
      <c r="D536" s="9">
        <v>102</v>
      </c>
      <c r="E536">
        <v>1002</v>
      </c>
      <c r="F536" s="1">
        <v>44010</v>
      </c>
      <c r="G536" t="s">
        <v>47</v>
      </c>
      <c r="H536" s="4">
        <v>198</v>
      </c>
      <c r="I536" s="4" t="s">
        <v>16</v>
      </c>
      <c r="J536" s="4">
        <v>198</v>
      </c>
      <c r="K536" t="str">
        <f>VLOOKUP($C536,Table1[#All],2,FALSE)</f>
        <v>FOOD SERVICE</v>
      </c>
      <c r="L536" t="str">
        <f>VLOOKUP($C536,Table1[#All],3,FALSE)</f>
        <v xml:space="preserve">Transactions related to food and beverage service. Includes all guest transactions in the hotel restaurants, catering-related transactions and food service payroll. </v>
      </c>
      <c r="M536" t="str">
        <f>IFERROR(VLOOKUP($B536,ChartOfAccounts!A535:B620,2,FALSE),"")</f>
        <v/>
      </c>
      <c r="N536" t="str">
        <f>IFERROR(VLOOKUP($B536,ChartOfAccounts!C535:D620,2,FALSE),"")</f>
        <v/>
      </c>
      <c r="O536" t="str">
        <f>IFERROR(VLOOKUP($B536,ChartOfAccounts!E535:F620,2,FALSE),"")</f>
        <v/>
      </c>
      <c r="P536" t="str">
        <f>IFERROR(VLOOKUP(D536,PreparerInfo!A535:B547,2,FALSE),"")</f>
        <v/>
      </c>
      <c r="Q536" t="str">
        <f>IFERROR(VLOOKUP(E536,Source!A535:B543,2,FALSE),"")</f>
        <v/>
      </c>
    </row>
    <row r="537" spans="1:17" x14ac:dyDescent="0.3">
      <c r="A537" s="3">
        <v>2033787</v>
      </c>
      <c r="B537">
        <v>11845</v>
      </c>
      <c r="C537">
        <v>1</v>
      </c>
      <c r="D537" s="9">
        <v>102</v>
      </c>
      <c r="E537">
        <v>1002</v>
      </c>
      <c r="F537" s="1">
        <v>44010</v>
      </c>
      <c r="G537" t="s">
        <v>47</v>
      </c>
      <c r="H537" s="4" t="s">
        <v>16</v>
      </c>
      <c r="I537" s="4">
        <v>-198</v>
      </c>
      <c r="J537" s="4">
        <v>-198</v>
      </c>
      <c r="K537" t="str">
        <f>VLOOKUP($C537,Table1[#All],2,FALSE)</f>
        <v>FOOD SERVICE</v>
      </c>
      <c r="L537" t="str">
        <f>VLOOKUP($C537,Table1[#All],3,FALSE)</f>
        <v xml:space="preserve">Transactions related to food and beverage service. Includes all guest transactions in the hotel restaurants, catering-related transactions and food service payroll. </v>
      </c>
      <c r="M537" t="str">
        <f>IFERROR(VLOOKUP($B537,ChartOfAccounts!A536:B621,2,FALSE),"")</f>
        <v/>
      </c>
      <c r="N537" t="str">
        <f>IFERROR(VLOOKUP($B537,ChartOfAccounts!C536:D621,2,FALSE),"")</f>
        <v/>
      </c>
      <c r="O537" t="str">
        <f>IFERROR(VLOOKUP($B537,ChartOfAccounts!E536:F621,2,FALSE),"")</f>
        <v/>
      </c>
      <c r="P537" t="str">
        <f>IFERROR(VLOOKUP(D537,PreparerInfo!A536:B548,2,FALSE),"")</f>
        <v/>
      </c>
      <c r="Q537" t="str">
        <f>IFERROR(VLOOKUP(E537,Source!A536:B544,2,FALSE),"")</f>
        <v/>
      </c>
    </row>
    <row r="538" spans="1:17" x14ac:dyDescent="0.3">
      <c r="A538" s="3">
        <v>2033788</v>
      </c>
      <c r="B538">
        <v>51400</v>
      </c>
      <c r="C538">
        <v>6</v>
      </c>
      <c r="D538" s="9">
        <v>105</v>
      </c>
      <c r="E538">
        <v>1006</v>
      </c>
      <c r="F538" s="1">
        <v>44010</v>
      </c>
      <c r="G538" t="s">
        <v>93</v>
      </c>
      <c r="H538" s="4">
        <v>204.48</v>
      </c>
      <c r="I538" s="4" t="s">
        <v>16</v>
      </c>
      <c r="J538" s="4">
        <v>204.48</v>
      </c>
      <c r="K538" t="str">
        <f>VLOOKUP($C538,Table1[#All],2,FALSE)</f>
        <v>MAINTENANCE</v>
      </c>
      <c r="L538" t="str">
        <f>VLOOKUP($C538,Table1[#All],3,FALSE)</f>
        <v>Transactions related to the hotel Maintenance Department. Primarily includes payroll for maintenance, grounds keepers and related supplies.</v>
      </c>
      <c r="M538" t="str">
        <f>IFERROR(VLOOKUP($B538,ChartOfAccounts!A537:B622,2,FALSE),"")</f>
        <v/>
      </c>
      <c r="N538" t="str">
        <f>IFERROR(VLOOKUP($B538,ChartOfAccounts!C537:D622,2,FALSE),"")</f>
        <v/>
      </c>
      <c r="O538" t="str">
        <f>IFERROR(VLOOKUP($B538,ChartOfAccounts!E537:F622,2,FALSE),"")</f>
        <v/>
      </c>
      <c r="P538" t="str">
        <f>IFERROR(VLOOKUP(D538,PreparerInfo!A537:B549,2,FALSE),"")</f>
        <v/>
      </c>
      <c r="Q538" t="str">
        <f>IFERROR(VLOOKUP(E538,Source!A537:B545,2,FALSE),"")</f>
        <v/>
      </c>
    </row>
    <row r="539" spans="1:17" x14ac:dyDescent="0.3">
      <c r="A539" s="3">
        <v>2033788</v>
      </c>
      <c r="B539">
        <v>22110</v>
      </c>
      <c r="C539">
        <v>6</v>
      </c>
      <c r="D539" s="9">
        <v>105</v>
      </c>
      <c r="E539">
        <v>1006</v>
      </c>
      <c r="F539" s="1">
        <v>44010</v>
      </c>
      <c r="G539" t="s">
        <v>93</v>
      </c>
      <c r="H539" s="4" t="s">
        <v>16</v>
      </c>
      <c r="I539" s="4">
        <v>-204.48</v>
      </c>
      <c r="J539" s="4">
        <v>-204.48</v>
      </c>
      <c r="K539" t="str">
        <f>VLOOKUP($C539,Table1[#All],2,FALSE)</f>
        <v>MAINTENANCE</v>
      </c>
      <c r="L539" t="str">
        <f>VLOOKUP($C539,Table1[#All],3,FALSE)</f>
        <v>Transactions related to the hotel Maintenance Department. Primarily includes payroll for maintenance, grounds keepers and related supplies.</v>
      </c>
      <c r="M539" t="str">
        <f>IFERROR(VLOOKUP($B539,ChartOfAccounts!A538:B623,2,FALSE),"")</f>
        <v/>
      </c>
      <c r="N539" t="str">
        <f>IFERROR(VLOOKUP($B539,ChartOfAccounts!C538:D623,2,FALSE),"")</f>
        <v/>
      </c>
      <c r="O539" t="str">
        <f>IFERROR(VLOOKUP($B539,ChartOfAccounts!E538:F623,2,FALSE),"")</f>
        <v/>
      </c>
      <c r="P539" t="str">
        <f>IFERROR(VLOOKUP(D539,PreparerInfo!A538:B550,2,FALSE),"")</f>
        <v/>
      </c>
      <c r="Q539" t="str">
        <f>IFERROR(VLOOKUP(E539,Source!A538:B546,2,FALSE),"")</f>
        <v/>
      </c>
    </row>
    <row r="540" spans="1:17" x14ac:dyDescent="0.3">
      <c r="A540" s="3">
        <v>2033789</v>
      </c>
      <c r="B540">
        <v>14260</v>
      </c>
      <c r="C540">
        <v>1</v>
      </c>
      <c r="D540" s="9">
        <v>102</v>
      </c>
      <c r="E540">
        <v>1002</v>
      </c>
      <c r="F540" s="1">
        <v>44010</v>
      </c>
      <c r="G540" t="s">
        <v>47</v>
      </c>
      <c r="H540" s="4">
        <v>215.09</v>
      </c>
      <c r="I540" s="4" t="s">
        <v>16</v>
      </c>
      <c r="J540" s="4">
        <v>215.09</v>
      </c>
      <c r="K540" t="str">
        <f>VLOOKUP($C540,Table1[#All],2,FALSE)</f>
        <v>FOOD SERVICE</v>
      </c>
      <c r="L540" t="str">
        <f>VLOOKUP($C540,Table1[#All],3,FALSE)</f>
        <v xml:space="preserve">Transactions related to food and beverage service. Includes all guest transactions in the hotel restaurants, catering-related transactions and food service payroll. </v>
      </c>
      <c r="M540" t="str">
        <f>IFERROR(VLOOKUP($B540,ChartOfAccounts!A539:B624,2,FALSE),"")</f>
        <v/>
      </c>
      <c r="N540" t="str">
        <f>IFERROR(VLOOKUP($B540,ChartOfAccounts!C539:D624,2,FALSE),"")</f>
        <v/>
      </c>
      <c r="O540" t="str">
        <f>IFERROR(VLOOKUP($B540,ChartOfAccounts!E539:F624,2,FALSE),"")</f>
        <v/>
      </c>
      <c r="P540" t="str">
        <f>IFERROR(VLOOKUP(D540,PreparerInfo!A539:B551,2,FALSE),"")</f>
        <v/>
      </c>
      <c r="Q540" t="str">
        <f>IFERROR(VLOOKUP(E540,Source!A539:B547,2,FALSE),"")</f>
        <v/>
      </c>
    </row>
    <row r="541" spans="1:17" x14ac:dyDescent="0.3">
      <c r="A541" s="3">
        <v>2033789</v>
      </c>
      <c r="B541">
        <v>11845</v>
      </c>
      <c r="C541">
        <v>1</v>
      </c>
      <c r="D541" s="9">
        <v>102</v>
      </c>
      <c r="E541">
        <v>1002</v>
      </c>
      <c r="F541" s="1">
        <v>44010</v>
      </c>
      <c r="G541" t="s">
        <v>47</v>
      </c>
      <c r="H541" s="4" t="s">
        <v>16</v>
      </c>
      <c r="I541" s="4">
        <v>-215.09</v>
      </c>
      <c r="J541" s="4">
        <v>-215.09</v>
      </c>
      <c r="K541" t="str">
        <f>VLOOKUP($C541,Table1[#All],2,FALSE)</f>
        <v>FOOD SERVICE</v>
      </c>
      <c r="L541" t="str">
        <f>VLOOKUP($C541,Table1[#All],3,FALSE)</f>
        <v xml:space="preserve">Transactions related to food and beverage service. Includes all guest transactions in the hotel restaurants, catering-related transactions and food service payroll. </v>
      </c>
      <c r="M541" t="str">
        <f>IFERROR(VLOOKUP($B541,ChartOfAccounts!A540:B625,2,FALSE),"")</f>
        <v/>
      </c>
      <c r="N541" t="str">
        <f>IFERROR(VLOOKUP($B541,ChartOfAccounts!C540:D625,2,FALSE),"")</f>
        <v/>
      </c>
      <c r="O541" t="str">
        <f>IFERROR(VLOOKUP($B541,ChartOfAccounts!E540:F625,2,FALSE),"")</f>
        <v/>
      </c>
      <c r="P541" t="str">
        <f>IFERROR(VLOOKUP(D541,PreparerInfo!A540:B552,2,FALSE),"")</f>
        <v/>
      </c>
      <c r="Q541" t="str">
        <f>IFERROR(VLOOKUP(E541,Source!A540:B548,2,FALSE),"")</f>
        <v/>
      </c>
    </row>
    <row r="542" spans="1:17" x14ac:dyDescent="0.3">
      <c r="A542" s="3">
        <v>2033790</v>
      </c>
      <c r="B542">
        <v>71900</v>
      </c>
      <c r="C542">
        <v>1</v>
      </c>
      <c r="D542" s="9">
        <v>102</v>
      </c>
      <c r="E542">
        <v>1002</v>
      </c>
      <c r="F542" s="1">
        <v>44010</v>
      </c>
      <c r="G542" t="s">
        <v>36</v>
      </c>
      <c r="H542" s="4">
        <v>229.45</v>
      </c>
      <c r="I542" s="4" t="s">
        <v>16</v>
      </c>
      <c r="J542" s="4">
        <v>229.45</v>
      </c>
      <c r="K542" t="str">
        <f>VLOOKUP($C542,Table1[#All],2,FALSE)</f>
        <v>FOOD SERVICE</v>
      </c>
      <c r="L542" t="str">
        <f>VLOOKUP($C542,Table1[#All],3,FALSE)</f>
        <v xml:space="preserve">Transactions related to food and beverage service. Includes all guest transactions in the hotel restaurants, catering-related transactions and food service payroll. </v>
      </c>
      <c r="M542" t="str">
        <f>IFERROR(VLOOKUP($B542,ChartOfAccounts!A541:B626,2,FALSE),"")</f>
        <v/>
      </c>
      <c r="N542" t="str">
        <f>IFERROR(VLOOKUP($B542,ChartOfAccounts!C541:D626,2,FALSE),"")</f>
        <v/>
      </c>
      <c r="O542" t="str">
        <f>IFERROR(VLOOKUP($B542,ChartOfAccounts!E541:F626,2,FALSE),"")</f>
        <v/>
      </c>
      <c r="P542" t="str">
        <f>IFERROR(VLOOKUP(D542,PreparerInfo!A541:B553,2,FALSE),"")</f>
        <v/>
      </c>
      <c r="Q542" t="str">
        <f>IFERROR(VLOOKUP(E542,Source!A541:B549,2,FALSE),"")</f>
        <v/>
      </c>
    </row>
    <row r="543" spans="1:17" x14ac:dyDescent="0.3">
      <c r="A543" s="3">
        <v>2033790</v>
      </c>
      <c r="B543">
        <v>11845</v>
      </c>
      <c r="C543">
        <v>1</v>
      </c>
      <c r="D543" s="9">
        <v>102</v>
      </c>
      <c r="E543">
        <v>1002</v>
      </c>
      <c r="F543" s="1">
        <v>44010</v>
      </c>
      <c r="G543" t="s">
        <v>36</v>
      </c>
      <c r="H543" s="4" t="s">
        <v>16</v>
      </c>
      <c r="I543" s="4">
        <v>-229.45</v>
      </c>
      <c r="J543" s="4">
        <v>-229.45</v>
      </c>
      <c r="K543" t="str">
        <f>VLOOKUP($C543,Table1[#All],2,FALSE)</f>
        <v>FOOD SERVICE</v>
      </c>
      <c r="L543" t="str">
        <f>VLOOKUP($C543,Table1[#All],3,FALSE)</f>
        <v xml:space="preserve">Transactions related to food and beverage service. Includes all guest transactions in the hotel restaurants, catering-related transactions and food service payroll. </v>
      </c>
      <c r="M543" t="str">
        <f>IFERROR(VLOOKUP($B543,ChartOfAccounts!A542:B627,2,FALSE),"")</f>
        <v/>
      </c>
      <c r="N543" t="str">
        <f>IFERROR(VLOOKUP($B543,ChartOfAccounts!C542:D627,2,FALSE),"")</f>
        <v/>
      </c>
      <c r="O543" t="str">
        <f>IFERROR(VLOOKUP($B543,ChartOfAccounts!E542:F627,2,FALSE),"")</f>
        <v/>
      </c>
      <c r="P543" t="str">
        <f>IFERROR(VLOOKUP(D543,PreparerInfo!A542:B554,2,FALSE),"")</f>
        <v/>
      </c>
      <c r="Q543" t="str">
        <f>IFERROR(VLOOKUP(E543,Source!A542:B550,2,FALSE),"")</f>
        <v/>
      </c>
    </row>
    <row r="544" spans="1:17" x14ac:dyDescent="0.3">
      <c r="A544" s="3">
        <v>2033791</v>
      </c>
      <c r="B544">
        <v>72760</v>
      </c>
      <c r="C544">
        <v>6</v>
      </c>
      <c r="D544" s="9">
        <v>101</v>
      </c>
      <c r="E544">
        <v>1002</v>
      </c>
      <c r="F544" s="1">
        <v>44010</v>
      </c>
      <c r="G544" t="s">
        <v>135</v>
      </c>
      <c r="H544" s="4">
        <v>236.32</v>
      </c>
      <c r="I544" s="4" t="s">
        <v>16</v>
      </c>
      <c r="J544" s="4">
        <v>236.32</v>
      </c>
      <c r="K544" t="str">
        <f>VLOOKUP($C544,Table1[#All],2,FALSE)</f>
        <v>MAINTENANCE</v>
      </c>
      <c r="L544" t="str">
        <f>VLOOKUP($C544,Table1[#All],3,FALSE)</f>
        <v>Transactions related to the hotel Maintenance Department. Primarily includes payroll for maintenance, grounds keepers and related supplies.</v>
      </c>
      <c r="M544" t="str">
        <f>IFERROR(VLOOKUP($B544,ChartOfAccounts!A543:B628,2,FALSE),"")</f>
        <v/>
      </c>
      <c r="N544" t="str">
        <f>IFERROR(VLOOKUP($B544,ChartOfAccounts!C543:D628,2,FALSE),"")</f>
        <v/>
      </c>
      <c r="O544" t="str">
        <f>IFERROR(VLOOKUP($B544,ChartOfAccounts!E543:F628,2,FALSE),"")</f>
        <v/>
      </c>
      <c r="P544" t="str">
        <f>IFERROR(VLOOKUP(D544,PreparerInfo!A543:B555,2,FALSE),"")</f>
        <v/>
      </c>
      <c r="Q544" t="str">
        <f>IFERROR(VLOOKUP(E544,Source!A543:B551,2,FALSE),"")</f>
        <v/>
      </c>
    </row>
    <row r="545" spans="1:17" x14ac:dyDescent="0.3">
      <c r="A545" s="3">
        <v>2033791</v>
      </c>
      <c r="B545">
        <v>11845</v>
      </c>
      <c r="C545">
        <v>6</v>
      </c>
      <c r="D545" s="9">
        <v>101</v>
      </c>
      <c r="E545">
        <v>1002</v>
      </c>
      <c r="F545" s="1">
        <v>44010</v>
      </c>
      <c r="G545" t="s">
        <v>135</v>
      </c>
      <c r="H545" s="4" t="s">
        <v>16</v>
      </c>
      <c r="I545" s="4">
        <v>-236.32</v>
      </c>
      <c r="J545" s="4">
        <v>-236.32</v>
      </c>
      <c r="K545" t="str">
        <f>VLOOKUP($C545,Table1[#All],2,FALSE)</f>
        <v>MAINTENANCE</v>
      </c>
      <c r="L545" t="str">
        <f>VLOOKUP($C545,Table1[#All],3,FALSE)</f>
        <v>Transactions related to the hotel Maintenance Department. Primarily includes payroll for maintenance, grounds keepers and related supplies.</v>
      </c>
      <c r="M545" t="str">
        <f>IFERROR(VLOOKUP($B545,ChartOfAccounts!A544:B629,2,FALSE),"")</f>
        <v/>
      </c>
      <c r="N545" t="str">
        <f>IFERROR(VLOOKUP($B545,ChartOfAccounts!C544:D629,2,FALSE),"")</f>
        <v/>
      </c>
      <c r="O545" t="str">
        <f>IFERROR(VLOOKUP($B545,ChartOfAccounts!E544:F629,2,FALSE),"")</f>
        <v/>
      </c>
      <c r="P545" t="str">
        <f>IFERROR(VLOOKUP(D545,PreparerInfo!A544:B556,2,FALSE),"")</f>
        <v/>
      </c>
      <c r="Q545" t="str">
        <f>IFERROR(VLOOKUP(E545,Source!A544:B552,2,FALSE),"")</f>
        <v/>
      </c>
    </row>
    <row r="546" spans="1:17" x14ac:dyDescent="0.3">
      <c r="A546" s="3">
        <v>2033792</v>
      </c>
      <c r="B546">
        <v>11845</v>
      </c>
      <c r="C546">
        <v>2</v>
      </c>
      <c r="D546" s="9">
        <v>106</v>
      </c>
      <c r="E546">
        <v>1003</v>
      </c>
      <c r="F546" s="1">
        <v>44010</v>
      </c>
      <c r="G546" t="s">
        <v>81</v>
      </c>
      <c r="H546" s="4">
        <v>258</v>
      </c>
      <c r="I546" s="4" t="s">
        <v>16</v>
      </c>
      <c r="J546" s="4">
        <v>258</v>
      </c>
      <c r="K546" t="str">
        <f>VLOOKUP($C546,Table1[#All],2,FALSE)</f>
        <v>HOTEL</v>
      </c>
      <c r="L546" t="str">
        <f>VLOOKUP($C546,Table1[#All],3,FALSE)</f>
        <v xml:space="preserve">Transactions related to guest rooms and overall hotel operations. Includes payroll for administrative staff, clerks and interns. </v>
      </c>
      <c r="M546" t="str">
        <f>IFERROR(VLOOKUP($B546,ChartOfAccounts!A545:B630,2,FALSE),"")</f>
        <v/>
      </c>
      <c r="N546" t="str">
        <f>IFERROR(VLOOKUP($B546,ChartOfAccounts!C545:D630,2,FALSE),"")</f>
        <v/>
      </c>
      <c r="O546" t="str">
        <f>IFERROR(VLOOKUP($B546,ChartOfAccounts!E545:F630,2,FALSE),"")</f>
        <v/>
      </c>
      <c r="P546" t="str">
        <f>IFERROR(VLOOKUP(D546,PreparerInfo!A545:B557,2,FALSE),"")</f>
        <v/>
      </c>
      <c r="Q546" t="str">
        <f>IFERROR(VLOOKUP(E546,Source!A545:B553,2,FALSE),"")</f>
        <v/>
      </c>
    </row>
    <row r="547" spans="1:17" x14ac:dyDescent="0.3">
      <c r="A547" s="3">
        <v>2033792</v>
      </c>
      <c r="B547">
        <v>43180</v>
      </c>
      <c r="C547">
        <v>2</v>
      </c>
      <c r="D547" s="9">
        <v>106</v>
      </c>
      <c r="E547">
        <v>1003</v>
      </c>
      <c r="F547" s="1">
        <v>44010</v>
      </c>
      <c r="G547" t="s">
        <v>81</v>
      </c>
      <c r="H547" s="4" t="s">
        <v>16</v>
      </c>
      <c r="I547" s="4">
        <v>-258</v>
      </c>
      <c r="J547" s="4">
        <v>-258</v>
      </c>
      <c r="K547" t="str">
        <f>VLOOKUP($C547,Table1[#All],2,FALSE)</f>
        <v>HOTEL</v>
      </c>
      <c r="L547" t="str">
        <f>VLOOKUP($C547,Table1[#All],3,FALSE)</f>
        <v xml:space="preserve">Transactions related to guest rooms and overall hotel operations. Includes payroll for administrative staff, clerks and interns. </v>
      </c>
      <c r="M547" t="str">
        <f>IFERROR(VLOOKUP($B547,ChartOfAccounts!A546:B631,2,FALSE),"")</f>
        <v/>
      </c>
      <c r="N547" t="str">
        <f>IFERROR(VLOOKUP($B547,ChartOfAccounts!C546:D631,2,FALSE),"")</f>
        <v/>
      </c>
      <c r="O547" t="str">
        <f>IFERROR(VLOOKUP($B547,ChartOfAccounts!E546:F631,2,FALSE),"")</f>
        <v/>
      </c>
      <c r="P547" t="str">
        <f>IFERROR(VLOOKUP(D547,PreparerInfo!A546:B558,2,FALSE),"")</f>
        <v/>
      </c>
      <c r="Q547" t="str">
        <f>IFERROR(VLOOKUP(E547,Source!A546:B554,2,FALSE),"")</f>
        <v/>
      </c>
    </row>
    <row r="548" spans="1:17" x14ac:dyDescent="0.3">
      <c r="A548" s="3">
        <v>2033793</v>
      </c>
      <c r="B548">
        <v>14260</v>
      </c>
      <c r="C548">
        <v>1</v>
      </c>
      <c r="D548" s="9">
        <v>102</v>
      </c>
      <c r="E548">
        <v>1002</v>
      </c>
      <c r="F548" s="1">
        <v>44010</v>
      </c>
      <c r="G548" t="s">
        <v>47</v>
      </c>
      <c r="H548" s="4">
        <v>288.74</v>
      </c>
      <c r="I548" s="4" t="s">
        <v>16</v>
      </c>
      <c r="J548" s="4">
        <v>288.74</v>
      </c>
      <c r="K548" t="str">
        <f>VLOOKUP($C548,Table1[#All],2,FALSE)</f>
        <v>FOOD SERVICE</v>
      </c>
      <c r="L548" t="str">
        <f>VLOOKUP($C548,Table1[#All],3,FALSE)</f>
        <v xml:space="preserve">Transactions related to food and beverage service. Includes all guest transactions in the hotel restaurants, catering-related transactions and food service payroll. </v>
      </c>
      <c r="M548" t="str">
        <f>IFERROR(VLOOKUP($B548,ChartOfAccounts!A547:B632,2,FALSE),"")</f>
        <v/>
      </c>
      <c r="N548" t="str">
        <f>IFERROR(VLOOKUP($B548,ChartOfAccounts!C547:D632,2,FALSE),"")</f>
        <v/>
      </c>
      <c r="O548" t="str">
        <f>IFERROR(VLOOKUP($B548,ChartOfAccounts!E547:F632,2,FALSE),"")</f>
        <v/>
      </c>
      <c r="P548" t="str">
        <f>IFERROR(VLOOKUP(D548,PreparerInfo!A547:B559,2,FALSE),"")</f>
        <v/>
      </c>
      <c r="Q548" t="str">
        <f>IFERROR(VLOOKUP(E548,Source!A547:B555,2,FALSE),"")</f>
        <v/>
      </c>
    </row>
    <row r="549" spans="1:17" x14ac:dyDescent="0.3">
      <c r="A549" s="3">
        <v>2033793</v>
      </c>
      <c r="B549">
        <v>11845</v>
      </c>
      <c r="C549">
        <v>1</v>
      </c>
      <c r="D549" s="9">
        <v>102</v>
      </c>
      <c r="E549">
        <v>1002</v>
      </c>
      <c r="F549" s="1">
        <v>44010</v>
      </c>
      <c r="G549" t="s">
        <v>47</v>
      </c>
      <c r="H549" s="4" t="s">
        <v>16</v>
      </c>
      <c r="I549" s="4">
        <v>-288.74</v>
      </c>
      <c r="J549" s="4">
        <v>-288.74</v>
      </c>
      <c r="K549" t="str">
        <f>VLOOKUP($C549,Table1[#All],2,FALSE)</f>
        <v>FOOD SERVICE</v>
      </c>
      <c r="L549" t="str">
        <f>VLOOKUP($C549,Table1[#All],3,FALSE)</f>
        <v xml:space="preserve">Transactions related to food and beverage service. Includes all guest transactions in the hotel restaurants, catering-related transactions and food service payroll. </v>
      </c>
      <c r="M549" t="str">
        <f>IFERROR(VLOOKUP($B549,ChartOfAccounts!A548:B633,2,FALSE),"")</f>
        <v/>
      </c>
      <c r="N549" t="str">
        <f>IFERROR(VLOOKUP($B549,ChartOfAccounts!C548:D633,2,FALSE),"")</f>
        <v/>
      </c>
      <c r="O549" t="str">
        <f>IFERROR(VLOOKUP($B549,ChartOfAccounts!E548:F633,2,FALSE),"")</f>
        <v/>
      </c>
      <c r="P549" t="str">
        <f>IFERROR(VLOOKUP(D549,PreparerInfo!A548:B560,2,FALSE),"")</f>
        <v/>
      </c>
      <c r="Q549" t="str">
        <f>IFERROR(VLOOKUP(E549,Source!A548:B556,2,FALSE),"")</f>
        <v/>
      </c>
    </row>
    <row r="550" spans="1:17" x14ac:dyDescent="0.3">
      <c r="A550" s="3">
        <v>2033794</v>
      </c>
      <c r="B550">
        <v>51400</v>
      </c>
      <c r="C550">
        <v>4</v>
      </c>
      <c r="D550" s="9">
        <v>105</v>
      </c>
      <c r="E550">
        <v>1006</v>
      </c>
      <c r="F550" s="1">
        <v>44010</v>
      </c>
      <c r="G550" t="s">
        <v>93</v>
      </c>
      <c r="H550" s="4">
        <v>373.6</v>
      </c>
      <c r="I550" s="4" t="s">
        <v>16</v>
      </c>
      <c r="J550" s="4">
        <v>373.6</v>
      </c>
      <c r="K550" t="str">
        <f>VLOOKUP($C550,Table1[#All],2,FALSE)</f>
        <v>HOUSEKEEPING</v>
      </c>
      <c r="L550" t="str">
        <f>VLOOKUP($C550,Table1[#All],3,FALSE)</f>
        <v xml:space="preserve">Transactions related to the Housekeeping Department. Primarily includes payroll for housekeepers and housekeeping supplies. </v>
      </c>
      <c r="M550" t="str">
        <f>IFERROR(VLOOKUP($B550,ChartOfAccounts!A549:B634,2,FALSE),"")</f>
        <v/>
      </c>
      <c r="N550" t="str">
        <f>IFERROR(VLOOKUP($B550,ChartOfAccounts!C549:D634,2,FALSE),"")</f>
        <v/>
      </c>
      <c r="O550" t="str">
        <f>IFERROR(VLOOKUP($B550,ChartOfAccounts!E549:F634,2,FALSE),"")</f>
        <v/>
      </c>
      <c r="P550" t="str">
        <f>IFERROR(VLOOKUP(D550,PreparerInfo!A549:B561,2,FALSE),"")</f>
        <v/>
      </c>
      <c r="Q550" t="str">
        <f>IFERROR(VLOOKUP(E550,Source!A549:B557,2,FALSE),"")</f>
        <v/>
      </c>
    </row>
    <row r="551" spans="1:17" x14ac:dyDescent="0.3">
      <c r="A551" s="3">
        <v>2033794</v>
      </c>
      <c r="B551">
        <v>22110</v>
      </c>
      <c r="C551">
        <v>4</v>
      </c>
      <c r="D551" s="9">
        <v>105</v>
      </c>
      <c r="E551">
        <v>1006</v>
      </c>
      <c r="F551" s="1">
        <v>44010</v>
      </c>
      <c r="G551" t="s">
        <v>93</v>
      </c>
      <c r="H551" s="4" t="s">
        <v>16</v>
      </c>
      <c r="I551" s="4">
        <v>-373.6</v>
      </c>
      <c r="J551" s="4">
        <v>-373.6</v>
      </c>
      <c r="K551" t="str">
        <f>VLOOKUP($C551,Table1[#All],2,FALSE)</f>
        <v>HOUSEKEEPING</v>
      </c>
      <c r="L551" t="str">
        <f>VLOOKUP($C551,Table1[#All],3,FALSE)</f>
        <v xml:space="preserve">Transactions related to the Housekeeping Department. Primarily includes payroll for housekeepers and housekeeping supplies. </v>
      </c>
      <c r="M551" t="str">
        <f>IFERROR(VLOOKUP($B551,ChartOfAccounts!A550:B635,2,FALSE),"")</f>
        <v/>
      </c>
      <c r="N551" t="str">
        <f>IFERROR(VLOOKUP($B551,ChartOfAccounts!C550:D635,2,FALSE),"")</f>
        <v/>
      </c>
      <c r="O551" t="str">
        <f>IFERROR(VLOOKUP($B551,ChartOfAccounts!E550:F635,2,FALSE),"")</f>
        <v/>
      </c>
      <c r="P551" t="str">
        <f>IFERROR(VLOOKUP(D551,PreparerInfo!A550:B562,2,FALSE),"")</f>
        <v/>
      </c>
      <c r="Q551" t="str">
        <f>IFERROR(VLOOKUP(E551,Source!A550:B558,2,FALSE),"")</f>
        <v/>
      </c>
    </row>
    <row r="552" spans="1:17" x14ac:dyDescent="0.3">
      <c r="A552" s="3">
        <v>2033795</v>
      </c>
      <c r="B552">
        <v>51610</v>
      </c>
      <c r="C552">
        <v>6</v>
      </c>
      <c r="D552" s="9">
        <v>105</v>
      </c>
      <c r="E552">
        <v>1006</v>
      </c>
      <c r="F552" s="1">
        <v>44010</v>
      </c>
      <c r="G552" t="s">
        <v>131</v>
      </c>
      <c r="H552" s="4">
        <v>391</v>
      </c>
      <c r="I552" s="4" t="s">
        <v>16</v>
      </c>
      <c r="J552" s="4">
        <v>391</v>
      </c>
      <c r="K552" t="str">
        <f>VLOOKUP($C552,Table1[#All],2,FALSE)</f>
        <v>MAINTENANCE</v>
      </c>
      <c r="L552" t="str">
        <f>VLOOKUP($C552,Table1[#All],3,FALSE)</f>
        <v>Transactions related to the hotel Maintenance Department. Primarily includes payroll for maintenance, grounds keepers and related supplies.</v>
      </c>
      <c r="M552" t="str">
        <f>IFERROR(VLOOKUP($B552,ChartOfAccounts!A551:B636,2,FALSE),"")</f>
        <v/>
      </c>
      <c r="N552" t="str">
        <f>IFERROR(VLOOKUP($B552,ChartOfAccounts!C551:D636,2,FALSE),"")</f>
        <v/>
      </c>
      <c r="O552" t="str">
        <f>IFERROR(VLOOKUP($B552,ChartOfAccounts!E551:F636,2,FALSE),"")</f>
        <v/>
      </c>
      <c r="P552" t="str">
        <f>IFERROR(VLOOKUP(D552,PreparerInfo!A551:B563,2,FALSE),"")</f>
        <v/>
      </c>
      <c r="Q552" t="str">
        <f>IFERROR(VLOOKUP(E552,Source!A551:B559,2,FALSE),"")</f>
        <v/>
      </c>
    </row>
    <row r="553" spans="1:17" x14ac:dyDescent="0.3">
      <c r="A553" s="3">
        <v>2033795</v>
      </c>
      <c r="B553">
        <v>22110</v>
      </c>
      <c r="C553">
        <v>6</v>
      </c>
      <c r="D553" s="9">
        <v>105</v>
      </c>
      <c r="E553">
        <v>1006</v>
      </c>
      <c r="F553" s="1">
        <v>44010</v>
      </c>
      <c r="G553" t="s">
        <v>131</v>
      </c>
      <c r="H553" s="4" t="s">
        <v>16</v>
      </c>
      <c r="I553" s="4">
        <v>-391</v>
      </c>
      <c r="J553" s="4">
        <v>-391</v>
      </c>
      <c r="K553" t="str">
        <f>VLOOKUP($C553,Table1[#All],2,FALSE)</f>
        <v>MAINTENANCE</v>
      </c>
      <c r="L553" t="str">
        <f>VLOOKUP($C553,Table1[#All],3,FALSE)</f>
        <v>Transactions related to the hotel Maintenance Department. Primarily includes payroll for maintenance, grounds keepers and related supplies.</v>
      </c>
      <c r="M553" t="str">
        <f>IFERROR(VLOOKUP($B553,ChartOfAccounts!A552:B637,2,FALSE),"")</f>
        <v/>
      </c>
      <c r="N553" t="str">
        <f>IFERROR(VLOOKUP($B553,ChartOfAccounts!C552:D637,2,FALSE),"")</f>
        <v/>
      </c>
      <c r="O553" t="str">
        <f>IFERROR(VLOOKUP($B553,ChartOfAccounts!E552:F637,2,FALSE),"")</f>
        <v/>
      </c>
      <c r="P553" t="str">
        <f>IFERROR(VLOOKUP(D553,PreparerInfo!A552:B564,2,FALSE),"")</f>
        <v/>
      </c>
      <c r="Q553" t="str">
        <f>IFERROR(VLOOKUP(E553,Source!A552:B560,2,FALSE),"")</f>
        <v/>
      </c>
    </row>
    <row r="554" spans="1:17" x14ac:dyDescent="0.3">
      <c r="A554" s="3">
        <v>2033796</v>
      </c>
      <c r="B554">
        <v>51610</v>
      </c>
      <c r="C554">
        <v>1</v>
      </c>
      <c r="D554" s="9">
        <v>105</v>
      </c>
      <c r="E554">
        <v>1006</v>
      </c>
      <c r="F554" s="1">
        <v>44010</v>
      </c>
      <c r="G554" t="s">
        <v>94</v>
      </c>
      <c r="H554" s="4">
        <v>447.87</v>
      </c>
      <c r="I554" s="4" t="s">
        <v>16</v>
      </c>
      <c r="J554" s="4">
        <v>447.87</v>
      </c>
      <c r="K554" t="str">
        <f>VLOOKUP($C554,Table1[#All],2,FALSE)</f>
        <v>FOOD SERVICE</v>
      </c>
      <c r="L554" t="str">
        <f>VLOOKUP($C554,Table1[#All],3,FALSE)</f>
        <v xml:space="preserve">Transactions related to food and beverage service. Includes all guest transactions in the hotel restaurants, catering-related transactions and food service payroll. </v>
      </c>
      <c r="M554" t="str">
        <f>IFERROR(VLOOKUP($B554,ChartOfAccounts!A553:B638,2,FALSE),"")</f>
        <v/>
      </c>
      <c r="N554" t="str">
        <f>IFERROR(VLOOKUP($B554,ChartOfAccounts!C553:D638,2,FALSE),"")</f>
        <v/>
      </c>
      <c r="O554" t="str">
        <f>IFERROR(VLOOKUP($B554,ChartOfAccounts!E553:F638,2,FALSE),"")</f>
        <v/>
      </c>
      <c r="P554" t="str">
        <f>IFERROR(VLOOKUP(D554,PreparerInfo!A553:B565,2,FALSE),"")</f>
        <v/>
      </c>
      <c r="Q554" t="str">
        <f>IFERROR(VLOOKUP(E554,Source!A553:B561,2,FALSE),"")</f>
        <v/>
      </c>
    </row>
    <row r="555" spans="1:17" x14ac:dyDescent="0.3">
      <c r="A555" s="3">
        <v>2033796</v>
      </c>
      <c r="B555">
        <v>22110</v>
      </c>
      <c r="C555">
        <v>1</v>
      </c>
      <c r="D555" s="9">
        <v>105</v>
      </c>
      <c r="E555">
        <v>1006</v>
      </c>
      <c r="F555" s="1">
        <v>44010</v>
      </c>
      <c r="G555" t="s">
        <v>94</v>
      </c>
      <c r="H555" s="4" t="s">
        <v>16</v>
      </c>
      <c r="I555" s="4">
        <v>-447.87</v>
      </c>
      <c r="J555" s="4">
        <v>-447.87</v>
      </c>
      <c r="K555" t="str">
        <f>VLOOKUP($C555,Table1[#All],2,FALSE)</f>
        <v>FOOD SERVICE</v>
      </c>
      <c r="L555" t="str">
        <f>VLOOKUP($C555,Table1[#All],3,FALSE)</f>
        <v xml:space="preserve">Transactions related to food and beverage service. Includes all guest transactions in the hotel restaurants, catering-related transactions and food service payroll. </v>
      </c>
      <c r="M555" t="str">
        <f>IFERROR(VLOOKUP($B555,ChartOfAccounts!A554:B639,2,FALSE),"")</f>
        <v/>
      </c>
      <c r="N555" t="str">
        <f>IFERROR(VLOOKUP($B555,ChartOfAccounts!C554:D639,2,FALSE),"")</f>
        <v/>
      </c>
      <c r="O555" t="str">
        <f>IFERROR(VLOOKUP($B555,ChartOfAccounts!E554:F639,2,FALSE),"")</f>
        <v/>
      </c>
      <c r="P555" t="str">
        <f>IFERROR(VLOOKUP(D555,PreparerInfo!A554:B566,2,FALSE),"")</f>
        <v/>
      </c>
      <c r="Q555" t="str">
        <f>IFERROR(VLOOKUP(E555,Source!A554:B562,2,FALSE),"")</f>
        <v/>
      </c>
    </row>
    <row r="556" spans="1:17" x14ac:dyDescent="0.3">
      <c r="A556" s="3">
        <v>2033797</v>
      </c>
      <c r="B556">
        <v>14260</v>
      </c>
      <c r="C556">
        <v>1</v>
      </c>
      <c r="D556" s="9">
        <v>102</v>
      </c>
      <c r="E556">
        <v>1002</v>
      </c>
      <c r="F556" s="1">
        <v>44010</v>
      </c>
      <c r="G556" t="s">
        <v>47</v>
      </c>
      <c r="H556" s="4">
        <v>451.29</v>
      </c>
      <c r="I556" s="4" t="s">
        <v>16</v>
      </c>
      <c r="J556" s="4">
        <v>451.29</v>
      </c>
      <c r="K556" t="str">
        <f>VLOOKUP($C556,Table1[#All],2,FALSE)</f>
        <v>FOOD SERVICE</v>
      </c>
      <c r="L556" t="str">
        <f>VLOOKUP($C556,Table1[#All],3,FALSE)</f>
        <v xml:space="preserve">Transactions related to food and beverage service. Includes all guest transactions in the hotel restaurants, catering-related transactions and food service payroll. </v>
      </c>
      <c r="M556" t="str">
        <f>IFERROR(VLOOKUP($B556,ChartOfAccounts!A555:B640,2,FALSE),"")</f>
        <v/>
      </c>
      <c r="N556" t="str">
        <f>IFERROR(VLOOKUP($B556,ChartOfAccounts!C555:D640,2,FALSE),"")</f>
        <v/>
      </c>
      <c r="O556" t="str">
        <f>IFERROR(VLOOKUP($B556,ChartOfAccounts!E555:F640,2,FALSE),"")</f>
        <v/>
      </c>
      <c r="P556" t="str">
        <f>IFERROR(VLOOKUP(D556,PreparerInfo!A555:B567,2,FALSE),"")</f>
        <v/>
      </c>
      <c r="Q556" t="str">
        <f>IFERROR(VLOOKUP(E556,Source!A555:B563,2,FALSE),"")</f>
        <v/>
      </c>
    </row>
    <row r="557" spans="1:17" x14ac:dyDescent="0.3">
      <c r="A557" s="3">
        <v>2033797</v>
      </c>
      <c r="B557">
        <v>11845</v>
      </c>
      <c r="C557">
        <v>1</v>
      </c>
      <c r="D557" s="9">
        <v>102</v>
      </c>
      <c r="E557">
        <v>1002</v>
      </c>
      <c r="F557" s="1">
        <v>44010</v>
      </c>
      <c r="G557" t="s">
        <v>47</v>
      </c>
      <c r="H557" s="4" t="s">
        <v>16</v>
      </c>
      <c r="I557" s="4">
        <v>-451.29</v>
      </c>
      <c r="J557" s="4">
        <v>-451.29</v>
      </c>
      <c r="K557" t="str">
        <f>VLOOKUP($C557,Table1[#All],2,FALSE)</f>
        <v>FOOD SERVICE</v>
      </c>
      <c r="L557" t="str">
        <f>VLOOKUP($C557,Table1[#All],3,FALSE)</f>
        <v xml:space="preserve">Transactions related to food and beverage service. Includes all guest transactions in the hotel restaurants, catering-related transactions and food service payroll. </v>
      </c>
      <c r="M557" t="str">
        <f>IFERROR(VLOOKUP($B557,ChartOfAccounts!A556:B641,2,FALSE),"")</f>
        <v/>
      </c>
      <c r="N557" t="str">
        <f>IFERROR(VLOOKUP($B557,ChartOfAccounts!C556:D641,2,FALSE),"")</f>
        <v/>
      </c>
      <c r="O557" t="str">
        <f>IFERROR(VLOOKUP($B557,ChartOfAccounts!E556:F641,2,FALSE),"")</f>
        <v/>
      </c>
      <c r="P557" t="str">
        <f>IFERROR(VLOOKUP(D557,PreparerInfo!A556:B568,2,FALSE),"")</f>
        <v/>
      </c>
      <c r="Q557" t="str">
        <f>IFERROR(VLOOKUP(E557,Source!A556:B564,2,FALSE),"")</f>
        <v/>
      </c>
    </row>
    <row r="558" spans="1:17" x14ac:dyDescent="0.3">
      <c r="A558" s="3">
        <v>2033798</v>
      </c>
      <c r="B558">
        <v>51510</v>
      </c>
      <c r="C558">
        <v>6</v>
      </c>
      <c r="D558" s="9">
        <v>105</v>
      </c>
      <c r="E558">
        <v>1006</v>
      </c>
      <c r="F558" s="1">
        <v>44010</v>
      </c>
      <c r="G558" t="s">
        <v>96</v>
      </c>
      <c r="H558" s="4">
        <v>499.6</v>
      </c>
      <c r="I558" s="4" t="s">
        <v>16</v>
      </c>
      <c r="J558" s="4">
        <v>499.6</v>
      </c>
      <c r="K558" t="str">
        <f>VLOOKUP($C558,Table1[#All],2,FALSE)</f>
        <v>MAINTENANCE</v>
      </c>
      <c r="L558" t="str">
        <f>VLOOKUP($C558,Table1[#All],3,FALSE)</f>
        <v>Transactions related to the hotel Maintenance Department. Primarily includes payroll for maintenance, grounds keepers and related supplies.</v>
      </c>
      <c r="M558" t="str">
        <f>IFERROR(VLOOKUP($B558,ChartOfAccounts!A557:B642,2,FALSE),"")</f>
        <v/>
      </c>
      <c r="N558" t="str">
        <f>IFERROR(VLOOKUP($B558,ChartOfAccounts!C557:D642,2,FALSE),"")</f>
        <v/>
      </c>
      <c r="O558" t="str">
        <f>IFERROR(VLOOKUP($B558,ChartOfAccounts!E557:F642,2,FALSE),"")</f>
        <v/>
      </c>
      <c r="P558" t="str">
        <f>IFERROR(VLOOKUP(D558,PreparerInfo!A557:B569,2,FALSE),"")</f>
        <v/>
      </c>
      <c r="Q558" t="str">
        <f>IFERROR(VLOOKUP(E558,Source!A557:B565,2,FALSE),"")</f>
        <v/>
      </c>
    </row>
    <row r="559" spans="1:17" x14ac:dyDescent="0.3">
      <c r="A559" s="3">
        <v>2033798</v>
      </c>
      <c r="B559">
        <v>22110</v>
      </c>
      <c r="C559">
        <v>6</v>
      </c>
      <c r="D559" s="9">
        <v>105</v>
      </c>
      <c r="E559">
        <v>1006</v>
      </c>
      <c r="F559" s="1">
        <v>44010</v>
      </c>
      <c r="G559" t="s">
        <v>96</v>
      </c>
      <c r="H559" s="4" t="s">
        <v>16</v>
      </c>
      <c r="I559" s="4">
        <v>-499.6</v>
      </c>
      <c r="J559" s="4">
        <v>-499.6</v>
      </c>
      <c r="K559" t="str">
        <f>VLOOKUP($C559,Table1[#All],2,FALSE)</f>
        <v>MAINTENANCE</v>
      </c>
      <c r="L559" t="str">
        <f>VLOOKUP($C559,Table1[#All],3,FALSE)</f>
        <v>Transactions related to the hotel Maintenance Department. Primarily includes payroll for maintenance, grounds keepers and related supplies.</v>
      </c>
      <c r="M559" t="str">
        <f>IFERROR(VLOOKUP($B559,ChartOfAccounts!A558:B643,2,FALSE),"")</f>
        <v/>
      </c>
      <c r="N559" t="str">
        <f>IFERROR(VLOOKUP($B559,ChartOfAccounts!C558:D643,2,FALSE),"")</f>
        <v/>
      </c>
      <c r="O559" t="str">
        <f>IFERROR(VLOOKUP($B559,ChartOfAccounts!E558:F643,2,FALSE),"")</f>
        <v/>
      </c>
      <c r="P559" t="str">
        <f>IFERROR(VLOOKUP(D559,PreparerInfo!A558:B570,2,FALSE),"")</f>
        <v/>
      </c>
      <c r="Q559" t="str">
        <f>IFERROR(VLOOKUP(E559,Source!A558:B566,2,FALSE),"")</f>
        <v/>
      </c>
    </row>
    <row r="560" spans="1:17" x14ac:dyDescent="0.3">
      <c r="A560" s="3">
        <v>2033799</v>
      </c>
      <c r="B560">
        <v>14260</v>
      </c>
      <c r="C560">
        <v>1</v>
      </c>
      <c r="D560" s="9">
        <v>102</v>
      </c>
      <c r="E560">
        <v>1002</v>
      </c>
      <c r="F560" s="1">
        <v>44010</v>
      </c>
      <c r="G560" t="s">
        <v>47</v>
      </c>
      <c r="H560" s="4">
        <v>507.93</v>
      </c>
      <c r="I560" s="4" t="s">
        <v>16</v>
      </c>
      <c r="J560" s="4">
        <v>507.93</v>
      </c>
      <c r="K560" t="str">
        <f>VLOOKUP($C560,Table1[#All],2,FALSE)</f>
        <v>FOOD SERVICE</v>
      </c>
      <c r="L560" t="str">
        <f>VLOOKUP($C560,Table1[#All],3,FALSE)</f>
        <v xml:space="preserve">Transactions related to food and beverage service. Includes all guest transactions in the hotel restaurants, catering-related transactions and food service payroll. </v>
      </c>
      <c r="M560" t="str">
        <f>IFERROR(VLOOKUP($B560,ChartOfAccounts!A559:B644,2,FALSE),"")</f>
        <v/>
      </c>
      <c r="N560" t="str">
        <f>IFERROR(VLOOKUP($B560,ChartOfAccounts!C559:D644,2,FALSE),"")</f>
        <v/>
      </c>
      <c r="O560" t="str">
        <f>IFERROR(VLOOKUP($B560,ChartOfAccounts!E559:F644,2,FALSE),"")</f>
        <v/>
      </c>
      <c r="P560" t="str">
        <f>IFERROR(VLOOKUP(D560,PreparerInfo!A559:B571,2,FALSE),"")</f>
        <v/>
      </c>
      <c r="Q560" t="str">
        <f>IFERROR(VLOOKUP(E560,Source!A559:B567,2,FALSE),"")</f>
        <v/>
      </c>
    </row>
    <row r="561" spans="1:17" x14ac:dyDescent="0.3">
      <c r="A561" s="3">
        <v>2033799</v>
      </c>
      <c r="B561">
        <v>11845</v>
      </c>
      <c r="C561">
        <v>1</v>
      </c>
      <c r="D561" s="9">
        <v>102</v>
      </c>
      <c r="E561">
        <v>1002</v>
      </c>
      <c r="F561" s="1">
        <v>44010</v>
      </c>
      <c r="G561" t="s">
        <v>47</v>
      </c>
      <c r="H561" s="4" t="s">
        <v>16</v>
      </c>
      <c r="I561" s="4">
        <v>-507.93</v>
      </c>
      <c r="J561" s="4">
        <v>-507.93</v>
      </c>
      <c r="K561" t="str">
        <f>VLOOKUP($C561,Table1[#All],2,FALSE)</f>
        <v>FOOD SERVICE</v>
      </c>
      <c r="L561" t="str">
        <f>VLOOKUP($C561,Table1[#All],3,FALSE)</f>
        <v xml:space="preserve">Transactions related to food and beverage service. Includes all guest transactions in the hotel restaurants, catering-related transactions and food service payroll. </v>
      </c>
      <c r="M561" t="str">
        <f>IFERROR(VLOOKUP($B561,ChartOfAccounts!A560:B645,2,FALSE),"")</f>
        <v/>
      </c>
      <c r="N561" t="str">
        <f>IFERROR(VLOOKUP($B561,ChartOfAccounts!C560:D645,2,FALSE),"")</f>
        <v/>
      </c>
      <c r="O561" t="str">
        <f>IFERROR(VLOOKUP($B561,ChartOfAccounts!E560:F645,2,FALSE),"")</f>
        <v/>
      </c>
      <c r="P561" t="str">
        <f>IFERROR(VLOOKUP(D561,PreparerInfo!A560:B572,2,FALSE),"")</f>
        <v/>
      </c>
      <c r="Q561" t="str">
        <f>IFERROR(VLOOKUP(E561,Source!A560:B568,2,FALSE),"")</f>
        <v/>
      </c>
    </row>
    <row r="562" spans="1:17" x14ac:dyDescent="0.3">
      <c r="A562" s="3">
        <v>2033800</v>
      </c>
      <c r="B562">
        <v>14260</v>
      </c>
      <c r="C562">
        <v>1</v>
      </c>
      <c r="D562" s="9">
        <v>102</v>
      </c>
      <c r="E562">
        <v>1002</v>
      </c>
      <c r="F562" s="1">
        <v>44010</v>
      </c>
      <c r="G562" t="s">
        <v>39</v>
      </c>
      <c r="H562" s="4">
        <v>510.91</v>
      </c>
      <c r="I562" s="4" t="s">
        <v>16</v>
      </c>
      <c r="J562" s="4">
        <v>510.91</v>
      </c>
      <c r="K562" t="str">
        <f>VLOOKUP($C562,Table1[#All],2,FALSE)</f>
        <v>FOOD SERVICE</v>
      </c>
      <c r="L562" t="str">
        <f>VLOOKUP($C562,Table1[#All],3,FALSE)</f>
        <v xml:space="preserve">Transactions related to food and beverage service. Includes all guest transactions in the hotel restaurants, catering-related transactions and food service payroll. </v>
      </c>
      <c r="M562" t="str">
        <f>IFERROR(VLOOKUP($B562,ChartOfAccounts!A561:B646,2,FALSE),"")</f>
        <v/>
      </c>
      <c r="N562" t="str">
        <f>IFERROR(VLOOKUP($B562,ChartOfAccounts!C561:D646,2,FALSE),"")</f>
        <v/>
      </c>
      <c r="O562" t="str">
        <f>IFERROR(VLOOKUP($B562,ChartOfAccounts!E561:F646,2,FALSE),"")</f>
        <v/>
      </c>
      <c r="P562" t="str">
        <f>IFERROR(VLOOKUP(D562,PreparerInfo!A561:B573,2,FALSE),"")</f>
        <v/>
      </c>
      <c r="Q562" t="str">
        <f>IFERROR(VLOOKUP(E562,Source!A561:B569,2,FALSE),"")</f>
        <v/>
      </c>
    </row>
    <row r="563" spans="1:17" x14ac:dyDescent="0.3">
      <c r="A563" s="3">
        <v>2033800</v>
      </c>
      <c r="B563">
        <v>11845</v>
      </c>
      <c r="C563">
        <v>1</v>
      </c>
      <c r="D563" s="9">
        <v>102</v>
      </c>
      <c r="E563">
        <v>1002</v>
      </c>
      <c r="F563" s="1">
        <v>44010</v>
      </c>
      <c r="G563" t="s">
        <v>39</v>
      </c>
      <c r="H563" s="4" t="s">
        <v>16</v>
      </c>
      <c r="I563" s="4">
        <v>-510.91</v>
      </c>
      <c r="J563" s="4">
        <v>-510.91</v>
      </c>
      <c r="K563" t="str">
        <f>VLOOKUP($C563,Table1[#All],2,FALSE)</f>
        <v>FOOD SERVICE</v>
      </c>
      <c r="L563" t="str">
        <f>VLOOKUP($C563,Table1[#All],3,FALSE)</f>
        <v xml:space="preserve">Transactions related to food and beverage service. Includes all guest transactions in the hotel restaurants, catering-related transactions and food service payroll. </v>
      </c>
      <c r="M563" t="str">
        <f>IFERROR(VLOOKUP($B563,ChartOfAccounts!A562:B647,2,FALSE),"")</f>
        <v/>
      </c>
      <c r="N563" t="str">
        <f>IFERROR(VLOOKUP($B563,ChartOfAccounts!C562:D647,2,FALSE),"")</f>
        <v/>
      </c>
      <c r="O563" t="str">
        <f>IFERROR(VLOOKUP($B563,ChartOfAccounts!E562:F647,2,FALSE),"")</f>
        <v/>
      </c>
      <c r="P563" t="str">
        <f>IFERROR(VLOOKUP(D563,PreparerInfo!A562:B574,2,FALSE),"")</f>
        <v/>
      </c>
      <c r="Q563" t="str">
        <f>IFERROR(VLOOKUP(E563,Source!A562:B570,2,FALSE),"")</f>
        <v/>
      </c>
    </row>
    <row r="564" spans="1:17" x14ac:dyDescent="0.3">
      <c r="A564" s="3">
        <v>2033801</v>
      </c>
      <c r="B564">
        <v>14260</v>
      </c>
      <c r="C564">
        <v>1</v>
      </c>
      <c r="D564" s="9">
        <v>102</v>
      </c>
      <c r="E564">
        <v>1002</v>
      </c>
      <c r="F564" s="1">
        <v>44010</v>
      </c>
      <c r="G564" t="s">
        <v>39</v>
      </c>
      <c r="H564" s="4">
        <v>552.67999999999995</v>
      </c>
      <c r="I564" s="4" t="s">
        <v>16</v>
      </c>
      <c r="J564" s="4">
        <v>552.67999999999995</v>
      </c>
      <c r="K564" t="str">
        <f>VLOOKUP($C564,Table1[#All],2,FALSE)</f>
        <v>FOOD SERVICE</v>
      </c>
      <c r="L564" t="str">
        <f>VLOOKUP($C564,Table1[#All],3,FALSE)</f>
        <v xml:space="preserve">Transactions related to food and beverage service. Includes all guest transactions in the hotel restaurants, catering-related transactions and food service payroll. </v>
      </c>
      <c r="M564" t="str">
        <f>IFERROR(VLOOKUP($B564,ChartOfAccounts!A563:B648,2,FALSE),"")</f>
        <v/>
      </c>
      <c r="N564" t="str">
        <f>IFERROR(VLOOKUP($B564,ChartOfAccounts!C563:D648,2,FALSE),"")</f>
        <v/>
      </c>
      <c r="O564" t="str">
        <f>IFERROR(VLOOKUP($B564,ChartOfAccounts!E563:F648,2,FALSE),"")</f>
        <v/>
      </c>
      <c r="P564" t="str">
        <f>IFERROR(VLOOKUP(D564,PreparerInfo!A563:B575,2,FALSE),"")</f>
        <v/>
      </c>
      <c r="Q564" t="str">
        <f>IFERROR(VLOOKUP(E564,Source!A563:B571,2,FALSE),"")</f>
        <v/>
      </c>
    </row>
    <row r="565" spans="1:17" x14ac:dyDescent="0.3">
      <c r="A565" s="3">
        <v>2033801</v>
      </c>
      <c r="B565">
        <v>11845</v>
      </c>
      <c r="C565">
        <v>1</v>
      </c>
      <c r="D565" s="9">
        <v>102</v>
      </c>
      <c r="E565">
        <v>1002</v>
      </c>
      <c r="F565" s="1">
        <v>44010</v>
      </c>
      <c r="G565" t="s">
        <v>39</v>
      </c>
      <c r="H565" s="4" t="s">
        <v>16</v>
      </c>
      <c r="I565" s="4">
        <v>-552.67999999999995</v>
      </c>
      <c r="J565" s="4">
        <v>-552.67999999999995</v>
      </c>
      <c r="K565" t="str">
        <f>VLOOKUP($C565,Table1[#All],2,FALSE)</f>
        <v>FOOD SERVICE</v>
      </c>
      <c r="L565" t="str">
        <f>VLOOKUP($C565,Table1[#All],3,FALSE)</f>
        <v xml:space="preserve">Transactions related to food and beverage service. Includes all guest transactions in the hotel restaurants, catering-related transactions and food service payroll. </v>
      </c>
      <c r="M565" t="str">
        <f>IFERROR(VLOOKUP($B565,ChartOfAccounts!A564:B649,2,FALSE),"")</f>
        <v/>
      </c>
      <c r="N565" t="str">
        <f>IFERROR(VLOOKUP($B565,ChartOfAccounts!C564:D649,2,FALSE),"")</f>
        <v/>
      </c>
      <c r="O565" t="str">
        <f>IFERROR(VLOOKUP($B565,ChartOfAccounts!E564:F649,2,FALSE),"")</f>
        <v/>
      </c>
      <c r="P565" t="str">
        <f>IFERROR(VLOOKUP(D565,PreparerInfo!A564:B576,2,FALSE),"")</f>
        <v/>
      </c>
      <c r="Q565" t="str">
        <f>IFERROR(VLOOKUP(E565,Source!A564:B572,2,FALSE),"")</f>
        <v/>
      </c>
    </row>
    <row r="566" spans="1:17" x14ac:dyDescent="0.3">
      <c r="A566" s="3">
        <v>2033802</v>
      </c>
      <c r="B566">
        <v>14260</v>
      </c>
      <c r="C566">
        <v>1</v>
      </c>
      <c r="D566" s="9">
        <v>102</v>
      </c>
      <c r="E566">
        <v>1002</v>
      </c>
      <c r="F566" s="1">
        <v>44010</v>
      </c>
      <c r="G566" t="s">
        <v>39</v>
      </c>
      <c r="H566" s="4">
        <v>670.46</v>
      </c>
      <c r="I566" s="4" t="s">
        <v>16</v>
      </c>
      <c r="J566" s="4">
        <v>670.46</v>
      </c>
      <c r="K566" t="str">
        <f>VLOOKUP($C566,Table1[#All],2,FALSE)</f>
        <v>FOOD SERVICE</v>
      </c>
      <c r="L566" t="str">
        <f>VLOOKUP($C566,Table1[#All],3,FALSE)</f>
        <v xml:space="preserve">Transactions related to food and beverage service. Includes all guest transactions in the hotel restaurants, catering-related transactions and food service payroll. </v>
      </c>
      <c r="M566" t="str">
        <f>IFERROR(VLOOKUP($B566,ChartOfAccounts!A565:B650,2,FALSE),"")</f>
        <v/>
      </c>
      <c r="N566" t="str">
        <f>IFERROR(VLOOKUP($B566,ChartOfAccounts!C565:D650,2,FALSE),"")</f>
        <v/>
      </c>
      <c r="O566" t="str">
        <f>IFERROR(VLOOKUP($B566,ChartOfAccounts!E565:F650,2,FALSE),"")</f>
        <v/>
      </c>
      <c r="P566" t="str">
        <f>IFERROR(VLOOKUP(D566,PreparerInfo!A565:B577,2,FALSE),"")</f>
        <v/>
      </c>
      <c r="Q566" t="str">
        <f>IFERROR(VLOOKUP(E566,Source!A565:B573,2,FALSE),"")</f>
        <v/>
      </c>
    </row>
    <row r="567" spans="1:17" x14ac:dyDescent="0.3">
      <c r="A567" s="3">
        <v>2033802</v>
      </c>
      <c r="B567">
        <v>11845</v>
      </c>
      <c r="C567">
        <v>1</v>
      </c>
      <c r="D567" s="9">
        <v>102</v>
      </c>
      <c r="E567">
        <v>1002</v>
      </c>
      <c r="F567" s="1">
        <v>44010</v>
      </c>
      <c r="G567" t="s">
        <v>39</v>
      </c>
      <c r="H567" s="4" t="s">
        <v>16</v>
      </c>
      <c r="I567" s="4">
        <v>-670.46</v>
      </c>
      <c r="J567" s="4">
        <v>-670.46</v>
      </c>
      <c r="K567" t="str">
        <f>VLOOKUP($C567,Table1[#All],2,FALSE)</f>
        <v>FOOD SERVICE</v>
      </c>
      <c r="L567" t="str">
        <f>VLOOKUP($C567,Table1[#All],3,FALSE)</f>
        <v xml:space="preserve">Transactions related to food and beverage service. Includes all guest transactions in the hotel restaurants, catering-related transactions and food service payroll. </v>
      </c>
      <c r="M567" t="str">
        <f>IFERROR(VLOOKUP($B567,ChartOfAccounts!A566:B651,2,FALSE),"")</f>
        <v/>
      </c>
      <c r="N567" t="str">
        <f>IFERROR(VLOOKUP($B567,ChartOfAccounts!C566:D651,2,FALSE),"")</f>
        <v/>
      </c>
      <c r="O567" t="str">
        <f>IFERROR(VLOOKUP($B567,ChartOfAccounts!E566:F651,2,FALSE),"")</f>
        <v/>
      </c>
      <c r="P567" t="str">
        <f>IFERROR(VLOOKUP(D567,PreparerInfo!A566:B578,2,FALSE),"")</f>
        <v/>
      </c>
      <c r="Q567" t="str">
        <f>IFERROR(VLOOKUP(E567,Source!A566:B574,2,FALSE),"")</f>
        <v/>
      </c>
    </row>
    <row r="568" spans="1:17" x14ac:dyDescent="0.3">
      <c r="A568" s="3">
        <v>2033803</v>
      </c>
      <c r="B568">
        <v>51610</v>
      </c>
      <c r="C568">
        <v>2</v>
      </c>
      <c r="D568" s="9">
        <v>105</v>
      </c>
      <c r="E568">
        <v>1006</v>
      </c>
      <c r="F568" s="1">
        <v>44010</v>
      </c>
      <c r="G568" t="s">
        <v>118</v>
      </c>
      <c r="H568" s="4">
        <v>685.1</v>
      </c>
      <c r="I568" s="4" t="s">
        <v>16</v>
      </c>
      <c r="J568" s="4">
        <v>685.1</v>
      </c>
      <c r="K568" t="str">
        <f>VLOOKUP($C568,Table1[#All],2,FALSE)</f>
        <v>HOTEL</v>
      </c>
      <c r="L568" t="str">
        <f>VLOOKUP($C568,Table1[#All],3,FALSE)</f>
        <v xml:space="preserve">Transactions related to guest rooms and overall hotel operations. Includes payroll for administrative staff, clerks and interns. </v>
      </c>
      <c r="M568" t="str">
        <f>IFERROR(VLOOKUP($B568,ChartOfAccounts!A567:B652,2,FALSE),"")</f>
        <v/>
      </c>
      <c r="N568" t="str">
        <f>IFERROR(VLOOKUP($B568,ChartOfAccounts!C567:D652,2,FALSE),"")</f>
        <v/>
      </c>
      <c r="O568" t="str">
        <f>IFERROR(VLOOKUP($B568,ChartOfAccounts!E567:F652,2,FALSE),"")</f>
        <v/>
      </c>
      <c r="P568" t="str">
        <f>IFERROR(VLOOKUP(D568,PreparerInfo!A567:B579,2,FALSE),"")</f>
        <v/>
      </c>
      <c r="Q568" t="str">
        <f>IFERROR(VLOOKUP(E568,Source!A567:B575,2,FALSE),"")</f>
        <v/>
      </c>
    </row>
    <row r="569" spans="1:17" x14ac:dyDescent="0.3">
      <c r="A569" s="3">
        <v>2033803</v>
      </c>
      <c r="B569">
        <v>22110</v>
      </c>
      <c r="C569">
        <v>2</v>
      </c>
      <c r="D569" s="9">
        <v>105</v>
      </c>
      <c r="E569">
        <v>1006</v>
      </c>
      <c r="F569" s="1">
        <v>44010</v>
      </c>
      <c r="G569" t="s">
        <v>118</v>
      </c>
      <c r="H569" s="4" t="s">
        <v>16</v>
      </c>
      <c r="I569" s="4">
        <v>-685.1</v>
      </c>
      <c r="J569" s="4">
        <v>-685.1</v>
      </c>
      <c r="K569" t="str">
        <f>VLOOKUP($C569,Table1[#All],2,FALSE)</f>
        <v>HOTEL</v>
      </c>
      <c r="L569" t="str">
        <f>VLOOKUP($C569,Table1[#All],3,FALSE)</f>
        <v xml:space="preserve">Transactions related to guest rooms and overall hotel operations. Includes payroll for administrative staff, clerks and interns. </v>
      </c>
      <c r="M569" t="str">
        <f>IFERROR(VLOOKUP($B569,ChartOfAccounts!A568:B653,2,FALSE),"")</f>
        <v/>
      </c>
      <c r="N569" t="str">
        <f>IFERROR(VLOOKUP($B569,ChartOfAccounts!C568:D653,2,FALSE),"")</f>
        <v/>
      </c>
      <c r="O569" t="str">
        <f>IFERROR(VLOOKUP($B569,ChartOfAccounts!E568:F653,2,FALSE),"")</f>
        <v/>
      </c>
      <c r="P569" t="str">
        <f>IFERROR(VLOOKUP(D569,PreparerInfo!A568:B580,2,FALSE),"")</f>
        <v/>
      </c>
      <c r="Q569" t="str">
        <f>IFERROR(VLOOKUP(E569,Source!A568:B576,2,FALSE),"")</f>
        <v/>
      </c>
    </row>
    <row r="570" spans="1:17" x14ac:dyDescent="0.3">
      <c r="A570" s="3">
        <v>2033804</v>
      </c>
      <c r="B570">
        <v>51400</v>
      </c>
      <c r="C570">
        <v>2</v>
      </c>
      <c r="D570" s="9">
        <v>105</v>
      </c>
      <c r="E570">
        <v>1006</v>
      </c>
      <c r="F570" s="1">
        <v>44010</v>
      </c>
      <c r="G570" t="s">
        <v>93</v>
      </c>
      <c r="H570" s="4">
        <v>714.39</v>
      </c>
      <c r="I570" s="4" t="s">
        <v>16</v>
      </c>
      <c r="J570" s="4">
        <v>714.39</v>
      </c>
      <c r="K570" t="str">
        <f>VLOOKUP($C570,Table1[#All],2,FALSE)</f>
        <v>HOTEL</v>
      </c>
      <c r="L570" t="str">
        <f>VLOOKUP($C570,Table1[#All],3,FALSE)</f>
        <v xml:space="preserve">Transactions related to guest rooms and overall hotel operations. Includes payroll for administrative staff, clerks and interns. </v>
      </c>
      <c r="M570" t="str">
        <f>IFERROR(VLOOKUP($B570,ChartOfAccounts!A569:B654,2,FALSE),"")</f>
        <v/>
      </c>
      <c r="N570" t="str">
        <f>IFERROR(VLOOKUP($B570,ChartOfAccounts!C569:D654,2,FALSE),"")</f>
        <v/>
      </c>
      <c r="O570" t="str">
        <f>IFERROR(VLOOKUP($B570,ChartOfAccounts!E569:F654,2,FALSE),"")</f>
        <v/>
      </c>
      <c r="P570" t="str">
        <f>IFERROR(VLOOKUP(D570,PreparerInfo!A569:B581,2,FALSE),"")</f>
        <v/>
      </c>
      <c r="Q570" t="str">
        <f>IFERROR(VLOOKUP(E570,Source!A569:B577,2,FALSE),"")</f>
        <v/>
      </c>
    </row>
    <row r="571" spans="1:17" x14ac:dyDescent="0.3">
      <c r="A571" s="3">
        <v>2033804</v>
      </c>
      <c r="B571">
        <v>22110</v>
      </c>
      <c r="C571">
        <v>2</v>
      </c>
      <c r="D571" s="9">
        <v>105</v>
      </c>
      <c r="E571">
        <v>1006</v>
      </c>
      <c r="F571" s="1">
        <v>44010</v>
      </c>
      <c r="G571" t="s">
        <v>93</v>
      </c>
      <c r="H571" s="4" t="s">
        <v>16</v>
      </c>
      <c r="I571" s="4">
        <v>-714.39</v>
      </c>
      <c r="J571" s="4">
        <v>-714.39</v>
      </c>
      <c r="K571" t="str">
        <f>VLOOKUP($C571,Table1[#All],2,FALSE)</f>
        <v>HOTEL</v>
      </c>
      <c r="L571" t="str">
        <f>VLOOKUP($C571,Table1[#All],3,FALSE)</f>
        <v xml:space="preserve">Transactions related to guest rooms and overall hotel operations. Includes payroll for administrative staff, clerks and interns. </v>
      </c>
      <c r="M571" t="str">
        <f>IFERROR(VLOOKUP($B571,ChartOfAccounts!A570:B655,2,FALSE),"")</f>
        <v/>
      </c>
      <c r="N571" t="str">
        <f>IFERROR(VLOOKUP($B571,ChartOfAccounts!C570:D655,2,FALSE),"")</f>
        <v/>
      </c>
      <c r="O571" t="str">
        <f>IFERROR(VLOOKUP($B571,ChartOfAccounts!E570:F655,2,FALSE),"")</f>
        <v/>
      </c>
      <c r="P571" t="str">
        <f>IFERROR(VLOOKUP(D571,PreparerInfo!A570:B582,2,FALSE),"")</f>
        <v/>
      </c>
      <c r="Q571" t="str">
        <f>IFERROR(VLOOKUP(E571,Source!A570:B578,2,FALSE),"")</f>
        <v/>
      </c>
    </row>
    <row r="572" spans="1:17" x14ac:dyDescent="0.3">
      <c r="A572" s="3">
        <v>2033805</v>
      </c>
      <c r="B572">
        <v>51610</v>
      </c>
      <c r="C572">
        <v>2</v>
      </c>
      <c r="D572" s="9">
        <v>105</v>
      </c>
      <c r="E572">
        <v>1006</v>
      </c>
      <c r="F572" s="1">
        <v>44010</v>
      </c>
      <c r="G572" t="s">
        <v>99</v>
      </c>
      <c r="H572" s="4">
        <v>792</v>
      </c>
      <c r="I572" s="4" t="s">
        <v>16</v>
      </c>
      <c r="J572" s="4">
        <v>792</v>
      </c>
      <c r="K572" t="str">
        <f>VLOOKUP($C572,Table1[#All],2,FALSE)</f>
        <v>HOTEL</v>
      </c>
      <c r="L572" t="str">
        <f>VLOOKUP($C572,Table1[#All],3,FALSE)</f>
        <v xml:space="preserve">Transactions related to guest rooms and overall hotel operations. Includes payroll for administrative staff, clerks and interns. </v>
      </c>
      <c r="M572" t="str">
        <f>IFERROR(VLOOKUP($B572,ChartOfAccounts!A571:B656,2,FALSE),"")</f>
        <v/>
      </c>
      <c r="N572" t="str">
        <f>IFERROR(VLOOKUP($B572,ChartOfAccounts!C571:D656,2,FALSE),"")</f>
        <v/>
      </c>
      <c r="O572" t="str">
        <f>IFERROR(VLOOKUP($B572,ChartOfAccounts!E571:F656,2,FALSE),"")</f>
        <v/>
      </c>
      <c r="P572" t="str">
        <f>IFERROR(VLOOKUP(D572,PreparerInfo!A571:B583,2,FALSE),"")</f>
        <v/>
      </c>
      <c r="Q572" t="str">
        <f>IFERROR(VLOOKUP(E572,Source!A571:B579,2,FALSE),"")</f>
        <v/>
      </c>
    </row>
    <row r="573" spans="1:17" x14ac:dyDescent="0.3">
      <c r="A573" s="3">
        <v>2033805</v>
      </c>
      <c r="B573">
        <v>22110</v>
      </c>
      <c r="C573">
        <v>2</v>
      </c>
      <c r="D573" s="9">
        <v>105</v>
      </c>
      <c r="E573">
        <v>1006</v>
      </c>
      <c r="F573" s="1">
        <v>44010</v>
      </c>
      <c r="G573" t="s">
        <v>99</v>
      </c>
      <c r="H573" s="4" t="s">
        <v>16</v>
      </c>
      <c r="I573" s="4">
        <v>-792</v>
      </c>
      <c r="J573" s="4">
        <v>-792</v>
      </c>
      <c r="K573" t="str">
        <f>VLOOKUP($C573,Table1[#All],2,FALSE)</f>
        <v>HOTEL</v>
      </c>
      <c r="L573" t="str">
        <f>VLOOKUP($C573,Table1[#All],3,FALSE)</f>
        <v xml:space="preserve">Transactions related to guest rooms and overall hotel operations. Includes payroll for administrative staff, clerks and interns. </v>
      </c>
      <c r="M573" t="str">
        <f>IFERROR(VLOOKUP($B573,ChartOfAccounts!A572:B657,2,FALSE),"")</f>
        <v/>
      </c>
      <c r="N573" t="str">
        <f>IFERROR(VLOOKUP($B573,ChartOfAccounts!C572:D657,2,FALSE),"")</f>
        <v/>
      </c>
      <c r="O573" t="str">
        <f>IFERROR(VLOOKUP($B573,ChartOfAccounts!E572:F657,2,FALSE),"")</f>
        <v/>
      </c>
      <c r="P573" t="str">
        <f>IFERROR(VLOOKUP(D573,PreparerInfo!A572:B584,2,FALSE),"")</f>
        <v/>
      </c>
      <c r="Q573" t="str">
        <f>IFERROR(VLOOKUP(E573,Source!A572:B580,2,FALSE),"")</f>
        <v/>
      </c>
    </row>
    <row r="574" spans="1:17" x14ac:dyDescent="0.3">
      <c r="A574" s="3">
        <v>2033806</v>
      </c>
      <c r="B574">
        <v>11845</v>
      </c>
      <c r="C574">
        <v>1</v>
      </c>
      <c r="D574" s="9">
        <v>102</v>
      </c>
      <c r="E574">
        <v>1001</v>
      </c>
      <c r="F574" s="1">
        <v>44010</v>
      </c>
      <c r="G574" t="s">
        <v>41</v>
      </c>
      <c r="H574" s="4">
        <v>806.19</v>
      </c>
      <c r="I574" s="4" t="s">
        <v>16</v>
      </c>
      <c r="J574" s="4">
        <v>806.19</v>
      </c>
      <c r="K574" t="str">
        <f>VLOOKUP($C574,Table1[#All],2,FALSE)</f>
        <v>FOOD SERVICE</v>
      </c>
      <c r="L574" t="str">
        <f>VLOOKUP($C574,Table1[#All],3,FALSE)</f>
        <v xml:space="preserve">Transactions related to food and beverage service. Includes all guest transactions in the hotel restaurants, catering-related transactions and food service payroll. </v>
      </c>
      <c r="M574" t="str">
        <f>IFERROR(VLOOKUP($B574,ChartOfAccounts!A573:B658,2,FALSE),"")</f>
        <v/>
      </c>
      <c r="N574" t="str">
        <f>IFERROR(VLOOKUP($B574,ChartOfAccounts!C573:D658,2,FALSE),"")</f>
        <v/>
      </c>
      <c r="O574" t="str">
        <f>IFERROR(VLOOKUP($B574,ChartOfAccounts!E573:F658,2,FALSE),"")</f>
        <v/>
      </c>
      <c r="P574" t="str">
        <f>IFERROR(VLOOKUP(D574,PreparerInfo!A573:B585,2,FALSE),"")</f>
        <v/>
      </c>
      <c r="Q574" t="str">
        <f>IFERROR(VLOOKUP(E574,Source!A573:B581,2,FALSE),"")</f>
        <v/>
      </c>
    </row>
    <row r="575" spans="1:17" x14ac:dyDescent="0.3">
      <c r="A575" s="3">
        <v>2033806</v>
      </c>
      <c r="B575">
        <v>43310</v>
      </c>
      <c r="C575">
        <v>1</v>
      </c>
      <c r="D575" s="9">
        <v>102</v>
      </c>
      <c r="E575">
        <v>1001</v>
      </c>
      <c r="F575" s="1">
        <v>44010</v>
      </c>
      <c r="G575" t="s">
        <v>41</v>
      </c>
      <c r="H575" s="4" t="s">
        <v>16</v>
      </c>
      <c r="I575" s="4">
        <v>-806.19</v>
      </c>
      <c r="J575" s="4">
        <v>-806.19</v>
      </c>
      <c r="K575" t="str">
        <f>VLOOKUP($C575,Table1[#All],2,FALSE)</f>
        <v>FOOD SERVICE</v>
      </c>
      <c r="L575" t="str">
        <f>VLOOKUP($C575,Table1[#All],3,FALSE)</f>
        <v xml:space="preserve">Transactions related to food and beverage service. Includes all guest transactions in the hotel restaurants, catering-related transactions and food service payroll. </v>
      </c>
      <c r="M575" t="str">
        <f>IFERROR(VLOOKUP($B575,ChartOfAccounts!A574:B659,2,FALSE),"")</f>
        <v/>
      </c>
      <c r="N575" t="str">
        <f>IFERROR(VLOOKUP($B575,ChartOfAccounts!C574:D659,2,FALSE),"")</f>
        <v/>
      </c>
      <c r="O575" t="str">
        <f>IFERROR(VLOOKUP($B575,ChartOfAccounts!E574:F659,2,FALSE),"")</f>
        <v/>
      </c>
      <c r="P575" t="str">
        <f>IFERROR(VLOOKUP(D575,PreparerInfo!A574:B586,2,FALSE),"")</f>
        <v/>
      </c>
      <c r="Q575" t="str">
        <f>IFERROR(VLOOKUP(E575,Source!A574:B582,2,FALSE),"")</f>
        <v/>
      </c>
    </row>
    <row r="576" spans="1:17" x14ac:dyDescent="0.3">
      <c r="A576" s="3">
        <v>2033807</v>
      </c>
      <c r="B576">
        <v>72760</v>
      </c>
      <c r="C576">
        <v>1</v>
      </c>
      <c r="D576" s="9">
        <v>101</v>
      </c>
      <c r="E576">
        <v>1002</v>
      </c>
      <c r="F576" s="1">
        <v>44010</v>
      </c>
      <c r="G576" t="s">
        <v>164</v>
      </c>
      <c r="H576" s="4">
        <v>843.75</v>
      </c>
      <c r="I576" s="4" t="s">
        <v>16</v>
      </c>
      <c r="J576" s="4">
        <v>843.75</v>
      </c>
      <c r="K576" t="str">
        <f>VLOOKUP($C576,Table1[#All],2,FALSE)</f>
        <v>FOOD SERVICE</v>
      </c>
      <c r="L576" t="str">
        <f>VLOOKUP($C576,Table1[#All],3,FALSE)</f>
        <v xml:space="preserve">Transactions related to food and beverage service. Includes all guest transactions in the hotel restaurants, catering-related transactions and food service payroll. </v>
      </c>
      <c r="M576" t="str">
        <f>IFERROR(VLOOKUP($B576,ChartOfAccounts!A575:B660,2,FALSE),"")</f>
        <v/>
      </c>
      <c r="N576" t="str">
        <f>IFERROR(VLOOKUP($B576,ChartOfAccounts!C575:D660,2,FALSE),"")</f>
        <v/>
      </c>
      <c r="O576" t="str">
        <f>IFERROR(VLOOKUP($B576,ChartOfAccounts!E575:F660,2,FALSE),"")</f>
        <v/>
      </c>
      <c r="P576" t="str">
        <f>IFERROR(VLOOKUP(D576,PreparerInfo!A575:B587,2,FALSE),"")</f>
        <v/>
      </c>
      <c r="Q576" t="str">
        <f>IFERROR(VLOOKUP(E576,Source!A575:B583,2,FALSE),"")</f>
        <v/>
      </c>
    </row>
    <row r="577" spans="1:17" x14ac:dyDescent="0.3">
      <c r="A577" s="3">
        <v>2033807</v>
      </c>
      <c r="B577">
        <v>11845</v>
      </c>
      <c r="C577">
        <v>1</v>
      </c>
      <c r="D577" s="9">
        <v>101</v>
      </c>
      <c r="E577">
        <v>1002</v>
      </c>
      <c r="F577" s="1">
        <v>44010</v>
      </c>
      <c r="G577" t="s">
        <v>164</v>
      </c>
      <c r="H577" s="4" t="s">
        <v>16</v>
      </c>
      <c r="I577" s="4">
        <v>-843.75</v>
      </c>
      <c r="J577" s="4">
        <v>-843.75</v>
      </c>
      <c r="K577" t="str">
        <f>VLOOKUP($C577,Table1[#All],2,FALSE)</f>
        <v>FOOD SERVICE</v>
      </c>
      <c r="L577" t="str">
        <f>VLOOKUP($C577,Table1[#All],3,FALSE)</f>
        <v xml:space="preserve">Transactions related to food and beverage service. Includes all guest transactions in the hotel restaurants, catering-related transactions and food service payroll. </v>
      </c>
      <c r="M577" t="str">
        <f>IFERROR(VLOOKUP($B577,ChartOfAccounts!A576:B661,2,FALSE),"")</f>
        <v/>
      </c>
      <c r="N577" t="str">
        <f>IFERROR(VLOOKUP($B577,ChartOfAccounts!C576:D661,2,FALSE),"")</f>
        <v/>
      </c>
      <c r="O577" t="str">
        <f>IFERROR(VLOOKUP($B577,ChartOfAccounts!E576:F661,2,FALSE),"")</f>
        <v/>
      </c>
      <c r="P577" t="str">
        <f>IFERROR(VLOOKUP(D577,PreparerInfo!A576:B588,2,FALSE),"")</f>
        <v/>
      </c>
      <c r="Q577" t="str">
        <f>IFERROR(VLOOKUP(E577,Source!A576:B584,2,FALSE),"")</f>
        <v/>
      </c>
    </row>
    <row r="578" spans="1:17" x14ac:dyDescent="0.3">
      <c r="A578" s="3">
        <v>2033808</v>
      </c>
      <c r="B578">
        <v>51402</v>
      </c>
      <c r="C578">
        <v>1</v>
      </c>
      <c r="D578" s="9">
        <v>105</v>
      </c>
      <c r="E578">
        <v>1006</v>
      </c>
      <c r="F578" s="1">
        <v>44010</v>
      </c>
      <c r="G578" t="s">
        <v>93</v>
      </c>
      <c r="H578" s="4">
        <v>849.76</v>
      </c>
      <c r="I578" s="4" t="s">
        <v>16</v>
      </c>
      <c r="J578" s="4">
        <v>849.76</v>
      </c>
      <c r="K578" t="str">
        <f>VLOOKUP($C578,Table1[#All],2,FALSE)</f>
        <v>FOOD SERVICE</v>
      </c>
      <c r="L578" t="str">
        <f>VLOOKUP($C578,Table1[#All],3,FALSE)</f>
        <v xml:space="preserve">Transactions related to food and beverage service. Includes all guest transactions in the hotel restaurants, catering-related transactions and food service payroll. </v>
      </c>
      <c r="M578" t="str">
        <f>IFERROR(VLOOKUP($B578,ChartOfAccounts!A577:B662,2,FALSE),"")</f>
        <v/>
      </c>
      <c r="N578" t="str">
        <f>IFERROR(VLOOKUP($B578,ChartOfAccounts!C577:D662,2,FALSE),"")</f>
        <v/>
      </c>
      <c r="O578" t="str">
        <f>IFERROR(VLOOKUP($B578,ChartOfAccounts!E577:F662,2,FALSE),"")</f>
        <v/>
      </c>
      <c r="P578" t="str">
        <f>IFERROR(VLOOKUP(D578,PreparerInfo!A577:B589,2,FALSE),"")</f>
        <v/>
      </c>
      <c r="Q578" t="str">
        <f>IFERROR(VLOOKUP(E578,Source!A577:B585,2,FALSE),"")</f>
        <v/>
      </c>
    </row>
    <row r="579" spans="1:17" x14ac:dyDescent="0.3">
      <c r="A579" s="3">
        <v>2033808</v>
      </c>
      <c r="B579">
        <v>22110</v>
      </c>
      <c r="C579">
        <v>1</v>
      </c>
      <c r="D579" s="9">
        <v>105</v>
      </c>
      <c r="E579">
        <v>1006</v>
      </c>
      <c r="F579" s="1">
        <v>44010</v>
      </c>
      <c r="G579" t="s">
        <v>93</v>
      </c>
      <c r="H579" s="4" t="s">
        <v>16</v>
      </c>
      <c r="I579" s="4">
        <v>-849.76</v>
      </c>
      <c r="J579" s="4">
        <v>-849.76</v>
      </c>
      <c r="K579" t="str">
        <f>VLOOKUP($C579,Table1[#All],2,FALSE)</f>
        <v>FOOD SERVICE</v>
      </c>
      <c r="L579" t="str">
        <f>VLOOKUP($C579,Table1[#All],3,FALSE)</f>
        <v xml:space="preserve">Transactions related to food and beverage service. Includes all guest transactions in the hotel restaurants, catering-related transactions and food service payroll. </v>
      </c>
      <c r="M579" t="str">
        <f>IFERROR(VLOOKUP($B579,ChartOfAccounts!A578:B663,2,FALSE),"")</f>
        <v/>
      </c>
      <c r="N579" t="str">
        <f>IFERROR(VLOOKUP($B579,ChartOfAccounts!C578:D663,2,FALSE),"")</f>
        <v/>
      </c>
      <c r="O579" t="str">
        <f>IFERROR(VLOOKUP($B579,ChartOfAccounts!E578:F663,2,FALSE),"")</f>
        <v/>
      </c>
      <c r="P579" t="str">
        <f>IFERROR(VLOOKUP(D579,PreparerInfo!A578:B590,2,FALSE),"")</f>
        <v/>
      </c>
      <c r="Q579" t="str">
        <f>IFERROR(VLOOKUP(E579,Source!A578:B586,2,FALSE),"")</f>
        <v/>
      </c>
    </row>
    <row r="580" spans="1:17" x14ac:dyDescent="0.3">
      <c r="A580" s="3">
        <v>2033809</v>
      </c>
      <c r="B580">
        <v>43180</v>
      </c>
      <c r="C580">
        <v>2</v>
      </c>
      <c r="D580" s="9">
        <v>104</v>
      </c>
      <c r="E580">
        <v>1003</v>
      </c>
      <c r="F580" s="1">
        <v>44010</v>
      </c>
      <c r="G580" t="s">
        <v>240</v>
      </c>
      <c r="H580" s="4">
        <v>945</v>
      </c>
      <c r="I580" s="4" t="s">
        <v>16</v>
      </c>
      <c r="J580" s="4">
        <v>945</v>
      </c>
      <c r="K580" t="str">
        <f>VLOOKUP($C580,Table1[#All],2,FALSE)</f>
        <v>HOTEL</v>
      </c>
      <c r="L580" t="str">
        <f>VLOOKUP($C580,Table1[#All],3,FALSE)</f>
        <v xml:space="preserve">Transactions related to guest rooms and overall hotel operations. Includes payroll for administrative staff, clerks and interns. </v>
      </c>
      <c r="M580" t="str">
        <f>IFERROR(VLOOKUP($B580,ChartOfAccounts!A579:B664,2,FALSE),"")</f>
        <v/>
      </c>
      <c r="N580" t="str">
        <f>IFERROR(VLOOKUP($B580,ChartOfAccounts!C579:D664,2,FALSE),"")</f>
        <v/>
      </c>
      <c r="O580" t="str">
        <f>IFERROR(VLOOKUP($B580,ChartOfAccounts!E579:F664,2,FALSE),"")</f>
        <v/>
      </c>
      <c r="P580" t="str">
        <f>IFERROR(VLOOKUP(D580,PreparerInfo!A579:B591,2,FALSE),"")</f>
        <v/>
      </c>
      <c r="Q580" t="str">
        <f>IFERROR(VLOOKUP(E580,Source!A579:B587,2,FALSE),"")</f>
        <v/>
      </c>
    </row>
    <row r="581" spans="1:17" x14ac:dyDescent="0.3">
      <c r="A581" s="3">
        <v>2033809</v>
      </c>
      <c r="B581">
        <v>11845</v>
      </c>
      <c r="C581">
        <v>2</v>
      </c>
      <c r="D581" s="9">
        <v>104</v>
      </c>
      <c r="E581">
        <v>1003</v>
      </c>
      <c r="F581" s="1">
        <v>44010</v>
      </c>
      <c r="G581" t="s">
        <v>240</v>
      </c>
      <c r="H581" s="4" t="s">
        <v>16</v>
      </c>
      <c r="I581" s="4">
        <v>-945</v>
      </c>
      <c r="J581" s="4">
        <v>-945</v>
      </c>
      <c r="K581" t="str">
        <f>VLOOKUP($C581,Table1[#All],2,FALSE)</f>
        <v>HOTEL</v>
      </c>
      <c r="L581" t="str">
        <f>VLOOKUP($C581,Table1[#All],3,FALSE)</f>
        <v xml:space="preserve">Transactions related to guest rooms and overall hotel operations. Includes payroll for administrative staff, clerks and interns. </v>
      </c>
      <c r="M581" t="str">
        <f>IFERROR(VLOOKUP($B581,ChartOfAccounts!A580:B665,2,FALSE),"")</f>
        <v/>
      </c>
      <c r="N581" t="str">
        <f>IFERROR(VLOOKUP($B581,ChartOfAccounts!C580:D665,2,FALSE),"")</f>
        <v/>
      </c>
      <c r="O581" t="str">
        <f>IFERROR(VLOOKUP($B581,ChartOfAccounts!E580:F665,2,FALSE),"")</f>
        <v/>
      </c>
      <c r="P581" t="str">
        <f>IFERROR(VLOOKUP(D581,PreparerInfo!A580:B592,2,FALSE),"")</f>
        <v/>
      </c>
      <c r="Q581" t="str">
        <f>IFERROR(VLOOKUP(E581,Source!A580:B588,2,FALSE),"")</f>
        <v/>
      </c>
    </row>
    <row r="582" spans="1:17" x14ac:dyDescent="0.3">
      <c r="A582" s="3">
        <v>2033810</v>
      </c>
      <c r="B582">
        <v>51510</v>
      </c>
      <c r="C582">
        <v>4</v>
      </c>
      <c r="D582" s="9">
        <v>105</v>
      </c>
      <c r="E582">
        <v>1006</v>
      </c>
      <c r="F582" s="1">
        <v>44010</v>
      </c>
      <c r="G582" t="s">
        <v>96</v>
      </c>
      <c r="H582" s="4">
        <v>1024.42</v>
      </c>
      <c r="I582" s="4" t="s">
        <v>16</v>
      </c>
      <c r="J582" s="4">
        <v>1024.42</v>
      </c>
      <c r="K582" t="str">
        <f>VLOOKUP($C582,Table1[#All],2,FALSE)</f>
        <v>HOUSEKEEPING</v>
      </c>
      <c r="L582" t="str">
        <f>VLOOKUP($C582,Table1[#All],3,FALSE)</f>
        <v xml:space="preserve">Transactions related to the Housekeeping Department. Primarily includes payroll for housekeepers and housekeeping supplies. </v>
      </c>
      <c r="M582" t="str">
        <f>IFERROR(VLOOKUP($B582,ChartOfAccounts!A581:B666,2,FALSE),"")</f>
        <v/>
      </c>
      <c r="N582" t="str">
        <f>IFERROR(VLOOKUP($B582,ChartOfAccounts!C581:D666,2,FALSE),"")</f>
        <v/>
      </c>
      <c r="O582" t="str">
        <f>IFERROR(VLOOKUP($B582,ChartOfAccounts!E581:F666,2,FALSE),"")</f>
        <v/>
      </c>
      <c r="P582" t="str">
        <f>IFERROR(VLOOKUP(D582,PreparerInfo!A581:B593,2,FALSE),"")</f>
        <v/>
      </c>
      <c r="Q582" t="str">
        <f>IFERROR(VLOOKUP(E582,Source!A581:B589,2,FALSE),"")</f>
        <v/>
      </c>
    </row>
    <row r="583" spans="1:17" x14ac:dyDescent="0.3">
      <c r="A583" s="3">
        <v>2033810</v>
      </c>
      <c r="B583">
        <v>22110</v>
      </c>
      <c r="C583">
        <v>4</v>
      </c>
      <c r="D583" s="9">
        <v>105</v>
      </c>
      <c r="E583">
        <v>1006</v>
      </c>
      <c r="F583" s="1">
        <v>44010</v>
      </c>
      <c r="G583" t="s">
        <v>96</v>
      </c>
      <c r="H583" s="4" t="s">
        <v>16</v>
      </c>
      <c r="I583" s="4">
        <v>-1024.42</v>
      </c>
      <c r="J583" s="4">
        <v>-1024.42</v>
      </c>
      <c r="K583" t="str">
        <f>VLOOKUP($C583,Table1[#All],2,FALSE)</f>
        <v>HOUSEKEEPING</v>
      </c>
      <c r="L583" t="str">
        <f>VLOOKUP($C583,Table1[#All],3,FALSE)</f>
        <v xml:space="preserve">Transactions related to the Housekeeping Department. Primarily includes payroll for housekeepers and housekeeping supplies. </v>
      </c>
      <c r="M583" t="str">
        <f>IFERROR(VLOOKUP($B583,ChartOfAccounts!A582:B667,2,FALSE),"")</f>
        <v/>
      </c>
      <c r="N583" t="str">
        <f>IFERROR(VLOOKUP($B583,ChartOfAccounts!C582:D667,2,FALSE),"")</f>
        <v/>
      </c>
      <c r="O583" t="str">
        <f>IFERROR(VLOOKUP($B583,ChartOfAccounts!E582:F667,2,FALSE),"")</f>
        <v/>
      </c>
      <c r="P583" t="str">
        <f>IFERROR(VLOOKUP(D583,PreparerInfo!A582:B594,2,FALSE),"")</f>
        <v/>
      </c>
      <c r="Q583" t="str">
        <f>IFERROR(VLOOKUP(E583,Source!A582:B590,2,FALSE),"")</f>
        <v/>
      </c>
    </row>
    <row r="584" spans="1:17" x14ac:dyDescent="0.3">
      <c r="A584" s="3">
        <v>2033811</v>
      </c>
      <c r="B584">
        <v>14260</v>
      </c>
      <c r="C584">
        <v>1</v>
      </c>
      <c r="D584" s="9">
        <v>101</v>
      </c>
      <c r="E584">
        <v>1002</v>
      </c>
      <c r="F584" s="1">
        <v>44010</v>
      </c>
      <c r="G584" t="s">
        <v>85</v>
      </c>
      <c r="H584" s="4">
        <v>1093.45</v>
      </c>
      <c r="I584" s="4" t="s">
        <v>16</v>
      </c>
      <c r="J584" s="4">
        <v>1093.45</v>
      </c>
      <c r="K584" t="str">
        <f>VLOOKUP($C584,Table1[#All],2,FALSE)</f>
        <v>FOOD SERVICE</v>
      </c>
      <c r="L584" t="str">
        <f>VLOOKUP($C584,Table1[#All],3,FALSE)</f>
        <v xml:space="preserve">Transactions related to food and beverage service. Includes all guest transactions in the hotel restaurants, catering-related transactions and food service payroll. </v>
      </c>
      <c r="M584" t="str">
        <f>IFERROR(VLOOKUP($B584,ChartOfAccounts!A583:B668,2,FALSE),"")</f>
        <v/>
      </c>
      <c r="N584" t="str">
        <f>IFERROR(VLOOKUP($B584,ChartOfAccounts!C583:D668,2,FALSE),"")</f>
        <v/>
      </c>
      <c r="O584" t="str">
        <f>IFERROR(VLOOKUP($B584,ChartOfAccounts!E583:F668,2,FALSE),"")</f>
        <v/>
      </c>
      <c r="P584" t="str">
        <f>IFERROR(VLOOKUP(D584,PreparerInfo!A583:B595,2,FALSE),"")</f>
        <v/>
      </c>
      <c r="Q584" t="str">
        <f>IFERROR(VLOOKUP(E584,Source!A583:B591,2,FALSE),"")</f>
        <v/>
      </c>
    </row>
    <row r="585" spans="1:17" x14ac:dyDescent="0.3">
      <c r="A585" s="3">
        <v>2033811</v>
      </c>
      <c r="B585">
        <v>11845</v>
      </c>
      <c r="C585">
        <v>1</v>
      </c>
      <c r="D585" s="9">
        <v>101</v>
      </c>
      <c r="E585">
        <v>1002</v>
      </c>
      <c r="F585" s="1">
        <v>44010</v>
      </c>
      <c r="G585" t="s">
        <v>85</v>
      </c>
      <c r="H585" s="4" t="s">
        <v>16</v>
      </c>
      <c r="I585" s="4">
        <v>-1093.45</v>
      </c>
      <c r="J585" s="4">
        <v>-1093.45</v>
      </c>
      <c r="K585" t="str">
        <f>VLOOKUP($C585,Table1[#All],2,FALSE)</f>
        <v>FOOD SERVICE</v>
      </c>
      <c r="L585" t="str">
        <f>VLOOKUP($C585,Table1[#All],3,FALSE)</f>
        <v xml:space="preserve">Transactions related to food and beverage service. Includes all guest transactions in the hotel restaurants, catering-related transactions and food service payroll. </v>
      </c>
      <c r="M585" t="str">
        <f>IFERROR(VLOOKUP($B585,ChartOfAccounts!A584:B669,2,FALSE),"")</f>
        <v/>
      </c>
      <c r="N585" t="str">
        <f>IFERROR(VLOOKUP($B585,ChartOfAccounts!C584:D669,2,FALSE),"")</f>
        <v/>
      </c>
      <c r="O585" t="str">
        <f>IFERROR(VLOOKUP($B585,ChartOfAccounts!E584:F669,2,FALSE),"")</f>
        <v/>
      </c>
      <c r="P585" t="str">
        <f>IFERROR(VLOOKUP(D585,PreparerInfo!A584:B596,2,FALSE),"")</f>
        <v/>
      </c>
      <c r="Q585" t="str">
        <f>IFERROR(VLOOKUP(E585,Source!A584:B592,2,FALSE),"")</f>
        <v/>
      </c>
    </row>
    <row r="586" spans="1:17" x14ac:dyDescent="0.3">
      <c r="A586" s="3">
        <v>2033812</v>
      </c>
      <c r="B586">
        <v>14260</v>
      </c>
      <c r="C586">
        <v>1</v>
      </c>
      <c r="D586" s="9">
        <v>102</v>
      </c>
      <c r="E586">
        <v>1002</v>
      </c>
      <c r="F586" s="1">
        <v>44010</v>
      </c>
      <c r="G586" t="s">
        <v>126</v>
      </c>
      <c r="H586" s="4">
        <v>1426.85</v>
      </c>
      <c r="I586" s="4" t="s">
        <v>16</v>
      </c>
      <c r="J586" s="4">
        <v>1426.85</v>
      </c>
      <c r="K586" t="str">
        <f>VLOOKUP($C586,Table1[#All],2,FALSE)</f>
        <v>FOOD SERVICE</v>
      </c>
      <c r="L586" t="str">
        <f>VLOOKUP($C586,Table1[#All],3,FALSE)</f>
        <v xml:space="preserve">Transactions related to food and beverage service. Includes all guest transactions in the hotel restaurants, catering-related transactions and food service payroll. </v>
      </c>
      <c r="M586" t="str">
        <f>IFERROR(VLOOKUP($B586,ChartOfAccounts!A585:B670,2,FALSE),"")</f>
        <v/>
      </c>
      <c r="N586" t="str">
        <f>IFERROR(VLOOKUP($B586,ChartOfAccounts!C585:D670,2,FALSE),"")</f>
        <v/>
      </c>
      <c r="O586" t="str">
        <f>IFERROR(VLOOKUP($B586,ChartOfAccounts!E585:F670,2,FALSE),"")</f>
        <v/>
      </c>
      <c r="P586" t="str">
        <f>IFERROR(VLOOKUP(D586,PreparerInfo!A585:B597,2,FALSE),"")</f>
        <v/>
      </c>
      <c r="Q586" t="str">
        <f>IFERROR(VLOOKUP(E586,Source!A585:B593,2,FALSE),"")</f>
        <v/>
      </c>
    </row>
    <row r="587" spans="1:17" x14ac:dyDescent="0.3">
      <c r="A587" s="3">
        <v>2033812</v>
      </c>
      <c r="B587">
        <v>11845</v>
      </c>
      <c r="C587">
        <v>1</v>
      </c>
      <c r="D587" s="9">
        <v>102</v>
      </c>
      <c r="E587">
        <v>1002</v>
      </c>
      <c r="F587" s="1">
        <v>44010</v>
      </c>
      <c r="G587" t="s">
        <v>126</v>
      </c>
      <c r="H587" s="4" t="s">
        <v>16</v>
      </c>
      <c r="I587" s="4">
        <v>-1426.85</v>
      </c>
      <c r="J587" s="4">
        <v>-1426.85</v>
      </c>
      <c r="K587" t="str">
        <f>VLOOKUP($C587,Table1[#All],2,FALSE)</f>
        <v>FOOD SERVICE</v>
      </c>
      <c r="L587" t="str">
        <f>VLOOKUP($C587,Table1[#All],3,FALSE)</f>
        <v xml:space="preserve">Transactions related to food and beverage service. Includes all guest transactions in the hotel restaurants, catering-related transactions and food service payroll. </v>
      </c>
      <c r="M587" t="str">
        <f>IFERROR(VLOOKUP($B587,ChartOfAccounts!A586:B671,2,FALSE),"")</f>
        <v/>
      </c>
      <c r="N587" t="str">
        <f>IFERROR(VLOOKUP($B587,ChartOfAccounts!C586:D671,2,FALSE),"")</f>
        <v/>
      </c>
      <c r="O587" t="str">
        <f>IFERROR(VLOOKUP($B587,ChartOfAccounts!E586:F671,2,FALSE),"")</f>
        <v/>
      </c>
      <c r="P587" t="str">
        <f>IFERROR(VLOOKUP(D587,PreparerInfo!A586:B598,2,FALSE),"")</f>
        <v/>
      </c>
      <c r="Q587" t="str">
        <f>IFERROR(VLOOKUP(E587,Source!A586:B594,2,FALSE),"")</f>
        <v/>
      </c>
    </row>
    <row r="588" spans="1:17" x14ac:dyDescent="0.3">
      <c r="A588" s="3">
        <v>2033813</v>
      </c>
      <c r="B588">
        <v>11845</v>
      </c>
      <c r="C588">
        <v>1</v>
      </c>
      <c r="D588" s="9">
        <v>102</v>
      </c>
      <c r="E588">
        <v>1003</v>
      </c>
      <c r="F588" s="1">
        <v>44010</v>
      </c>
      <c r="G588" t="s">
        <v>15</v>
      </c>
      <c r="H588" s="4">
        <v>1806.46</v>
      </c>
      <c r="I588" s="4" t="s">
        <v>16</v>
      </c>
      <c r="J588" s="4">
        <v>1806.46</v>
      </c>
      <c r="K588" t="str">
        <f>VLOOKUP($C588,Table1[#All],2,FALSE)</f>
        <v>FOOD SERVICE</v>
      </c>
      <c r="L588" t="str">
        <f>VLOOKUP($C588,Table1[#All],3,FALSE)</f>
        <v xml:space="preserve">Transactions related to food and beverage service. Includes all guest transactions in the hotel restaurants, catering-related transactions and food service payroll. </v>
      </c>
      <c r="M588" t="str">
        <f>IFERROR(VLOOKUP($B588,ChartOfAccounts!A587:B672,2,FALSE),"")</f>
        <v/>
      </c>
      <c r="N588" t="str">
        <f>IFERROR(VLOOKUP($B588,ChartOfAccounts!C587:D672,2,FALSE),"")</f>
        <v/>
      </c>
      <c r="O588" t="str">
        <f>IFERROR(VLOOKUP($B588,ChartOfAccounts!E587:F672,2,FALSE),"")</f>
        <v/>
      </c>
      <c r="P588" t="str">
        <f>IFERROR(VLOOKUP(D588,PreparerInfo!A587:B599,2,FALSE),"")</f>
        <v/>
      </c>
      <c r="Q588" t="str">
        <f>IFERROR(VLOOKUP(E588,Source!A587:B595,2,FALSE),"")</f>
        <v/>
      </c>
    </row>
    <row r="589" spans="1:17" x14ac:dyDescent="0.3">
      <c r="A589" s="3">
        <v>2033813</v>
      </c>
      <c r="B589">
        <v>43310</v>
      </c>
      <c r="C589">
        <v>1</v>
      </c>
      <c r="D589" s="9">
        <v>102</v>
      </c>
      <c r="E589">
        <v>1003</v>
      </c>
      <c r="F589" s="1">
        <v>44010</v>
      </c>
      <c r="G589" t="s">
        <v>15</v>
      </c>
      <c r="H589" s="4" t="s">
        <v>16</v>
      </c>
      <c r="I589" s="4">
        <v>-1806.46</v>
      </c>
      <c r="J589" s="4">
        <v>-1806.46</v>
      </c>
      <c r="K589" t="str">
        <f>VLOOKUP($C589,Table1[#All],2,FALSE)</f>
        <v>FOOD SERVICE</v>
      </c>
      <c r="L589" t="str">
        <f>VLOOKUP($C589,Table1[#All],3,FALSE)</f>
        <v xml:space="preserve">Transactions related to food and beverage service. Includes all guest transactions in the hotel restaurants, catering-related transactions and food service payroll. </v>
      </c>
      <c r="M589" t="str">
        <f>IFERROR(VLOOKUP($B589,ChartOfAccounts!A588:B673,2,FALSE),"")</f>
        <v/>
      </c>
      <c r="N589" t="str">
        <f>IFERROR(VLOOKUP($B589,ChartOfAccounts!C588:D673,2,FALSE),"")</f>
        <v/>
      </c>
      <c r="O589" t="str">
        <f>IFERROR(VLOOKUP($B589,ChartOfAccounts!E588:F673,2,FALSE),"")</f>
        <v/>
      </c>
      <c r="P589" t="str">
        <f>IFERROR(VLOOKUP(D589,PreparerInfo!A588:B600,2,FALSE),"")</f>
        <v/>
      </c>
      <c r="Q589" t="str">
        <f>IFERROR(VLOOKUP(E589,Source!A588:B596,2,FALSE),"")</f>
        <v/>
      </c>
    </row>
    <row r="590" spans="1:17" x14ac:dyDescent="0.3">
      <c r="A590" s="3">
        <v>2033814</v>
      </c>
      <c r="B590">
        <v>51510</v>
      </c>
      <c r="C590">
        <v>2</v>
      </c>
      <c r="D590" s="9">
        <v>105</v>
      </c>
      <c r="E590">
        <v>1006</v>
      </c>
      <c r="F590" s="1">
        <v>44010</v>
      </c>
      <c r="G590" t="s">
        <v>96</v>
      </c>
      <c r="H590" s="4">
        <v>1808.54</v>
      </c>
      <c r="I590" s="4" t="s">
        <v>16</v>
      </c>
      <c r="J590" s="4">
        <v>1808.54</v>
      </c>
      <c r="K590" t="str">
        <f>VLOOKUP($C590,Table1[#All],2,FALSE)</f>
        <v>HOTEL</v>
      </c>
      <c r="L590" t="str">
        <f>VLOOKUP($C590,Table1[#All],3,FALSE)</f>
        <v xml:space="preserve">Transactions related to guest rooms and overall hotel operations. Includes payroll for administrative staff, clerks and interns. </v>
      </c>
      <c r="M590" t="str">
        <f>IFERROR(VLOOKUP($B590,ChartOfAccounts!A589:B674,2,FALSE),"")</f>
        <v/>
      </c>
      <c r="N590" t="str">
        <f>IFERROR(VLOOKUP($B590,ChartOfAccounts!C589:D674,2,FALSE),"")</f>
        <v/>
      </c>
      <c r="O590" t="str">
        <f>IFERROR(VLOOKUP($B590,ChartOfAccounts!E589:F674,2,FALSE),"")</f>
        <v/>
      </c>
      <c r="P590" t="str">
        <f>IFERROR(VLOOKUP(D590,PreparerInfo!A589:B601,2,FALSE),"")</f>
        <v/>
      </c>
      <c r="Q590" t="str">
        <f>IFERROR(VLOOKUP(E590,Source!A589:B597,2,FALSE),"")</f>
        <v/>
      </c>
    </row>
    <row r="591" spans="1:17" x14ac:dyDescent="0.3">
      <c r="A591" s="3">
        <v>2033814</v>
      </c>
      <c r="B591">
        <v>22110</v>
      </c>
      <c r="C591">
        <v>2</v>
      </c>
      <c r="D591" s="9">
        <v>105</v>
      </c>
      <c r="E591">
        <v>1006</v>
      </c>
      <c r="F591" s="1">
        <v>44010</v>
      </c>
      <c r="G591" t="s">
        <v>96</v>
      </c>
      <c r="H591" s="4" t="s">
        <v>16</v>
      </c>
      <c r="I591" s="4">
        <v>-1808.54</v>
      </c>
      <c r="J591" s="4">
        <v>-1808.54</v>
      </c>
      <c r="K591" t="str">
        <f>VLOOKUP($C591,Table1[#All],2,FALSE)</f>
        <v>HOTEL</v>
      </c>
      <c r="L591" t="str">
        <f>VLOOKUP($C591,Table1[#All],3,FALSE)</f>
        <v xml:space="preserve">Transactions related to guest rooms and overall hotel operations. Includes payroll for administrative staff, clerks and interns. </v>
      </c>
      <c r="M591" t="str">
        <f>IFERROR(VLOOKUP($B591,ChartOfAccounts!A590:B675,2,FALSE),"")</f>
        <v/>
      </c>
      <c r="N591" t="str">
        <f>IFERROR(VLOOKUP($B591,ChartOfAccounts!C590:D675,2,FALSE),"")</f>
        <v/>
      </c>
      <c r="O591" t="str">
        <f>IFERROR(VLOOKUP($B591,ChartOfAccounts!E590:F675,2,FALSE),"")</f>
        <v/>
      </c>
      <c r="P591" t="str">
        <f>IFERROR(VLOOKUP(D591,PreparerInfo!A590:B602,2,FALSE),"")</f>
        <v/>
      </c>
      <c r="Q591" t="str">
        <f>IFERROR(VLOOKUP(E591,Source!A590:B598,2,FALSE),"")</f>
        <v/>
      </c>
    </row>
    <row r="592" spans="1:17" x14ac:dyDescent="0.3">
      <c r="A592" s="3">
        <v>2033815</v>
      </c>
      <c r="B592">
        <v>51610</v>
      </c>
      <c r="C592">
        <v>4</v>
      </c>
      <c r="D592" s="9">
        <v>105</v>
      </c>
      <c r="E592">
        <v>1006</v>
      </c>
      <c r="F592" s="1">
        <v>44010</v>
      </c>
      <c r="G592" t="s">
        <v>99</v>
      </c>
      <c r="H592" s="4">
        <v>1983</v>
      </c>
      <c r="I592" s="4" t="s">
        <v>16</v>
      </c>
      <c r="J592" s="4">
        <v>1983</v>
      </c>
      <c r="K592" t="str">
        <f>VLOOKUP($C592,Table1[#All],2,FALSE)</f>
        <v>HOUSEKEEPING</v>
      </c>
      <c r="L592" t="str">
        <f>VLOOKUP($C592,Table1[#All],3,FALSE)</f>
        <v xml:space="preserve">Transactions related to the Housekeeping Department. Primarily includes payroll for housekeepers and housekeeping supplies. </v>
      </c>
      <c r="M592" t="str">
        <f>IFERROR(VLOOKUP($B592,ChartOfAccounts!A591:B676,2,FALSE),"")</f>
        <v/>
      </c>
      <c r="N592" t="str">
        <f>IFERROR(VLOOKUP($B592,ChartOfAccounts!C591:D676,2,FALSE),"")</f>
        <v/>
      </c>
      <c r="O592" t="str">
        <f>IFERROR(VLOOKUP($B592,ChartOfAccounts!E591:F676,2,FALSE),"")</f>
        <v/>
      </c>
      <c r="P592" t="str">
        <f>IFERROR(VLOOKUP(D592,PreparerInfo!A591:B603,2,FALSE),"")</f>
        <v/>
      </c>
      <c r="Q592" t="str">
        <f>IFERROR(VLOOKUP(E592,Source!A591:B599,2,FALSE),"")</f>
        <v/>
      </c>
    </row>
    <row r="593" spans="1:17" x14ac:dyDescent="0.3">
      <c r="A593" s="3">
        <v>2033815</v>
      </c>
      <c r="B593">
        <v>22110</v>
      </c>
      <c r="C593">
        <v>4</v>
      </c>
      <c r="D593" s="9">
        <v>105</v>
      </c>
      <c r="E593">
        <v>1006</v>
      </c>
      <c r="F593" s="1">
        <v>44010</v>
      </c>
      <c r="G593" t="s">
        <v>99</v>
      </c>
      <c r="H593" s="4" t="s">
        <v>16</v>
      </c>
      <c r="I593" s="4">
        <v>-1983</v>
      </c>
      <c r="J593" s="4">
        <v>-1983</v>
      </c>
      <c r="K593" t="str">
        <f>VLOOKUP($C593,Table1[#All],2,FALSE)</f>
        <v>HOUSEKEEPING</v>
      </c>
      <c r="L593" t="str">
        <f>VLOOKUP($C593,Table1[#All],3,FALSE)</f>
        <v xml:space="preserve">Transactions related to the Housekeeping Department. Primarily includes payroll for housekeepers and housekeeping supplies. </v>
      </c>
      <c r="M593" t="str">
        <f>IFERROR(VLOOKUP($B593,ChartOfAccounts!A592:B677,2,FALSE),"")</f>
        <v/>
      </c>
      <c r="N593" t="str">
        <f>IFERROR(VLOOKUP($B593,ChartOfAccounts!C592:D677,2,FALSE),"")</f>
        <v/>
      </c>
      <c r="O593" t="str">
        <f>IFERROR(VLOOKUP($B593,ChartOfAccounts!E592:F677,2,FALSE),"")</f>
        <v/>
      </c>
      <c r="P593" t="str">
        <f>IFERROR(VLOOKUP(D593,PreparerInfo!A592:B604,2,FALSE),"")</f>
        <v/>
      </c>
      <c r="Q593" t="str">
        <f>IFERROR(VLOOKUP(E593,Source!A592:B600,2,FALSE),"")</f>
        <v/>
      </c>
    </row>
    <row r="594" spans="1:17" x14ac:dyDescent="0.3">
      <c r="A594" s="3">
        <v>2033816</v>
      </c>
      <c r="B594">
        <v>14260</v>
      </c>
      <c r="C594">
        <v>1</v>
      </c>
      <c r="D594" s="9">
        <v>101</v>
      </c>
      <c r="E594">
        <v>1002</v>
      </c>
      <c r="F594" s="1">
        <v>44010</v>
      </c>
      <c r="G594" t="s">
        <v>38</v>
      </c>
      <c r="H594" s="4">
        <v>2753.74</v>
      </c>
      <c r="I594" s="4" t="s">
        <v>16</v>
      </c>
      <c r="J594" s="4">
        <v>2753.74</v>
      </c>
      <c r="K594" t="str">
        <f>VLOOKUP($C594,Table1[#All],2,FALSE)</f>
        <v>FOOD SERVICE</v>
      </c>
      <c r="L594" t="str">
        <f>VLOOKUP($C594,Table1[#All],3,FALSE)</f>
        <v xml:space="preserve">Transactions related to food and beverage service. Includes all guest transactions in the hotel restaurants, catering-related transactions and food service payroll. </v>
      </c>
      <c r="M594" t="str">
        <f>IFERROR(VLOOKUP($B594,ChartOfAccounts!A593:B678,2,FALSE),"")</f>
        <v/>
      </c>
      <c r="N594" t="str">
        <f>IFERROR(VLOOKUP($B594,ChartOfAccounts!C593:D678,2,FALSE),"")</f>
        <v/>
      </c>
      <c r="O594" t="str">
        <f>IFERROR(VLOOKUP($B594,ChartOfAccounts!E593:F678,2,FALSE),"")</f>
        <v/>
      </c>
      <c r="P594" t="str">
        <f>IFERROR(VLOOKUP(D594,PreparerInfo!A593:B605,2,FALSE),"")</f>
        <v/>
      </c>
      <c r="Q594" t="str">
        <f>IFERROR(VLOOKUP(E594,Source!A593:B601,2,FALSE),"")</f>
        <v/>
      </c>
    </row>
    <row r="595" spans="1:17" x14ac:dyDescent="0.3">
      <c r="A595" s="3">
        <v>2033816</v>
      </c>
      <c r="B595">
        <v>11845</v>
      </c>
      <c r="C595">
        <v>1</v>
      </c>
      <c r="D595" s="9">
        <v>101</v>
      </c>
      <c r="E595">
        <v>1002</v>
      </c>
      <c r="F595" s="1">
        <v>44010</v>
      </c>
      <c r="G595" t="s">
        <v>38</v>
      </c>
      <c r="H595" s="4" t="s">
        <v>16</v>
      </c>
      <c r="I595" s="4">
        <v>-2753.74</v>
      </c>
      <c r="J595" s="4">
        <v>-2753.74</v>
      </c>
      <c r="K595" t="str">
        <f>VLOOKUP($C595,Table1[#All],2,FALSE)</f>
        <v>FOOD SERVICE</v>
      </c>
      <c r="L595" t="str">
        <f>VLOOKUP($C595,Table1[#All],3,FALSE)</f>
        <v xml:space="preserve">Transactions related to food and beverage service. Includes all guest transactions in the hotel restaurants, catering-related transactions and food service payroll. </v>
      </c>
      <c r="M595" t="str">
        <f>IFERROR(VLOOKUP($B595,ChartOfAccounts!A594:B679,2,FALSE),"")</f>
        <v/>
      </c>
      <c r="N595" t="str">
        <f>IFERROR(VLOOKUP($B595,ChartOfAccounts!C594:D679,2,FALSE),"")</f>
        <v/>
      </c>
      <c r="O595" t="str">
        <f>IFERROR(VLOOKUP($B595,ChartOfAccounts!E594:F679,2,FALSE),"")</f>
        <v/>
      </c>
      <c r="P595" t="str">
        <f>IFERROR(VLOOKUP(D595,PreparerInfo!A594:B606,2,FALSE),"")</f>
        <v/>
      </c>
      <c r="Q595" t="str">
        <f>IFERROR(VLOOKUP(E595,Source!A594:B602,2,FALSE),"")</f>
        <v/>
      </c>
    </row>
    <row r="596" spans="1:17" x14ac:dyDescent="0.3">
      <c r="A596" s="3">
        <v>2033817</v>
      </c>
      <c r="B596">
        <v>11845</v>
      </c>
      <c r="C596">
        <v>1</v>
      </c>
      <c r="D596" s="9">
        <v>106</v>
      </c>
      <c r="E596">
        <v>1003</v>
      </c>
      <c r="F596" s="1">
        <v>44010</v>
      </c>
      <c r="G596" t="s">
        <v>80</v>
      </c>
      <c r="H596" s="4">
        <v>2761.78</v>
      </c>
      <c r="I596" s="4" t="s">
        <v>16</v>
      </c>
      <c r="J596" s="4">
        <v>2761.78</v>
      </c>
      <c r="K596" t="str">
        <f>VLOOKUP($C596,Table1[#All],2,FALSE)</f>
        <v>FOOD SERVICE</v>
      </c>
      <c r="L596" t="str">
        <f>VLOOKUP($C596,Table1[#All],3,FALSE)</f>
        <v xml:space="preserve">Transactions related to food and beverage service. Includes all guest transactions in the hotel restaurants, catering-related transactions and food service payroll. </v>
      </c>
      <c r="M596" t="str">
        <f>IFERROR(VLOOKUP($B596,ChartOfAccounts!A595:B680,2,FALSE),"")</f>
        <v/>
      </c>
      <c r="N596" t="str">
        <f>IFERROR(VLOOKUP($B596,ChartOfAccounts!C595:D680,2,FALSE),"")</f>
        <v/>
      </c>
      <c r="O596" t="str">
        <f>IFERROR(VLOOKUP($B596,ChartOfAccounts!E595:F680,2,FALSE),"")</f>
        <v/>
      </c>
      <c r="P596" t="str">
        <f>IFERROR(VLOOKUP(D596,PreparerInfo!A595:B607,2,FALSE),"")</f>
        <v/>
      </c>
      <c r="Q596" t="str">
        <f>IFERROR(VLOOKUP(E596,Source!A595:B603,2,FALSE),"")</f>
        <v/>
      </c>
    </row>
    <row r="597" spans="1:17" x14ac:dyDescent="0.3">
      <c r="A597" s="3">
        <v>2033817</v>
      </c>
      <c r="B597">
        <v>43310</v>
      </c>
      <c r="C597">
        <v>1</v>
      </c>
      <c r="D597" s="9">
        <v>106</v>
      </c>
      <c r="E597">
        <v>1003</v>
      </c>
      <c r="F597" s="1">
        <v>44010</v>
      </c>
      <c r="G597" t="s">
        <v>80</v>
      </c>
      <c r="H597" s="4" t="s">
        <v>16</v>
      </c>
      <c r="I597" s="4">
        <v>-2761.78</v>
      </c>
      <c r="J597" s="4">
        <v>-2761.78</v>
      </c>
      <c r="K597" t="str">
        <f>VLOOKUP($C597,Table1[#All],2,FALSE)</f>
        <v>FOOD SERVICE</v>
      </c>
      <c r="L597" t="str">
        <f>VLOOKUP($C597,Table1[#All],3,FALSE)</f>
        <v xml:space="preserve">Transactions related to food and beverage service. Includes all guest transactions in the hotel restaurants, catering-related transactions and food service payroll. </v>
      </c>
      <c r="M597" t="str">
        <f>IFERROR(VLOOKUP($B597,ChartOfAccounts!A596:B681,2,FALSE),"")</f>
        <v/>
      </c>
      <c r="N597" t="str">
        <f>IFERROR(VLOOKUP($B597,ChartOfAccounts!C596:D681,2,FALSE),"")</f>
        <v/>
      </c>
      <c r="O597" t="str">
        <f>IFERROR(VLOOKUP($B597,ChartOfAccounts!E596:F681,2,FALSE),"")</f>
        <v/>
      </c>
      <c r="P597" t="str">
        <f>IFERROR(VLOOKUP(D597,PreparerInfo!A596:B608,2,FALSE),"")</f>
        <v/>
      </c>
      <c r="Q597" t="str">
        <f>IFERROR(VLOOKUP(E597,Source!A596:B604,2,FALSE),"")</f>
        <v/>
      </c>
    </row>
    <row r="598" spans="1:17" x14ac:dyDescent="0.3">
      <c r="A598" s="3">
        <v>2033818</v>
      </c>
      <c r="B598">
        <v>14260</v>
      </c>
      <c r="C598">
        <v>1</v>
      </c>
      <c r="D598" s="9">
        <v>101</v>
      </c>
      <c r="E598">
        <v>1002</v>
      </c>
      <c r="F598" s="1">
        <v>44010</v>
      </c>
      <c r="G598" t="s">
        <v>38</v>
      </c>
      <c r="H598" s="4">
        <v>3051.25</v>
      </c>
      <c r="I598" s="4" t="s">
        <v>16</v>
      </c>
      <c r="J598" s="4">
        <v>3051.25</v>
      </c>
      <c r="K598" t="str">
        <f>VLOOKUP($C598,Table1[#All],2,FALSE)</f>
        <v>FOOD SERVICE</v>
      </c>
      <c r="L598" t="str">
        <f>VLOOKUP($C598,Table1[#All],3,FALSE)</f>
        <v xml:space="preserve">Transactions related to food and beverage service. Includes all guest transactions in the hotel restaurants, catering-related transactions and food service payroll. </v>
      </c>
      <c r="M598" t="str">
        <f>IFERROR(VLOOKUP($B598,ChartOfAccounts!A597:B682,2,FALSE),"")</f>
        <v/>
      </c>
      <c r="N598" t="str">
        <f>IFERROR(VLOOKUP($B598,ChartOfAccounts!C597:D682,2,FALSE),"")</f>
        <v/>
      </c>
      <c r="O598" t="str">
        <f>IFERROR(VLOOKUP($B598,ChartOfAccounts!E597:F682,2,FALSE),"")</f>
        <v/>
      </c>
      <c r="P598" t="str">
        <f>IFERROR(VLOOKUP(D598,PreparerInfo!A597:B609,2,FALSE),"")</f>
        <v/>
      </c>
      <c r="Q598" t="str">
        <f>IFERROR(VLOOKUP(E598,Source!A597:B605,2,FALSE),"")</f>
        <v/>
      </c>
    </row>
    <row r="599" spans="1:17" x14ac:dyDescent="0.3">
      <c r="A599" s="3">
        <v>2033818</v>
      </c>
      <c r="B599">
        <v>11845</v>
      </c>
      <c r="C599">
        <v>1</v>
      </c>
      <c r="D599" s="9">
        <v>101</v>
      </c>
      <c r="E599">
        <v>1002</v>
      </c>
      <c r="F599" s="1">
        <v>44010</v>
      </c>
      <c r="G599" t="s">
        <v>38</v>
      </c>
      <c r="H599" s="4" t="s">
        <v>16</v>
      </c>
      <c r="I599" s="4">
        <v>-3051.25</v>
      </c>
      <c r="J599" s="4">
        <v>-3051.25</v>
      </c>
      <c r="K599" t="str">
        <f>VLOOKUP($C599,Table1[#All],2,FALSE)</f>
        <v>FOOD SERVICE</v>
      </c>
      <c r="L599" t="str">
        <f>VLOOKUP($C599,Table1[#All],3,FALSE)</f>
        <v xml:space="preserve">Transactions related to food and beverage service. Includes all guest transactions in the hotel restaurants, catering-related transactions and food service payroll. </v>
      </c>
      <c r="M599" t="str">
        <f>IFERROR(VLOOKUP($B599,ChartOfAccounts!A598:B683,2,FALSE),"")</f>
        <v/>
      </c>
      <c r="N599" t="str">
        <f>IFERROR(VLOOKUP($B599,ChartOfAccounts!C598:D683,2,FALSE),"")</f>
        <v/>
      </c>
      <c r="O599" t="str">
        <f>IFERROR(VLOOKUP($B599,ChartOfAccounts!E598:F683,2,FALSE),"")</f>
        <v/>
      </c>
      <c r="P599" t="str">
        <f>IFERROR(VLOOKUP(D599,PreparerInfo!A598:B610,2,FALSE),"")</f>
        <v/>
      </c>
      <c r="Q599" t="str">
        <f>IFERROR(VLOOKUP(E599,Source!A598:B606,2,FALSE),"")</f>
        <v/>
      </c>
    </row>
    <row r="600" spans="1:17" x14ac:dyDescent="0.3">
      <c r="A600" s="3">
        <v>2033819</v>
      </c>
      <c r="B600">
        <v>51531</v>
      </c>
      <c r="C600">
        <v>1</v>
      </c>
      <c r="D600" s="9">
        <v>105</v>
      </c>
      <c r="E600">
        <v>1006</v>
      </c>
      <c r="F600" s="1">
        <v>44010</v>
      </c>
      <c r="G600" t="s">
        <v>98</v>
      </c>
      <c r="H600" s="4">
        <v>3111.42</v>
      </c>
      <c r="I600" s="4" t="s">
        <v>16</v>
      </c>
      <c r="J600" s="4">
        <v>3111.42</v>
      </c>
      <c r="K600" t="str">
        <f>VLOOKUP($C600,Table1[#All],2,FALSE)</f>
        <v>FOOD SERVICE</v>
      </c>
      <c r="L600" t="str">
        <f>VLOOKUP($C600,Table1[#All],3,FALSE)</f>
        <v xml:space="preserve">Transactions related to food and beverage service. Includes all guest transactions in the hotel restaurants, catering-related transactions and food service payroll. </v>
      </c>
      <c r="M600" t="str">
        <f>IFERROR(VLOOKUP($B600,ChartOfAccounts!A599:B684,2,FALSE),"")</f>
        <v/>
      </c>
      <c r="N600" t="str">
        <f>IFERROR(VLOOKUP($B600,ChartOfAccounts!C599:D684,2,FALSE),"")</f>
        <v/>
      </c>
      <c r="O600" t="str">
        <f>IFERROR(VLOOKUP($B600,ChartOfAccounts!E599:F684,2,FALSE),"")</f>
        <v/>
      </c>
      <c r="P600" t="str">
        <f>IFERROR(VLOOKUP(D600,PreparerInfo!A599:B611,2,FALSE),"")</f>
        <v/>
      </c>
      <c r="Q600" t="str">
        <f>IFERROR(VLOOKUP(E600,Source!A599:B607,2,FALSE),"")</f>
        <v/>
      </c>
    </row>
    <row r="601" spans="1:17" x14ac:dyDescent="0.3">
      <c r="A601" s="3">
        <v>2033819</v>
      </c>
      <c r="B601">
        <v>22110</v>
      </c>
      <c r="C601">
        <v>1</v>
      </c>
      <c r="D601" s="9">
        <v>105</v>
      </c>
      <c r="E601">
        <v>1006</v>
      </c>
      <c r="F601" s="1">
        <v>44010</v>
      </c>
      <c r="G601" t="s">
        <v>98</v>
      </c>
      <c r="H601" s="4" t="s">
        <v>16</v>
      </c>
      <c r="I601" s="4">
        <v>-3111.42</v>
      </c>
      <c r="J601" s="4">
        <v>-3111.42</v>
      </c>
      <c r="K601" t="str">
        <f>VLOOKUP($C601,Table1[#All],2,FALSE)</f>
        <v>FOOD SERVICE</v>
      </c>
      <c r="L601" t="str">
        <f>VLOOKUP($C601,Table1[#All],3,FALSE)</f>
        <v xml:space="preserve">Transactions related to food and beverage service. Includes all guest transactions in the hotel restaurants, catering-related transactions and food service payroll. </v>
      </c>
      <c r="M601" t="str">
        <f>IFERROR(VLOOKUP($B601,ChartOfAccounts!A600:B685,2,FALSE),"")</f>
        <v/>
      </c>
      <c r="N601" t="str">
        <f>IFERROR(VLOOKUP($B601,ChartOfAccounts!C600:D685,2,FALSE),"")</f>
        <v/>
      </c>
      <c r="O601" t="str">
        <f>IFERROR(VLOOKUP($B601,ChartOfAccounts!E600:F685,2,FALSE),"")</f>
        <v/>
      </c>
      <c r="P601" t="str">
        <f>IFERROR(VLOOKUP(D601,PreparerInfo!A600:B612,2,FALSE),"")</f>
        <v/>
      </c>
      <c r="Q601" t="str">
        <f>IFERROR(VLOOKUP(E601,Source!A600:B608,2,FALSE),"")</f>
        <v/>
      </c>
    </row>
    <row r="602" spans="1:17" x14ac:dyDescent="0.3">
      <c r="A602" s="3">
        <v>2033820</v>
      </c>
      <c r="B602">
        <v>51610</v>
      </c>
      <c r="C602">
        <v>1</v>
      </c>
      <c r="D602" s="9">
        <v>105</v>
      </c>
      <c r="E602">
        <v>1006</v>
      </c>
      <c r="F602" s="1">
        <v>44010</v>
      </c>
      <c r="G602" t="s">
        <v>99</v>
      </c>
      <c r="H602" s="4">
        <v>3489</v>
      </c>
      <c r="I602" s="4" t="s">
        <v>16</v>
      </c>
      <c r="J602" s="4">
        <v>3489</v>
      </c>
      <c r="K602" t="str">
        <f>VLOOKUP($C602,Table1[#All],2,FALSE)</f>
        <v>FOOD SERVICE</v>
      </c>
      <c r="L602" t="str">
        <f>VLOOKUP($C602,Table1[#All],3,FALSE)</f>
        <v xml:space="preserve">Transactions related to food and beverage service. Includes all guest transactions in the hotel restaurants, catering-related transactions and food service payroll. </v>
      </c>
      <c r="M602" t="str">
        <f>IFERROR(VLOOKUP($B602,ChartOfAccounts!A601:B686,2,FALSE),"")</f>
        <v/>
      </c>
      <c r="N602" t="str">
        <f>IFERROR(VLOOKUP($B602,ChartOfAccounts!C601:D686,2,FALSE),"")</f>
        <v/>
      </c>
      <c r="O602" t="str">
        <f>IFERROR(VLOOKUP($B602,ChartOfAccounts!E601:F686,2,FALSE),"")</f>
        <v/>
      </c>
      <c r="P602" t="str">
        <f>IFERROR(VLOOKUP(D602,PreparerInfo!A601:B613,2,FALSE),"")</f>
        <v/>
      </c>
      <c r="Q602" t="str">
        <f>IFERROR(VLOOKUP(E602,Source!A601:B609,2,FALSE),"")</f>
        <v/>
      </c>
    </row>
    <row r="603" spans="1:17" x14ac:dyDescent="0.3">
      <c r="A603" s="3">
        <v>2033820</v>
      </c>
      <c r="B603">
        <v>22110</v>
      </c>
      <c r="C603">
        <v>1</v>
      </c>
      <c r="D603" s="9">
        <v>105</v>
      </c>
      <c r="E603">
        <v>1006</v>
      </c>
      <c r="F603" s="1">
        <v>44010</v>
      </c>
      <c r="G603" t="s">
        <v>99</v>
      </c>
      <c r="H603" s="4" t="s">
        <v>16</v>
      </c>
      <c r="I603" s="4">
        <v>-3489</v>
      </c>
      <c r="J603" s="4">
        <v>-3489</v>
      </c>
      <c r="K603" t="str">
        <f>VLOOKUP($C603,Table1[#All],2,FALSE)</f>
        <v>FOOD SERVICE</v>
      </c>
      <c r="L603" t="str">
        <f>VLOOKUP($C603,Table1[#All],3,FALSE)</f>
        <v xml:space="preserve">Transactions related to food and beverage service. Includes all guest transactions in the hotel restaurants, catering-related transactions and food service payroll. </v>
      </c>
      <c r="M603" t="str">
        <f>IFERROR(VLOOKUP($B603,ChartOfAccounts!A602:B687,2,FALSE),"")</f>
        <v/>
      </c>
      <c r="N603" t="str">
        <f>IFERROR(VLOOKUP($B603,ChartOfAccounts!C602:D687,2,FALSE),"")</f>
        <v/>
      </c>
      <c r="O603" t="str">
        <f>IFERROR(VLOOKUP($B603,ChartOfAccounts!E602:F687,2,FALSE),"")</f>
        <v/>
      </c>
      <c r="P603" t="str">
        <f>IFERROR(VLOOKUP(D603,PreparerInfo!A602:B614,2,FALSE),"")</f>
        <v/>
      </c>
      <c r="Q603" t="str">
        <f>IFERROR(VLOOKUP(E603,Source!A602:B610,2,FALSE),"")</f>
        <v/>
      </c>
    </row>
    <row r="604" spans="1:17" x14ac:dyDescent="0.3">
      <c r="A604" s="3">
        <v>2033821</v>
      </c>
      <c r="B604">
        <v>51110</v>
      </c>
      <c r="C604">
        <v>6</v>
      </c>
      <c r="D604" s="9">
        <v>105</v>
      </c>
      <c r="E604">
        <v>1004</v>
      </c>
      <c r="F604" s="1">
        <v>44010</v>
      </c>
      <c r="G604" t="s">
        <v>100</v>
      </c>
      <c r="H604" s="4">
        <v>3501.08</v>
      </c>
      <c r="I604" s="4" t="s">
        <v>16</v>
      </c>
      <c r="J604" s="4">
        <v>3501.08</v>
      </c>
      <c r="K604" t="str">
        <f>VLOOKUP($C604,Table1[#All],2,FALSE)</f>
        <v>MAINTENANCE</v>
      </c>
      <c r="L604" t="str">
        <f>VLOOKUP($C604,Table1[#All],3,FALSE)</f>
        <v>Transactions related to the hotel Maintenance Department. Primarily includes payroll for maintenance, grounds keepers and related supplies.</v>
      </c>
      <c r="M604" t="str">
        <f>IFERROR(VLOOKUP($B604,ChartOfAccounts!A603:B688,2,FALSE),"")</f>
        <v/>
      </c>
      <c r="N604" t="str">
        <f>IFERROR(VLOOKUP($B604,ChartOfAccounts!C603:D688,2,FALSE),"")</f>
        <v/>
      </c>
      <c r="O604" t="str">
        <f>IFERROR(VLOOKUP($B604,ChartOfAccounts!E603:F688,2,FALSE),"")</f>
        <v/>
      </c>
      <c r="P604" t="str">
        <f>IFERROR(VLOOKUP(D604,PreparerInfo!A603:B615,2,FALSE),"")</f>
        <v/>
      </c>
      <c r="Q604" t="str">
        <f>IFERROR(VLOOKUP(E604,Source!A603:B611,2,FALSE),"")</f>
        <v/>
      </c>
    </row>
    <row r="605" spans="1:17" x14ac:dyDescent="0.3">
      <c r="A605" s="3">
        <v>2033821</v>
      </c>
      <c r="B605">
        <v>11845</v>
      </c>
      <c r="C605">
        <v>6</v>
      </c>
      <c r="D605" s="9">
        <v>105</v>
      </c>
      <c r="E605">
        <v>1004</v>
      </c>
      <c r="F605" s="1">
        <v>44010</v>
      </c>
      <c r="G605" t="s">
        <v>100</v>
      </c>
      <c r="H605" s="4" t="s">
        <v>16</v>
      </c>
      <c r="I605" s="4">
        <v>-3501.08</v>
      </c>
      <c r="J605" s="4">
        <v>-3501.08</v>
      </c>
      <c r="K605" t="str">
        <f>VLOOKUP($C605,Table1[#All],2,FALSE)</f>
        <v>MAINTENANCE</v>
      </c>
      <c r="L605" t="str">
        <f>VLOOKUP($C605,Table1[#All],3,FALSE)</f>
        <v>Transactions related to the hotel Maintenance Department. Primarily includes payroll for maintenance, grounds keepers and related supplies.</v>
      </c>
      <c r="M605" t="str">
        <f>IFERROR(VLOOKUP($B605,ChartOfAccounts!A604:B689,2,FALSE),"")</f>
        <v/>
      </c>
      <c r="N605" t="str">
        <f>IFERROR(VLOOKUP($B605,ChartOfAccounts!C604:D689,2,FALSE),"")</f>
        <v/>
      </c>
      <c r="O605" t="str">
        <f>IFERROR(VLOOKUP($B605,ChartOfAccounts!E604:F689,2,FALSE),"")</f>
        <v/>
      </c>
      <c r="P605" t="str">
        <f>IFERROR(VLOOKUP(D605,PreparerInfo!A604:B616,2,FALSE),"")</f>
        <v/>
      </c>
      <c r="Q605" t="str">
        <f>IFERROR(VLOOKUP(E605,Source!A604:B612,2,FALSE),"")</f>
        <v/>
      </c>
    </row>
    <row r="606" spans="1:17" x14ac:dyDescent="0.3">
      <c r="A606" s="3">
        <v>2033822</v>
      </c>
      <c r="B606">
        <v>51400</v>
      </c>
      <c r="C606">
        <v>1</v>
      </c>
      <c r="D606" s="9">
        <v>105</v>
      </c>
      <c r="E606">
        <v>1006</v>
      </c>
      <c r="F606" s="1">
        <v>44010</v>
      </c>
      <c r="G606" t="s">
        <v>93</v>
      </c>
      <c r="H606" s="4">
        <v>3633.51</v>
      </c>
      <c r="I606" s="4" t="s">
        <v>16</v>
      </c>
      <c r="J606" s="4">
        <v>3633.51</v>
      </c>
      <c r="K606" t="str">
        <f>VLOOKUP($C606,Table1[#All],2,FALSE)</f>
        <v>FOOD SERVICE</v>
      </c>
      <c r="L606" t="str">
        <f>VLOOKUP($C606,Table1[#All],3,FALSE)</f>
        <v xml:space="preserve">Transactions related to food and beverage service. Includes all guest transactions in the hotel restaurants, catering-related transactions and food service payroll. </v>
      </c>
      <c r="M606" t="str">
        <f>IFERROR(VLOOKUP($B606,ChartOfAccounts!A605:B690,2,FALSE),"")</f>
        <v/>
      </c>
      <c r="N606" t="str">
        <f>IFERROR(VLOOKUP($B606,ChartOfAccounts!C605:D690,2,FALSE),"")</f>
        <v/>
      </c>
      <c r="O606" t="str">
        <f>IFERROR(VLOOKUP($B606,ChartOfAccounts!E605:F690,2,FALSE),"")</f>
        <v/>
      </c>
      <c r="P606" t="str">
        <f>IFERROR(VLOOKUP(D606,PreparerInfo!A605:B617,2,FALSE),"")</f>
        <v/>
      </c>
      <c r="Q606" t="str">
        <f>IFERROR(VLOOKUP(E606,Source!A605:B613,2,FALSE),"")</f>
        <v/>
      </c>
    </row>
    <row r="607" spans="1:17" x14ac:dyDescent="0.3">
      <c r="A607" s="3">
        <v>2033822</v>
      </c>
      <c r="B607">
        <v>22110</v>
      </c>
      <c r="C607">
        <v>1</v>
      </c>
      <c r="D607" s="9">
        <v>105</v>
      </c>
      <c r="E607">
        <v>1006</v>
      </c>
      <c r="F607" s="1">
        <v>44010</v>
      </c>
      <c r="G607" t="s">
        <v>93</v>
      </c>
      <c r="H607" s="4" t="s">
        <v>16</v>
      </c>
      <c r="I607" s="4">
        <v>-3633.51</v>
      </c>
      <c r="J607" s="4">
        <v>-3633.51</v>
      </c>
      <c r="K607" t="str">
        <f>VLOOKUP($C607,Table1[#All],2,FALSE)</f>
        <v>FOOD SERVICE</v>
      </c>
      <c r="L607" t="str">
        <f>VLOOKUP($C607,Table1[#All],3,FALSE)</f>
        <v xml:space="preserve">Transactions related to food and beverage service. Includes all guest transactions in the hotel restaurants, catering-related transactions and food service payroll. </v>
      </c>
      <c r="M607" t="str">
        <f>IFERROR(VLOOKUP($B607,ChartOfAccounts!A606:B691,2,FALSE),"")</f>
        <v/>
      </c>
      <c r="N607" t="str">
        <f>IFERROR(VLOOKUP($B607,ChartOfAccounts!C606:D691,2,FALSE),"")</f>
        <v/>
      </c>
      <c r="O607" t="str">
        <f>IFERROR(VLOOKUP($B607,ChartOfAccounts!E606:F691,2,FALSE),"")</f>
        <v/>
      </c>
      <c r="P607" t="str">
        <f>IFERROR(VLOOKUP(D607,PreparerInfo!A606:B618,2,FALSE),"")</f>
        <v/>
      </c>
      <c r="Q607" t="str">
        <f>IFERROR(VLOOKUP(E607,Source!A606:B614,2,FALSE),"")</f>
        <v/>
      </c>
    </row>
    <row r="608" spans="1:17" x14ac:dyDescent="0.3">
      <c r="A608" s="3">
        <v>2033823</v>
      </c>
      <c r="B608">
        <v>14260</v>
      </c>
      <c r="C608">
        <v>1</v>
      </c>
      <c r="D608" s="9">
        <v>101</v>
      </c>
      <c r="E608">
        <v>1002</v>
      </c>
      <c r="F608" s="1">
        <v>44010</v>
      </c>
      <c r="G608" t="s">
        <v>38</v>
      </c>
      <c r="H608" s="4">
        <v>4148.51</v>
      </c>
      <c r="I608" s="4" t="s">
        <v>16</v>
      </c>
      <c r="J608" s="4">
        <v>4148.51</v>
      </c>
      <c r="K608" t="str">
        <f>VLOOKUP($C608,Table1[#All],2,FALSE)</f>
        <v>FOOD SERVICE</v>
      </c>
      <c r="L608" t="str">
        <f>VLOOKUP($C608,Table1[#All],3,FALSE)</f>
        <v xml:space="preserve">Transactions related to food and beverage service. Includes all guest transactions in the hotel restaurants, catering-related transactions and food service payroll. </v>
      </c>
      <c r="M608" t="str">
        <f>IFERROR(VLOOKUP($B608,ChartOfAccounts!A607:B692,2,FALSE),"")</f>
        <v/>
      </c>
      <c r="N608" t="str">
        <f>IFERROR(VLOOKUP($B608,ChartOfAccounts!C607:D692,2,FALSE),"")</f>
        <v/>
      </c>
      <c r="O608" t="str">
        <f>IFERROR(VLOOKUP($B608,ChartOfAccounts!E607:F692,2,FALSE),"")</f>
        <v/>
      </c>
      <c r="P608" t="str">
        <f>IFERROR(VLOOKUP(D608,PreparerInfo!A607:B619,2,FALSE),"")</f>
        <v/>
      </c>
      <c r="Q608" t="str">
        <f>IFERROR(VLOOKUP(E608,Source!A607:B615,2,FALSE),"")</f>
        <v/>
      </c>
    </row>
    <row r="609" spans="1:17" x14ac:dyDescent="0.3">
      <c r="A609" s="3">
        <v>2033823</v>
      </c>
      <c r="B609">
        <v>11845</v>
      </c>
      <c r="C609">
        <v>1</v>
      </c>
      <c r="D609" s="9">
        <v>101</v>
      </c>
      <c r="E609">
        <v>1002</v>
      </c>
      <c r="F609" s="1">
        <v>44010</v>
      </c>
      <c r="G609" t="s">
        <v>38</v>
      </c>
      <c r="H609" s="4" t="s">
        <v>16</v>
      </c>
      <c r="I609" s="4">
        <v>-4148.51</v>
      </c>
      <c r="J609" s="4">
        <v>-4148.51</v>
      </c>
      <c r="K609" t="str">
        <f>VLOOKUP($C609,Table1[#All],2,FALSE)</f>
        <v>FOOD SERVICE</v>
      </c>
      <c r="L609" t="str">
        <f>VLOOKUP($C609,Table1[#All],3,FALSE)</f>
        <v xml:space="preserve">Transactions related to food and beverage service. Includes all guest transactions in the hotel restaurants, catering-related transactions and food service payroll. </v>
      </c>
      <c r="M609" t="str">
        <f>IFERROR(VLOOKUP($B609,ChartOfAccounts!A608:B693,2,FALSE),"")</f>
        <v/>
      </c>
      <c r="N609" t="str">
        <f>IFERROR(VLOOKUP($B609,ChartOfAccounts!C608:D693,2,FALSE),"")</f>
        <v/>
      </c>
      <c r="O609" t="str">
        <f>IFERROR(VLOOKUP($B609,ChartOfAccounts!E608:F693,2,FALSE),"")</f>
        <v/>
      </c>
      <c r="P609" t="str">
        <f>IFERROR(VLOOKUP(D609,PreparerInfo!A608:B620,2,FALSE),"")</f>
        <v/>
      </c>
      <c r="Q609" t="str">
        <f>IFERROR(VLOOKUP(E609,Source!A608:B616,2,FALSE),"")</f>
        <v/>
      </c>
    </row>
    <row r="610" spans="1:17" x14ac:dyDescent="0.3">
      <c r="A610" s="3">
        <v>2033824</v>
      </c>
      <c r="B610">
        <v>51510</v>
      </c>
      <c r="C610">
        <v>1</v>
      </c>
      <c r="D610" s="9">
        <v>105</v>
      </c>
      <c r="E610">
        <v>1006</v>
      </c>
      <c r="F610" s="1">
        <v>44010</v>
      </c>
      <c r="G610" t="s">
        <v>96</v>
      </c>
      <c r="H610" s="4">
        <v>4207.8999999999996</v>
      </c>
      <c r="I610" s="4" t="s">
        <v>16</v>
      </c>
      <c r="J610" s="4">
        <v>4207.8999999999996</v>
      </c>
      <c r="K610" t="str">
        <f>VLOOKUP($C610,Table1[#All],2,FALSE)</f>
        <v>FOOD SERVICE</v>
      </c>
      <c r="L610" t="str">
        <f>VLOOKUP($C610,Table1[#All],3,FALSE)</f>
        <v xml:space="preserve">Transactions related to food and beverage service. Includes all guest transactions in the hotel restaurants, catering-related transactions and food service payroll. </v>
      </c>
      <c r="M610" t="str">
        <f>IFERROR(VLOOKUP($B610,ChartOfAccounts!A609:B694,2,FALSE),"")</f>
        <v/>
      </c>
      <c r="N610" t="str">
        <f>IFERROR(VLOOKUP($B610,ChartOfAccounts!C609:D694,2,FALSE),"")</f>
        <v/>
      </c>
      <c r="O610" t="str">
        <f>IFERROR(VLOOKUP($B610,ChartOfAccounts!E609:F694,2,FALSE),"")</f>
        <v/>
      </c>
      <c r="P610" t="str">
        <f>IFERROR(VLOOKUP(D610,PreparerInfo!A609:B621,2,FALSE),"")</f>
        <v/>
      </c>
      <c r="Q610" t="str">
        <f>IFERROR(VLOOKUP(E610,Source!A609:B617,2,FALSE),"")</f>
        <v/>
      </c>
    </row>
    <row r="611" spans="1:17" x14ac:dyDescent="0.3">
      <c r="A611" s="3">
        <v>2033824</v>
      </c>
      <c r="B611">
        <v>22110</v>
      </c>
      <c r="C611">
        <v>1</v>
      </c>
      <c r="D611" s="9">
        <v>105</v>
      </c>
      <c r="E611">
        <v>1006</v>
      </c>
      <c r="F611" s="1">
        <v>44010</v>
      </c>
      <c r="G611" t="s">
        <v>96</v>
      </c>
      <c r="H611" s="4" t="s">
        <v>16</v>
      </c>
      <c r="I611" s="4">
        <v>-4207.8999999999996</v>
      </c>
      <c r="J611" s="4">
        <v>-4207.8999999999996</v>
      </c>
      <c r="K611" t="str">
        <f>VLOOKUP($C611,Table1[#All],2,FALSE)</f>
        <v>FOOD SERVICE</v>
      </c>
      <c r="L611" t="str">
        <f>VLOOKUP($C611,Table1[#All],3,FALSE)</f>
        <v xml:space="preserve">Transactions related to food and beverage service. Includes all guest transactions in the hotel restaurants, catering-related transactions and food service payroll. </v>
      </c>
      <c r="M611" t="str">
        <f>IFERROR(VLOOKUP($B611,ChartOfAccounts!A610:B695,2,FALSE),"")</f>
        <v/>
      </c>
      <c r="N611" t="str">
        <f>IFERROR(VLOOKUP($B611,ChartOfAccounts!C610:D695,2,FALSE),"")</f>
        <v/>
      </c>
      <c r="O611" t="str">
        <f>IFERROR(VLOOKUP($B611,ChartOfAccounts!E610:F695,2,FALSE),"")</f>
        <v/>
      </c>
      <c r="P611" t="str">
        <f>IFERROR(VLOOKUP(D611,PreparerInfo!A610:B622,2,FALSE),"")</f>
        <v/>
      </c>
      <c r="Q611" t="str">
        <f>IFERROR(VLOOKUP(E611,Source!A610:B618,2,FALSE),"")</f>
        <v/>
      </c>
    </row>
    <row r="612" spans="1:17" x14ac:dyDescent="0.3">
      <c r="A612" s="3">
        <v>2033825</v>
      </c>
      <c r="B612">
        <v>14260</v>
      </c>
      <c r="C612">
        <v>1</v>
      </c>
      <c r="D612" s="9">
        <v>101</v>
      </c>
      <c r="E612">
        <v>1002</v>
      </c>
      <c r="F612" s="1">
        <v>44010</v>
      </c>
      <c r="G612" t="s">
        <v>38</v>
      </c>
      <c r="H612" s="4">
        <v>4248.3599999999997</v>
      </c>
      <c r="I612" s="4" t="s">
        <v>16</v>
      </c>
      <c r="J612" s="4">
        <v>4248.3599999999997</v>
      </c>
      <c r="K612" t="str">
        <f>VLOOKUP($C612,Table1[#All],2,FALSE)</f>
        <v>FOOD SERVICE</v>
      </c>
      <c r="L612" t="str">
        <f>VLOOKUP($C612,Table1[#All],3,FALSE)</f>
        <v xml:space="preserve">Transactions related to food and beverage service. Includes all guest transactions in the hotel restaurants, catering-related transactions and food service payroll. </v>
      </c>
      <c r="M612" t="str">
        <f>IFERROR(VLOOKUP($B612,ChartOfAccounts!A611:B696,2,FALSE),"")</f>
        <v/>
      </c>
      <c r="N612" t="str">
        <f>IFERROR(VLOOKUP($B612,ChartOfAccounts!C611:D696,2,FALSE),"")</f>
        <v/>
      </c>
      <c r="O612" t="str">
        <f>IFERROR(VLOOKUP($B612,ChartOfAccounts!E611:F696,2,FALSE),"")</f>
        <v/>
      </c>
      <c r="P612" t="str">
        <f>IFERROR(VLOOKUP(D612,PreparerInfo!A611:B623,2,FALSE),"")</f>
        <v/>
      </c>
      <c r="Q612" t="str">
        <f>IFERROR(VLOOKUP(E612,Source!A611:B619,2,FALSE),"")</f>
        <v/>
      </c>
    </row>
    <row r="613" spans="1:17" x14ac:dyDescent="0.3">
      <c r="A613" s="3">
        <v>2033825</v>
      </c>
      <c r="B613">
        <v>11845</v>
      </c>
      <c r="C613">
        <v>1</v>
      </c>
      <c r="D613" s="9">
        <v>101</v>
      </c>
      <c r="E613">
        <v>1002</v>
      </c>
      <c r="F613" s="1">
        <v>44010</v>
      </c>
      <c r="G613" t="s">
        <v>38</v>
      </c>
      <c r="H613" s="4" t="s">
        <v>16</v>
      </c>
      <c r="I613" s="4">
        <v>-4248.3599999999997</v>
      </c>
      <c r="J613" s="4">
        <v>-4248.3599999999997</v>
      </c>
      <c r="K613" t="str">
        <f>VLOOKUP($C613,Table1[#All],2,FALSE)</f>
        <v>FOOD SERVICE</v>
      </c>
      <c r="L613" t="str">
        <f>VLOOKUP($C613,Table1[#All],3,FALSE)</f>
        <v xml:space="preserve">Transactions related to food and beverage service. Includes all guest transactions in the hotel restaurants, catering-related transactions and food service payroll. </v>
      </c>
      <c r="M613" t="str">
        <f>IFERROR(VLOOKUP($B613,ChartOfAccounts!A612:B697,2,FALSE),"")</f>
        <v/>
      </c>
      <c r="N613" t="str">
        <f>IFERROR(VLOOKUP($B613,ChartOfAccounts!C612:D697,2,FALSE),"")</f>
        <v/>
      </c>
      <c r="O613" t="str">
        <f>IFERROR(VLOOKUP($B613,ChartOfAccounts!E612:F697,2,FALSE),"")</f>
        <v/>
      </c>
      <c r="P613" t="str">
        <f>IFERROR(VLOOKUP(D613,PreparerInfo!A612:B624,2,FALSE),"")</f>
        <v/>
      </c>
      <c r="Q613" t="str">
        <f>IFERROR(VLOOKUP(E613,Source!A612:B620,2,FALSE),"")</f>
        <v/>
      </c>
    </row>
    <row r="614" spans="1:17" x14ac:dyDescent="0.3">
      <c r="A614" s="3">
        <v>2033826</v>
      </c>
      <c r="B614">
        <v>51610</v>
      </c>
      <c r="C614">
        <v>1</v>
      </c>
      <c r="D614" s="9">
        <v>105</v>
      </c>
      <c r="E614">
        <v>1006</v>
      </c>
      <c r="F614" s="1">
        <v>44010</v>
      </c>
      <c r="G614" t="s">
        <v>97</v>
      </c>
      <c r="H614" s="4">
        <v>4362</v>
      </c>
      <c r="I614" s="4" t="s">
        <v>16</v>
      </c>
      <c r="J614" s="4">
        <v>4362</v>
      </c>
      <c r="K614" t="str">
        <f>VLOOKUP($C614,Table1[#All],2,FALSE)</f>
        <v>FOOD SERVICE</v>
      </c>
      <c r="L614" t="str">
        <f>VLOOKUP($C614,Table1[#All],3,FALSE)</f>
        <v xml:space="preserve">Transactions related to food and beverage service. Includes all guest transactions in the hotel restaurants, catering-related transactions and food service payroll. </v>
      </c>
      <c r="M614" t="str">
        <f>IFERROR(VLOOKUP($B614,ChartOfAccounts!A613:B698,2,FALSE),"")</f>
        <v/>
      </c>
      <c r="N614" t="str">
        <f>IFERROR(VLOOKUP($B614,ChartOfAccounts!C613:D698,2,FALSE),"")</f>
        <v/>
      </c>
      <c r="O614" t="str">
        <f>IFERROR(VLOOKUP($B614,ChartOfAccounts!E613:F698,2,FALSE),"")</f>
        <v/>
      </c>
      <c r="P614" t="str">
        <f>IFERROR(VLOOKUP(D614,PreparerInfo!A613:B625,2,FALSE),"")</f>
        <v/>
      </c>
      <c r="Q614" t="str">
        <f>IFERROR(VLOOKUP(E614,Source!A613:B621,2,FALSE),"")</f>
        <v/>
      </c>
    </row>
    <row r="615" spans="1:17" x14ac:dyDescent="0.3">
      <c r="A615" s="3">
        <v>2033826</v>
      </c>
      <c r="B615">
        <v>22110</v>
      </c>
      <c r="C615">
        <v>1</v>
      </c>
      <c r="D615" s="9">
        <v>105</v>
      </c>
      <c r="E615">
        <v>1006</v>
      </c>
      <c r="F615" s="1">
        <v>44010</v>
      </c>
      <c r="G615" t="s">
        <v>97</v>
      </c>
      <c r="H615" s="4" t="s">
        <v>16</v>
      </c>
      <c r="I615" s="4">
        <v>-4362</v>
      </c>
      <c r="J615" s="4">
        <v>-4362</v>
      </c>
      <c r="K615" t="str">
        <f>VLOOKUP($C615,Table1[#All],2,FALSE)</f>
        <v>FOOD SERVICE</v>
      </c>
      <c r="L615" t="str">
        <f>VLOOKUP($C615,Table1[#All],3,FALSE)</f>
        <v xml:space="preserve">Transactions related to food and beverage service. Includes all guest transactions in the hotel restaurants, catering-related transactions and food service payroll. </v>
      </c>
      <c r="M615" t="str">
        <f>IFERROR(VLOOKUP($B615,ChartOfAccounts!A614:B699,2,FALSE),"")</f>
        <v/>
      </c>
      <c r="N615" t="str">
        <f>IFERROR(VLOOKUP($B615,ChartOfAccounts!C614:D699,2,FALSE),"")</f>
        <v/>
      </c>
      <c r="O615" t="str">
        <f>IFERROR(VLOOKUP($B615,ChartOfAccounts!E614:F699,2,FALSE),"")</f>
        <v/>
      </c>
      <c r="P615" t="str">
        <f>IFERROR(VLOOKUP(D615,PreparerInfo!A614:B626,2,FALSE),"")</f>
        <v/>
      </c>
      <c r="Q615" t="str">
        <f>IFERROR(VLOOKUP(E615,Source!A614:B622,2,FALSE),"")</f>
        <v/>
      </c>
    </row>
    <row r="616" spans="1:17" x14ac:dyDescent="0.3">
      <c r="A616" s="3">
        <v>2033827</v>
      </c>
      <c r="B616">
        <v>14260</v>
      </c>
      <c r="C616">
        <v>1</v>
      </c>
      <c r="D616" s="9">
        <v>101</v>
      </c>
      <c r="E616">
        <v>1002</v>
      </c>
      <c r="F616" s="1">
        <v>44010</v>
      </c>
      <c r="G616" t="s">
        <v>38</v>
      </c>
      <c r="H616" s="4">
        <v>5100.79</v>
      </c>
      <c r="I616" s="4" t="s">
        <v>16</v>
      </c>
      <c r="J616" s="4">
        <v>5100.79</v>
      </c>
      <c r="K616" t="str">
        <f>VLOOKUP($C616,Table1[#All],2,FALSE)</f>
        <v>FOOD SERVICE</v>
      </c>
      <c r="L616" t="str">
        <f>VLOOKUP($C616,Table1[#All],3,FALSE)</f>
        <v xml:space="preserve">Transactions related to food and beverage service. Includes all guest transactions in the hotel restaurants, catering-related transactions and food service payroll. </v>
      </c>
      <c r="M616" t="str">
        <f>IFERROR(VLOOKUP($B616,ChartOfAccounts!A615:B700,2,FALSE),"")</f>
        <v/>
      </c>
      <c r="N616" t="str">
        <f>IFERROR(VLOOKUP($B616,ChartOfAccounts!C615:D700,2,FALSE),"")</f>
        <v/>
      </c>
      <c r="O616" t="str">
        <f>IFERROR(VLOOKUP($B616,ChartOfAccounts!E615:F700,2,FALSE),"")</f>
        <v/>
      </c>
      <c r="P616" t="str">
        <f>IFERROR(VLOOKUP(D616,PreparerInfo!A615:B627,2,FALSE),"")</f>
        <v/>
      </c>
      <c r="Q616" t="str">
        <f>IFERROR(VLOOKUP(E616,Source!A615:B623,2,FALSE),"")</f>
        <v/>
      </c>
    </row>
    <row r="617" spans="1:17" x14ac:dyDescent="0.3">
      <c r="A617" s="3">
        <v>2033827</v>
      </c>
      <c r="B617">
        <v>11845</v>
      </c>
      <c r="C617">
        <v>1</v>
      </c>
      <c r="D617" s="9">
        <v>101</v>
      </c>
      <c r="E617">
        <v>1002</v>
      </c>
      <c r="F617" s="1">
        <v>44010</v>
      </c>
      <c r="G617" t="s">
        <v>38</v>
      </c>
      <c r="H617" s="4" t="s">
        <v>16</v>
      </c>
      <c r="I617" s="4">
        <v>-5100.79</v>
      </c>
      <c r="J617" s="4">
        <v>-5100.79</v>
      </c>
      <c r="K617" t="str">
        <f>VLOOKUP($C617,Table1[#All],2,FALSE)</f>
        <v>FOOD SERVICE</v>
      </c>
      <c r="L617" t="str">
        <f>VLOOKUP($C617,Table1[#All],3,FALSE)</f>
        <v xml:space="preserve">Transactions related to food and beverage service. Includes all guest transactions in the hotel restaurants, catering-related transactions and food service payroll. </v>
      </c>
      <c r="M617" t="str">
        <f>IFERROR(VLOOKUP($B617,ChartOfAccounts!A616:B701,2,FALSE),"")</f>
        <v/>
      </c>
      <c r="N617" t="str">
        <f>IFERROR(VLOOKUP($B617,ChartOfAccounts!C616:D701,2,FALSE),"")</f>
        <v/>
      </c>
      <c r="O617" t="str">
        <f>IFERROR(VLOOKUP($B617,ChartOfAccounts!E616:F701,2,FALSE),"")</f>
        <v/>
      </c>
      <c r="P617" t="str">
        <f>IFERROR(VLOOKUP(D617,PreparerInfo!A616:B628,2,FALSE),"")</f>
        <v/>
      </c>
      <c r="Q617" t="str">
        <f>IFERROR(VLOOKUP(E617,Source!A616:B624,2,FALSE),"")</f>
        <v/>
      </c>
    </row>
    <row r="618" spans="1:17" x14ac:dyDescent="0.3">
      <c r="A618" s="3">
        <v>2033828</v>
      </c>
      <c r="B618">
        <v>11845</v>
      </c>
      <c r="C618">
        <v>2</v>
      </c>
      <c r="D618" s="9">
        <v>104</v>
      </c>
      <c r="E618">
        <v>1003</v>
      </c>
      <c r="F618" s="1">
        <v>44010</v>
      </c>
      <c r="G618" t="s">
        <v>15</v>
      </c>
      <c r="H618" s="4">
        <v>5129</v>
      </c>
      <c r="I618" s="4" t="s">
        <v>16</v>
      </c>
      <c r="J618" s="4">
        <v>5129</v>
      </c>
      <c r="K618" t="str">
        <f>VLOOKUP($C618,Table1[#All],2,FALSE)</f>
        <v>HOTEL</v>
      </c>
      <c r="L618" t="str">
        <f>VLOOKUP($C618,Table1[#All],3,FALSE)</f>
        <v xml:space="preserve">Transactions related to guest rooms and overall hotel operations. Includes payroll for administrative staff, clerks and interns. </v>
      </c>
      <c r="M618" t="str">
        <f>IFERROR(VLOOKUP($B618,ChartOfAccounts!A617:B702,2,FALSE),"")</f>
        <v/>
      </c>
      <c r="N618" t="str">
        <f>IFERROR(VLOOKUP($B618,ChartOfAccounts!C617:D702,2,FALSE),"")</f>
        <v/>
      </c>
      <c r="O618" t="str">
        <f>IFERROR(VLOOKUP($B618,ChartOfAccounts!E617:F702,2,FALSE),"")</f>
        <v/>
      </c>
      <c r="P618" t="str">
        <f>IFERROR(VLOOKUP(D618,PreparerInfo!A617:B629,2,FALSE),"")</f>
        <v/>
      </c>
      <c r="Q618" t="str">
        <f>IFERROR(VLOOKUP(E618,Source!A617:B625,2,FALSE),"")</f>
        <v/>
      </c>
    </row>
    <row r="619" spans="1:17" x14ac:dyDescent="0.3">
      <c r="A619" s="3">
        <v>2033828</v>
      </c>
      <c r="B619">
        <v>43180</v>
      </c>
      <c r="C619">
        <v>2</v>
      </c>
      <c r="D619" s="9">
        <v>104</v>
      </c>
      <c r="E619">
        <v>1003</v>
      </c>
      <c r="F619" s="1">
        <v>44010</v>
      </c>
      <c r="G619" t="s">
        <v>15</v>
      </c>
      <c r="H619" s="4" t="s">
        <v>16</v>
      </c>
      <c r="I619" s="4">
        <v>-5129</v>
      </c>
      <c r="J619" s="4">
        <v>-5129</v>
      </c>
      <c r="K619" t="str">
        <f>VLOOKUP($C619,Table1[#All],2,FALSE)</f>
        <v>HOTEL</v>
      </c>
      <c r="L619" t="str">
        <f>VLOOKUP($C619,Table1[#All],3,FALSE)</f>
        <v xml:space="preserve">Transactions related to guest rooms and overall hotel operations. Includes payroll for administrative staff, clerks and interns. </v>
      </c>
      <c r="M619" t="str">
        <f>IFERROR(VLOOKUP($B619,ChartOfAccounts!A618:B703,2,FALSE),"")</f>
        <v/>
      </c>
      <c r="N619" t="str">
        <f>IFERROR(VLOOKUP($B619,ChartOfAccounts!C618:D703,2,FALSE),"")</f>
        <v/>
      </c>
      <c r="O619" t="str">
        <f>IFERROR(VLOOKUP($B619,ChartOfAccounts!E618:F703,2,FALSE),"")</f>
        <v/>
      </c>
      <c r="P619" t="str">
        <f>IFERROR(VLOOKUP(D619,PreparerInfo!A618:B630,2,FALSE),"")</f>
        <v/>
      </c>
      <c r="Q619" t="str">
        <f>IFERROR(VLOOKUP(E619,Source!A618:B626,2,FALSE),"")</f>
        <v/>
      </c>
    </row>
    <row r="620" spans="1:17" x14ac:dyDescent="0.3">
      <c r="A620" s="3">
        <v>2033829</v>
      </c>
      <c r="B620">
        <v>51110</v>
      </c>
      <c r="C620">
        <v>4</v>
      </c>
      <c r="D620" s="9">
        <v>105</v>
      </c>
      <c r="E620">
        <v>1004</v>
      </c>
      <c r="F620" s="1">
        <v>44010</v>
      </c>
      <c r="G620" t="s">
        <v>100</v>
      </c>
      <c r="H620" s="4">
        <v>7178.83</v>
      </c>
      <c r="I620" s="4" t="s">
        <v>16</v>
      </c>
      <c r="J620" s="4">
        <v>7178.83</v>
      </c>
      <c r="K620" t="str">
        <f>VLOOKUP($C620,Table1[#All],2,FALSE)</f>
        <v>HOUSEKEEPING</v>
      </c>
      <c r="L620" t="str">
        <f>VLOOKUP($C620,Table1[#All],3,FALSE)</f>
        <v xml:space="preserve">Transactions related to the Housekeeping Department. Primarily includes payroll for housekeepers and housekeeping supplies. </v>
      </c>
      <c r="M620" t="str">
        <f>IFERROR(VLOOKUP($B620,ChartOfAccounts!A619:B704,2,FALSE),"")</f>
        <v/>
      </c>
      <c r="N620" t="str">
        <f>IFERROR(VLOOKUP($B620,ChartOfAccounts!C619:D704,2,FALSE),"")</f>
        <v/>
      </c>
      <c r="O620" t="str">
        <f>IFERROR(VLOOKUP($B620,ChartOfAccounts!E619:F704,2,FALSE),"")</f>
        <v/>
      </c>
      <c r="P620" t="str">
        <f>IFERROR(VLOOKUP(D620,PreparerInfo!A619:B631,2,FALSE),"")</f>
        <v/>
      </c>
      <c r="Q620" t="str">
        <f>IFERROR(VLOOKUP(E620,Source!A619:B627,2,FALSE),"")</f>
        <v/>
      </c>
    </row>
    <row r="621" spans="1:17" x14ac:dyDescent="0.3">
      <c r="A621" s="3">
        <v>2033829</v>
      </c>
      <c r="B621">
        <v>11845</v>
      </c>
      <c r="C621">
        <v>4</v>
      </c>
      <c r="D621" s="9">
        <v>105</v>
      </c>
      <c r="E621">
        <v>1004</v>
      </c>
      <c r="F621" s="1">
        <v>44010</v>
      </c>
      <c r="G621" t="s">
        <v>100</v>
      </c>
      <c r="H621" s="4" t="s">
        <v>16</v>
      </c>
      <c r="I621" s="4">
        <v>-7178.83</v>
      </c>
      <c r="J621" s="4">
        <v>-7178.83</v>
      </c>
      <c r="K621" t="str">
        <f>VLOOKUP($C621,Table1[#All],2,FALSE)</f>
        <v>HOUSEKEEPING</v>
      </c>
      <c r="L621" t="str">
        <f>VLOOKUP($C621,Table1[#All],3,FALSE)</f>
        <v xml:space="preserve">Transactions related to the Housekeeping Department. Primarily includes payroll for housekeepers and housekeeping supplies. </v>
      </c>
      <c r="M621" t="str">
        <f>IFERROR(VLOOKUP($B621,ChartOfAccounts!A620:B705,2,FALSE),"")</f>
        <v/>
      </c>
      <c r="N621" t="str">
        <f>IFERROR(VLOOKUP($B621,ChartOfAccounts!C620:D705,2,FALSE),"")</f>
        <v/>
      </c>
      <c r="O621" t="str">
        <f>IFERROR(VLOOKUP($B621,ChartOfAccounts!E620:F705,2,FALSE),"")</f>
        <v/>
      </c>
      <c r="P621" t="str">
        <f>IFERROR(VLOOKUP(D621,PreparerInfo!A620:B632,2,FALSE),"")</f>
        <v/>
      </c>
      <c r="Q621" t="str">
        <f>IFERROR(VLOOKUP(E621,Source!A620:B628,2,FALSE),"")</f>
        <v/>
      </c>
    </row>
    <row r="622" spans="1:17" x14ac:dyDescent="0.3">
      <c r="A622" s="3">
        <v>2033830</v>
      </c>
      <c r="B622">
        <v>51110</v>
      </c>
      <c r="C622">
        <v>2</v>
      </c>
      <c r="D622" s="9">
        <v>105</v>
      </c>
      <c r="E622">
        <v>1004</v>
      </c>
      <c r="F622" s="1">
        <v>44010</v>
      </c>
      <c r="G622" t="s">
        <v>100</v>
      </c>
      <c r="H622" s="4">
        <v>12673.75</v>
      </c>
      <c r="I622" s="4" t="s">
        <v>16</v>
      </c>
      <c r="J622" s="4">
        <v>12673.75</v>
      </c>
      <c r="K622" t="str">
        <f>VLOOKUP($C622,Table1[#All],2,FALSE)</f>
        <v>HOTEL</v>
      </c>
      <c r="L622" t="str">
        <f>VLOOKUP($C622,Table1[#All],3,FALSE)</f>
        <v xml:space="preserve">Transactions related to guest rooms and overall hotel operations. Includes payroll for administrative staff, clerks and interns. </v>
      </c>
      <c r="M622" t="str">
        <f>IFERROR(VLOOKUP($B622,ChartOfAccounts!A621:B706,2,FALSE),"")</f>
        <v/>
      </c>
      <c r="N622" t="str">
        <f>IFERROR(VLOOKUP($B622,ChartOfAccounts!C621:D706,2,FALSE),"")</f>
        <v/>
      </c>
      <c r="O622" t="str">
        <f>IFERROR(VLOOKUP($B622,ChartOfAccounts!E621:F706,2,FALSE),"")</f>
        <v/>
      </c>
      <c r="P622" t="str">
        <f>IFERROR(VLOOKUP(D622,PreparerInfo!A621:B633,2,FALSE),"")</f>
        <v/>
      </c>
      <c r="Q622" t="str">
        <f>IFERROR(VLOOKUP(E622,Source!A621:B629,2,FALSE),"")</f>
        <v/>
      </c>
    </row>
    <row r="623" spans="1:17" x14ac:dyDescent="0.3">
      <c r="A623" s="3">
        <v>2033830</v>
      </c>
      <c r="B623">
        <v>11845</v>
      </c>
      <c r="C623">
        <v>2</v>
      </c>
      <c r="D623" s="9">
        <v>105</v>
      </c>
      <c r="E623">
        <v>1004</v>
      </c>
      <c r="F623" s="1">
        <v>44010</v>
      </c>
      <c r="G623" t="s">
        <v>100</v>
      </c>
      <c r="H623" s="4" t="s">
        <v>16</v>
      </c>
      <c r="I623" s="4">
        <v>-12673.75</v>
      </c>
      <c r="J623" s="4">
        <v>-12673.75</v>
      </c>
      <c r="K623" t="str">
        <f>VLOOKUP($C623,Table1[#All],2,FALSE)</f>
        <v>HOTEL</v>
      </c>
      <c r="L623" t="str">
        <f>VLOOKUP($C623,Table1[#All],3,FALSE)</f>
        <v xml:space="preserve">Transactions related to guest rooms and overall hotel operations. Includes payroll for administrative staff, clerks and interns. </v>
      </c>
      <c r="M623" t="str">
        <f>IFERROR(VLOOKUP($B623,ChartOfAccounts!A622:B707,2,FALSE),"")</f>
        <v/>
      </c>
      <c r="N623" t="str">
        <f>IFERROR(VLOOKUP($B623,ChartOfAccounts!C622:D707,2,FALSE),"")</f>
        <v/>
      </c>
      <c r="O623" t="str">
        <f>IFERROR(VLOOKUP($B623,ChartOfAccounts!E622:F707,2,FALSE),"")</f>
        <v/>
      </c>
      <c r="P623" t="str">
        <f>IFERROR(VLOOKUP(D623,PreparerInfo!A622:B634,2,FALSE),"")</f>
        <v/>
      </c>
      <c r="Q623" t="str">
        <f>IFERROR(VLOOKUP(E623,Source!A622:B630,2,FALSE),"")</f>
        <v/>
      </c>
    </row>
    <row r="624" spans="1:17" x14ac:dyDescent="0.3">
      <c r="A624" s="3">
        <v>2033831</v>
      </c>
      <c r="B624">
        <v>51110</v>
      </c>
      <c r="C624">
        <v>1</v>
      </c>
      <c r="D624" s="9">
        <v>105</v>
      </c>
      <c r="E624">
        <v>1004</v>
      </c>
      <c r="F624" s="1">
        <v>44010</v>
      </c>
      <c r="G624" t="s">
        <v>100</v>
      </c>
      <c r="H624" s="4">
        <v>63161.04</v>
      </c>
      <c r="I624" s="4" t="s">
        <v>16</v>
      </c>
      <c r="J624" s="4">
        <v>63161.04</v>
      </c>
      <c r="K624" t="str">
        <f>VLOOKUP($C624,Table1[#All],2,FALSE)</f>
        <v>FOOD SERVICE</v>
      </c>
      <c r="L624" t="str">
        <f>VLOOKUP($C624,Table1[#All],3,FALSE)</f>
        <v xml:space="preserve">Transactions related to food and beverage service. Includes all guest transactions in the hotel restaurants, catering-related transactions and food service payroll. </v>
      </c>
      <c r="M624" t="str">
        <f>IFERROR(VLOOKUP($B624,ChartOfAccounts!A623:B708,2,FALSE),"")</f>
        <v/>
      </c>
      <c r="N624" t="str">
        <f>IFERROR(VLOOKUP($B624,ChartOfAccounts!C623:D708,2,FALSE),"")</f>
        <v/>
      </c>
      <c r="O624" t="str">
        <f>IFERROR(VLOOKUP($B624,ChartOfAccounts!E623:F708,2,FALSE),"")</f>
        <v/>
      </c>
      <c r="P624" t="str">
        <f>IFERROR(VLOOKUP(D624,PreparerInfo!A623:B635,2,FALSE),"")</f>
        <v/>
      </c>
      <c r="Q624" t="str">
        <f>IFERROR(VLOOKUP(E624,Source!A623:B631,2,FALSE),"")</f>
        <v/>
      </c>
    </row>
    <row r="625" spans="1:17" x14ac:dyDescent="0.3">
      <c r="A625" s="3">
        <v>2033831</v>
      </c>
      <c r="B625">
        <v>11845</v>
      </c>
      <c r="C625">
        <v>1</v>
      </c>
      <c r="D625" s="9">
        <v>105</v>
      </c>
      <c r="E625">
        <v>1004</v>
      </c>
      <c r="F625" s="1">
        <v>44010</v>
      </c>
      <c r="G625" t="s">
        <v>100</v>
      </c>
      <c r="H625" s="4" t="s">
        <v>16</v>
      </c>
      <c r="I625" s="4">
        <v>-63161.04</v>
      </c>
      <c r="J625" s="4">
        <v>-63161.04</v>
      </c>
      <c r="K625" t="str">
        <f>VLOOKUP($C625,Table1[#All],2,FALSE)</f>
        <v>FOOD SERVICE</v>
      </c>
      <c r="L625" t="str">
        <f>VLOOKUP($C625,Table1[#All],3,FALSE)</f>
        <v xml:space="preserve">Transactions related to food and beverage service. Includes all guest transactions in the hotel restaurants, catering-related transactions and food service payroll. </v>
      </c>
      <c r="M625" t="str">
        <f>IFERROR(VLOOKUP($B625,ChartOfAccounts!A624:B709,2,FALSE),"")</f>
        <v/>
      </c>
      <c r="N625" t="str">
        <f>IFERROR(VLOOKUP($B625,ChartOfAccounts!C624:D709,2,FALSE),"")</f>
        <v/>
      </c>
      <c r="O625" t="str">
        <f>IFERROR(VLOOKUP($B625,ChartOfAccounts!E624:F709,2,FALSE),"")</f>
        <v/>
      </c>
      <c r="P625" t="str">
        <f>IFERROR(VLOOKUP(D625,PreparerInfo!A624:B636,2,FALSE),"")</f>
        <v/>
      </c>
      <c r="Q625" t="str">
        <f>IFERROR(VLOOKUP(E625,Source!A624:B632,2,FALSE),"")</f>
        <v/>
      </c>
    </row>
    <row r="626" spans="1:17" x14ac:dyDescent="0.3">
      <c r="A626" s="3">
        <v>2033832</v>
      </c>
      <c r="B626">
        <v>11845</v>
      </c>
      <c r="C626">
        <v>3</v>
      </c>
      <c r="D626" s="9">
        <v>102</v>
      </c>
      <c r="E626">
        <v>1003</v>
      </c>
      <c r="F626" s="1">
        <v>44011</v>
      </c>
      <c r="G626" t="s">
        <v>15</v>
      </c>
      <c r="H626" s="4">
        <v>13.93</v>
      </c>
      <c r="I626" s="4" t="s">
        <v>16</v>
      </c>
      <c r="J626" s="4">
        <v>13.93</v>
      </c>
      <c r="K626" t="str">
        <f>VLOOKUP($C626,Table1[#All],2,FALSE)</f>
        <v>HOTEL PANTRY</v>
      </c>
      <c r="L626" t="str">
        <f>VLOOKUP($C626,Table1[#All],3,FALSE)</f>
        <v>Transactions related to the hotel convenience store, including some food and beverage costs.</v>
      </c>
      <c r="M626" t="str">
        <f>IFERROR(VLOOKUP($B626,ChartOfAccounts!A625:B710,2,FALSE),"")</f>
        <v/>
      </c>
      <c r="N626" t="str">
        <f>IFERROR(VLOOKUP($B626,ChartOfAccounts!C625:D710,2,FALSE),"")</f>
        <v/>
      </c>
      <c r="O626" t="str">
        <f>IFERROR(VLOOKUP($B626,ChartOfAccounts!E625:F710,2,FALSE),"")</f>
        <v/>
      </c>
      <c r="P626" t="str">
        <f>IFERROR(VLOOKUP(D626,PreparerInfo!A625:B637,2,FALSE),"")</f>
        <v/>
      </c>
      <c r="Q626" t="str">
        <f>IFERROR(VLOOKUP(E626,Source!A625:B633,2,FALSE),"")</f>
        <v/>
      </c>
    </row>
    <row r="627" spans="1:17" x14ac:dyDescent="0.3">
      <c r="A627" s="3">
        <v>2033832</v>
      </c>
      <c r="B627">
        <v>43440</v>
      </c>
      <c r="C627">
        <v>3</v>
      </c>
      <c r="D627" s="9">
        <v>102</v>
      </c>
      <c r="E627">
        <v>1003</v>
      </c>
      <c r="F627" s="1">
        <v>44011</v>
      </c>
      <c r="G627" t="s">
        <v>15</v>
      </c>
      <c r="H627" s="4" t="s">
        <v>16</v>
      </c>
      <c r="I627" s="4">
        <v>-13.93</v>
      </c>
      <c r="J627" s="4">
        <v>-13.93</v>
      </c>
      <c r="K627" t="str">
        <f>VLOOKUP($C627,Table1[#All],2,FALSE)</f>
        <v>HOTEL PANTRY</v>
      </c>
      <c r="L627" t="str">
        <f>VLOOKUP($C627,Table1[#All],3,FALSE)</f>
        <v>Transactions related to the hotel convenience store, including some food and beverage costs.</v>
      </c>
      <c r="M627" t="str">
        <f>IFERROR(VLOOKUP($B627,ChartOfAccounts!A626:B711,2,FALSE),"")</f>
        <v/>
      </c>
      <c r="N627" t="str">
        <f>IFERROR(VLOOKUP($B627,ChartOfAccounts!C626:D711,2,FALSE),"")</f>
        <v/>
      </c>
      <c r="O627" t="str">
        <f>IFERROR(VLOOKUP($B627,ChartOfAccounts!E626:F711,2,FALSE),"")</f>
        <v/>
      </c>
      <c r="P627" t="str">
        <f>IFERROR(VLOOKUP(D627,PreparerInfo!A626:B638,2,FALSE),"")</f>
        <v/>
      </c>
      <c r="Q627" t="str">
        <f>IFERROR(VLOOKUP(E627,Source!A626:B634,2,FALSE),"")</f>
        <v/>
      </c>
    </row>
    <row r="628" spans="1:17" x14ac:dyDescent="0.3">
      <c r="A628" s="3">
        <v>2033833</v>
      </c>
      <c r="B628">
        <v>11845</v>
      </c>
      <c r="C628">
        <v>1</v>
      </c>
      <c r="D628" s="9">
        <v>102</v>
      </c>
      <c r="E628">
        <v>1003</v>
      </c>
      <c r="F628" s="1">
        <v>44011</v>
      </c>
      <c r="G628" t="s">
        <v>15</v>
      </c>
      <c r="H628" s="4">
        <v>53.63</v>
      </c>
      <c r="I628" s="4" t="s">
        <v>16</v>
      </c>
      <c r="J628" s="4">
        <v>53.63</v>
      </c>
      <c r="K628" t="str">
        <f>VLOOKUP($C628,Table1[#All],2,FALSE)</f>
        <v>FOOD SERVICE</v>
      </c>
      <c r="L628" t="str">
        <f>VLOOKUP($C628,Table1[#All],3,FALSE)</f>
        <v xml:space="preserve">Transactions related to food and beverage service. Includes all guest transactions in the hotel restaurants, catering-related transactions and food service payroll. </v>
      </c>
      <c r="M628" t="str">
        <f>IFERROR(VLOOKUP($B628,ChartOfAccounts!A627:B712,2,FALSE),"")</f>
        <v/>
      </c>
      <c r="N628" t="str">
        <f>IFERROR(VLOOKUP($B628,ChartOfAccounts!C627:D712,2,FALSE),"")</f>
        <v/>
      </c>
      <c r="O628" t="str">
        <f>IFERROR(VLOOKUP($B628,ChartOfAccounts!E627:F712,2,FALSE),"")</f>
        <v/>
      </c>
      <c r="P628" t="str">
        <f>IFERROR(VLOOKUP(D628,PreparerInfo!A627:B639,2,FALSE),"")</f>
        <v/>
      </c>
      <c r="Q628" t="str">
        <f>IFERROR(VLOOKUP(E628,Source!A627:B635,2,FALSE),"")</f>
        <v/>
      </c>
    </row>
    <row r="629" spans="1:17" x14ac:dyDescent="0.3">
      <c r="A629" s="3">
        <v>2033833</v>
      </c>
      <c r="B629">
        <v>43310</v>
      </c>
      <c r="C629">
        <v>1</v>
      </c>
      <c r="D629" s="9">
        <v>102</v>
      </c>
      <c r="E629">
        <v>1003</v>
      </c>
      <c r="F629" s="1">
        <v>44011</v>
      </c>
      <c r="G629" t="s">
        <v>15</v>
      </c>
      <c r="H629" s="4" t="s">
        <v>16</v>
      </c>
      <c r="I629" s="4">
        <v>-53.63</v>
      </c>
      <c r="J629" s="4">
        <v>-53.63</v>
      </c>
      <c r="K629" t="str">
        <f>VLOOKUP($C629,Table1[#All],2,FALSE)</f>
        <v>FOOD SERVICE</v>
      </c>
      <c r="L629" t="str">
        <f>VLOOKUP($C629,Table1[#All],3,FALSE)</f>
        <v xml:space="preserve">Transactions related to food and beverage service. Includes all guest transactions in the hotel restaurants, catering-related transactions and food service payroll. </v>
      </c>
      <c r="M629" t="str">
        <f>IFERROR(VLOOKUP($B629,ChartOfAccounts!A628:B713,2,FALSE),"")</f>
        <v/>
      </c>
      <c r="N629" t="str">
        <f>IFERROR(VLOOKUP($B629,ChartOfAccounts!C628:D713,2,FALSE),"")</f>
        <v/>
      </c>
      <c r="O629" t="str">
        <f>IFERROR(VLOOKUP($B629,ChartOfAccounts!E628:F713,2,FALSE),"")</f>
        <v/>
      </c>
      <c r="P629" t="str">
        <f>IFERROR(VLOOKUP(D629,PreparerInfo!A628:B640,2,FALSE),"")</f>
        <v/>
      </c>
      <c r="Q629" t="str">
        <f>IFERROR(VLOOKUP(E629,Source!A628:B636,2,FALSE),"")</f>
        <v/>
      </c>
    </row>
    <row r="630" spans="1:17" x14ac:dyDescent="0.3">
      <c r="A630" s="3">
        <v>2033834</v>
      </c>
      <c r="B630">
        <v>11845</v>
      </c>
      <c r="C630">
        <v>3</v>
      </c>
      <c r="D630" s="9">
        <v>102</v>
      </c>
      <c r="E630">
        <v>1001</v>
      </c>
      <c r="F630" s="1">
        <v>44011</v>
      </c>
      <c r="G630" t="s">
        <v>41</v>
      </c>
      <c r="H630" s="4">
        <v>68.92</v>
      </c>
      <c r="I630" s="4" t="s">
        <v>16</v>
      </c>
      <c r="J630" s="4">
        <v>68.92</v>
      </c>
      <c r="K630" t="str">
        <f>VLOOKUP($C630,Table1[#All],2,FALSE)</f>
        <v>HOTEL PANTRY</v>
      </c>
      <c r="L630" t="str">
        <f>VLOOKUP($C630,Table1[#All],3,FALSE)</f>
        <v>Transactions related to the hotel convenience store, including some food and beverage costs.</v>
      </c>
      <c r="M630" t="str">
        <f>IFERROR(VLOOKUP($B630,ChartOfAccounts!A629:B714,2,FALSE),"")</f>
        <v/>
      </c>
      <c r="N630" t="str">
        <f>IFERROR(VLOOKUP($B630,ChartOfAccounts!C629:D714,2,FALSE),"")</f>
        <v/>
      </c>
      <c r="O630" t="str">
        <f>IFERROR(VLOOKUP($B630,ChartOfAccounts!E629:F714,2,FALSE),"")</f>
        <v/>
      </c>
      <c r="P630" t="str">
        <f>IFERROR(VLOOKUP(D630,PreparerInfo!A629:B641,2,FALSE),"")</f>
        <v/>
      </c>
      <c r="Q630" t="str">
        <f>IFERROR(VLOOKUP(E630,Source!A629:B637,2,FALSE),"")</f>
        <v/>
      </c>
    </row>
    <row r="631" spans="1:17" x14ac:dyDescent="0.3">
      <c r="A631" s="3">
        <v>2033834</v>
      </c>
      <c r="B631">
        <v>43440</v>
      </c>
      <c r="C631">
        <v>3</v>
      </c>
      <c r="D631" s="9">
        <v>102</v>
      </c>
      <c r="E631">
        <v>1001</v>
      </c>
      <c r="F631" s="1">
        <v>44011</v>
      </c>
      <c r="G631" t="s">
        <v>41</v>
      </c>
      <c r="H631" s="4" t="s">
        <v>16</v>
      </c>
      <c r="I631" s="4">
        <v>-68.92</v>
      </c>
      <c r="J631" s="4">
        <v>-68.92</v>
      </c>
      <c r="K631" t="str">
        <f>VLOOKUP($C631,Table1[#All],2,FALSE)</f>
        <v>HOTEL PANTRY</v>
      </c>
      <c r="L631" t="str">
        <f>VLOOKUP($C631,Table1[#All],3,FALSE)</f>
        <v>Transactions related to the hotel convenience store, including some food and beverage costs.</v>
      </c>
      <c r="M631" t="str">
        <f>IFERROR(VLOOKUP($B631,ChartOfAccounts!A630:B715,2,FALSE),"")</f>
        <v/>
      </c>
      <c r="N631" t="str">
        <f>IFERROR(VLOOKUP($B631,ChartOfAccounts!C630:D715,2,FALSE),"")</f>
        <v/>
      </c>
      <c r="O631" t="str">
        <f>IFERROR(VLOOKUP($B631,ChartOfAccounts!E630:F715,2,FALSE),"")</f>
        <v/>
      </c>
      <c r="P631" t="str">
        <f>IFERROR(VLOOKUP(D631,PreparerInfo!A630:B642,2,FALSE),"")</f>
        <v/>
      </c>
      <c r="Q631" t="str">
        <f>IFERROR(VLOOKUP(E631,Source!A630:B638,2,FALSE),"")</f>
        <v/>
      </c>
    </row>
    <row r="632" spans="1:17" x14ac:dyDescent="0.3">
      <c r="A632" s="3">
        <v>2033835</v>
      </c>
      <c r="B632">
        <v>11845</v>
      </c>
      <c r="C632">
        <v>3</v>
      </c>
      <c r="D632" s="9">
        <v>102</v>
      </c>
      <c r="E632">
        <v>1003</v>
      </c>
      <c r="F632" s="1">
        <v>44011</v>
      </c>
      <c r="G632" t="s">
        <v>15</v>
      </c>
      <c r="H632" s="4">
        <v>74.84</v>
      </c>
      <c r="I632" s="4" t="s">
        <v>16</v>
      </c>
      <c r="J632" s="4">
        <v>74.84</v>
      </c>
      <c r="K632" t="str">
        <f>VLOOKUP($C632,Table1[#All],2,FALSE)</f>
        <v>HOTEL PANTRY</v>
      </c>
      <c r="L632" t="str">
        <f>VLOOKUP($C632,Table1[#All],3,FALSE)</f>
        <v>Transactions related to the hotel convenience store, including some food and beverage costs.</v>
      </c>
      <c r="M632" t="str">
        <f>IFERROR(VLOOKUP($B632,ChartOfAccounts!A631:B716,2,FALSE),"")</f>
        <v/>
      </c>
      <c r="N632" t="str">
        <f>IFERROR(VLOOKUP($B632,ChartOfAccounts!C631:D716,2,FALSE),"")</f>
        <v/>
      </c>
      <c r="O632" t="str">
        <f>IFERROR(VLOOKUP($B632,ChartOfAccounts!E631:F716,2,FALSE),"")</f>
        <v/>
      </c>
      <c r="P632" t="str">
        <f>IFERROR(VLOOKUP(D632,PreparerInfo!A631:B643,2,FALSE),"")</f>
        <v/>
      </c>
      <c r="Q632" t="str">
        <f>IFERROR(VLOOKUP(E632,Source!A631:B639,2,FALSE),"")</f>
        <v/>
      </c>
    </row>
    <row r="633" spans="1:17" x14ac:dyDescent="0.3">
      <c r="A633" s="3">
        <v>2033835</v>
      </c>
      <c r="B633">
        <v>43440</v>
      </c>
      <c r="C633">
        <v>3</v>
      </c>
      <c r="D633" s="9">
        <v>102</v>
      </c>
      <c r="E633">
        <v>1003</v>
      </c>
      <c r="F633" s="1">
        <v>44011</v>
      </c>
      <c r="G633" t="s">
        <v>15</v>
      </c>
      <c r="H633" s="4" t="s">
        <v>16</v>
      </c>
      <c r="I633" s="4">
        <v>-74.84</v>
      </c>
      <c r="J633" s="4">
        <v>-74.84</v>
      </c>
      <c r="K633" t="str">
        <f>VLOOKUP($C633,Table1[#All],2,FALSE)</f>
        <v>HOTEL PANTRY</v>
      </c>
      <c r="L633" t="str">
        <f>VLOOKUP($C633,Table1[#All],3,FALSE)</f>
        <v>Transactions related to the hotel convenience store, including some food and beverage costs.</v>
      </c>
      <c r="M633" t="str">
        <f>IFERROR(VLOOKUP($B633,ChartOfAccounts!A632:B717,2,FALSE),"")</f>
        <v/>
      </c>
      <c r="N633" t="str">
        <f>IFERROR(VLOOKUP($B633,ChartOfAccounts!C632:D717,2,FALSE),"")</f>
        <v/>
      </c>
      <c r="O633" t="str">
        <f>IFERROR(VLOOKUP($B633,ChartOfAccounts!E632:F717,2,FALSE),"")</f>
        <v/>
      </c>
      <c r="P633" t="str">
        <f>IFERROR(VLOOKUP(D633,PreparerInfo!A632:B644,2,FALSE),"")</f>
        <v/>
      </c>
      <c r="Q633" t="str">
        <f>IFERROR(VLOOKUP(E633,Source!A632:B640,2,FALSE),"")</f>
        <v/>
      </c>
    </row>
    <row r="634" spans="1:17" x14ac:dyDescent="0.3">
      <c r="A634" s="3">
        <v>2033836</v>
      </c>
      <c r="B634">
        <v>11845</v>
      </c>
      <c r="C634">
        <v>2</v>
      </c>
      <c r="D634" s="9">
        <v>104</v>
      </c>
      <c r="E634">
        <v>1003</v>
      </c>
      <c r="F634" s="1">
        <v>44011</v>
      </c>
      <c r="G634" t="s">
        <v>41</v>
      </c>
      <c r="H634" s="4">
        <v>109</v>
      </c>
      <c r="I634" s="4" t="s">
        <v>16</v>
      </c>
      <c r="J634" s="4">
        <v>109</v>
      </c>
      <c r="K634" t="str">
        <f>VLOOKUP($C634,Table1[#All],2,FALSE)</f>
        <v>HOTEL</v>
      </c>
      <c r="L634" t="str">
        <f>VLOOKUP($C634,Table1[#All],3,FALSE)</f>
        <v xml:space="preserve">Transactions related to guest rooms and overall hotel operations. Includes payroll for administrative staff, clerks and interns. </v>
      </c>
      <c r="M634" t="str">
        <f>IFERROR(VLOOKUP($B634,ChartOfAccounts!A633:B718,2,FALSE),"")</f>
        <v/>
      </c>
      <c r="N634" t="str">
        <f>IFERROR(VLOOKUP($B634,ChartOfAccounts!C633:D718,2,FALSE),"")</f>
        <v/>
      </c>
      <c r="O634" t="str">
        <f>IFERROR(VLOOKUP($B634,ChartOfAccounts!E633:F718,2,FALSE),"")</f>
        <v/>
      </c>
      <c r="P634" t="str">
        <f>IFERROR(VLOOKUP(D634,PreparerInfo!A633:B645,2,FALSE),"")</f>
        <v/>
      </c>
      <c r="Q634" t="str">
        <f>IFERROR(VLOOKUP(E634,Source!A633:B641,2,FALSE),"")</f>
        <v/>
      </c>
    </row>
    <row r="635" spans="1:17" x14ac:dyDescent="0.3">
      <c r="A635" s="3">
        <v>2033836</v>
      </c>
      <c r="B635">
        <v>43180</v>
      </c>
      <c r="C635">
        <v>2</v>
      </c>
      <c r="D635" s="9">
        <v>104</v>
      </c>
      <c r="E635">
        <v>1003</v>
      </c>
      <c r="F635" s="1">
        <v>44011</v>
      </c>
      <c r="G635" t="s">
        <v>41</v>
      </c>
      <c r="H635" s="4" t="s">
        <v>16</v>
      </c>
      <c r="I635" s="4">
        <v>-109</v>
      </c>
      <c r="J635" s="4">
        <v>-109</v>
      </c>
      <c r="K635" t="str">
        <f>VLOOKUP($C635,Table1[#All],2,FALSE)</f>
        <v>HOTEL</v>
      </c>
      <c r="L635" t="str">
        <f>VLOOKUP($C635,Table1[#All],3,FALSE)</f>
        <v xml:space="preserve">Transactions related to guest rooms and overall hotel operations. Includes payroll for administrative staff, clerks and interns. </v>
      </c>
      <c r="M635" t="str">
        <f>IFERROR(VLOOKUP($B635,ChartOfAccounts!A634:B719,2,FALSE),"")</f>
        <v/>
      </c>
      <c r="N635" t="str">
        <f>IFERROR(VLOOKUP($B635,ChartOfAccounts!C634:D719,2,FALSE),"")</f>
        <v/>
      </c>
      <c r="O635" t="str">
        <f>IFERROR(VLOOKUP($B635,ChartOfAccounts!E634:F719,2,FALSE),"")</f>
        <v/>
      </c>
      <c r="P635" t="str">
        <f>IFERROR(VLOOKUP(D635,PreparerInfo!A634:B646,2,FALSE),"")</f>
        <v/>
      </c>
      <c r="Q635" t="str">
        <f>IFERROR(VLOOKUP(E635,Source!A634:B642,2,FALSE),"")</f>
        <v/>
      </c>
    </row>
    <row r="636" spans="1:17" x14ac:dyDescent="0.3">
      <c r="A636" s="3">
        <v>2033837</v>
      </c>
      <c r="B636">
        <v>11845</v>
      </c>
      <c r="C636">
        <v>1</v>
      </c>
      <c r="D636" s="9">
        <v>102</v>
      </c>
      <c r="E636">
        <v>1003</v>
      </c>
      <c r="F636" s="1">
        <v>44011</v>
      </c>
      <c r="G636" t="s">
        <v>15</v>
      </c>
      <c r="H636" s="4">
        <v>115.63</v>
      </c>
      <c r="I636" s="4" t="s">
        <v>16</v>
      </c>
      <c r="J636" s="4">
        <v>115.63</v>
      </c>
      <c r="K636" t="str">
        <f>VLOOKUP($C636,Table1[#All],2,FALSE)</f>
        <v>FOOD SERVICE</v>
      </c>
      <c r="L636" t="str">
        <f>VLOOKUP($C636,Table1[#All],3,FALSE)</f>
        <v xml:space="preserve">Transactions related to food and beverage service. Includes all guest transactions in the hotel restaurants, catering-related transactions and food service payroll. </v>
      </c>
      <c r="M636" t="str">
        <f>IFERROR(VLOOKUP($B636,ChartOfAccounts!A635:B720,2,FALSE),"")</f>
        <v/>
      </c>
      <c r="N636" t="str">
        <f>IFERROR(VLOOKUP($B636,ChartOfAccounts!C635:D720,2,FALSE),"")</f>
        <v/>
      </c>
      <c r="O636" t="str">
        <f>IFERROR(VLOOKUP($B636,ChartOfAccounts!E635:F720,2,FALSE),"")</f>
        <v/>
      </c>
      <c r="P636" t="str">
        <f>IFERROR(VLOOKUP(D636,PreparerInfo!A635:B647,2,FALSE),"")</f>
        <v/>
      </c>
      <c r="Q636" t="str">
        <f>IFERROR(VLOOKUP(E636,Source!A635:B643,2,FALSE),"")</f>
        <v/>
      </c>
    </row>
    <row r="637" spans="1:17" x14ac:dyDescent="0.3">
      <c r="A637" s="3">
        <v>2033837</v>
      </c>
      <c r="B637">
        <v>43310</v>
      </c>
      <c r="C637">
        <v>1</v>
      </c>
      <c r="D637" s="9">
        <v>102</v>
      </c>
      <c r="E637">
        <v>1003</v>
      </c>
      <c r="F637" s="1">
        <v>44011</v>
      </c>
      <c r="G637" t="s">
        <v>15</v>
      </c>
      <c r="H637" s="4" t="s">
        <v>16</v>
      </c>
      <c r="I637" s="4">
        <v>-115.63</v>
      </c>
      <c r="J637" s="4">
        <v>-115.63</v>
      </c>
      <c r="K637" t="str">
        <f>VLOOKUP($C637,Table1[#All],2,FALSE)</f>
        <v>FOOD SERVICE</v>
      </c>
      <c r="L637" t="str">
        <f>VLOOKUP($C637,Table1[#All],3,FALSE)</f>
        <v xml:space="preserve">Transactions related to food and beverage service. Includes all guest transactions in the hotel restaurants, catering-related transactions and food service payroll. </v>
      </c>
      <c r="M637" t="str">
        <f>IFERROR(VLOOKUP($B637,ChartOfAccounts!A636:B721,2,FALSE),"")</f>
        <v/>
      </c>
      <c r="N637" t="str">
        <f>IFERROR(VLOOKUP($B637,ChartOfAccounts!C636:D721,2,FALSE),"")</f>
        <v/>
      </c>
      <c r="O637" t="str">
        <f>IFERROR(VLOOKUP($B637,ChartOfAccounts!E636:F721,2,FALSE),"")</f>
        <v/>
      </c>
      <c r="P637" t="str">
        <f>IFERROR(VLOOKUP(D637,PreparerInfo!A636:B648,2,FALSE),"")</f>
        <v/>
      </c>
      <c r="Q637" t="str">
        <f>IFERROR(VLOOKUP(E637,Source!A636:B644,2,FALSE),"")</f>
        <v/>
      </c>
    </row>
    <row r="638" spans="1:17" x14ac:dyDescent="0.3">
      <c r="A638" s="3">
        <v>2033838</v>
      </c>
      <c r="B638">
        <v>11845</v>
      </c>
      <c r="C638">
        <v>3</v>
      </c>
      <c r="D638" s="9">
        <v>102</v>
      </c>
      <c r="E638">
        <v>1003</v>
      </c>
      <c r="F638" s="1">
        <v>44011</v>
      </c>
      <c r="G638" t="s">
        <v>15</v>
      </c>
      <c r="H638" s="4">
        <v>154.6</v>
      </c>
      <c r="I638" s="4" t="s">
        <v>16</v>
      </c>
      <c r="J638" s="4">
        <v>154.6</v>
      </c>
      <c r="K638" t="str">
        <f>VLOOKUP($C638,Table1[#All],2,FALSE)</f>
        <v>HOTEL PANTRY</v>
      </c>
      <c r="L638" t="str">
        <f>VLOOKUP($C638,Table1[#All],3,FALSE)</f>
        <v>Transactions related to the hotel convenience store, including some food and beverage costs.</v>
      </c>
      <c r="M638" t="str">
        <f>IFERROR(VLOOKUP($B638,ChartOfAccounts!A637:B722,2,FALSE),"")</f>
        <v/>
      </c>
      <c r="N638" t="str">
        <f>IFERROR(VLOOKUP($B638,ChartOfAccounts!C637:D722,2,FALSE),"")</f>
        <v/>
      </c>
      <c r="O638" t="str">
        <f>IFERROR(VLOOKUP($B638,ChartOfAccounts!E637:F722,2,FALSE),"")</f>
        <v/>
      </c>
      <c r="P638" t="str">
        <f>IFERROR(VLOOKUP(D638,PreparerInfo!A637:B649,2,FALSE),"")</f>
        <v/>
      </c>
      <c r="Q638" t="str">
        <f>IFERROR(VLOOKUP(E638,Source!A637:B645,2,FALSE),"")</f>
        <v/>
      </c>
    </row>
    <row r="639" spans="1:17" x14ac:dyDescent="0.3">
      <c r="A639" s="3">
        <v>2033838</v>
      </c>
      <c r="B639">
        <v>43440</v>
      </c>
      <c r="C639">
        <v>3</v>
      </c>
      <c r="D639" s="9">
        <v>102</v>
      </c>
      <c r="E639">
        <v>1003</v>
      </c>
      <c r="F639" s="1">
        <v>44011</v>
      </c>
      <c r="G639" t="s">
        <v>15</v>
      </c>
      <c r="H639" s="4" t="s">
        <v>16</v>
      </c>
      <c r="I639" s="4">
        <v>-154.6</v>
      </c>
      <c r="J639" s="4">
        <v>-154.6</v>
      </c>
      <c r="K639" t="str">
        <f>VLOOKUP($C639,Table1[#All],2,FALSE)</f>
        <v>HOTEL PANTRY</v>
      </c>
      <c r="L639" t="str">
        <f>VLOOKUP($C639,Table1[#All],3,FALSE)</f>
        <v>Transactions related to the hotel convenience store, including some food and beverage costs.</v>
      </c>
      <c r="M639" t="str">
        <f>IFERROR(VLOOKUP($B639,ChartOfAccounts!A638:B723,2,FALSE),"")</f>
        <v/>
      </c>
      <c r="N639" t="str">
        <f>IFERROR(VLOOKUP($B639,ChartOfAccounts!C638:D723,2,FALSE),"")</f>
        <v/>
      </c>
      <c r="O639" t="str">
        <f>IFERROR(VLOOKUP($B639,ChartOfAccounts!E638:F723,2,FALSE),"")</f>
        <v/>
      </c>
      <c r="P639" t="str">
        <f>IFERROR(VLOOKUP(D639,PreparerInfo!A638:B650,2,FALSE),"")</f>
        <v/>
      </c>
      <c r="Q639" t="str">
        <f>IFERROR(VLOOKUP(E639,Source!A638:B646,2,FALSE),"")</f>
        <v/>
      </c>
    </row>
    <row r="640" spans="1:17" x14ac:dyDescent="0.3">
      <c r="A640" s="3">
        <v>2033839</v>
      </c>
      <c r="B640">
        <v>71900</v>
      </c>
      <c r="C640">
        <v>1</v>
      </c>
      <c r="D640" s="9">
        <v>102</v>
      </c>
      <c r="E640">
        <v>1002</v>
      </c>
      <c r="F640" s="1">
        <v>44011</v>
      </c>
      <c r="G640" t="s">
        <v>36</v>
      </c>
      <c r="H640" s="4">
        <v>258.10000000000002</v>
      </c>
      <c r="I640" s="4" t="s">
        <v>16</v>
      </c>
      <c r="J640" s="4">
        <v>258.10000000000002</v>
      </c>
      <c r="K640" t="str">
        <f>VLOOKUP($C640,Table1[#All],2,FALSE)</f>
        <v>FOOD SERVICE</v>
      </c>
      <c r="L640" t="str">
        <f>VLOOKUP($C640,Table1[#All],3,FALSE)</f>
        <v xml:space="preserve">Transactions related to food and beverage service. Includes all guest transactions in the hotel restaurants, catering-related transactions and food service payroll. </v>
      </c>
      <c r="M640" t="str">
        <f>IFERROR(VLOOKUP($B640,ChartOfAccounts!A639:B724,2,FALSE),"")</f>
        <v/>
      </c>
      <c r="N640" t="str">
        <f>IFERROR(VLOOKUP($B640,ChartOfAccounts!C639:D724,2,FALSE),"")</f>
        <v/>
      </c>
      <c r="O640" t="str">
        <f>IFERROR(VLOOKUP($B640,ChartOfAccounts!E639:F724,2,FALSE),"")</f>
        <v/>
      </c>
      <c r="P640" t="str">
        <f>IFERROR(VLOOKUP(D640,PreparerInfo!A639:B651,2,FALSE),"")</f>
        <v/>
      </c>
      <c r="Q640" t="str">
        <f>IFERROR(VLOOKUP(E640,Source!A639:B647,2,FALSE),"")</f>
        <v/>
      </c>
    </row>
    <row r="641" spans="1:17" x14ac:dyDescent="0.3">
      <c r="A641" s="3">
        <v>2033839</v>
      </c>
      <c r="B641">
        <v>11845</v>
      </c>
      <c r="C641">
        <v>1</v>
      </c>
      <c r="D641" s="9">
        <v>102</v>
      </c>
      <c r="E641">
        <v>1002</v>
      </c>
      <c r="F641" s="1">
        <v>44011</v>
      </c>
      <c r="G641" t="s">
        <v>36</v>
      </c>
      <c r="H641" s="4" t="s">
        <v>16</v>
      </c>
      <c r="I641" s="4">
        <v>-258.10000000000002</v>
      </c>
      <c r="J641" s="4">
        <v>-258.10000000000002</v>
      </c>
      <c r="K641" t="str">
        <f>VLOOKUP($C641,Table1[#All],2,FALSE)</f>
        <v>FOOD SERVICE</v>
      </c>
      <c r="L641" t="str">
        <f>VLOOKUP($C641,Table1[#All],3,FALSE)</f>
        <v xml:space="preserve">Transactions related to food and beverage service. Includes all guest transactions in the hotel restaurants, catering-related transactions and food service payroll. </v>
      </c>
      <c r="M641" t="str">
        <f>IFERROR(VLOOKUP($B641,ChartOfAccounts!A640:B725,2,FALSE),"")</f>
        <v/>
      </c>
      <c r="N641" t="str">
        <f>IFERROR(VLOOKUP($B641,ChartOfAccounts!C640:D725,2,FALSE),"")</f>
        <v/>
      </c>
      <c r="O641" t="str">
        <f>IFERROR(VLOOKUP($B641,ChartOfAccounts!E640:F725,2,FALSE),"")</f>
        <v/>
      </c>
      <c r="P641" t="str">
        <f>IFERROR(VLOOKUP(D641,PreparerInfo!A640:B652,2,FALSE),"")</f>
        <v/>
      </c>
      <c r="Q641" t="str">
        <f>IFERROR(VLOOKUP(E641,Source!A640:B648,2,FALSE),"")</f>
        <v/>
      </c>
    </row>
    <row r="642" spans="1:17" x14ac:dyDescent="0.3">
      <c r="A642" s="3">
        <v>2033840</v>
      </c>
      <c r="B642">
        <v>11845</v>
      </c>
      <c r="C642">
        <v>2</v>
      </c>
      <c r="D642" s="9">
        <v>104</v>
      </c>
      <c r="E642">
        <v>1003</v>
      </c>
      <c r="F642" s="1">
        <v>44011</v>
      </c>
      <c r="G642" t="s">
        <v>41</v>
      </c>
      <c r="H642" s="4">
        <v>500</v>
      </c>
      <c r="I642" s="4" t="s">
        <v>16</v>
      </c>
      <c r="J642" s="4">
        <v>500</v>
      </c>
      <c r="K642" t="str">
        <f>VLOOKUP($C642,Table1[#All],2,FALSE)</f>
        <v>HOTEL</v>
      </c>
      <c r="L642" t="str">
        <f>VLOOKUP($C642,Table1[#All],3,FALSE)</f>
        <v xml:space="preserve">Transactions related to guest rooms and overall hotel operations. Includes payroll for administrative staff, clerks and interns. </v>
      </c>
      <c r="M642" t="str">
        <f>IFERROR(VLOOKUP($B642,ChartOfAccounts!A641:B726,2,FALSE),"")</f>
        <v/>
      </c>
      <c r="N642" t="str">
        <f>IFERROR(VLOOKUP($B642,ChartOfAccounts!C641:D726,2,FALSE),"")</f>
        <v/>
      </c>
      <c r="O642" t="str">
        <f>IFERROR(VLOOKUP($B642,ChartOfAccounts!E641:F726,2,FALSE),"")</f>
        <v/>
      </c>
      <c r="P642" t="str">
        <f>IFERROR(VLOOKUP(D642,PreparerInfo!A641:B653,2,FALSE),"")</f>
        <v/>
      </c>
      <c r="Q642" t="str">
        <f>IFERROR(VLOOKUP(E642,Source!A641:B649,2,FALSE),"")</f>
        <v/>
      </c>
    </row>
    <row r="643" spans="1:17" x14ac:dyDescent="0.3">
      <c r="A643" s="3">
        <v>2033840</v>
      </c>
      <c r="B643">
        <v>43770</v>
      </c>
      <c r="C643">
        <v>2</v>
      </c>
      <c r="D643" s="9">
        <v>104</v>
      </c>
      <c r="E643">
        <v>1003</v>
      </c>
      <c r="F643" s="1">
        <v>44011</v>
      </c>
      <c r="G643" t="s">
        <v>41</v>
      </c>
      <c r="H643" s="4" t="s">
        <v>16</v>
      </c>
      <c r="I643" s="4">
        <v>-500</v>
      </c>
      <c r="J643" s="4">
        <v>-500</v>
      </c>
      <c r="K643" t="str">
        <f>VLOOKUP($C643,Table1[#All],2,FALSE)</f>
        <v>HOTEL</v>
      </c>
      <c r="L643" t="str">
        <f>VLOOKUP($C643,Table1[#All],3,FALSE)</f>
        <v xml:space="preserve">Transactions related to guest rooms and overall hotel operations. Includes payroll for administrative staff, clerks and interns. </v>
      </c>
      <c r="M643" t="str">
        <f>IFERROR(VLOOKUP($B643,ChartOfAccounts!A642:B727,2,FALSE),"")</f>
        <v/>
      </c>
      <c r="N643" t="str">
        <f>IFERROR(VLOOKUP($B643,ChartOfAccounts!C642:D727,2,FALSE),"")</f>
        <v/>
      </c>
      <c r="O643" t="str">
        <f>IFERROR(VLOOKUP($B643,ChartOfAccounts!E642:F727,2,FALSE),"")</f>
        <v/>
      </c>
      <c r="P643" t="str">
        <f>IFERROR(VLOOKUP(D643,PreparerInfo!A642:B654,2,FALSE),"")</f>
        <v/>
      </c>
      <c r="Q643" t="str">
        <f>IFERROR(VLOOKUP(E643,Source!A642:B650,2,FALSE),"")</f>
        <v/>
      </c>
    </row>
    <row r="644" spans="1:17" x14ac:dyDescent="0.3">
      <c r="A644" s="3">
        <v>2033841</v>
      </c>
      <c r="B644">
        <v>71400</v>
      </c>
      <c r="C644">
        <v>4</v>
      </c>
      <c r="D644" s="9">
        <v>101</v>
      </c>
      <c r="E644">
        <v>1002</v>
      </c>
      <c r="F644" s="1">
        <v>44011</v>
      </c>
      <c r="G644" t="s">
        <v>199</v>
      </c>
      <c r="H644" s="4">
        <v>649.5</v>
      </c>
      <c r="I644" s="4" t="s">
        <v>16</v>
      </c>
      <c r="J644" s="4">
        <v>649.5</v>
      </c>
      <c r="K644" t="str">
        <f>VLOOKUP($C644,Table1[#All],2,FALSE)</f>
        <v>HOUSEKEEPING</v>
      </c>
      <c r="L644" t="str">
        <f>VLOOKUP($C644,Table1[#All],3,FALSE)</f>
        <v xml:space="preserve">Transactions related to the Housekeeping Department. Primarily includes payroll for housekeepers and housekeeping supplies. </v>
      </c>
      <c r="M644" t="str">
        <f>IFERROR(VLOOKUP($B644,ChartOfAccounts!A643:B728,2,FALSE),"")</f>
        <v/>
      </c>
      <c r="N644" t="str">
        <f>IFERROR(VLOOKUP($B644,ChartOfAccounts!C643:D728,2,FALSE),"")</f>
        <v/>
      </c>
      <c r="O644" t="str">
        <f>IFERROR(VLOOKUP($B644,ChartOfAccounts!E643:F728,2,FALSE),"")</f>
        <v/>
      </c>
      <c r="P644" t="str">
        <f>IFERROR(VLOOKUP(D644,PreparerInfo!A643:B655,2,FALSE),"")</f>
        <v/>
      </c>
      <c r="Q644" t="str">
        <f>IFERROR(VLOOKUP(E644,Source!A643:B651,2,FALSE),"")</f>
        <v/>
      </c>
    </row>
    <row r="645" spans="1:17" x14ac:dyDescent="0.3">
      <c r="A645" s="3">
        <v>2033841</v>
      </c>
      <c r="B645">
        <v>11845</v>
      </c>
      <c r="C645">
        <v>4</v>
      </c>
      <c r="D645" s="9">
        <v>101</v>
      </c>
      <c r="E645">
        <v>1002</v>
      </c>
      <c r="F645" s="1">
        <v>44011</v>
      </c>
      <c r="G645" t="s">
        <v>199</v>
      </c>
      <c r="H645" s="4" t="s">
        <v>16</v>
      </c>
      <c r="I645" s="4">
        <v>-649.5</v>
      </c>
      <c r="J645" s="4">
        <v>-649.5</v>
      </c>
      <c r="K645" t="str">
        <f>VLOOKUP($C645,Table1[#All],2,FALSE)</f>
        <v>HOUSEKEEPING</v>
      </c>
      <c r="L645" t="str">
        <f>VLOOKUP($C645,Table1[#All],3,FALSE)</f>
        <v xml:space="preserve">Transactions related to the Housekeeping Department. Primarily includes payroll for housekeepers and housekeeping supplies. </v>
      </c>
      <c r="M645" t="str">
        <f>IFERROR(VLOOKUP($B645,ChartOfAccounts!A644:B729,2,FALSE),"")</f>
        <v/>
      </c>
      <c r="N645" t="str">
        <f>IFERROR(VLOOKUP($B645,ChartOfAccounts!C644:D729,2,FALSE),"")</f>
        <v/>
      </c>
      <c r="O645" t="str">
        <f>IFERROR(VLOOKUP($B645,ChartOfAccounts!E644:F729,2,FALSE),"")</f>
        <v/>
      </c>
      <c r="P645" t="str">
        <f>IFERROR(VLOOKUP(D645,PreparerInfo!A644:B656,2,FALSE),"")</f>
        <v/>
      </c>
      <c r="Q645" t="str">
        <f>IFERROR(VLOOKUP(E645,Source!A644:B652,2,FALSE),"")</f>
        <v/>
      </c>
    </row>
    <row r="646" spans="1:17" x14ac:dyDescent="0.3">
      <c r="A646" s="3">
        <v>2033842</v>
      </c>
      <c r="B646">
        <v>11845</v>
      </c>
      <c r="C646">
        <v>1</v>
      </c>
      <c r="D646" s="9">
        <v>102</v>
      </c>
      <c r="E646">
        <v>1001</v>
      </c>
      <c r="F646" s="1">
        <v>44011</v>
      </c>
      <c r="G646" t="s">
        <v>41</v>
      </c>
      <c r="H646" s="4">
        <v>738.07</v>
      </c>
      <c r="I646" s="4" t="s">
        <v>16</v>
      </c>
      <c r="J646" s="4">
        <v>738.07</v>
      </c>
      <c r="K646" t="str">
        <f>VLOOKUP($C646,Table1[#All],2,FALSE)</f>
        <v>FOOD SERVICE</v>
      </c>
      <c r="L646" t="str">
        <f>VLOOKUP($C646,Table1[#All],3,FALSE)</f>
        <v xml:space="preserve">Transactions related to food and beverage service. Includes all guest transactions in the hotel restaurants, catering-related transactions and food service payroll. </v>
      </c>
      <c r="M646" t="str">
        <f>IFERROR(VLOOKUP($B646,ChartOfAccounts!A645:B730,2,FALSE),"")</f>
        <v/>
      </c>
      <c r="N646" t="str">
        <f>IFERROR(VLOOKUP($B646,ChartOfAccounts!C645:D730,2,FALSE),"")</f>
        <v/>
      </c>
      <c r="O646" t="str">
        <f>IFERROR(VLOOKUP($B646,ChartOfAccounts!E645:F730,2,FALSE),"")</f>
        <v/>
      </c>
      <c r="P646" t="str">
        <f>IFERROR(VLOOKUP(D646,PreparerInfo!A645:B657,2,FALSE),"")</f>
        <v/>
      </c>
      <c r="Q646" t="str">
        <f>IFERROR(VLOOKUP(E646,Source!A645:B653,2,FALSE),"")</f>
        <v/>
      </c>
    </row>
    <row r="647" spans="1:17" x14ac:dyDescent="0.3">
      <c r="A647" s="3">
        <v>2033842</v>
      </c>
      <c r="B647">
        <v>43310</v>
      </c>
      <c r="C647">
        <v>1</v>
      </c>
      <c r="D647" s="9">
        <v>102</v>
      </c>
      <c r="E647">
        <v>1001</v>
      </c>
      <c r="F647" s="1">
        <v>44011</v>
      </c>
      <c r="G647" t="s">
        <v>41</v>
      </c>
      <c r="H647" s="4" t="s">
        <v>16</v>
      </c>
      <c r="I647" s="4">
        <v>-738.07</v>
      </c>
      <c r="J647" s="4">
        <v>-738.07</v>
      </c>
      <c r="K647" t="str">
        <f>VLOOKUP($C647,Table1[#All],2,FALSE)</f>
        <v>FOOD SERVICE</v>
      </c>
      <c r="L647" t="str">
        <f>VLOOKUP($C647,Table1[#All],3,FALSE)</f>
        <v xml:space="preserve">Transactions related to food and beverage service. Includes all guest transactions in the hotel restaurants, catering-related transactions and food service payroll. </v>
      </c>
      <c r="M647" t="str">
        <f>IFERROR(VLOOKUP($B647,ChartOfAccounts!A646:B731,2,FALSE),"")</f>
        <v/>
      </c>
      <c r="N647" t="str">
        <f>IFERROR(VLOOKUP($B647,ChartOfAccounts!C646:D731,2,FALSE),"")</f>
        <v/>
      </c>
      <c r="O647" t="str">
        <f>IFERROR(VLOOKUP($B647,ChartOfAccounts!E646:F731,2,FALSE),"")</f>
        <v/>
      </c>
      <c r="P647" t="str">
        <f>IFERROR(VLOOKUP(D647,PreparerInfo!A646:B658,2,FALSE),"")</f>
        <v/>
      </c>
      <c r="Q647" t="str">
        <f>IFERROR(VLOOKUP(E647,Source!A646:B654,2,FALSE),"")</f>
        <v/>
      </c>
    </row>
    <row r="648" spans="1:17" x14ac:dyDescent="0.3">
      <c r="A648" s="3">
        <v>2033843</v>
      </c>
      <c r="B648">
        <v>74201</v>
      </c>
      <c r="C648">
        <v>2</v>
      </c>
      <c r="D648" s="9">
        <v>101</v>
      </c>
      <c r="E648">
        <v>1002</v>
      </c>
      <c r="F648" s="1">
        <v>44011</v>
      </c>
      <c r="G648" t="s">
        <v>168</v>
      </c>
      <c r="H648" s="4">
        <v>1500</v>
      </c>
      <c r="I648" s="4" t="s">
        <v>16</v>
      </c>
      <c r="J648" s="4">
        <v>1500</v>
      </c>
      <c r="K648" t="str">
        <f>VLOOKUP($C648,Table1[#All],2,FALSE)</f>
        <v>HOTEL</v>
      </c>
      <c r="L648" t="str">
        <f>VLOOKUP($C648,Table1[#All],3,FALSE)</f>
        <v xml:space="preserve">Transactions related to guest rooms and overall hotel operations. Includes payroll for administrative staff, clerks and interns. </v>
      </c>
      <c r="M648" t="str">
        <f>IFERROR(VLOOKUP($B648,ChartOfAccounts!A647:B732,2,FALSE),"")</f>
        <v/>
      </c>
      <c r="N648" t="str">
        <f>IFERROR(VLOOKUP($B648,ChartOfAccounts!C647:D732,2,FALSE),"")</f>
        <v/>
      </c>
      <c r="O648" t="str">
        <f>IFERROR(VLOOKUP($B648,ChartOfAccounts!E647:F732,2,FALSE),"")</f>
        <v/>
      </c>
      <c r="P648" t="str">
        <f>IFERROR(VLOOKUP(D648,PreparerInfo!A647:B659,2,FALSE),"")</f>
        <v/>
      </c>
      <c r="Q648" t="str">
        <f>IFERROR(VLOOKUP(E648,Source!A647:B655,2,FALSE),"")</f>
        <v/>
      </c>
    </row>
    <row r="649" spans="1:17" x14ac:dyDescent="0.3">
      <c r="A649" s="3">
        <v>2033843</v>
      </c>
      <c r="B649">
        <v>11845</v>
      </c>
      <c r="C649">
        <v>2</v>
      </c>
      <c r="D649" s="9">
        <v>101</v>
      </c>
      <c r="E649">
        <v>1002</v>
      </c>
      <c r="F649" s="1">
        <v>44011</v>
      </c>
      <c r="G649" t="s">
        <v>168</v>
      </c>
      <c r="H649" s="4" t="s">
        <v>16</v>
      </c>
      <c r="I649" s="4">
        <v>-1500</v>
      </c>
      <c r="J649" s="4">
        <v>-1500</v>
      </c>
      <c r="K649" t="str">
        <f>VLOOKUP($C649,Table1[#All],2,FALSE)</f>
        <v>HOTEL</v>
      </c>
      <c r="L649" t="str">
        <f>VLOOKUP($C649,Table1[#All],3,FALSE)</f>
        <v xml:space="preserve">Transactions related to guest rooms and overall hotel operations. Includes payroll for administrative staff, clerks and interns. </v>
      </c>
      <c r="M649" t="str">
        <f>IFERROR(VLOOKUP($B649,ChartOfAccounts!A648:B733,2,FALSE),"")</f>
        <v/>
      </c>
      <c r="N649" t="str">
        <f>IFERROR(VLOOKUP($B649,ChartOfAccounts!C648:D733,2,FALSE),"")</f>
        <v/>
      </c>
      <c r="O649" t="str">
        <f>IFERROR(VLOOKUP($B649,ChartOfAccounts!E648:F733,2,FALSE),"")</f>
        <v/>
      </c>
      <c r="P649" t="str">
        <f>IFERROR(VLOOKUP(D649,PreparerInfo!A648:B660,2,FALSE),"")</f>
        <v/>
      </c>
      <c r="Q649" t="str">
        <f>IFERROR(VLOOKUP(E649,Source!A648:B656,2,FALSE),"")</f>
        <v/>
      </c>
    </row>
    <row r="650" spans="1:17" x14ac:dyDescent="0.3">
      <c r="A650" s="3">
        <v>2033844</v>
      </c>
      <c r="B650">
        <v>11845</v>
      </c>
      <c r="C650">
        <v>1</v>
      </c>
      <c r="D650" s="9">
        <v>102</v>
      </c>
      <c r="E650">
        <v>1003</v>
      </c>
      <c r="F650" s="1">
        <v>44011</v>
      </c>
      <c r="G650" t="s">
        <v>15</v>
      </c>
      <c r="H650" s="4">
        <v>1656.7</v>
      </c>
      <c r="I650" s="4" t="s">
        <v>16</v>
      </c>
      <c r="J650" s="4">
        <v>1656.7</v>
      </c>
      <c r="K650" t="str">
        <f>VLOOKUP($C650,Table1[#All],2,FALSE)</f>
        <v>FOOD SERVICE</v>
      </c>
      <c r="L650" t="str">
        <f>VLOOKUP($C650,Table1[#All],3,FALSE)</f>
        <v xml:space="preserve">Transactions related to food and beverage service. Includes all guest transactions in the hotel restaurants, catering-related transactions and food service payroll. </v>
      </c>
      <c r="M650" t="str">
        <f>IFERROR(VLOOKUP($B650,ChartOfAccounts!A649:B734,2,FALSE),"")</f>
        <v/>
      </c>
      <c r="N650" t="str">
        <f>IFERROR(VLOOKUP($B650,ChartOfAccounts!C649:D734,2,FALSE),"")</f>
        <v/>
      </c>
      <c r="O650" t="str">
        <f>IFERROR(VLOOKUP($B650,ChartOfAccounts!E649:F734,2,FALSE),"")</f>
        <v/>
      </c>
      <c r="P650" t="str">
        <f>IFERROR(VLOOKUP(D650,PreparerInfo!A649:B661,2,FALSE),"")</f>
        <v/>
      </c>
      <c r="Q650" t="str">
        <f>IFERROR(VLOOKUP(E650,Source!A649:B657,2,FALSE),"")</f>
        <v/>
      </c>
    </row>
    <row r="651" spans="1:17" x14ac:dyDescent="0.3">
      <c r="A651" s="3">
        <v>2033844</v>
      </c>
      <c r="B651">
        <v>43310</v>
      </c>
      <c r="C651">
        <v>1</v>
      </c>
      <c r="D651" s="9">
        <v>102</v>
      </c>
      <c r="E651">
        <v>1003</v>
      </c>
      <c r="F651" s="1">
        <v>44011</v>
      </c>
      <c r="G651" t="s">
        <v>15</v>
      </c>
      <c r="H651" s="4" t="s">
        <v>16</v>
      </c>
      <c r="I651" s="4">
        <v>-1656.7</v>
      </c>
      <c r="J651" s="4">
        <v>-1656.7</v>
      </c>
      <c r="K651" t="str">
        <f>VLOOKUP($C651,Table1[#All],2,FALSE)</f>
        <v>FOOD SERVICE</v>
      </c>
      <c r="L651" t="str">
        <f>VLOOKUP($C651,Table1[#All],3,FALSE)</f>
        <v xml:space="preserve">Transactions related to food and beverage service. Includes all guest transactions in the hotel restaurants, catering-related transactions and food service payroll. </v>
      </c>
      <c r="M651" t="str">
        <f>IFERROR(VLOOKUP($B651,ChartOfAccounts!A650:B735,2,FALSE),"")</f>
        <v/>
      </c>
      <c r="N651" t="str">
        <f>IFERROR(VLOOKUP($B651,ChartOfAccounts!C650:D735,2,FALSE),"")</f>
        <v/>
      </c>
      <c r="O651" t="str">
        <f>IFERROR(VLOOKUP($B651,ChartOfAccounts!E650:F735,2,FALSE),"")</f>
        <v/>
      </c>
      <c r="P651" t="str">
        <f>IFERROR(VLOOKUP(D651,PreparerInfo!A650:B662,2,FALSE),"")</f>
        <v/>
      </c>
      <c r="Q651" t="str">
        <f>IFERROR(VLOOKUP(E651,Source!A650:B658,2,FALSE),"")</f>
        <v/>
      </c>
    </row>
    <row r="652" spans="1:17" x14ac:dyDescent="0.3">
      <c r="A652" s="3">
        <v>2033845</v>
      </c>
      <c r="B652">
        <v>11845</v>
      </c>
      <c r="C652">
        <v>1</v>
      </c>
      <c r="D652" s="9">
        <v>102</v>
      </c>
      <c r="E652">
        <v>1003</v>
      </c>
      <c r="F652" s="1">
        <v>44011</v>
      </c>
      <c r="G652" t="s">
        <v>15</v>
      </c>
      <c r="H652" s="4">
        <v>2055.8200000000002</v>
      </c>
      <c r="I652" s="4" t="s">
        <v>16</v>
      </c>
      <c r="J652" s="4">
        <v>2055.8200000000002</v>
      </c>
      <c r="K652" t="str">
        <f>VLOOKUP($C652,Table1[#All],2,FALSE)</f>
        <v>FOOD SERVICE</v>
      </c>
      <c r="L652" t="str">
        <f>VLOOKUP($C652,Table1[#All],3,FALSE)</f>
        <v xml:space="preserve">Transactions related to food and beverage service. Includes all guest transactions in the hotel restaurants, catering-related transactions and food service payroll. </v>
      </c>
      <c r="M652" t="str">
        <f>IFERROR(VLOOKUP($B652,ChartOfAccounts!A651:B736,2,FALSE),"")</f>
        <v/>
      </c>
      <c r="N652" t="str">
        <f>IFERROR(VLOOKUP($B652,ChartOfAccounts!C651:D736,2,FALSE),"")</f>
        <v/>
      </c>
      <c r="O652" t="str">
        <f>IFERROR(VLOOKUP($B652,ChartOfAccounts!E651:F736,2,FALSE),"")</f>
        <v/>
      </c>
      <c r="P652" t="str">
        <f>IFERROR(VLOOKUP(D652,PreparerInfo!A651:B663,2,FALSE),"")</f>
        <v/>
      </c>
      <c r="Q652" t="str">
        <f>IFERROR(VLOOKUP(E652,Source!A651:B659,2,FALSE),"")</f>
        <v/>
      </c>
    </row>
    <row r="653" spans="1:17" x14ac:dyDescent="0.3">
      <c r="A653" s="3">
        <v>2033845</v>
      </c>
      <c r="B653">
        <v>43310</v>
      </c>
      <c r="C653">
        <v>1</v>
      </c>
      <c r="D653" s="9">
        <v>102</v>
      </c>
      <c r="E653">
        <v>1003</v>
      </c>
      <c r="F653" s="1">
        <v>44011</v>
      </c>
      <c r="G653" t="s">
        <v>15</v>
      </c>
      <c r="H653" s="4" t="s">
        <v>16</v>
      </c>
      <c r="I653" s="4">
        <v>-2055.8200000000002</v>
      </c>
      <c r="J653" s="4">
        <v>-2055.8200000000002</v>
      </c>
      <c r="K653" t="str">
        <f>VLOOKUP($C653,Table1[#All],2,FALSE)</f>
        <v>FOOD SERVICE</v>
      </c>
      <c r="L653" t="str">
        <f>VLOOKUP($C653,Table1[#All],3,FALSE)</f>
        <v xml:space="preserve">Transactions related to food and beverage service. Includes all guest transactions in the hotel restaurants, catering-related transactions and food service payroll. </v>
      </c>
      <c r="M653" t="str">
        <f>IFERROR(VLOOKUP($B653,ChartOfAccounts!A652:B737,2,FALSE),"")</f>
        <v/>
      </c>
      <c r="N653" t="str">
        <f>IFERROR(VLOOKUP($B653,ChartOfAccounts!C652:D737,2,FALSE),"")</f>
        <v/>
      </c>
      <c r="O653" t="str">
        <f>IFERROR(VLOOKUP($B653,ChartOfAccounts!E652:F737,2,FALSE),"")</f>
        <v/>
      </c>
      <c r="P653" t="str">
        <f>IFERROR(VLOOKUP(D653,PreparerInfo!A652:B664,2,FALSE),"")</f>
        <v/>
      </c>
      <c r="Q653" t="str">
        <f>IFERROR(VLOOKUP(E653,Source!A652:B660,2,FALSE),"")</f>
        <v/>
      </c>
    </row>
    <row r="654" spans="1:17" x14ac:dyDescent="0.3">
      <c r="A654" s="3">
        <v>2033846</v>
      </c>
      <c r="B654">
        <v>11845</v>
      </c>
      <c r="C654">
        <v>1</v>
      </c>
      <c r="D654" s="9">
        <v>102</v>
      </c>
      <c r="E654">
        <v>1003</v>
      </c>
      <c r="F654" s="1">
        <v>44011</v>
      </c>
      <c r="G654" t="s">
        <v>15</v>
      </c>
      <c r="H654" s="4">
        <v>2158.96</v>
      </c>
      <c r="I654" s="4" t="s">
        <v>16</v>
      </c>
      <c r="J654" s="4">
        <v>2158.96</v>
      </c>
      <c r="K654" t="str">
        <f>VLOOKUP($C654,Table1[#All],2,FALSE)</f>
        <v>FOOD SERVICE</v>
      </c>
      <c r="L654" t="str">
        <f>VLOOKUP($C654,Table1[#All],3,FALSE)</f>
        <v xml:space="preserve">Transactions related to food and beverage service. Includes all guest transactions in the hotel restaurants, catering-related transactions and food service payroll. </v>
      </c>
      <c r="M654" t="str">
        <f>IFERROR(VLOOKUP($B654,ChartOfAccounts!A653:B738,2,FALSE),"")</f>
        <v/>
      </c>
      <c r="N654" t="str">
        <f>IFERROR(VLOOKUP($B654,ChartOfAccounts!C653:D738,2,FALSE),"")</f>
        <v/>
      </c>
      <c r="O654" t="str">
        <f>IFERROR(VLOOKUP($B654,ChartOfAccounts!E653:F738,2,FALSE),"")</f>
        <v/>
      </c>
      <c r="P654" t="str">
        <f>IFERROR(VLOOKUP(D654,PreparerInfo!A653:B665,2,FALSE),"")</f>
        <v/>
      </c>
      <c r="Q654" t="str">
        <f>IFERROR(VLOOKUP(E654,Source!A653:B661,2,FALSE),"")</f>
        <v/>
      </c>
    </row>
    <row r="655" spans="1:17" x14ac:dyDescent="0.3">
      <c r="A655" s="3">
        <v>2033846</v>
      </c>
      <c r="B655">
        <v>43310</v>
      </c>
      <c r="C655">
        <v>1</v>
      </c>
      <c r="D655" s="9">
        <v>102</v>
      </c>
      <c r="E655">
        <v>1003</v>
      </c>
      <c r="F655" s="1">
        <v>44011</v>
      </c>
      <c r="G655" t="s">
        <v>15</v>
      </c>
      <c r="H655" s="4" t="s">
        <v>16</v>
      </c>
      <c r="I655" s="4">
        <v>-2158.96</v>
      </c>
      <c r="J655" s="4">
        <v>-2158.96</v>
      </c>
      <c r="K655" t="str">
        <f>VLOOKUP($C655,Table1[#All],2,FALSE)</f>
        <v>FOOD SERVICE</v>
      </c>
      <c r="L655" t="str">
        <f>VLOOKUP($C655,Table1[#All],3,FALSE)</f>
        <v xml:space="preserve">Transactions related to food and beverage service. Includes all guest transactions in the hotel restaurants, catering-related transactions and food service payroll. </v>
      </c>
      <c r="M655" t="str">
        <f>IFERROR(VLOOKUP($B655,ChartOfAccounts!A654:B739,2,FALSE),"")</f>
        <v/>
      </c>
      <c r="N655" t="str">
        <f>IFERROR(VLOOKUP($B655,ChartOfAccounts!C654:D739,2,FALSE),"")</f>
        <v/>
      </c>
      <c r="O655" t="str">
        <f>IFERROR(VLOOKUP($B655,ChartOfAccounts!E654:F739,2,FALSE),"")</f>
        <v/>
      </c>
      <c r="P655" t="str">
        <f>IFERROR(VLOOKUP(D655,PreparerInfo!A654:B666,2,FALSE),"")</f>
        <v/>
      </c>
      <c r="Q655" t="str">
        <f>IFERROR(VLOOKUP(E655,Source!A654:B662,2,FALSE),"")</f>
        <v/>
      </c>
    </row>
    <row r="656" spans="1:17" x14ac:dyDescent="0.3">
      <c r="A656" s="3">
        <v>2033847</v>
      </c>
      <c r="B656" t="s">
        <v>166</v>
      </c>
      <c r="C656">
        <v>3</v>
      </c>
      <c r="D656" s="9">
        <v>101</v>
      </c>
      <c r="E656">
        <v>1008</v>
      </c>
      <c r="F656" s="1">
        <v>44011</v>
      </c>
      <c r="G656" t="s">
        <v>243</v>
      </c>
      <c r="H656" s="4">
        <v>4080.9</v>
      </c>
      <c r="I656" s="4" t="s">
        <v>16</v>
      </c>
      <c r="J656" s="4">
        <v>4080.9</v>
      </c>
      <c r="K656" t="str">
        <f>VLOOKUP($C656,Table1[#All],2,FALSE)</f>
        <v>HOTEL PANTRY</v>
      </c>
      <c r="L656" t="str">
        <f>VLOOKUP($C656,Table1[#All],3,FALSE)</f>
        <v>Transactions related to the hotel convenience store, including some food and beverage costs.</v>
      </c>
      <c r="M656" t="str">
        <f>IFERROR(VLOOKUP($B656,ChartOfAccounts!A655:B740,2,FALSE),"")</f>
        <v/>
      </c>
      <c r="N656" t="str">
        <f>IFERROR(VLOOKUP($B656,ChartOfAccounts!C655:D740,2,FALSE),"")</f>
        <v/>
      </c>
      <c r="O656" t="str">
        <f>IFERROR(VLOOKUP($B656,ChartOfAccounts!E655:F740,2,FALSE),"")</f>
        <v/>
      </c>
      <c r="P656" t="str">
        <f>IFERROR(VLOOKUP(D656,PreparerInfo!A655:B667,2,FALSE),"")</f>
        <v/>
      </c>
      <c r="Q656" t="str">
        <f>IFERROR(VLOOKUP(E656,Source!A655:B663,2,FALSE),"")</f>
        <v/>
      </c>
    </row>
    <row r="657" spans="1:17" x14ac:dyDescent="0.3">
      <c r="A657" s="3">
        <v>2033847</v>
      </c>
      <c r="B657">
        <v>14250</v>
      </c>
      <c r="C657">
        <v>3</v>
      </c>
      <c r="D657" s="9">
        <v>101</v>
      </c>
      <c r="E657">
        <v>1008</v>
      </c>
      <c r="F657" s="1">
        <v>44011</v>
      </c>
      <c r="G657" t="s">
        <v>243</v>
      </c>
      <c r="H657" s="4" t="s">
        <v>16</v>
      </c>
      <c r="I657" s="4">
        <v>-4080.9</v>
      </c>
      <c r="J657" s="4">
        <v>-4080.9</v>
      </c>
      <c r="K657" t="str">
        <f>VLOOKUP($C657,Table1[#All],2,FALSE)</f>
        <v>HOTEL PANTRY</v>
      </c>
      <c r="L657" t="str">
        <f>VLOOKUP($C657,Table1[#All],3,FALSE)</f>
        <v>Transactions related to the hotel convenience store, including some food and beverage costs.</v>
      </c>
      <c r="M657" t="str">
        <f>IFERROR(VLOOKUP($B657,ChartOfAccounts!A656:B741,2,FALSE),"")</f>
        <v/>
      </c>
      <c r="N657" t="str">
        <f>IFERROR(VLOOKUP($B657,ChartOfAccounts!C656:D741,2,FALSE),"")</f>
        <v/>
      </c>
      <c r="O657" t="str">
        <f>IFERROR(VLOOKUP($B657,ChartOfAccounts!E656:F741,2,FALSE),"")</f>
        <v/>
      </c>
      <c r="P657" t="str">
        <f>IFERROR(VLOOKUP(D657,PreparerInfo!A656:B668,2,FALSE),"")</f>
        <v/>
      </c>
      <c r="Q657" t="str">
        <f>IFERROR(VLOOKUP(E657,Source!A656:B664,2,FALSE),"")</f>
        <v/>
      </c>
    </row>
    <row r="658" spans="1:17" x14ac:dyDescent="0.3">
      <c r="A658" s="3">
        <v>2033848</v>
      </c>
      <c r="B658">
        <v>11845</v>
      </c>
      <c r="C658">
        <v>2</v>
      </c>
      <c r="D658" s="9">
        <v>104</v>
      </c>
      <c r="E658">
        <v>1003</v>
      </c>
      <c r="F658" s="1">
        <v>44011</v>
      </c>
      <c r="G658" t="s">
        <v>15</v>
      </c>
      <c r="H658" s="4">
        <v>7100</v>
      </c>
      <c r="I658" s="4" t="s">
        <v>16</v>
      </c>
      <c r="J658" s="4">
        <v>7100</v>
      </c>
      <c r="K658" t="str">
        <f>VLOOKUP($C658,Table1[#All],2,FALSE)</f>
        <v>HOTEL</v>
      </c>
      <c r="L658" t="str">
        <f>VLOOKUP($C658,Table1[#All],3,FALSE)</f>
        <v xml:space="preserve">Transactions related to guest rooms and overall hotel operations. Includes payroll for administrative staff, clerks and interns. </v>
      </c>
      <c r="M658" t="str">
        <f>IFERROR(VLOOKUP($B658,ChartOfAccounts!A657:B742,2,FALSE),"")</f>
        <v/>
      </c>
      <c r="N658" t="str">
        <f>IFERROR(VLOOKUP($B658,ChartOfAccounts!C657:D742,2,FALSE),"")</f>
        <v/>
      </c>
      <c r="O658" t="str">
        <f>IFERROR(VLOOKUP($B658,ChartOfAccounts!E657:F742,2,FALSE),"")</f>
        <v/>
      </c>
      <c r="P658" t="str">
        <f>IFERROR(VLOOKUP(D658,PreparerInfo!A657:B669,2,FALSE),"")</f>
        <v/>
      </c>
      <c r="Q658" t="str">
        <f>IFERROR(VLOOKUP(E658,Source!A657:B665,2,FALSE),"")</f>
        <v/>
      </c>
    </row>
    <row r="659" spans="1:17" x14ac:dyDescent="0.3">
      <c r="A659" s="3">
        <v>2033848</v>
      </c>
      <c r="B659">
        <v>43180</v>
      </c>
      <c r="C659">
        <v>2</v>
      </c>
      <c r="D659" s="9">
        <v>104</v>
      </c>
      <c r="E659">
        <v>1003</v>
      </c>
      <c r="F659" s="1">
        <v>44011</v>
      </c>
      <c r="G659" t="s">
        <v>15</v>
      </c>
      <c r="H659" s="4" t="s">
        <v>16</v>
      </c>
      <c r="I659" s="4">
        <v>-7100</v>
      </c>
      <c r="J659" s="4">
        <v>-7100</v>
      </c>
      <c r="K659" t="str">
        <f>VLOOKUP($C659,Table1[#All],2,FALSE)</f>
        <v>HOTEL</v>
      </c>
      <c r="L659" t="str">
        <f>VLOOKUP($C659,Table1[#All],3,FALSE)</f>
        <v xml:space="preserve">Transactions related to guest rooms and overall hotel operations. Includes payroll for administrative staff, clerks and interns. </v>
      </c>
      <c r="M659" t="str">
        <f>IFERROR(VLOOKUP($B659,ChartOfAccounts!A658:B743,2,FALSE),"")</f>
        <v/>
      </c>
      <c r="N659" t="str">
        <f>IFERROR(VLOOKUP($B659,ChartOfAccounts!C658:D743,2,FALSE),"")</f>
        <v/>
      </c>
      <c r="O659" t="str">
        <f>IFERROR(VLOOKUP($B659,ChartOfAccounts!E658:F743,2,FALSE),"")</f>
        <v/>
      </c>
      <c r="P659" t="str">
        <f>IFERROR(VLOOKUP(D659,PreparerInfo!A658:B670,2,FALSE),"")</f>
        <v/>
      </c>
      <c r="Q659" t="str">
        <f>IFERROR(VLOOKUP(E659,Source!A658:B666,2,FALSE),"")</f>
        <v/>
      </c>
    </row>
    <row r="660" spans="1:17" x14ac:dyDescent="0.3">
      <c r="A660" s="3">
        <v>2033849</v>
      </c>
      <c r="B660">
        <v>11845</v>
      </c>
      <c r="C660">
        <v>2</v>
      </c>
      <c r="D660" s="9">
        <v>104</v>
      </c>
      <c r="E660">
        <v>1003</v>
      </c>
      <c r="F660" s="1">
        <v>44011</v>
      </c>
      <c r="G660" t="s">
        <v>15</v>
      </c>
      <c r="H660" s="4">
        <v>16000</v>
      </c>
      <c r="I660" s="4" t="s">
        <v>16</v>
      </c>
      <c r="J660" s="4">
        <v>16000</v>
      </c>
      <c r="K660" t="str">
        <f>VLOOKUP($C660,Table1[#All],2,FALSE)</f>
        <v>HOTEL</v>
      </c>
      <c r="L660" t="str">
        <f>VLOOKUP($C660,Table1[#All],3,FALSE)</f>
        <v xml:space="preserve">Transactions related to guest rooms and overall hotel operations. Includes payroll for administrative staff, clerks and interns. </v>
      </c>
      <c r="M660" t="str">
        <f>IFERROR(VLOOKUP($B660,ChartOfAccounts!A659:B744,2,FALSE),"")</f>
        <v/>
      </c>
      <c r="N660" t="str">
        <f>IFERROR(VLOOKUP($B660,ChartOfAccounts!C659:D744,2,FALSE),"")</f>
        <v/>
      </c>
      <c r="O660" t="str">
        <f>IFERROR(VLOOKUP($B660,ChartOfAccounts!E659:F744,2,FALSE),"")</f>
        <v/>
      </c>
      <c r="P660" t="str">
        <f>IFERROR(VLOOKUP(D660,PreparerInfo!A659:B671,2,FALSE),"")</f>
        <v/>
      </c>
      <c r="Q660" t="str">
        <f>IFERROR(VLOOKUP(E660,Source!A659:B667,2,FALSE),"")</f>
        <v/>
      </c>
    </row>
    <row r="661" spans="1:17" x14ac:dyDescent="0.3">
      <c r="A661" s="3">
        <v>2033849</v>
      </c>
      <c r="B661">
        <v>43180</v>
      </c>
      <c r="C661">
        <v>2</v>
      </c>
      <c r="D661" s="9">
        <v>104</v>
      </c>
      <c r="E661">
        <v>1003</v>
      </c>
      <c r="F661" s="1">
        <v>44011</v>
      </c>
      <c r="G661" t="s">
        <v>15</v>
      </c>
      <c r="H661" s="4" t="s">
        <v>16</v>
      </c>
      <c r="I661" s="4">
        <v>-16000</v>
      </c>
      <c r="J661" s="4">
        <v>-16000</v>
      </c>
      <c r="K661" t="str">
        <f>VLOOKUP($C661,Table1[#All],2,FALSE)</f>
        <v>HOTEL</v>
      </c>
      <c r="L661" t="str">
        <f>VLOOKUP($C661,Table1[#All],3,FALSE)</f>
        <v xml:space="preserve">Transactions related to guest rooms and overall hotel operations. Includes payroll for administrative staff, clerks and interns. </v>
      </c>
      <c r="M661" t="str">
        <f>IFERROR(VLOOKUP($B661,ChartOfAccounts!A660:B745,2,FALSE),"")</f>
        <v/>
      </c>
      <c r="N661" t="str">
        <f>IFERROR(VLOOKUP($B661,ChartOfAccounts!C660:D745,2,FALSE),"")</f>
        <v/>
      </c>
      <c r="O661" t="str">
        <f>IFERROR(VLOOKUP($B661,ChartOfAccounts!E660:F745,2,FALSE),"")</f>
        <v/>
      </c>
      <c r="P661" t="str">
        <f>IFERROR(VLOOKUP(D661,PreparerInfo!A660:B672,2,FALSE),"")</f>
        <v/>
      </c>
      <c r="Q661" t="str">
        <f>IFERROR(VLOOKUP(E661,Source!A660:B668,2,FALSE),"")</f>
        <v/>
      </c>
    </row>
    <row r="662" spans="1:17" x14ac:dyDescent="0.3">
      <c r="A662" s="3">
        <v>2033850</v>
      </c>
      <c r="B662">
        <v>11845</v>
      </c>
      <c r="C662">
        <v>2</v>
      </c>
      <c r="D662" s="9">
        <v>104</v>
      </c>
      <c r="E662">
        <v>1003</v>
      </c>
      <c r="F662" s="1">
        <v>44011</v>
      </c>
      <c r="G662" t="s">
        <v>15</v>
      </c>
      <c r="H662" s="4">
        <v>23975</v>
      </c>
      <c r="I662" s="4" t="s">
        <v>16</v>
      </c>
      <c r="J662" s="4">
        <v>23975</v>
      </c>
      <c r="K662" t="str">
        <f>VLOOKUP($C662,Table1[#All],2,FALSE)</f>
        <v>HOTEL</v>
      </c>
      <c r="L662" t="str">
        <f>VLOOKUP($C662,Table1[#All],3,FALSE)</f>
        <v xml:space="preserve">Transactions related to guest rooms and overall hotel operations. Includes payroll for administrative staff, clerks and interns. </v>
      </c>
      <c r="M662" t="str">
        <f>IFERROR(VLOOKUP($B662,ChartOfAccounts!A661:B746,2,FALSE),"")</f>
        <v/>
      </c>
      <c r="N662" t="str">
        <f>IFERROR(VLOOKUP($B662,ChartOfAccounts!C661:D746,2,FALSE),"")</f>
        <v/>
      </c>
      <c r="O662" t="str">
        <f>IFERROR(VLOOKUP($B662,ChartOfAccounts!E661:F746,2,FALSE),"")</f>
        <v/>
      </c>
      <c r="P662" t="str">
        <f>IFERROR(VLOOKUP(D662,PreparerInfo!A661:B673,2,FALSE),"")</f>
        <v/>
      </c>
      <c r="Q662" t="str">
        <f>IFERROR(VLOOKUP(E662,Source!A661:B669,2,FALSE),"")</f>
        <v/>
      </c>
    </row>
    <row r="663" spans="1:17" x14ac:dyDescent="0.3">
      <c r="A663" s="3">
        <v>2033850</v>
      </c>
      <c r="B663">
        <v>43180</v>
      </c>
      <c r="C663">
        <v>2</v>
      </c>
      <c r="D663" s="9">
        <v>104</v>
      </c>
      <c r="E663">
        <v>1003</v>
      </c>
      <c r="F663" s="1">
        <v>44011</v>
      </c>
      <c r="G663" t="s">
        <v>15</v>
      </c>
      <c r="H663" s="4" t="s">
        <v>16</v>
      </c>
      <c r="I663" s="4">
        <v>-23975</v>
      </c>
      <c r="J663" s="4">
        <v>-23975</v>
      </c>
      <c r="K663" t="str">
        <f>VLOOKUP($C663,Table1[#All],2,FALSE)</f>
        <v>HOTEL</v>
      </c>
      <c r="L663" t="str">
        <f>VLOOKUP($C663,Table1[#All],3,FALSE)</f>
        <v xml:space="preserve">Transactions related to guest rooms and overall hotel operations. Includes payroll for administrative staff, clerks and interns. </v>
      </c>
      <c r="M663" t="str">
        <f>IFERROR(VLOOKUP($B663,ChartOfAccounts!A662:B747,2,FALSE),"")</f>
        <v/>
      </c>
      <c r="N663" t="str">
        <f>IFERROR(VLOOKUP($B663,ChartOfAccounts!C662:D747,2,FALSE),"")</f>
        <v/>
      </c>
      <c r="O663" t="str">
        <f>IFERROR(VLOOKUP($B663,ChartOfAccounts!E662:F747,2,FALSE),"")</f>
        <v/>
      </c>
      <c r="P663" t="str">
        <f>IFERROR(VLOOKUP(D663,PreparerInfo!A662:B674,2,FALSE),"")</f>
        <v/>
      </c>
      <c r="Q663" t="str">
        <f>IFERROR(VLOOKUP(E663,Source!A662:B670,2,FALSE),"")</f>
        <v/>
      </c>
    </row>
    <row r="664" spans="1:17" x14ac:dyDescent="0.3">
      <c r="A664" s="3">
        <v>2033851</v>
      </c>
      <c r="B664" t="s">
        <v>112</v>
      </c>
      <c r="C664">
        <v>1</v>
      </c>
      <c r="D664" s="9">
        <v>101</v>
      </c>
      <c r="E664">
        <v>1008</v>
      </c>
      <c r="F664" s="1">
        <v>44011</v>
      </c>
      <c r="G664" t="s">
        <v>163</v>
      </c>
      <c r="H664" s="4">
        <v>87934.18</v>
      </c>
      <c r="I664" s="4" t="s">
        <v>16</v>
      </c>
      <c r="J664" s="4">
        <v>87934.18</v>
      </c>
      <c r="K664" t="str">
        <f>VLOOKUP($C664,Table1[#All],2,FALSE)</f>
        <v>FOOD SERVICE</v>
      </c>
      <c r="L664" t="str">
        <f>VLOOKUP($C664,Table1[#All],3,FALSE)</f>
        <v xml:space="preserve">Transactions related to food and beverage service. Includes all guest transactions in the hotel restaurants, catering-related transactions and food service payroll. </v>
      </c>
      <c r="M664" t="str">
        <f>IFERROR(VLOOKUP($B664,ChartOfAccounts!A663:B748,2,FALSE),"")</f>
        <v/>
      </c>
      <c r="N664" t="str">
        <f>IFERROR(VLOOKUP($B664,ChartOfAccounts!C663:D748,2,FALSE),"")</f>
        <v/>
      </c>
      <c r="O664" t="str">
        <f>IFERROR(VLOOKUP($B664,ChartOfAccounts!E663:F748,2,FALSE),"")</f>
        <v/>
      </c>
      <c r="P664" t="str">
        <f>IFERROR(VLOOKUP(D664,PreparerInfo!A663:B675,2,FALSE),"")</f>
        <v/>
      </c>
      <c r="Q664" t="str">
        <f>IFERROR(VLOOKUP(E664,Source!A663:B671,2,FALSE),"")</f>
        <v/>
      </c>
    </row>
    <row r="665" spans="1:17" x14ac:dyDescent="0.3">
      <c r="A665" s="3">
        <v>2033851</v>
      </c>
      <c r="B665">
        <v>14260</v>
      </c>
      <c r="C665">
        <v>1</v>
      </c>
      <c r="D665" s="9">
        <v>101</v>
      </c>
      <c r="E665">
        <v>1008</v>
      </c>
      <c r="F665" s="1">
        <v>44011</v>
      </c>
      <c r="G665" t="s">
        <v>163</v>
      </c>
      <c r="H665" s="4" t="s">
        <v>16</v>
      </c>
      <c r="I665" s="4">
        <v>-87934.18</v>
      </c>
      <c r="J665" s="4">
        <v>-87934.18</v>
      </c>
      <c r="K665" t="str">
        <f>VLOOKUP($C665,Table1[#All],2,FALSE)</f>
        <v>FOOD SERVICE</v>
      </c>
      <c r="L665" t="str">
        <f>VLOOKUP($C665,Table1[#All],3,FALSE)</f>
        <v xml:space="preserve">Transactions related to food and beverage service. Includes all guest transactions in the hotel restaurants, catering-related transactions and food service payroll. </v>
      </c>
      <c r="M665" t="str">
        <f>IFERROR(VLOOKUP($B665,ChartOfAccounts!A664:B749,2,FALSE),"")</f>
        <v/>
      </c>
      <c r="N665" t="str">
        <f>IFERROR(VLOOKUP($B665,ChartOfAccounts!C664:D749,2,FALSE),"")</f>
        <v/>
      </c>
      <c r="O665" t="str">
        <f>IFERROR(VLOOKUP($B665,ChartOfAccounts!E664:F749,2,FALSE),"")</f>
        <v/>
      </c>
      <c r="P665" t="str">
        <f>IFERROR(VLOOKUP(D665,PreparerInfo!A664:B676,2,FALSE),"")</f>
        <v/>
      </c>
      <c r="Q665" t="str">
        <f>IFERROR(VLOOKUP(E665,Source!A664:B672,2,FALSE),"")</f>
        <v/>
      </c>
    </row>
    <row r="666" spans="1:17" x14ac:dyDescent="0.3">
      <c r="A666" s="3">
        <v>2033852</v>
      </c>
      <c r="B666">
        <v>14260</v>
      </c>
      <c r="C666">
        <v>1</v>
      </c>
      <c r="D666" s="9">
        <v>101</v>
      </c>
      <c r="E666">
        <v>1007</v>
      </c>
      <c r="F666" s="1">
        <v>44012</v>
      </c>
      <c r="G666" t="s">
        <v>86</v>
      </c>
      <c r="H666" s="4">
        <v>4.99</v>
      </c>
      <c r="I666" s="4" t="s">
        <v>16</v>
      </c>
      <c r="J666" s="4">
        <v>4.99</v>
      </c>
      <c r="K666" t="str">
        <f>VLOOKUP($C666,Table1[#All],2,FALSE)</f>
        <v>FOOD SERVICE</v>
      </c>
      <c r="L666" t="str">
        <f>VLOOKUP($C666,Table1[#All],3,FALSE)</f>
        <v xml:space="preserve">Transactions related to food and beverage service. Includes all guest transactions in the hotel restaurants, catering-related transactions and food service payroll. </v>
      </c>
      <c r="M666" t="str">
        <f>IFERROR(VLOOKUP($B666,ChartOfAccounts!A665:B750,2,FALSE),"")</f>
        <v/>
      </c>
      <c r="N666" t="str">
        <f>IFERROR(VLOOKUP($B666,ChartOfAccounts!C665:D750,2,FALSE),"")</f>
        <v/>
      </c>
      <c r="O666" t="str">
        <f>IFERROR(VLOOKUP($B666,ChartOfAccounts!E665:F750,2,FALSE),"")</f>
        <v/>
      </c>
      <c r="P666" t="str">
        <f>IFERROR(VLOOKUP(D666,PreparerInfo!A665:B677,2,FALSE),"")</f>
        <v/>
      </c>
      <c r="Q666" t="str">
        <f>IFERROR(VLOOKUP(E666,Source!A665:B673,2,FALSE),"")</f>
        <v/>
      </c>
    </row>
    <row r="667" spans="1:17" x14ac:dyDescent="0.3">
      <c r="A667" s="3">
        <v>2033852</v>
      </c>
      <c r="B667">
        <v>11845</v>
      </c>
      <c r="C667">
        <v>1</v>
      </c>
      <c r="D667" s="9">
        <v>101</v>
      </c>
      <c r="E667">
        <v>1007</v>
      </c>
      <c r="F667" s="1">
        <v>44012</v>
      </c>
      <c r="G667" t="s">
        <v>86</v>
      </c>
      <c r="H667" s="4" t="s">
        <v>16</v>
      </c>
      <c r="I667" s="4">
        <v>-4.99</v>
      </c>
      <c r="J667" s="4">
        <v>-4.99</v>
      </c>
      <c r="K667" t="str">
        <f>VLOOKUP($C667,Table1[#All],2,FALSE)</f>
        <v>FOOD SERVICE</v>
      </c>
      <c r="L667" t="str">
        <f>VLOOKUP($C667,Table1[#All],3,FALSE)</f>
        <v xml:space="preserve">Transactions related to food and beverage service. Includes all guest transactions in the hotel restaurants, catering-related transactions and food service payroll. </v>
      </c>
      <c r="M667" t="str">
        <f>IFERROR(VLOOKUP($B667,ChartOfAccounts!A666:B751,2,FALSE),"")</f>
        <v/>
      </c>
      <c r="N667" t="str">
        <f>IFERROR(VLOOKUP($B667,ChartOfAccounts!C666:D751,2,FALSE),"")</f>
        <v/>
      </c>
      <c r="O667" t="str">
        <f>IFERROR(VLOOKUP($B667,ChartOfAccounts!E666:F751,2,FALSE),"")</f>
        <v/>
      </c>
      <c r="P667" t="str">
        <f>IFERROR(VLOOKUP(D667,PreparerInfo!A666:B678,2,FALSE),"")</f>
        <v/>
      </c>
      <c r="Q667" t="str">
        <f>IFERROR(VLOOKUP(E667,Source!A666:B674,2,FALSE),"")</f>
        <v/>
      </c>
    </row>
    <row r="668" spans="1:17" x14ac:dyDescent="0.3">
      <c r="A668" s="3">
        <v>2033853</v>
      </c>
      <c r="B668">
        <v>71400</v>
      </c>
      <c r="C668">
        <v>1</v>
      </c>
      <c r="D668" s="9">
        <v>101</v>
      </c>
      <c r="E668">
        <v>1007</v>
      </c>
      <c r="F668" s="1">
        <v>44012</v>
      </c>
      <c r="G668" t="s">
        <v>83</v>
      </c>
      <c r="H668" s="4">
        <v>5.24</v>
      </c>
      <c r="I668" s="4" t="s">
        <v>16</v>
      </c>
      <c r="J668" s="4">
        <v>5.24</v>
      </c>
      <c r="K668" t="str">
        <f>VLOOKUP($C668,Table1[#All],2,FALSE)</f>
        <v>FOOD SERVICE</v>
      </c>
      <c r="L668" t="str">
        <f>VLOOKUP($C668,Table1[#All],3,FALSE)</f>
        <v xml:space="preserve">Transactions related to food and beverage service. Includes all guest transactions in the hotel restaurants, catering-related transactions and food service payroll. </v>
      </c>
      <c r="M668" t="str">
        <f>IFERROR(VLOOKUP($B668,ChartOfAccounts!A667:B752,2,FALSE),"")</f>
        <v/>
      </c>
      <c r="N668" t="str">
        <f>IFERROR(VLOOKUP($B668,ChartOfAccounts!C667:D752,2,FALSE),"")</f>
        <v/>
      </c>
      <c r="O668" t="str">
        <f>IFERROR(VLOOKUP($B668,ChartOfAccounts!E667:F752,2,FALSE),"")</f>
        <v/>
      </c>
      <c r="P668" t="str">
        <f>IFERROR(VLOOKUP(D668,PreparerInfo!A667:B679,2,FALSE),"")</f>
        <v/>
      </c>
      <c r="Q668" t="str">
        <f>IFERROR(VLOOKUP(E668,Source!A667:B675,2,FALSE),"")</f>
        <v/>
      </c>
    </row>
    <row r="669" spans="1:17" x14ac:dyDescent="0.3">
      <c r="A669" s="3">
        <v>2033853</v>
      </c>
      <c r="B669">
        <v>11845</v>
      </c>
      <c r="C669">
        <v>1</v>
      </c>
      <c r="D669" s="9">
        <v>101</v>
      </c>
      <c r="E669">
        <v>1007</v>
      </c>
      <c r="F669" s="1">
        <v>44012</v>
      </c>
      <c r="G669" t="s">
        <v>83</v>
      </c>
      <c r="H669" s="4" t="s">
        <v>16</v>
      </c>
      <c r="I669" s="4">
        <v>-5.24</v>
      </c>
      <c r="J669" s="4">
        <v>-5.24</v>
      </c>
      <c r="K669" t="str">
        <f>VLOOKUP($C669,Table1[#All],2,FALSE)</f>
        <v>FOOD SERVICE</v>
      </c>
      <c r="L669" t="str">
        <f>VLOOKUP($C669,Table1[#All],3,FALSE)</f>
        <v xml:space="preserve">Transactions related to food and beverage service. Includes all guest transactions in the hotel restaurants, catering-related transactions and food service payroll. </v>
      </c>
      <c r="M669" t="str">
        <f>IFERROR(VLOOKUP($B669,ChartOfAccounts!A668:B753,2,FALSE),"")</f>
        <v/>
      </c>
      <c r="N669" t="str">
        <f>IFERROR(VLOOKUP($B669,ChartOfAccounts!C668:D753,2,FALSE),"")</f>
        <v/>
      </c>
      <c r="O669" t="str">
        <f>IFERROR(VLOOKUP($B669,ChartOfAccounts!E668:F753,2,FALSE),"")</f>
        <v/>
      </c>
      <c r="P669" t="str">
        <f>IFERROR(VLOOKUP(D669,PreparerInfo!A668:B680,2,FALSE),"")</f>
        <v/>
      </c>
      <c r="Q669" t="str">
        <f>IFERROR(VLOOKUP(E669,Source!A668:B676,2,FALSE),"")</f>
        <v/>
      </c>
    </row>
    <row r="670" spans="1:17" x14ac:dyDescent="0.3">
      <c r="A670" s="3">
        <v>2033854</v>
      </c>
      <c r="B670">
        <v>11845</v>
      </c>
      <c r="C670">
        <v>1</v>
      </c>
      <c r="D670" s="9">
        <v>101</v>
      </c>
      <c r="E670">
        <v>1007</v>
      </c>
      <c r="F670" s="1">
        <v>44012</v>
      </c>
      <c r="G670" t="s">
        <v>88</v>
      </c>
      <c r="H670" s="4">
        <v>18.45</v>
      </c>
      <c r="I670" s="4" t="s">
        <v>16</v>
      </c>
      <c r="J670" s="4">
        <v>18.45</v>
      </c>
      <c r="K670" t="str">
        <f>VLOOKUP($C670,Table1[#All],2,FALSE)</f>
        <v>FOOD SERVICE</v>
      </c>
      <c r="L670" t="str">
        <f>VLOOKUP($C670,Table1[#All],3,FALSE)</f>
        <v xml:space="preserve">Transactions related to food and beverage service. Includes all guest transactions in the hotel restaurants, catering-related transactions and food service payroll. </v>
      </c>
      <c r="M670" t="str">
        <f>IFERROR(VLOOKUP($B670,ChartOfAccounts!A669:B754,2,FALSE),"")</f>
        <v/>
      </c>
      <c r="N670" t="str">
        <f>IFERROR(VLOOKUP($B670,ChartOfAccounts!C669:D754,2,FALSE),"")</f>
        <v/>
      </c>
      <c r="O670" t="str">
        <f>IFERROR(VLOOKUP($B670,ChartOfAccounts!E669:F754,2,FALSE),"")</f>
        <v/>
      </c>
      <c r="P670" t="str">
        <f>IFERROR(VLOOKUP(D670,PreparerInfo!A669:B681,2,FALSE),"")</f>
        <v/>
      </c>
      <c r="Q670" t="str">
        <f>IFERROR(VLOOKUP(E670,Source!A669:B677,2,FALSE),"")</f>
        <v/>
      </c>
    </row>
    <row r="671" spans="1:17" x14ac:dyDescent="0.3">
      <c r="A671" s="3">
        <v>2033854</v>
      </c>
      <c r="B671">
        <v>71400</v>
      </c>
      <c r="C671">
        <v>1</v>
      </c>
      <c r="D671" s="9">
        <v>101</v>
      </c>
      <c r="E671">
        <v>1007</v>
      </c>
      <c r="F671" s="1">
        <v>44012</v>
      </c>
      <c r="G671" t="s">
        <v>88</v>
      </c>
      <c r="H671" s="4" t="s">
        <v>16</v>
      </c>
      <c r="I671" s="4">
        <v>-18.45</v>
      </c>
      <c r="J671" s="4">
        <v>-18.45</v>
      </c>
      <c r="K671" t="str">
        <f>VLOOKUP($C671,Table1[#All],2,FALSE)</f>
        <v>FOOD SERVICE</v>
      </c>
      <c r="L671" t="str">
        <f>VLOOKUP($C671,Table1[#All],3,FALSE)</f>
        <v xml:space="preserve">Transactions related to food and beverage service. Includes all guest transactions in the hotel restaurants, catering-related transactions and food service payroll. </v>
      </c>
      <c r="M671" t="str">
        <f>IFERROR(VLOOKUP($B671,ChartOfAccounts!A670:B755,2,FALSE),"")</f>
        <v/>
      </c>
      <c r="N671" t="str">
        <f>IFERROR(VLOOKUP($B671,ChartOfAccounts!C670:D755,2,FALSE),"")</f>
        <v/>
      </c>
      <c r="O671" t="str">
        <f>IFERROR(VLOOKUP($B671,ChartOfAccounts!E670:F755,2,FALSE),"")</f>
        <v/>
      </c>
      <c r="P671" t="str">
        <f>IFERROR(VLOOKUP(D671,PreparerInfo!A670:B682,2,FALSE),"")</f>
        <v/>
      </c>
      <c r="Q671" t="str">
        <f>IFERROR(VLOOKUP(E671,Source!A670:B678,2,FALSE),"")</f>
        <v/>
      </c>
    </row>
    <row r="672" spans="1:17" x14ac:dyDescent="0.3">
      <c r="A672" s="3">
        <v>2033855</v>
      </c>
      <c r="B672">
        <v>11845</v>
      </c>
      <c r="C672">
        <v>3</v>
      </c>
      <c r="D672" s="9">
        <v>102</v>
      </c>
      <c r="E672">
        <v>1003</v>
      </c>
      <c r="F672" s="1">
        <v>44012</v>
      </c>
      <c r="G672" t="s">
        <v>15</v>
      </c>
      <c r="H672" s="4">
        <v>20.81</v>
      </c>
      <c r="I672" s="4" t="s">
        <v>16</v>
      </c>
      <c r="J672" s="4">
        <v>20.81</v>
      </c>
      <c r="K672" t="str">
        <f>VLOOKUP($C672,Table1[#All],2,FALSE)</f>
        <v>HOTEL PANTRY</v>
      </c>
      <c r="L672" t="str">
        <f>VLOOKUP($C672,Table1[#All],3,FALSE)</f>
        <v>Transactions related to the hotel convenience store, including some food and beverage costs.</v>
      </c>
      <c r="M672" t="str">
        <f>IFERROR(VLOOKUP($B672,ChartOfAccounts!A671:B756,2,FALSE),"")</f>
        <v/>
      </c>
      <c r="N672" t="str">
        <f>IFERROR(VLOOKUP($B672,ChartOfAccounts!C671:D756,2,FALSE),"")</f>
        <v/>
      </c>
      <c r="O672" t="str">
        <f>IFERROR(VLOOKUP($B672,ChartOfAccounts!E671:F756,2,FALSE),"")</f>
        <v/>
      </c>
      <c r="P672" t="str">
        <f>IFERROR(VLOOKUP(D672,PreparerInfo!A671:B683,2,FALSE),"")</f>
        <v/>
      </c>
      <c r="Q672" t="str">
        <f>IFERROR(VLOOKUP(E672,Source!A671:B679,2,FALSE),"")</f>
        <v/>
      </c>
    </row>
    <row r="673" spans="1:17" x14ac:dyDescent="0.3">
      <c r="A673" s="3">
        <v>2033855</v>
      </c>
      <c r="B673">
        <v>43440</v>
      </c>
      <c r="C673">
        <v>3</v>
      </c>
      <c r="D673" s="9">
        <v>102</v>
      </c>
      <c r="E673">
        <v>1003</v>
      </c>
      <c r="F673" s="1">
        <v>44012</v>
      </c>
      <c r="G673" t="s">
        <v>15</v>
      </c>
      <c r="H673" s="4" t="s">
        <v>16</v>
      </c>
      <c r="I673" s="4">
        <v>-20.81</v>
      </c>
      <c r="J673" s="4">
        <v>-20.81</v>
      </c>
      <c r="K673" t="str">
        <f>VLOOKUP($C673,Table1[#All],2,FALSE)</f>
        <v>HOTEL PANTRY</v>
      </c>
      <c r="L673" t="str">
        <f>VLOOKUP($C673,Table1[#All],3,FALSE)</f>
        <v>Transactions related to the hotel convenience store, including some food and beverage costs.</v>
      </c>
      <c r="M673" t="str">
        <f>IFERROR(VLOOKUP($B673,ChartOfAccounts!A672:B757,2,FALSE),"")</f>
        <v/>
      </c>
      <c r="N673" t="str">
        <f>IFERROR(VLOOKUP($B673,ChartOfAccounts!C672:D757,2,FALSE),"")</f>
        <v/>
      </c>
      <c r="O673" t="str">
        <f>IFERROR(VLOOKUP($B673,ChartOfAccounts!E672:F757,2,FALSE),"")</f>
        <v/>
      </c>
      <c r="P673" t="str">
        <f>IFERROR(VLOOKUP(D673,PreparerInfo!A672:B684,2,FALSE),"")</f>
        <v/>
      </c>
      <c r="Q673" t="str">
        <f>IFERROR(VLOOKUP(E673,Source!A672:B680,2,FALSE),"")</f>
        <v/>
      </c>
    </row>
    <row r="674" spans="1:17" x14ac:dyDescent="0.3">
      <c r="A674" s="3">
        <v>2033856</v>
      </c>
      <c r="B674">
        <v>14250</v>
      </c>
      <c r="C674">
        <v>3</v>
      </c>
      <c r="D674" s="9">
        <v>101</v>
      </c>
      <c r="E674">
        <v>1007</v>
      </c>
      <c r="F674" s="1">
        <v>44012</v>
      </c>
      <c r="G674" t="s">
        <v>77</v>
      </c>
      <c r="H674" s="4">
        <v>25.95</v>
      </c>
      <c r="I674" s="4" t="s">
        <v>16</v>
      </c>
      <c r="J674" s="4">
        <v>25.95</v>
      </c>
      <c r="K674" t="str">
        <f>VLOOKUP($C674,Table1[#All],2,FALSE)</f>
        <v>HOTEL PANTRY</v>
      </c>
      <c r="L674" t="str">
        <f>VLOOKUP($C674,Table1[#All],3,FALSE)</f>
        <v>Transactions related to the hotel convenience store, including some food and beverage costs.</v>
      </c>
      <c r="M674" t="str">
        <f>IFERROR(VLOOKUP($B674,ChartOfAccounts!A673:B758,2,FALSE),"")</f>
        <v/>
      </c>
      <c r="N674" t="str">
        <f>IFERROR(VLOOKUP($B674,ChartOfAccounts!C673:D758,2,FALSE),"")</f>
        <v/>
      </c>
      <c r="O674" t="str">
        <f>IFERROR(VLOOKUP($B674,ChartOfAccounts!E673:F758,2,FALSE),"")</f>
        <v/>
      </c>
      <c r="P674" t="str">
        <f>IFERROR(VLOOKUP(D674,PreparerInfo!A673:B685,2,FALSE),"")</f>
        <v/>
      </c>
      <c r="Q674" t="str">
        <f>IFERROR(VLOOKUP(E674,Source!A673:B681,2,FALSE),"")</f>
        <v/>
      </c>
    </row>
    <row r="675" spans="1:17" x14ac:dyDescent="0.3">
      <c r="A675" s="3">
        <v>2033856</v>
      </c>
      <c r="B675">
        <v>11845</v>
      </c>
      <c r="C675">
        <v>3</v>
      </c>
      <c r="D675" s="9">
        <v>101</v>
      </c>
      <c r="E675">
        <v>1007</v>
      </c>
      <c r="F675" s="1">
        <v>44012</v>
      </c>
      <c r="G675" t="s">
        <v>77</v>
      </c>
      <c r="H675" s="4" t="s">
        <v>16</v>
      </c>
      <c r="I675" s="4">
        <v>-25.95</v>
      </c>
      <c r="J675" s="4">
        <v>-25.95</v>
      </c>
      <c r="K675" t="str">
        <f>VLOOKUP($C675,Table1[#All],2,FALSE)</f>
        <v>HOTEL PANTRY</v>
      </c>
      <c r="L675" t="str">
        <f>VLOOKUP($C675,Table1[#All],3,FALSE)</f>
        <v>Transactions related to the hotel convenience store, including some food and beverage costs.</v>
      </c>
      <c r="M675" t="str">
        <f>IFERROR(VLOOKUP($B675,ChartOfAccounts!A674:B759,2,FALSE),"")</f>
        <v/>
      </c>
      <c r="N675" t="str">
        <f>IFERROR(VLOOKUP($B675,ChartOfAccounts!C674:D759,2,FALSE),"")</f>
        <v/>
      </c>
      <c r="O675" t="str">
        <f>IFERROR(VLOOKUP($B675,ChartOfAccounts!E674:F759,2,FALSE),"")</f>
        <v/>
      </c>
      <c r="P675" t="str">
        <f>IFERROR(VLOOKUP(D675,PreparerInfo!A674:B686,2,FALSE),"")</f>
        <v/>
      </c>
      <c r="Q675" t="str">
        <f>IFERROR(VLOOKUP(E675,Source!A674:B682,2,FALSE),"")</f>
        <v/>
      </c>
    </row>
    <row r="676" spans="1:17" x14ac:dyDescent="0.3">
      <c r="A676" s="3">
        <v>2033857</v>
      </c>
      <c r="B676">
        <v>72723</v>
      </c>
      <c r="C676">
        <v>1</v>
      </c>
      <c r="D676" s="9">
        <v>101</v>
      </c>
      <c r="E676">
        <v>1007</v>
      </c>
      <c r="F676" s="1">
        <v>44012</v>
      </c>
      <c r="G676" t="s">
        <v>123</v>
      </c>
      <c r="H676" s="4">
        <v>26.95</v>
      </c>
      <c r="I676" s="4" t="s">
        <v>16</v>
      </c>
      <c r="J676" s="4">
        <v>26.95</v>
      </c>
      <c r="K676" t="str">
        <f>VLOOKUP($C676,Table1[#All],2,FALSE)</f>
        <v>FOOD SERVICE</v>
      </c>
      <c r="L676" t="str">
        <f>VLOOKUP($C676,Table1[#All],3,FALSE)</f>
        <v xml:space="preserve">Transactions related to food and beverage service. Includes all guest transactions in the hotel restaurants, catering-related transactions and food service payroll. </v>
      </c>
      <c r="M676" t="str">
        <f>IFERROR(VLOOKUP($B676,ChartOfAccounts!A675:B760,2,FALSE),"")</f>
        <v/>
      </c>
      <c r="N676" t="str">
        <f>IFERROR(VLOOKUP($B676,ChartOfAccounts!C675:D760,2,FALSE),"")</f>
        <v/>
      </c>
      <c r="O676" t="str">
        <f>IFERROR(VLOOKUP($B676,ChartOfAccounts!E675:F760,2,FALSE),"")</f>
        <v/>
      </c>
      <c r="P676" t="str">
        <f>IFERROR(VLOOKUP(D676,PreparerInfo!A675:B687,2,FALSE),"")</f>
        <v/>
      </c>
      <c r="Q676" t="str">
        <f>IFERROR(VLOOKUP(E676,Source!A675:B683,2,FALSE),"")</f>
        <v/>
      </c>
    </row>
    <row r="677" spans="1:17" x14ac:dyDescent="0.3">
      <c r="A677" s="3">
        <v>2033857</v>
      </c>
      <c r="B677">
        <v>11845</v>
      </c>
      <c r="C677">
        <v>1</v>
      </c>
      <c r="D677" s="9">
        <v>101</v>
      </c>
      <c r="E677">
        <v>1007</v>
      </c>
      <c r="F677" s="1">
        <v>44012</v>
      </c>
      <c r="G677" t="s">
        <v>123</v>
      </c>
      <c r="H677" s="4" t="s">
        <v>16</v>
      </c>
      <c r="I677" s="4">
        <v>-26.95</v>
      </c>
      <c r="J677" s="4">
        <v>-26.95</v>
      </c>
      <c r="K677" t="str">
        <f>VLOOKUP($C677,Table1[#All],2,FALSE)</f>
        <v>FOOD SERVICE</v>
      </c>
      <c r="L677" t="str">
        <f>VLOOKUP($C677,Table1[#All],3,FALSE)</f>
        <v xml:space="preserve">Transactions related to food and beverage service. Includes all guest transactions in the hotel restaurants, catering-related transactions and food service payroll. </v>
      </c>
      <c r="M677" t="str">
        <f>IFERROR(VLOOKUP($B677,ChartOfAccounts!A676:B761,2,FALSE),"")</f>
        <v/>
      </c>
      <c r="N677" t="str">
        <f>IFERROR(VLOOKUP($B677,ChartOfAccounts!C676:D761,2,FALSE),"")</f>
        <v/>
      </c>
      <c r="O677" t="str">
        <f>IFERROR(VLOOKUP($B677,ChartOfAccounts!E676:F761,2,FALSE),"")</f>
        <v/>
      </c>
      <c r="P677" t="str">
        <f>IFERROR(VLOOKUP(D677,PreparerInfo!A676:B688,2,FALSE),"")</f>
        <v/>
      </c>
      <c r="Q677" t="str">
        <f>IFERROR(VLOOKUP(E677,Source!A676:B684,2,FALSE),"")</f>
        <v/>
      </c>
    </row>
    <row r="678" spans="1:17" x14ac:dyDescent="0.3">
      <c r="A678" s="3">
        <v>2033858</v>
      </c>
      <c r="B678">
        <v>72723</v>
      </c>
      <c r="C678">
        <v>1</v>
      </c>
      <c r="D678" s="9">
        <v>101</v>
      </c>
      <c r="E678">
        <v>1007</v>
      </c>
      <c r="F678" s="1">
        <v>44012</v>
      </c>
      <c r="G678" t="s">
        <v>123</v>
      </c>
      <c r="H678" s="4">
        <v>26.95</v>
      </c>
      <c r="I678" s="4" t="s">
        <v>16</v>
      </c>
      <c r="J678" s="4">
        <v>26.95</v>
      </c>
      <c r="K678" t="str">
        <f>VLOOKUP($C678,Table1[#All],2,FALSE)</f>
        <v>FOOD SERVICE</v>
      </c>
      <c r="L678" t="str">
        <f>VLOOKUP($C678,Table1[#All],3,FALSE)</f>
        <v xml:space="preserve">Transactions related to food and beverage service. Includes all guest transactions in the hotel restaurants, catering-related transactions and food service payroll. </v>
      </c>
      <c r="M678" t="str">
        <f>IFERROR(VLOOKUP($B678,ChartOfAccounts!A677:B762,2,FALSE),"")</f>
        <v/>
      </c>
      <c r="N678" t="str">
        <f>IFERROR(VLOOKUP($B678,ChartOfAccounts!C677:D762,2,FALSE),"")</f>
        <v/>
      </c>
      <c r="O678" t="str">
        <f>IFERROR(VLOOKUP($B678,ChartOfAccounts!E677:F762,2,FALSE),"")</f>
        <v/>
      </c>
      <c r="P678" t="str">
        <f>IFERROR(VLOOKUP(D678,PreparerInfo!A677:B689,2,FALSE),"")</f>
        <v/>
      </c>
      <c r="Q678" t="str">
        <f>IFERROR(VLOOKUP(E678,Source!A677:B685,2,FALSE),"")</f>
        <v/>
      </c>
    </row>
    <row r="679" spans="1:17" x14ac:dyDescent="0.3">
      <c r="A679" s="3">
        <v>2033858</v>
      </c>
      <c r="B679">
        <v>11845</v>
      </c>
      <c r="C679">
        <v>1</v>
      </c>
      <c r="D679" s="9">
        <v>101</v>
      </c>
      <c r="E679">
        <v>1007</v>
      </c>
      <c r="F679" s="1">
        <v>44012</v>
      </c>
      <c r="G679" t="s">
        <v>123</v>
      </c>
      <c r="H679" s="4" t="s">
        <v>16</v>
      </c>
      <c r="I679" s="4">
        <v>-26.95</v>
      </c>
      <c r="J679" s="4">
        <v>-26.95</v>
      </c>
      <c r="K679" t="str">
        <f>VLOOKUP($C679,Table1[#All],2,FALSE)</f>
        <v>FOOD SERVICE</v>
      </c>
      <c r="L679" t="str">
        <f>VLOOKUP($C679,Table1[#All],3,FALSE)</f>
        <v xml:space="preserve">Transactions related to food and beverage service. Includes all guest transactions in the hotel restaurants, catering-related transactions and food service payroll. </v>
      </c>
      <c r="M679" t="str">
        <f>IFERROR(VLOOKUP($B679,ChartOfAccounts!A678:B763,2,FALSE),"")</f>
        <v/>
      </c>
      <c r="N679" t="str">
        <f>IFERROR(VLOOKUP($B679,ChartOfAccounts!C678:D763,2,FALSE),"")</f>
        <v/>
      </c>
      <c r="O679" t="str">
        <f>IFERROR(VLOOKUP($B679,ChartOfAccounts!E678:F763,2,FALSE),"")</f>
        <v/>
      </c>
      <c r="P679" t="str">
        <f>IFERROR(VLOOKUP(D679,PreparerInfo!A678:B690,2,FALSE),"")</f>
        <v/>
      </c>
      <c r="Q679" t="str">
        <f>IFERROR(VLOOKUP(E679,Source!A678:B686,2,FALSE),"")</f>
        <v/>
      </c>
    </row>
    <row r="680" spans="1:17" x14ac:dyDescent="0.3">
      <c r="A680" s="3">
        <v>2033859</v>
      </c>
      <c r="B680">
        <v>72723</v>
      </c>
      <c r="C680">
        <v>1</v>
      </c>
      <c r="D680" s="9">
        <v>101</v>
      </c>
      <c r="E680">
        <v>1007</v>
      </c>
      <c r="F680" s="1">
        <v>44012</v>
      </c>
      <c r="G680" t="s">
        <v>123</v>
      </c>
      <c r="H680" s="4">
        <v>26.95</v>
      </c>
      <c r="I680" s="4" t="s">
        <v>16</v>
      </c>
      <c r="J680" s="4">
        <v>26.95</v>
      </c>
      <c r="K680" t="str">
        <f>VLOOKUP($C680,Table1[#All],2,FALSE)</f>
        <v>FOOD SERVICE</v>
      </c>
      <c r="L680" t="str">
        <f>VLOOKUP($C680,Table1[#All],3,FALSE)</f>
        <v xml:space="preserve">Transactions related to food and beverage service. Includes all guest transactions in the hotel restaurants, catering-related transactions and food service payroll. </v>
      </c>
      <c r="M680" t="str">
        <f>IFERROR(VLOOKUP($B680,ChartOfAccounts!A679:B764,2,FALSE),"")</f>
        <v/>
      </c>
      <c r="N680" t="str">
        <f>IFERROR(VLOOKUP($B680,ChartOfAccounts!C679:D764,2,FALSE),"")</f>
        <v/>
      </c>
      <c r="O680" t="str">
        <f>IFERROR(VLOOKUP($B680,ChartOfAccounts!E679:F764,2,FALSE),"")</f>
        <v/>
      </c>
      <c r="P680" t="str">
        <f>IFERROR(VLOOKUP(D680,PreparerInfo!A679:B691,2,FALSE),"")</f>
        <v/>
      </c>
      <c r="Q680" t="str">
        <f>IFERROR(VLOOKUP(E680,Source!A679:B687,2,FALSE),"")</f>
        <v/>
      </c>
    </row>
    <row r="681" spans="1:17" x14ac:dyDescent="0.3">
      <c r="A681" s="3">
        <v>2033859</v>
      </c>
      <c r="B681">
        <v>11845</v>
      </c>
      <c r="C681">
        <v>1</v>
      </c>
      <c r="D681" s="9">
        <v>101</v>
      </c>
      <c r="E681">
        <v>1007</v>
      </c>
      <c r="F681" s="1">
        <v>44012</v>
      </c>
      <c r="G681" t="s">
        <v>123</v>
      </c>
      <c r="H681" s="4" t="s">
        <v>16</v>
      </c>
      <c r="I681" s="4">
        <v>-26.95</v>
      </c>
      <c r="J681" s="4">
        <v>-26.95</v>
      </c>
      <c r="K681" t="str">
        <f>VLOOKUP($C681,Table1[#All],2,FALSE)</f>
        <v>FOOD SERVICE</v>
      </c>
      <c r="L681" t="str">
        <f>VLOOKUP($C681,Table1[#All],3,FALSE)</f>
        <v xml:space="preserve">Transactions related to food and beverage service. Includes all guest transactions in the hotel restaurants, catering-related transactions and food service payroll. </v>
      </c>
      <c r="M681" t="str">
        <f>IFERROR(VLOOKUP($B681,ChartOfAccounts!A680:B765,2,FALSE),"")</f>
        <v/>
      </c>
      <c r="N681" t="str">
        <f>IFERROR(VLOOKUP($B681,ChartOfAccounts!C680:D765,2,FALSE),"")</f>
        <v/>
      </c>
      <c r="O681" t="str">
        <f>IFERROR(VLOOKUP($B681,ChartOfAccounts!E680:F765,2,FALSE),"")</f>
        <v/>
      </c>
      <c r="P681" t="str">
        <f>IFERROR(VLOOKUP(D681,PreparerInfo!A680:B692,2,FALSE),"")</f>
        <v/>
      </c>
      <c r="Q681" t="str">
        <f>IFERROR(VLOOKUP(E681,Source!A680:B688,2,FALSE),"")</f>
        <v/>
      </c>
    </row>
    <row r="682" spans="1:17" x14ac:dyDescent="0.3">
      <c r="A682" s="3">
        <v>2033860</v>
      </c>
      <c r="B682">
        <v>11845</v>
      </c>
      <c r="C682">
        <v>1</v>
      </c>
      <c r="D682" s="9">
        <v>102</v>
      </c>
      <c r="E682">
        <v>1001</v>
      </c>
      <c r="F682" s="1">
        <v>44012</v>
      </c>
      <c r="G682" t="s">
        <v>41</v>
      </c>
      <c r="H682" s="4">
        <v>28.35</v>
      </c>
      <c r="I682" s="4" t="s">
        <v>16</v>
      </c>
      <c r="J682" s="4">
        <v>28.35</v>
      </c>
      <c r="K682" t="str">
        <f>VLOOKUP($C682,Table1[#All],2,FALSE)</f>
        <v>FOOD SERVICE</v>
      </c>
      <c r="L682" t="str">
        <f>VLOOKUP($C682,Table1[#All],3,FALSE)</f>
        <v xml:space="preserve">Transactions related to food and beverage service. Includes all guest transactions in the hotel restaurants, catering-related transactions and food service payroll. </v>
      </c>
      <c r="M682" t="str">
        <f>IFERROR(VLOOKUP($B682,ChartOfAccounts!A681:B766,2,FALSE),"")</f>
        <v/>
      </c>
      <c r="N682" t="str">
        <f>IFERROR(VLOOKUP($B682,ChartOfAccounts!C681:D766,2,FALSE),"")</f>
        <v/>
      </c>
      <c r="O682" t="str">
        <f>IFERROR(VLOOKUP($B682,ChartOfAccounts!E681:F766,2,FALSE),"")</f>
        <v/>
      </c>
      <c r="P682" t="str">
        <f>IFERROR(VLOOKUP(D682,PreparerInfo!A681:B693,2,FALSE),"")</f>
        <v/>
      </c>
      <c r="Q682" t="str">
        <f>IFERROR(VLOOKUP(E682,Source!A681:B689,2,FALSE),"")</f>
        <v/>
      </c>
    </row>
    <row r="683" spans="1:17" x14ac:dyDescent="0.3">
      <c r="A683" s="3">
        <v>2033860</v>
      </c>
      <c r="B683">
        <v>43310</v>
      </c>
      <c r="C683">
        <v>1</v>
      </c>
      <c r="D683" s="9">
        <v>102</v>
      </c>
      <c r="E683">
        <v>1001</v>
      </c>
      <c r="F683" s="1">
        <v>44012</v>
      </c>
      <c r="G683" t="s">
        <v>41</v>
      </c>
      <c r="H683" s="4" t="s">
        <v>16</v>
      </c>
      <c r="I683" s="4">
        <v>-28.35</v>
      </c>
      <c r="J683" s="4">
        <v>-28.35</v>
      </c>
      <c r="K683" t="str">
        <f>VLOOKUP($C683,Table1[#All],2,FALSE)</f>
        <v>FOOD SERVICE</v>
      </c>
      <c r="L683" t="str">
        <f>VLOOKUP($C683,Table1[#All],3,FALSE)</f>
        <v xml:space="preserve">Transactions related to food and beverage service. Includes all guest transactions in the hotel restaurants, catering-related transactions and food service payroll. </v>
      </c>
      <c r="M683" t="str">
        <f>IFERROR(VLOOKUP($B683,ChartOfAccounts!A682:B767,2,FALSE),"")</f>
        <v/>
      </c>
      <c r="N683" t="str">
        <f>IFERROR(VLOOKUP($B683,ChartOfAccounts!C682:D767,2,FALSE),"")</f>
        <v/>
      </c>
      <c r="O683" t="str">
        <f>IFERROR(VLOOKUP($B683,ChartOfAccounts!E682:F767,2,FALSE),"")</f>
        <v/>
      </c>
      <c r="P683" t="str">
        <f>IFERROR(VLOOKUP(D683,PreparerInfo!A682:B694,2,FALSE),"")</f>
        <v/>
      </c>
      <c r="Q683" t="str">
        <f>IFERROR(VLOOKUP(E683,Source!A682:B690,2,FALSE),"")</f>
        <v/>
      </c>
    </row>
    <row r="684" spans="1:17" x14ac:dyDescent="0.3">
      <c r="A684" s="3">
        <v>2033861</v>
      </c>
      <c r="B684">
        <v>14260</v>
      </c>
      <c r="C684">
        <v>1</v>
      </c>
      <c r="D684" s="9">
        <v>101</v>
      </c>
      <c r="E684">
        <v>1007</v>
      </c>
      <c r="F684" s="1">
        <v>44012</v>
      </c>
      <c r="G684" t="s">
        <v>86</v>
      </c>
      <c r="H684" s="4">
        <v>28.73</v>
      </c>
      <c r="I684" s="4" t="s">
        <v>16</v>
      </c>
      <c r="J684" s="4">
        <v>28.73</v>
      </c>
      <c r="K684" t="str">
        <f>VLOOKUP($C684,Table1[#All],2,FALSE)</f>
        <v>FOOD SERVICE</v>
      </c>
      <c r="L684" t="str">
        <f>VLOOKUP($C684,Table1[#All],3,FALSE)</f>
        <v xml:space="preserve">Transactions related to food and beverage service. Includes all guest transactions in the hotel restaurants, catering-related transactions and food service payroll. </v>
      </c>
      <c r="M684" t="str">
        <f>IFERROR(VLOOKUP($B684,ChartOfAccounts!A683:B768,2,FALSE),"")</f>
        <v/>
      </c>
      <c r="N684" t="str">
        <f>IFERROR(VLOOKUP($B684,ChartOfAccounts!C683:D768,2,FALSE),"")</f>
        <v/>
      </c>
      <c r="O684" t="str">
        <f>IFERROR(VLOOKUP($B684,ChartOfAccounts!E683:F768,2,FALSE),"")</f>
        <v/>
      </c>
      <c r="P684" t="str">
        <f>IFERROR(VLOOKUP(D684,PreparerInfo!A683:B695,2,FALSE),"")</f>
        <v/>
      </c>
      <c r="Q684" t="str">
        <f>IFERROR(VLOOKUP(E684,Source!A683:B691,2,FALSE),"")</f>
        <v/>
      </c>
    </row>
    <row r="685" spans="1:17" x14ac:dyDescent="0.3">
      <c r="A685" s="3">
        <v>2033861</v>
      </c>
      <c r="B685">
        <v>11845</v>
      </c>
      <c r="C685">
        <v>1</v>
      </c>
      <c r="D685" s="9">
        <v>101</v>
      </c>
      <c r="E685">
        <v>1007</v>
      </c>
      <c r="F685" s="1">
        <v>44012</v>
      </c>
      <c r="G685" t="s">
        <v>86</v>
      </c>
      <c r="H685" s="4" t="s">
        <v>16</v>
      </c>
      <c r="I685" s="4">
        <v>-28.73</v>
      </c>
      <c r="J685" s="4">
        <v>-28.73</v>
      </c>
      <c r="K685" t="str">
        <f>VLOOKUP($C685,Table1[#All],2,FALSE)</f>
        <v>FOOD SERVICE</v>
      </c>
      <c r="L685" t="str">
        <f>VLOOKUP($C685,Table1[#All],3,FALSE)</f>
        <v xml:space="preserve">Transactions related to food and beverage service. Includes all guest transactions in the hotel restaurants, catering-related transactions and food service payroll. </v>
      </c>
      <c r="M685" t="str">
        <f>IFERROR(VLOOKUP($B685,ChartOfAccounts!A684:B769,2,FALSE),"")</f>
        <v/>
      </c>
      <c r="N685" t="str">
        <f>IFERROR(VLOOKUP($B685,ChartOfAccounts!C684:D769,2,FALSE),"")</f>
        <v/>
      </c>
      <c r="O685" t="str">
        <f>IFERROR(VLOOKUP($B685,ChartOfAccounts!E684:F769,2,FALSE),"")</f>
        <v/>
      </c>
      <c r="P685" t="str">
        <f>IFERROR(VLOOKUP(D685,PreparerInfo!A684:B696,2,FALSE),"")</f>
        <v/>
      </c>
      <c r="Q685" t="str">
        <f>IFERROR(VLOOKUP(E685,Source!A684:B692,2,FALSE),"")</f>
        <v/>
      </c>
    </row>
    <row r="686" spans="1:17" x14ac:dyDescent="0.3">
      <c r="A686" s="3">
        <v>2033862</v>
      </c>
      <c r="B686">
        <v>71410</v>
      </c>
      <c r="C686">
        <v>1</v>
      </c>
      <c r="D686" s="9">
        <v>101</v>
      </c>
      <c r="E686">
        <v>1007</v>
      </c>
      <c r="F686" s="1">
        <v>44012</v>
      </c>
      <c r="G686" t="s">
        <v>89</v>
      </c>
      <c r="H686" s="4">
        <v>35.06</v>
      </c>
      <c r="I686" s="4" t="s">
        <v>16</v>
      </c>
      <c r="J686" s="4">
        <v>35.06</v>
      </c>
      <c r="K686" t="str">
        <f>VLOOKUP($C686,Table1[#All],2,FALSE)</f>
        <v>FOOD SERVICE</v>
      </c>
      <c r="L686" t="str">
        <f>VLOOKUP($C686,Table1[#All],3,FALSE)</f>
        <v xml:space="preserve">Transactions related to food and beverage service. Includes all guest transactions in the hotel restaurants, catering-related transactions and food service payroll. </v>
      </c>
      <c r="M686" t="str">
        <f>IFERROR(VLOOKUP($B686,ChartOfAccounts!A685:B770,2,FALSE),"")</f>
        <v/>
      </c>
      <c r="N686" t="str">
        <f>IFERROR(VLOOKUP($B686,ChartOfAccounts!C685:D770,2,FALSE),"")</f>
        <v/>
      </c>
      <c r="O686" t="str">
        <f>IFERROR(VLOOKUP($B686,ChartOfAccounts!E685:F770,2,FALSE),"")</f>
        <v/>
      </c>
      <c r="P686" t="str">
        <f>IFERROR(VLOOKUP(D686,PreparerInfo!A685:B697,2,FALSE),"")</f>
        <v/>
      </c>
      <c r="Q686" t="str">
        <f>IFERROR(VLOOKUP(E686,Source!A685:B693,2,FALSE),"")</f>
        <v/>
      </c>
    </row>
    <row r="687" spans="1:17" x14ac:dyDescent="0.3">
      <c r="A687" s="3">
        <v>2033862</v>
      </c>
      <c r="B687">
        <v>11845</v>
      </c>
      <c r="C687">
        <v>1</v>
      </c>
      <c r="D687" s="9">
        <v>101</v>
      </c>
      <c r="E687">
        <v>1007</v>
      </c>
      <c r="F687" s="1">
        <v>44012</v>
      </c>
      <c r="G687" t="s">
        <v>89</v>
      </c>
      <c r="H687" s="4" t="s">
        <v>16</v>
      </c>
      <c r="I687" s="4">
        <v>-35.06</v>
      </c>
      <c r="J687" s="4">
        <v>-35.06</v>
      </c>
      <c r="K687" t="str">
        <f>VLOOKUP($C687,Table1[#All],2,FALSE)</f>
        <v>FOOD SERVICE</v>
      </c>
      <c r="L687" t="str">
        <f>VLOOKUP($C687,Table1[#All],3,FALSE)</f>
        <v xml:space="preserve">Transactions related to food and beverage service. Includes all guest transactions in the hotel restaurants, catering-related transactions and food service payroll. </v>
      </c>
      <c r="M687" t="str">
        <f>IFERROR(VLOOKUP($B687,ChartOfAccounts!A686:B771,2,FALSE),"")</f>
        <v/>
      </c>
      <c r="N687" t="str">
        <f>IFERROR(VLOOKUP($B687,ChartOfAccounts!C686:D771,2,FALSE),"")</f>
        <v/>
      </c>
      <c r="O687" t="str">
        <f>IFERROR(VLOOKUP($B687,ChartOfAccounts!E686:F771,2,FALSE),"")</f>
        <v/>
      </c>
      <c r="P687" t="str">
        <f>IFERROR(VLOOKUP(D687,PreparerInfo!A686:B698,2,FALSE),"")</f>
        <v/>
      </c>
      <c r="Q687" t="str">
        <f>IFERROR(VLOOKUP(E687,Source!A686:B694,2,FALSE),"")</f>
        <v/>
      </c>
    </row>
    <row r="688" spans="1:17" x14ac:dyDescent="0.3">
      <c r="A688" s="3">
        <v>2033863</v>
      </c>
      <c r="B688">
        <v>14260</v>
      </c>
      <c r="C688">
        <v>1</v>
      </c>
      <c r="D688" s="9">
        <v>101</v>
      </c>
      <c r="E688">
        <v>1007</v>
      </c>
      <c r="F688" s="1">
        <v>44012</v>
      </c>
      <c r="G688" t="s">
        <v>209</v>
      </c>
      <c r="H688" s="4">
        <v>35.5</v>
      </c>
      <c r="I688" s="4" t="s">
        <v>16</v>
      </c>
      <c r="J688" s="4">
        <v>35.5</v>
      </c>
      <c r="K688" t="str">
        <f>VLOOKUP($C688,Table1[#All],2,FALSE)</f>
        <v>FOOD SERVICE</v>
      </c>
      <c r="L688" t="str">
        <f>VLOOKUP($C688,Table1[#All],3,FALSE)</f>
        <v xml:space="preserve">Transactions related to food and beverage service. Includes all guest transactions in the hotel restaurants, catering-related transactions and food service payroll. </v>
      </c>
      <c r="M688" t="str">
        <f>IFERROR(VLOOKUP($B688,ChartOfAccounts!A687:B772,2,FALSE),"")</f>
        <v/>
      </c>
      <c r="N688" t="str">
        <f>IFERROR(VLOOKUP($B688,ChartOfAccounts!C687:D772,2,FALSE),"")</f>
        <v/>
      </c>
      <c r="O688" t="str">
        <f>IFERROR(VLOOKUP($B688,ChartOfAccounts!E687:F772,2,FALSE),"")</f>
        <v/>
      </c>
      <c r="P688" t="str">
        <f>IFERROR(VLOOKUP(D688,PreparerInfo!A687:B699,2,FALSE),"")</f>
        <v/>
      </c>
      <c r="Q688" t="str">
        <f>IFERROR(VLOOKUP(E688,Source!A687:B695,2,FALSE),"")</f>
        <v/>
      </c>
    </row>
    <row r="689" spans="1:17" x14ac:dyDescent="0.3">
      <c r="A689" s="3">
        <v>2033863</v>
      </c>
      <c r="B689">
        <v>11845</v>
      </c>
      <c r="C689">
        <v>1</v>
      </c>
      <c r="D689" s="9">
        <v>101</v>
      </c>
      <c r="E689">
        <v>1007</v>
      </c>
      <c r="F689" s="1">
        <v>44012</v>
      </c>
      <c r="G689" t="s">
        <v>209</v>
      </c>
      <c r="H689" s="4" t="s">
        <v>16</v>
      </c>
      <c r="I689" s="4">
        <v>-35.5</v>
      </c>
      <c r="J689" s="4">
        <v>-35.5</v>
      </c>
      <c r="K689" t="str">
        <f>VLOOKUP($C689,Table1[#All],2,FALSE)</f>
        <v>FOOD SERVICE</v>
      </c>
      <c r="L689" t="str">
        <f>VLOOKUP($C689,Table1[#All],3,FALSE)</f>
        <v xml:space="preserve">Transactions related to food and beverage service. Includes all guest transactions in the hotel restaurants, catering-related transactions and food service payroll. </v>
      </c>
      <c r="M689" t="str">
        <f>IFERROR(VLOOKUP($B689,ChartOfAccounts!A688:B773,2,FALSE),"")</f>
        <v/>
      </c>
      <c r="N689" t="str">
        <f>IFERROR(VLOOKUP($B689,ChartOfAccounts!C688:D773,2,FALSE),"")</f>
        <v/>
      </c>
      <c r="O689" t="str">
        <f>IFERROR(VLOOKUP($B689,ChartOfAccounts!E688:F773,2,FALSE),"")</f>
        <v/>
      </c>
      <c r="P689" t="str">
        <f>IFERROR(VLOOKUP(D689,PreparerInfo!A688:B700,2,FALSE),"")</f>
        <v/>
      </c>
      <c r="Q689" t="str">
        <f>IFERROR(VLOOKUP(E689,Source!A688:B696,2,FALSE),"")</f>
        <v/>
      </c>
    </row>
    <row r="690" spans="1:17" x14ac:dyDescent="0.3">
      <c r="A690" s="3">
        <v>2033864</v>
      </c>
      <c r="B690">
        <v>71400</v>
      </c>
      <c r="C690">
        <v>4</v>
      </c>
      <c r="D690" s="9">
        <v>101</v>
      </c>
      <c r="E690">
        <v>1007</v>
      </c>
      <c r="F690" s="1">
        <v>44012</v>
      </c>
      <c r="G690" t="s">
        <v>78</v>
      </c>
      <c r="H690" s="4">
        <v>35.85</v>
      </c>
      <c r="I690" s="4" t="s">
        <v>16</v>
      </c>
      <c r="J690" s="4">
        <v>35.85</v>
      </c>
      <c r="K690" t="str">
        <f>VLOOKUP($C690,Table1[#All],2,FALSE)</f>
        <v>HOUSEKEEPING</v>
      </c>
      <c r="L690" t="str">
        <f>VLOOKUP($C690,Table1[#All],3,FALSE)</f>
        <v xml:space="preserve">Transactions related to the Housekeeping Department. Primarily includes payroll for housekeepers and housekeeping supplies. </v>
      </c>
      <c r="M690" t="str">
        <f>IFERROR(VLOOKUP($B690,ChartOfAccounts!A689:B774,2,FALSE),"")</f>
        <v/>
      </c>
      <c r="N690" t="str">
        <f>IFERROR(VLOOKUP($B690,ChartOfAccounts!C689:D774,2,FALSE),"")</f>
        <v/>
      </c>
      <c r="O690" t="str">
        <f>IFERROR(VLOOKUP($B690,ChartOfAccounts!E689:F774,2,FALSE),"")</f>
        <v/>
      </c>
      <c r="P690" t="str">
        <f>IFERROR(VLOOKUP(D690,PreparerInfo!A689:B701,2,FALSE),"")</f>
        <v/>
      </c>
      <c r="Q690" t="str">
        <f>IFERROR(VLOOKUP(E690,Source!A689:B697,2,FALSE),"")</f>
        <v/>
      </c>
    </row>
    <row r="691" spans="1:17" x14ac:dyDescent="0.3">
      <c r="A691" s="3">
        <v>2033864</v>
      </c>
      <c r="B691">
        <v>11845</v>
      </c>
      <c r="C691">
        <v>4</v>
      </c>
      <c r="D691" s="9">
        <v>101</v>
      </c>
      <c r="E691">
        <v>1007</v>
      </c>
      <c r="F691" s="1">
        <v>44012</v>
      </c>
      <c r="G691" t="s">
        <v>78</v>
      </c>
      <c r="H691" s="4" t="s">
        <v>16</v>
      </c>
      <c r="I691" s="4">
        <v>-35.85</v>
      </c>
      <c r="J691" s="4">
        <v>-35.85</v>
      </c>
      <c r="K691" t="str">
        <f>VLOOKUP($C691,Table1[#All],2,FALSE)</f>
        <v>HOUSEKEEPING</v>
      </c>
      <c r="L691" t="str">
        <f>VLOOKUP($C691,Table1[#All],3,FALSE)</f>
        <v xml:space="preserve">Transactions related to the Housekeeping Department. Primarily includes payroll for housekeepers and housekeeping supplies. </v>
      </c>
      <c r="M691" t="str">
        <f>IFERROR(VLOOKUP($B691,ChartOfAccounts!A690:B775,2,FALSE),"")</f>
        <v/>
      </c>
      <c r="N691" t="str">
        <f>IFERROR(VLOOKUP($B691,ChartOfAccounts!C690:D775,2,FALSE),"")</f>
        <v/>
      </c>
      <c r="O691" t="str">
        <f>IFERROR(VLOOKUP($B691,ChartOfAccounts!E690:F775,2,FALSE),"")</f>
        <v/>
      </c>
      <c r="P691" t="str">
        <f>IFERROR(VLOOKUP(D691,PreparerInfo!A690:B702,2,FALSE),"")</f>
        <v/>
      </c>
      <c r="Q691" t="str">
        <f>IFERROR(VLOOKUP(E691,Source!A690:B698,2,FALSE),"")</f>
        <v/>
      </c>
    </row>
    <row r="692" spans="1:17" x14ac:dyDescent="0.3">
      <c r="A692" s="3">
        <v>2033865</v>
      </c>
      <c r="B692">
        <v>14250</v>
      </c>
      <c r="C692">
        <v>3</v>
      </c>
      <c r="D692" s="9">
        <v>101</v>
      </c>
      <c r="E692">
        <v>1007</v>
      </c>
      <c r="F692" s="1">
        <v>44012</v>
      </c>
      <c r="G692" t="s">
        <v>84</v>
      </c>
      <c r="H692" s="4">
        <v>63.72</v>
      </c>
      <c r="I692" s="4" t="s">
        <v>16</v>
      </c>
      <c r="J692" s="4">
        <v>63.72</v>
      </c>
      <c r="K692" t="str">
        <f>VLOOKUP($C692,Table1[#All],2,FALSE)</f>
        <v>HOTEL PANTRY</v>
      </c>
      <c r="L692" t="str">
        <f>VLOOKUP($C692,Table1[#All],3,FALSE)</f>
        <v>Transactions related to the hotel convenience store, including some food and beverage costs.</v>
      </c>
      <c r="M692" t="str">
        <f>IFERROR(VLOOKUP($B692,ChartOfAccounts!A691:B776,2,FALSE),"")</f>
        <v/>
      </c>
      <c r="N692" t="str">
        <f>IFERROR(VLOOKUP($B692,ChartOfAccounts!C691:D776,2,FALSE),"")</f>
        <v/>
      </c>
      <c r="O692" t="str">
        <f>IFERROR(VLOOKUP($B692,ChartOfAccounts!E691:F776,2,FALSE),"")</f>
        <v/>
      </c>
      <c r="P692" t="str">
        <f>IFERROR(VLOOKUP(D692,PreparerInfo!A691:B703,2,FALSE),"")</f>
        <v/>
      </c>
      <c r="Q692" t="str">
        <f>IFERROR(VLOOKUP(E692,Source!A691:B699,2,FALSE),"")</f>
        <v/>
      </c>
    </row>
    <row r="693" spans="1:17" x14ac:dyDescent="0.3">
      <c r="A693" s="3">
        <v>2033865</v>
      </c>
      <c r="B693">
        <v>11845</v>
      </c>
      <c r="C693">
        <v>3</v>
      </c>
      <c r="D693" s="9">
        <v>101</v>
      </c>
      <c r="E693">
        <v>1007</v>
      </c>
      <c r="F693" s="1">
        <v>44012</v>
      </c>
      <c r="G693" t="s">
        <v>84</v>
      </c>
      <c r="H693" s="4" t="s">
        <v>16</v>
      </c>
      <c r="I693" s="4">
        <v>-63.72</v>
      </c>
      <c r="J693" s="4">
        <v>-63.72</v>
      </c>
      <c r="K693" t="str">
        <f>VLOOKUP($C693,Table1[#All],2,FALSE)</f>
        <v>HOTEL PANTRY</v>
      </c>
      <c r="L693" t="str">
        <f>VLOOKUP($C693,Table1[#All],3,FALSE)</f>
        <v>Transactions related to the hotel convenience store, including some food and beverage costs.</v>
      </c>
      <c r="M693" t="str">
        <f>IFERROR(VLOOKUP($B693,ChartOfAccounts!A692:B777,2,FALSE),"")</f>
        <v/>
      </c>
      <c r="N693" t="str">
        <f>IFERROR(VLOOKUP($B693,ChartOfAccounts!C692:D777,2,FALSE),"")</f>
        <v/>
      </c>
      <c r="O693" t="str">
        <f>IFERROR(VLOOKUP($B693,ChartOfAccounts!E692:F777,2,FALSE),"")</f>
        <v/>
      </c>
      <c r="P693" t="str">
        <f>IFERROR(VLOOKUP(D693,PreparerInfo!A692:B704,2,FALSE),"")</f>
        <v/>
      </c>
      <c r="Q693" t="str">
        <f>IFERROR(VLOOKUP(E693,Source!A692:B700,2,FALSE),"")</f>
        <v/>
      </c>
    </row>
    <row r="694" spans="1:17" x14ac:dyDescent="0.3">
      <c r="A694" s="3">
        <v>2033866</v>
      </c>
      <c r="B694">
        <v>11845</v>
      </c>
      <c r="C694">
        <v>3</v>
      </c>
      <c r="D694" s="9">
        <v>102</v>
      </c>
      <c r="E694">
        <v>1001</v>
      </c>
      <c r="F694" s="1">
        <v>44012</v>
      </c>
      <c r="G694" t="s">
        <v>41</v>
      </c>
      <c r="H694" s="4">
        <v>65.790000000000006</v>
      </c>
      <c r="I694" s="4" t="s">
        <v>16</v>
      </c>
      <c r="J694" s="4">
        <v>65.790000000000006</v>
      </c>
      <c r="K694" t="str">
        <f>VLOOKUP($C694,Table1[#All],2,FALSE)</f>
        <v>HOTEL PANTRY</v>
      </c>
      <c r="L694" t="str">
        <f>VLOOKUP($C694,Table1[#All],3,FALSE)</f>
        <v>Transactions related to the hotel convenience store, including some food and beverage costs.</v>
      </c>
      <c r="M694" t="str">
        <f>IFERROR(VLOOKUP($B694,ChartOfAccounts!A693:B778,2,FALSE),"")</f>
        <v/>
      </c>
      <c r="N694" t="str">
        <f>IFERROR(VLOOKUP($B694,ChartOfAccounts!C693:D778,2,FALSE),"")</f>
        <v/>
      </c>
      <c r="O694" t="str">
        <f>IFERROR(VLOOKUP($B694,ChartOfAccounts!E693:F778,2,FALSE),"")</f>
        <v/>
      </c>
      <c r="P694" t="str">
        <f>IFERROR(VLOOKUP(D694,PreparerInfo!A693:B705,2,FALSE),"")</f>
        <v/>
      </c>
      <c r="Q694" t="str">
        <f>IFERROR(VLOOKUP(E694,Source!A693:B701,2,FALSE),"")</f>
        <v/>
      </c>
    </row>
    <row r="695" spans="1:17" x14ac:dyDescent="0.3">
      <c r="A695" s="3">
        <v>2033866</v>
      </c>
      <c r="B695">
        <v>43440</v>
      </c>
      <c r="C695">
        <v>3</v>
      </c>
      <c r="D695" s="9">
        <v>102</v>
      </c>
      <c r="E695">
        <v>1001</v>
      </c>
      <c r="F695" s="1">
        <v>44012</v>
      </c>
      <c r="G695" t="s">
        <v>41</v>
      </c>
      <c r="H695" s="4" t="s">
        <v>16</v>
      </c>
      <c r="I695" s="4">
        <v>-65.790000000000006</v>
      </c>
      <c r="J695" s="4">
        <v>-65.790000000000006</v>
      </c>
      <c r="K695" t="str">
        <f>VLOOKUP($C695,Table1[#All],2,FALSE)</f>
        <v>HOTEL PANTRY</v>
      </c>
      <c r="L695" t="str">
        <f>VLOOKUP($C695,Table1[#All],3,FALSE)</f>
        <v>Transactions related to the hotel convenience store, including some food and beverage costs.</v>
      </c>
      <c r="M695" t="str">
        <f>IFERROR(VLOOKUP($B695,ChartOfAccounts!A694:B779,2,FALSE),"")</f>
        <v/>
      </c>
      <c r="N695" t="str">
        <f>IFERROR(VLOOKUP($B695,ChartOfAccounts!C694:D779,2,FALSE),"")</f>
        <v/>
      </c>
      <c r="O695" t="str">
        <f>IFERROR(VLOOKUP($B695,ChartOfAccounts!E694:F779,2,FALSE),"")</f>
        <v/>
      </c>
      <c r="P695" t="str">
        <f>IFERROR(VLOOKUP(D695,PreparerInfo!A694:B706,2,FALSE),"")</f>
        <v/>
      </c>
      <c r="Q695" t="str">
        <f>IFERROR(VLOOKUP(E695,Source!A694:B702,2,FALSE),"")</f>
        <v/>
      </c>
    </row>
    <row r="696" spans="1:17" x14ac:dyDescent="0.3">
      <c r="A696" s="3">
        <v>2033867</v>
      </c>
      <c r="B696">
        <v>71400</v>
      </c>
      <c r="C696">
        <v>1</v>
      </c>
      <c r="D696" s="9">
        <v>101</v>
      </c>
      <c r="E696">
        <v>1007</v>
      </c>
      <c r="F696" s="1">
        <v>44012</v>
      </c>
      <c r="G696" t="s">
        <v>95</v>
      </c>
      <c r="H696" s="4">
        <v>77.12</v>
      </c>
      <c r="I696" s="4" t="s">
        <v>16</v>
      </c>
      <c r="J696" s="4">
        <v>77.12</v>
      </c>
      <c r="K696" t="str">
        <f>VLOOKUP($C696,Table1[#All],2,FALSE)</f>
        <v>FOOD SERVICE</v>
      </c>
      <c r="L696" t="str">
        <f>VLOOKUP($C696,Table1[#All],3,FALSE)</f>
        <v xml:space="preserve">Transactions related to food and beverage service. Includes all guest transactions in the hotel restaurants, catering-related transactions and food service payroll. </v>
      </c>
      <c r="M696" t="str">
        <f>IFERROR(VLOOKUP($B696,ChartOfAccounts!A695:B780,2,FALSE),"")</f>
        <v/>
      </c>
      <c r="N696" t="str">
        <f>IFERROR(VLOOKUP($B696,ChartOfAccounts!C695:D780,2,FALSE),"")</f>
        <v/>
      </c>
      <c r="O696" t="str">
        <f>IFERROR(VLOOKUP($B696,ChartOfAccounts!E695:F780,2,FALSE),"")</f>
        <v/>
      </c>
      <c r="P696" t="str">
        <f>IFERROR(VLOOKUP(D696,PreparerInfo!A695:B707,2,FALSE),"")</f>
        <v/>
      </c>
      <c r="Q696" t="str">
        <f>IFERROR(VLOOKUP(E696,Source!A695:B703,2,FALSE),"")</f>
        <v/>
      </c>
    </row>
    <row r="697" spans="1:17" x14ac:dyDescent="0.3">
      <c r="A697" s="3">
        <v>2033867</v>
      </c>
      <c r="B697">
        <v>11845</v>
      </c>
      <c r="C697">
        <v>1</v>
      </c>
      <c r="D697" s="9">
        <v>101</v>
      </c>
      <c r="E697">
        <v>1007</v>
      </c>
      <c r="F697" s="1">
        <v>44012</v>
      </c>
      <c r="G697" t="s">
        <v>95</v>
      </c>
      <c r="H697" s="4" t="s">
        <v>16</v>
      </c>
      <c r="I697" s="4">
        <v>-77.12</v>
      </c>
      <c r="J697" s="4">
        <v>-77.12</v>
      </c>
      <c r="K697" t="str">
        <f>VLOOKUP($C697,Table1[#All],2,FALSE)</f>
        <v>FOOD SERVICE</v>
      </c>
      <c r="L697" t="str">
        <f>VLOOKUP($C697,Table1[#All],3,FALSE)</f>
        <v xml:space="preserve">Transactions related to food and beverage service. Includes all guest transactions in the hotel restaurants, catering-related transactions and food service payroll. </v>
      </c>
      <c r="M697" t="str">
        <f>IFERROR(VLOOKUP($B697,ChartOfAccounts!A696:B781,2,FALSE),"")</f>
        <v/>
      </c>
      <c r="N697" t="str">
        <f>IFERROR(VLOOKUP($B697,ChartOfAccounts!C696:D781,2,FALSE),"")</f>
        <v/>
      </c>
      <c r="O697" t="str">
        <f>IFERROR(VLOOKUP($B697,ChartOfAccounts!E696:F781,2,FALSE),"")</f>
        <v/>
      </c>
      <c r="P697" t="str">
        <f>IFERROR(VLOOKUP(D697,PreparerInfo!A696:B708,2,FALSE),"")</f>
        <v/>
      </c>
      <c r="Q697" t="str">
        <f>IFERROR(VLOOKUP(E697,Source!A696:B704,2,FALSE),"")</f>
        <v/>
      </c>
    </row>
    <row r="698" spans="1:17" x14ac:dyDescent="0.3">
      <c r="A698" s="3">
        <v>2033868</v>
      </c>
      <c r="B698">
        <v>14260</v>
      </c>
      <c r="C698">
        <v>1</v>
      </c>
      <c r="D698" s="9">
        <v>101</v>
      </c>
      <c r="E698">
        <v>1007</v>
      </c>
      <c r="F698" s="1">
        <v>44012</v>
      </c>
      <c r="G698" t="s">
        <v>86</v>
      </c>
      <c r="H698" s="4">
        <v>79.900000000000006</v>
      </c>
      <c r="I698" s="4" t="s">
        <v>16</v>
      </c>
      <c r="J698" s="4">
        <v>79.900000000000006</v>
      </c>
      <c r="K698" t="str">
        <f>VLOOKUP($C698,Table1[#All],2,FALSE)</f>
        <v>FOOD SERVICE</v>
      </c>
      <c r="L698" t="str">
        <f>VLOOKUP($C698,Table1[#All],3,FALSE)</f>
        <v xml:space="preserve">Transactions related to food and beverage service. Includes all guest transactions in the hotel restaurants, catering-related transactions and food service payroll. </v>
      </c>
      <c r="M698" t="str">
        <f>IFERROR(VLOOKUP($B698,ChartOfAccounts!A697:B782,2,FALSE),"")</f>
        <v/>
      </c>
      <c r="N698" t="str">
        <f>IFERROR(VLOOKUP($B698,ChartOfAccounts!C697:D782,2,FALSE),"")</f>
        <v/>
      </c>
      <c r="O698" t="str">
        <f>IFERROR(VLOOKUP($B698,ChartOfAccounts!E697:F782,2,FALSE),"")</f>
        <v/>
      </c>
      <c r="P698" t="str">
        <f>IFERROR(VLOOKUP(D698,PreparerInfo!A697:B709,2,FALSE),"")</f>
        <v/>
      </c>
      <c r="Q698" t="str">
        <f>IFERROR(VLOOKUP(E698,Source!A697:B705,2,FALSE),"")</f>
        <v/>
      </c>
    </row>
    <row r="699" spans="1:17" x14ac:dyDescent="0.3">
      <c r="A699" s="3">
        <v>2033868</v>
      </c>
      <c r="B699">
        <v>11845</v>
      </c>
      <c r="C699">
        <v>1</v>
      </c>
      <c r="D699" s="9">
        <v>101</v>
      </c>
      <c r="E699">
        <v>1007</v>
      </c>
      <c r="F699" s="1">
        <v>44012</v>
      </c>
      <c r="G699" t="s">
        <v>86</v>
      </c>
      <c r="H699" s="4" t="s">
        <v>16</v>
      </c>
      <c r="I699" s="4">
        <v>-79.900000000000006</v>
      </c>
      <c r="J699" s="4">
        <v>-79.900000000000006</v>
      </c>
      <c r="K699" t="str">
        <f>VLOOKUP($C699,Table1[#All],2,FALSE)</f>
        <v>FOOD SERVICE</v>
      </c>
      <c r="L699" t="str">
        <f>VLOOKUP($C699,Table1[#All],3,FALSE)</f>
        <v xml:space="preserve">Transactions related to food and beverage service. Includes all guest transactions in the hotel restaurants, catering-related transactions and food service payroll. </v>
      </c>
      <c r="M699" t="str">
        <f>IFERROR(VLOOKUP($B699,ChartOfAccounts!A698:B783,2,FALSE),"")</f>
        <v/>
      </c>
      <c r="N699" t="str">
        <f>IFERROR(VLOOKUP($B699,ChartOfAccounts!C698:D783,2,FALSE),"")</f>
        <v/>
      </c>
      <c r="O699" t="str">
        <f>IFERROR(VLOOKUP($B699,ChartOfAccounts!E698:F783,2,FALSE),"")</f>
        <v/>
      </c>
      <c r="P699" t="str">
        <f>IFERROR(VLOOKUP(D699,PreparerInfo!A698:B710,2,FALSE),"")</f>
        <v/>
      </c>
      <c r="Q699" t="str">
        <f>IFERROR(VLOOKUP(E699,Source!A698:B706,2,FALSE),"")</f>
        <v/>
      </c>
    </row>
    <row r="700" spans="1:17" x14ac:dyDescent="0.3">
      <c r="A700" s="3">
        <v>2033869</v>
      </c>
      <c r="B700">
        <v>14260</v>
      </c>
      <c r="C700">
        <v>1</v>
      </c>
      <c r="D700" s="9">
        <v>101</v>
      </c>
      <c r="E700">
        <v>1007</v>
      </c>
      <c r="F700" s="1">
        <v>44012</v>
      </c>
      <c r="G700" t="s">
        <v>244</v>
      </c>
      <c r="H700" s="4">
        <v>91.78</v>
      </c>
      <c r="I700" s="4" t="s">
        <v>16</v>
      </c>
      <c r="J700" s="4">
        <v>91.78</v>
      </c>
      <c r="K700" t="str">
        <f>VLOOKUP($C700,Table1[#All],2,FALSE)</f>
        <v>FOOD SERVICE</v>
      </c>
      <c r="L700" t="str">
        <f>VLOOKUP($C700,Table1[#All],3,FALSE)</f>
        <v xml:space="preserve">Transactions related to food and beverage service. Includes all guest transactions in the hotel restaurants, catering-related transactions and food service payroll. </v>
      </c>
      <c r="M700" t="str">
        <f>IFERROR(VLOOKUP($B700,ChartOfAccounts!A699:B784,2,FALSE),"")</f>
        <v/>
      </c>
      <c r="N700" t="str">
        <f>IFERROR(VLOOKUP($B700,ChartOfAccounts!C699:D784,2,FALSE),"")</f>
        <v/>
      </c>
      <c r="O700" t="str">
        <f>IFERROR(VLOOKUP($B700,ChartOfAccounts!E699:F784,2,FALSE),"")</f>
        <v/>
      </c>
      <c r="P700" t="str">
        <f>IFERROR(VLOOKUP(D700,PreparerInfo!A699:B711,2,FALSE),"")</f>
        <v/>
      </c>
      <c r="Q700" t="str">
        <f>IFERROR(VLOOKUP(E700,Source!A699:B707,2,FALSE),"")</f>
        <v/>
      </c>
    </row>
    <row r="701" spans="1:17" x14ac:dyDescent="0.3">
      <c r="A701" s="3">
        <v>2033869</v>
      </c>
      <c r="B701">
        <v>11845</v>
      </c>
      <c r="C701">
        <v>1</v>
      </c>
      <c r="D701" s="9">
        <v>101</v>
      </c>
      <c r="E701">
        <v>1007</v>
      </c>
      <c r="F701" s="1">
        <v>44012</v>
      </c>
      <c r="G701" t="s">
        <v>244</v>
      </c>
      <c r="H701" s="4" t="s">
        <v>16</v>
      </c>
      <c r="I701" s="4">
        <v>-91.78</v>
      </c>
      <c r="J701" s="4">
        <v>-91.78</v>
      </c>
      <c r="K701" t="str">
        <f>VLOOKUP($C701,Table1[#All],2,FALSE)</f>
        <v>FOOD SERVICE</v>
      </c>
      <c r="L701" t="str">
        <f>VLOOKUP($C701,Table1[#All],3,FALSE)</f>
        <v xml:space="preserve">Transactions related to food and beverage service. Includes all guest transactions in the hotel restaurants, catering-related transactions and food service payroll. </v>
      </c>
      <c r="M701" t="str">
        <f>IFERROR(VLOOKUP($B701,ChartOfAccounts!A700:B785,2,FALSE),"")</f>
        <v/>
      </c>
      <c r="N701" t="str">
        <f>IFERROR(VLOOKUP($B701,ChartOfAccounts!C700:D785,2,FALSE),"")</f>
        <v/>
      </c>
      <c r="O701" t="str">
        <f>IFERROR(VLOOKUP($B701,ChartOfAccounts!E700:F785,2,FALSE),"")</f>
        <v/>
      </c>
      <c r="P701" t="str">
        <f>IFERROR(VLOOKUP(D701,PreparerInfo!A700:B712,2,FALSE),"")</f>
        <v/>
      </c>
      <c r="Q701" t="str">
        <f>IFERROR(VLOOKUP(E701,Source!A700:B708,2,FALSE),"")</f>
        <v/>
      </c>
    </row>
    <row r="702" spans="1:17" x14ac:dyDescent="0.3">
      <c r="A702" s="3">
        <v>2033870</v>
      </c>
      <c r="B702">
        <v>71400</v>
      </c>
      <c r="C702">
        <v>4</v>
      </c>
      <c r="D702" s="9">
        <v>101</v>
      </c>
      <c r="E702">
        <v>1007</v>
      </c>
      <c r="F702" s="1">
        <v>44012</v>
      </c>
      <c r="G702" t="s">
        <v>78</v>
      </c>
      <c r="H702" s="4">
        <v>93.39</v>
      </c>
      <c r="I702" s="4" t="s">
        <v>16</v>
      </c>
      <c r="J702" s="4">
        <v>93.39</v>
      </c>
      <c r="K702" t="str">
        <f>VLOOKUP($C702,Table1[#All],2,FALSE)</f>
        <v>HOUSEKEEPING</v>
      </c>
      <c r="L702" t="str">
        <f>VLOOKUP($C702,Table1[#All],3,FALSE)</f>
        <v xml:space="preserve">Transactions related to the Housekeeping Department. Primarily includes payroll for housekeepers and housekeeping supplies. </v>
      </c>
      <c r="M702" t="str">
        <f>IFERROR(VLOOKUP($B702,ChartOfAccounts!A701:B786,2,FALSE),"")</f>
        <v/>
      </c>
      <c r="N702" t="str">
        <f>IFERROR(VLOOKUP($B702,ChartOfAccounts!C701:D786,2,FALSE),"")</f>
        <v/>
      </c>
      <c r="O702" t="str">
        <f>IFERROR(VLOOKUP($B702,ChartOfAccounts!E701:F786,2,FALSE),"")</f>
        <v/>
      </c>
      <c r="P702" t="str">
        <f>IFERROR(VLOOKUP(D702,PreparerInfo!A701:B713,2,FALSE),"")</f>
        <v/>
      </c>
      <c r="Q702" t="str">
        <f>IFERROR(VLOOKUP(E702,Source!A701:B709,2,FALSE),"")</f>
        <v/>
      </c>
    </row>
    <row r="703" spans="1:17" x14ac:dyDescent="0.3">
      <c r="A703" s="3">
        <v>2033870</v>
      </c>
      <c r="B703">
        <v>11845</v>
      </c>
      <c r="C703">
        <v>4</v>
      </c>
      <c r="D703" s="9">
        <v>101</v>
      </c>
      <c r="E703">
        <v>1007</v>
      </c>
      <c r="F703" s="1">
        <v>44012</v>
      </c>
      <c r="G703" t="s">
        <v>78</v>
      </c>
      <c r="H703" s="4" t="s">
        <v>16</v>
      </c>
      <c r="I703" s="4">
        <v>-93.39</v>
      </c>
      <c r="J703" s="4">
        <v>-93.39</v>
      </c>
      <c r="K703" t="str">
        <f>VLOOKUP($C703,Table1[#All],2,FALSE)</f>
        <v>HOUSEKEEPING</v>
      </c>
      <c r="L703" t="str">
        <f>VLOOKUP($C703,Table1[#All],3,FALSE)</f>
        <v xml:space="preserve">Transactions related to the Housekeeping Department. Primarily includes payroll for housekeepers and housekeeping supplies. </v>
      </c>
      <c r="M703" t="str">
        <f>IFERROR(VLOOKUP($B703,ChartOfAccounts!A702:B787,2,FALSE),"")</f>
        <v/>
      </c>
      <c r="N703" t="str">
        <f>IFERROR(VLOOKUP($B703,ChartOfAccounts!C702:D787,2,FALSE),"")</f>
        <v/>
      </c>
      <c r="O703" t="str">
        <f>IFERROR(VLOOKUP($B703,ChartOfAccounts!E702:F787,2,FALSE),"")</f>
        <v/>
      </c>
      <c r="P703" t="str">
        <f>IFERROR(VLOOKUP(D703,PreparerInfo!A702:B714,2,FALSE),"")</f>
        <v/>
      </c>
      <c r="Q703" t="str">
        <f>IFERROR(VLOOKUP(E703,Source!A702:B710,2,FALSE),"")</f>
        <v/>
      </c>
    </row>
    <row r="704" spans="1:17" x14ac:dyDescent="0.3">
      <c r="A704" s="3">
        <v>2033871</v>
      </c>
      <c r="B704">
        <v>11845</v>
      </c>
      <c r="C704">
        <v>2</v>
      </c>
      <c r="D704" s="9">
        <v>104</v>
      </c>
      <c r="E704">
        <v>1003</v>
      </c>
      <c r="F704" s="1">
        <v>44012</v>
      </c>
      <c r="G704" t="s">
        <v>245</v>
      </c>
      <c r="H704" s="4">
        <v>99</v>
      </c>
      <c r="I704" s="4" t="s">
        <v>16</v>
      </c>
      <c r="J704" s="4">
        <v>99</v>
      </c>
      <c r="K704" t="str">
        <f>VLOOKUP($C704,Table1[#All],2,FALSE)</f>
        <v>HOTEL</v>
      </c>
      <c r="L704" t="str">
        <f>VLOOKUP($C704,Table1[#All],3,FALSE)</f>
        <v xml:space="preserve">Transactions related to guest rooms and overall hotel operations. Includes payroll for administrative staff, clerks and interns. </v>
      </c>
      <c r="M704" t="str">
        <f>IFERROR(VLOOKUP($B704,ChartOfAccounts!A703:B788,2,FALSE),"")</f>
        <v/>
      </c>
      <c r="N704" t="str">
        <f>IFERROR(VLOOKUP($B704,ChartOfAccounts!C703:D788,2,FALSE),"")</f>
        <v/>
      </c>
      <c r="O704" t="str">
        <f>IFERROR(VLOOKUP($B704,ChartOfAccounts!E703:F788,2,FALSE),"")</f>
        <v/>
      </c>
      <c r="P704" t="str">
        <f>IFERROR(VLOOKUP(D704,PreparerInfo!A703:B715,2,FALSE),"")</f>
        <v/>
      </c>
      <c r="Q704" t="str">
        <f>IFERROR(VLOOKUP(E704,Source!A703:B711,2,FALSE),"")</f>
        <v/>
      </c>
    </row>
    <row r="705" spans="1:17" x14ac:dyDescent="0.3">
      <c r="A705" s="3">
        <v>2033871</v>
      </c>
      <c r="B705">
        <v>43180</v>
      </c>
      <c r="C705">
        <v>2</v>
      </c>
      <c r="D705" s="9">
        <v>104</v>
      </c>
      <c r="E705">
        <v>1003</v>
      </c>
      <c r="F705" s="1">
        <v>44012</v>
      </c>
      <c r="G705" t="s">
        <v>245</v>
      </c>
      <c r="H705" s="4" t="s">
        <v>16</v>
      </c>
      <c r="I705" s="4">
        <v>-99</v>
      </c>
      <c r="J705" s="4">
        <v>-99</v>
      </c>
      <c r="K705" t="str">
        <f>VLOOKUP($C705,Table1[#All],2,FALSE)</f>
        <v>HOTEL</v>
      </c>
      <c r="L705" t="str">
        <f>VLOOKUP($C705,Table1[#All],3,FALSE)</f>
        <v xml:space="preserve">Transactions related to guest rooms and overall hotel operations. Includes payroll for administrative staff, clerks and interns. </v>
      </c>
      <c r="M705" t="str">
        <f>IFERROR(VLOOKUP($B705,ChartOfAccounts!A704:B789,2,FALSE),"")</f>
        <v/>
      </c>
      <c r="N705" t="str">
        <f>IFERROR(VLOOKUP($B705,ChartOfAccounts!C704:D789,2,FALSE),"")</f>
        <v/>
      </c>
      <c r="O705" t="str">
        <f>IFERROR(VLOOKUP($B705,ChartOfAccounts!E704:F789,2,FALSE),"")</f>
        <v/>
      </c>
      <c r="P705" t="str">
        <f>IFERROR(VLOOKUP(D705,PreparerInfo!A704:B716,2,FALSE),"")</f>
        <v/>
      </c>
      <c r="Q705" t="str">
        <f>IFERROR(VLOOKUP(E705,Source!A704:B712,2,FALSE),"")</f>
        <v/>
      </c>
    </row>
    <row r="706" spans="1:17" x14ac:dyDescent="0.3">
      <c r="A706" s="3">
        <v>2033872</v>
      </c>
      <c r="B706">
        <v>71410</v>
      </c>
      <c r="C706">
        <v>1</v>
      </c>
      <c r="D706" s="9">
        <v>101</v>
      </c>
      <c r="E706">
        <v>1007</v>
      </c>
      <c r="F706" s="1">
        <v>44012</v>
      </c>
      <c r="G706" t="s">
        <v>79</v>
      </c>
      <c r="H706" s="4">
        <v>116.62</v>
      </c>
      <c r="I706" s="4" t="s">
        <v>16</v>
      </c>
      <c r="J706" s="4">
        <v>116.62</v>
      </c>
      <c r="K706" t="str">
        <f>VLOOKUP($C706,Table1[#All],2,FALSE)</f>
        <v>FOOD SERVICE</v>
      </c>
      <c r="L706" t="str">
        <f>VLOOKUP($C706,Table1[#All],3,FALSE)</f>
        <v xml:space="preserve">Transactions related to food and beverage service. Includes all guest transactions in the hotel restaurants, catering-related transactions and food service payroll. </v>
      </c>
      <c r="M706" t="str">
        <f>IFERROR(VLOOKUP($B706,ChartOfAccounts!A705:B790,2,FALSE),"")</f>
        <v/>
      </c>
      <c r="N706" t="str">
        <f>IFERROR(VLOOKUP($B706,ChartOfAccounts!C705:D790,2,FALSE),"")</f>
        <v/>
      </c>
      <c r="O706" t="str">
        <f>IFERROR(VLOOKUP($B706,ChartOfAccounts!E705:F790,2,FALSE),"")</f>
        <v/>
      </c>
      <c r="P706" t="str">
        <f>IFERROR(VLOOKUP(D706,PreparerInfo!A705:B717,2,FALSE),"")</f>
        <v/>
      </c>
      <c r="Q706" t="str">
        <f>IFERROR(VLOOKUP(E706,Source!A705:B713,2,FALSE),"")</f>
        <v/>
      </c>
    </row>
    <row r="707" spans="1:17" x14ac:dyDescent="0.3">
      <c r="A707" s="3">
        <v>2033872</v>
      </c>
      <c r="B707">
        <v>11845</v>
      </c>
      <c r="C707">
        <v>1</v>
      </c>
      <c r="D707" s="9">
        <v>101</v>
      </c>
      <c r="E707">
        <v>1007</v>
      </c>
      <c r="F707" s="1">
        <v>44012</v>
      </c>
      <c r="G707" t="s">
        <v>79</v>
      </c>
      <c r="H707" s="4" t="s">
        <v>16</v>
      </c>
      <c r="I707" s="4">
        <v>-116.62</v>
      </c>
      <c r="J707" s="4">
        <v>-116.62</v>
      </c>
      <c r="K707" t="str">
        <f>VLOOKUP($C707,Table1[#All],2,FALSE)</f>
        <v>FOOD SERVICE</v>
      </c>
      <c r="L707" t="str">
        <f>VLOOKUP($C707,Table1[#All],3,FALSE)</f>
        <v xml:space="preserve">Transactions related to food and beverage service. Includes all guest transactions in the hotel restaurants, catering-related transactions and food service payroll. </v>
      </c>
      <c r="M707" t="str">
        <f>IFERROR(VLOOKUP($B707,ChartOfAccounts!A706:B791,2,FALSE),"")</f>
        <v/>
      </c>
      <c r="N707" t="str">
        <f>IFERROR(VLOOKUP($B707,ChartOfAccounts!C706:D791,2,FALSE),"")</f>
        <v/>
      </c>
      <c r="O707" t="str">
        <f>IFERROR(VLOOKUP($B707,ChartOfAccounts!E706:F791,2,FALSE),"")</f>
        <v/>
      </c>
      <c r="P707" t="str">
        <f>IFERROR(VLOOKUP(D707,PreparerInfo!A706:B718,2,FALSE),"")</f>
        <v/>
      </c>
      <c r="Q707" t="str">
        <f>IFERROR(VLOOKUP(E707,Source!A706:B714,2,FALSE),"")</f>
        <v/>
      </c>
    </row>
    <row r="708" spans="1:17" x14ac:dyDescent="0.3">
      <c r="A708" s="3">
        <v>2033873</v>
      </c>
      <c r="B708">
        <v>71400</v>
      </c>
      <c r="C708">
        <v>1</v>
      </c>
      <c r="D708" s="9">
        <v>101</v>
      </c>
      <c r="E708">
        <v>1007</v>
      </c>
      <c r="F708" s="1">
        <v>44012</v>
      </c>
      <c r="G708" t="s">
        <v>95</v>
      </c>
      <c r="H708" s="4">
        <v>129.19999999999999</v>
      </c>
      <c r="I708" s="4" t="s">
        <v>16</v>
      </c>
      <c r="J708" s="4">
        <v>129.19999999999999</v>
      </c>
      <c r="K708" t="str">
        <f>VLOOKUP($C708,Table1[#All],2,FALSE)</f>
        <v>FOOD SERVICE</v>
      </c>
      <c r="L708" t="str">
        <f>VLOOKUP($C708,Table1[#All],3,FALSE)</f>
        <v xml:space="preserve">Transactions related to food and beverage service. Includes all guest transactions in the hotel restaurants, catering-related transactions and food service payroll. </v>
      </c>
      <c r="M708" t="str">
        <f>IFERROR(VLOOKUP($B708,ChartOfAccounts!A707:B792,2,FALSE),"")</f>
        <v/>
      </c>
      <c r="N708" t="str">
        <f>IFERROR(VLOOKUP($B708,ChartOfAccounts!C707:D792,2,FALSE),"")</f>
        <v/>
      </c>
      <c r="O708" t="str">
        <f>IFERROR(VLOOKUP($B708,ChartOfAccounts!E707:F792,2,FALSE),"")</f>
        <v/>
      </c>
      <c r="P708" t="str">
        <f>IFERROR(VLOOKUP(D708,PreparerInfo!A707:B719,2,FALSE),"")</f>
        <v/>
      </c>
      <c r="Q708" t="str">
        <f>IFERROR(VLOOKUP(E708,Source!A707:B715,2,FALSE),"")</f>
        <v/>
      </c>
    </row>
    <row r="709" spans="1:17" x14ac:dyDescent="0.3">
      <c r="A709" s="3">
        <v>2033873</v>
      </c>
      <c r="B709">
        <v>11845</v>
      </c>
      <c r="C709">
        <v>1</v>
      </c>
      <c r="D709" s="9">
        <v>101</v>
      </c>
      <c r="E709">
        <v>1007</v>
      </c>
      <c r="F709" s="1">
        <v>44012</v>
      </c>
      <c r="G709" t="s">
        <v>95</v>
      </c>
      <c r="H709" s="4" t="s">
        <v>16</v>
      </c>
      <c r="I709" s="4">
        <v>-129.19999999999999</v>
      </c>
      <c r="J709" s="4">
        <v>-129.19999999999999</v>
      </c>
      <c r="K709" t="str">
        <f>VLOOKUP($C709,Table1[#All],2,FALSE)</f>
        <v>FOOD SERVICE</v>
      </c>
      <c r="L709" t="str">
        <f>VLOOKUP($C709,Table1[#All],3,FALSE)</f>
        <v xml:space="preserve">Transactions related to food and beverage service. Includes all guest transactions in the hotel restaurants, catering-related transactions and food service payroll. </v>
      </c>
      <c r="M709" t="str">
        <f>IFERROR(VLOOKUP($B709,ChartOfAccounts!A708:B793,2,FALSE),"")</f>
        <v/>
      </c>
      <c r="N709" t="str">
        <f>IFERROR(VLOOKUP($B709,ChartOfAccounts!C708:D793,2,FALSE),"")</f>
        <v/>
      </c>
      <c r="O709" t="str">
        <f>IFERROR(VLOOKUP($B709,ChartOfAccounts!E708:F793,2,FALSE),"")</f>
        <v/>
      </c>
      <c r="P709" t="str">
        <f>IFERROR(VLOOKUP(D709,PreparerInfo!A708:B720,2,FALSE),"")</f>
        <v/>
      </c>
      <c r="Q709" t="str">
        <f>IFERROR(VLOOKUP(E709,Source!A708:B716,2,FALSE),"")</f>
        <v/>
      </c>
    </row>
    <row r="710" spans="1:17" x14ac:dyDescent="0.3">
      <c r="A710" s="3">
        <v>2033874</v>
      </c>
      <c r="B710">
        <v>71400</v>
      </c>
      <c r="C710">
        <v>1</v>
      </c>
      <c r="D710" s="9">
        <v>101</v>
      </c>
      <c r="E710">
        <v>1007</v>
      </c>
      <c r="F710" s="1">
        <v>44012</v>
      </c>
      <c r="G710" t="s">
        <v>88</v>
      </c>
      <c r="H710" s="4">
        <v>137.05000000000001</v>
      </c>
      <c r="I710" s="4" t="s">
        <v>16</v>
      </c>
      <c r="J710" s="4">
        <v>137.05000000000001</v>
      </c>
      <c r="K710" t="str">
        <f>VLOOKUP($C710,Table1[#All],2,FALSE)</f>
        <v>FOOD SERVICE</v>
      </c>
      <c r="L710" t="str">
        <f>VLOOKUP($C710,Table1[#All],3,FALSE)</f>
        <v xml:space="preserve">Transactions related to food and beverage service. Includes all guest transactions in the hotel restaurants, catering-related transactions and food service payroll. </v>
      </c>
      <c r="M710" t="str">
        <f>IFERROR(VLOOKUP($B710,ChartOfAccounts!A709:B794,2,FALSE),"")</f>
        <v/>
      </c>
      <c r="N710" t="str">
        <f>IFERROR(VLOOKUP($B710,ChartOfAccounts!C709:D794,2,FALSE),"")</f>
        <v/>
      </c>
      <c r="O710" t="str">
        <f>IFERROR(VLOOKUP($B710,ChartOfAccounts!E709:F794,2,FALSE),"")</f>
        <v/>
      </c>
      <c r="P710" t="str">
        <f>IFERROR(VLOOKUP(D710,PreparerInfo!A709:B721,2,FALSE),"")</f>
        <v/>
      </c>
      <c r="Q710" t="str">
        <f>IFERROR(VLOOKUP(E710,Source!A709:B717,2,FALSE),"")</f>
        <v/>
      </c>
    </row>
    <row r="711" spans="1:17" x14ac:dyDescent="0.3">
      <c r="A711" s="3">
        <v>2033874</v>
      </c>
      <c r="B711">
        <v>11845</v>
      </c>
      <c r="C711">
        <v>1</v>
      </c>
      <c r="D711" s="9">
        <v>101</v>
      </c>
      <c r="E711">
        <v>1007</v>
      </c>
      <c r="F711" s="1">
        <v>44012</v>
      </c>
      <c r="G711" t="s">
        <v>88</v>
      </c>
      <c r="H711" s="4" t="s">
        <v>16</v>
      </c>
      <c r="I711" s="4">
        <v>-137.05000000000001</v>
      </c>
      <c r="J711" s="4">
        <v>-137.05000000000001</v>
      </c>
      <c r="K711" t="str">
        <f>VLOOKUP($C711,Table1[#All],2,FALSE)</f>
        <v>FOOD SERVICE</v>
      </c>
      <c r="L711" t="str">
        <f>VLOOKUP($C711,Table1[#All],3,FALSE)</f>
        <v xml:space="preserve">Transactions related to food and beverage service. Includes all guest transactions in the hotel restaurants, catering-related transactions and food service payroll. </v>
      </c>
      <c r="M711" t="str">
        <f>IFERROR(VLOOKUP($B711,ChartOfAccounts!A710:B795,2,FALSE),"")</f>
        <v/>
      </c>
      <c r="N711" t="str">
        <f>IFERROR(VLOOKUP($B711,ChartOfAccounts!C710:D795,2,FALSE),"")</f>
        <v/>
      </c>
      <c r="O711" t="str">
        <f>IFERROR(VLOOKUP($B711,ChartOfAccounts!E710:F795,2,FALSE),"")</f>
        <v/>
      </c>
      <c r="P711" t="str">
        <f>IFERROR(VLOOKUP(D711,PreparerInfo!A710:B722,2,FALSE),"")</f>
        <v/>
      </c>
      <c r="Q711" t="str">
        <f>IFERROR(VLOOKUP(E711,Source!A710:B718,2,FALSE),"")</f>
        <v/>
      </c>
    </row>
    <row r="712" spans="1:17" x14ac:dyDescent="0.3">
      <c r="A712" s="3">
        <v>2033875</v>
      </c>
      <c r="B712">
        <v>71400</v>
      </c>
      <c r="C712">
        <v>1</v>
      </c>
      <c r="D712" s="9">
        <v>101</v>
      </c>
      <c r="E712">
        <v>1007</v>
      </c>
      <c r="F712" s="1">
        <v>44012</v>
      </c>
      <c r="G712" t="s">
        <v>246</v>
      </c>
      <c r="H712" s="4">
        <v>152.02000000000001</v>
      </c>
      <c r="I712" s="4" t="s">
        <v>16</v>
      </c>
      <c r="J712" s="4">
        <v>152.02000000000001</v>
      </c>
      <c r="K712" t="str">
        <f>VLOOKUP($C712,Table1[#All],2,FALSE)</f>
        <v>FOOD SERVICE</v>
      </c>
      <c r="L712" t="str">
        <f>VLOOKUP($C712,Table1[#All],3,FALSE)</f>
        <v xml:space="preserve">Transactions related to food and beverage service. Includes all guest transactions in the hotel restaurants, catering-related transactions and food service payroll. </v>
      </c>
      <c r="M712" t="str">
        <f>IFERROR(VLOOKUP($B712,ChartOfAccounts!A711:B796,2,FALSE),"")</f>
        <v/>
      </c>
      <c r="N712" t="str">
        <f>IFERROR(VLOOKUP($B712,ChartOfAccounts!C711:D796,2,FALSE),"")</f>
        <v/>
      </c>
      <c r="O712" t="str">
        <f>IFERROR(VLOOKUP($B712,ChartOfAccounts!E711:F796,2,FALSE),"")</f>
        <v/>
      </c>
      <c r="P712" t="str">
        <f>IFERROR(VLOOKUP(D712,PreparerInfo!A711:B723,2,FALSE),"")</f>
        <v/>
      </c>
      <c r="Q712" t="str">
        <f>IFERROR(VLOOKUP(E712,Source!A711:B719,2,FALSE),"")</f>
        <v/>
      </c>
    </row>
    <row r="713" spans="1:17" x14ac:dyDescent="0.3">
      <c r="A713" s="3">
        <v>2033875</v>
      </c>
      <c r="B713">
        <v>11845</v>
      </c>
      <c r="C713">
        <v>1</v>
      </c>
      <c r="D713" s="9">
        <v>101</v>
      </c>
      <c r="E713">
        <v>1007</v>
      </c>
      <c r="F713" s="1">
        <v>44012</v>
      </c>
      <c r="G713" t="s">
        <v>246</v>
      </c>
      <c r="H713" s="4" t="s">
        <v>16</v>
      </c>
      <c r="I713" s="4">
        <v>-152.02000000000001</v>
      </c>
      <c r="J713" s="4">
        <v>-152.02000000000001</v>
      </c>
      <c r="K713" t="str">
        <f>VLOOKUP($C713,Table1[#All],2,FALSE)</f>
        <v>FOOD SERVICE</v>
      </c>
      <c r="L713" t="str">
        <f>VLOOKUP($C713,Table1[#All],3,FALSE)</f>
        <v xml:space="preserve">Transactions related to food and beverage service. Includes all guest transactions in the hotel restaurants, catering-related transactions and food service payroll. </v>
      </c>
      <c r="M713" t="str">
        <f>IFERROR(VLOOKUP($B713,ChartOfAccounts!A712:B797,2,FALSE),"")</f>
        <v/>
      </c>
      <c r="N713" t="str">
        <f>IFERROR(VLOOKUP($B713,ChartOfAccounts!C712:D797,2,FALSE),"")</f>
        <v/>
      </c>
      <c r="O713" t="str">
        <f>IFERROR(VLOOKUP($B713,ChartOfAccounts!E712:F797,2,FALSE),"")</f>
        <v/>
      </c>
      <c r="P713" t="str">
        <f>IFERROR(VLOOKUP(D713,PreparerInfo!A712:B724,2,FALSE),"")</f>
        <v/>
      </c>
      <c r="Q713" t="str">
        <f>IFERROR(VLOOKUP(E713,Source!A712:B720,2,FALSE),"")</f>
        <v/>
      </c>
    </row>
    <row r="714" spans="1:17" x14ac:dyDescent="0.3">
      <c r="A714" s="3">
        <v>2033876</v>
      </c>
      <c r="B714">
        <v>71400</v>
      </c>
      <c r="C714">
        <v>4</v>
      </c>
      <c r="D714" s="9">
        <v>101</v>
      </c>
      <c r="E714">
        <v>1007</v>
      </c>
      <c r="F714" s="1">
        <v>44012</v>
      </c>
      <c r="G714" t="s">
        <v>132</v>
      </c>
      <c r="H714" s="4">
        <v>159.9</v>
      </c>
      <c r="I714" s="4" t="s">
        <v>16</v>
      </c>
      <c r="J714" s="4">
        <v>159.9</v>
      </c>
      <c r="K714" t="str">
        <f>VLOOKUP($C714,Table1[#All],2,FALSE)</f>
        <v>HOUSEKEEPING</v>
      </c>
      <c r="L714" t="str">
        <f>VLOOKUP($C714,Table1[#All],3,FALSE)</f>
        <v xml:space="preserve">Transactions related to the Housekeeping Department. Primarily includes payroll for housekeepers and housekeeping supplies. </v>
      </c>
      <c r="M714" t="str">
        <f>IFERROR(VLOOKUP($B714,ChartOfAccounts!A713:B798,2,FALSE),"")</f>
        <v/>
      </c>
      <c r="N714" t="str">
        <f>IFERROR(VLOOKUP($B714,ChartOfAccounts!C713:D798,2,FALSE),"")</f>
        <v/>
      </c>
      <c r="O714" t="str">
        <f>IFERROR(VLOOKUP($B714,ChartOfAccounts!E713:F798,2,FALSE),"")</f>
        <v/>
      </c>
      <c r="P714" t="str">
        <f>IFERROR(VLOOKUP(D714,PreparerInfo!A713:B725,2,FALSE),"")</f>
        <v/>
      </c>
      <c r="Q714" t="str">
        <f>IFERROR(VLOOKUP(E714,Source!A713:B721,2,FALSE),"")</f>
        <v/>
      </c>
    </row>
    <row r="715" spans="1:17" x14ac:dyDescent="0.3">
      <c r="A715" s="3">
        <v>2033876</v>
      </c>
      <c r="B715">
        <v>11845</v>
      </c>
      <c r="C715">
        <v>4</v>
      </c>
      <c r="D715" s="9">
        <v>101</v>
      </c>
      <c r="E715">
        <v>1007</v>
      </c>
      <c r="F715" s="1">
        <v>44012</v>
      </c>
      <c r="G715" t="s">
        <v>132</v>
      </c>
      <c r="H715" s="4" t="s">
        <v>16</v>
      </c>
      <c r="I715" s="4">
        <v>-159.9</v>
      </c>
      <c r="J715" s="4">
        <v>-159.9</v>
      </c>
      <c r="K715" t="str">
        <f>VLOOKUP($C715,Table1[#All],2,FALSE)</f>
        <v>HOUSEKEEPING</v>
      </c>
      <c r="L715" t="str">
        <f>VLOOKUP($C715,Table1[#All],3,FALSE)</f>
        <v xml:space="preserve">Transactions related to the Housekeeping Department. Primarily includes payroll for housekeepers and housekeeping supplies. </v>
      </c>
      <c r="M715" t="str">
        <f>IFERROR(VLOOKUP($B715,ChartOfAccounts!A714:B799,2,FALSE),"")</f>
        <v/>
      </c>
      <c r="N715" t="str">
        <f>IFERROR(VLOOKUP($B715,ChartOfAccounts!C714:D799,2,FALSE),"")</f>
        <v/>
      </c>
      <c r="O715" t="str">
        <f>IFERROR(VLOOKUP($B715,ChartOfAccounts!E714:F799,2,FALSE),"")</f>
        <v/>
      </c>
      <c r="P715" t="str">
        <f>IFERROR(VLOOKUP(D715,PreparerInfo!A714:B726,2,FALSE),"")</f>
        <v/>
      </c>
      <c r="Q715" t="str">
        <f>IFERROR(VLOOKUP(E715,Source!A714:B722,2,FALSE),"")</f>
        <v/>
      </c>
    </row>
    <row r="716" spans="1:17" x14ac:dyDescent="0.3">
      <c r="A716" s="3">
        <v>2033877</v>
      </c>
      <c r="B716">
        <v>14250</v>
      </c>
      <c r="C716">
        <v>3</v>
      </c>
      <c r="D716" s="9">
        <v>101</v>
      </c>
      <c r="E716">
        <v>1007</v>
      </c>
      <c r="F716" s="1">
        <v>44012</v>
      </c>
      <c r="G716" t="s">
        <v>77</v>
      </c>
      <c r="H716" s="4">
        <v>166.2</v>
      </c>
      <c r="I716" s="4" t="s">
        <v>16</v>
      </c>
      <c r="J716" s="4">
        <v>166.2</v>
      </c>
      <c r="K716" t="str">
        <f>VLOOKUP($C716,Table1[#All],2,FALSE)</f>
        <v>HOTEL PANTRY</v>
      </c>
      <c r="L716" t="str">
        <f>VLOOKUP($C716,Table1[#All],3,FALSE)</f>
        <v>Transactions related to the hotel convenience store, including some food and beverage costs.</v>
      </c>
      <c r="M716" t="str">
        <f>IFERROR(VLOOKUP($B716,ChartOfAccounts!A715:B800,2,FALSE),"")</f>
        <v/>
      </c>
      <c r="N716" t="str">
        <f>IFERROR(VLOOKUP($B716,ChartOfAccounts!C715:D800,2,FALSE),"")</f>
        <v/>
      </c>
      <c r="O716" t="str">
        <f>IFERROR(VLOOKUP($B716,ChartOfAccounts!E715:F800,2,FALSE),"")</f>
        <v/>
      </c>
      <c r="P716" t="str">
        <f>IFERROR(VLOOKUP(D716,PreparerInfo!A715:B727,2,FALSE),"")</f>
        <v/>
      </c>
      <c r="Q716" t="str">
        <f>IFERROR(VLOOKUP(E716,Source!A715:B723,2,FALSE),"")</f>
        <v/>
      </c>
    </row>
    <row r="717" spans="1:17" x14ac:dyDescent="0.3">
      <c r="A717" s="3">
        <v>2033877</v>
      </c>
      <c r="B717">
        <v>11845</v>
      </c>
      <c r="C717">
        <v>3</v>
      </c>
      <c r="D717" s="9">
        <v>101</v>
      </c>
      <c r="E717">
        <v>1007</v>
      </c>
      <c r="F717" s="1">
        <v>44012</v>
      </c>
      <c r="G717" t="s">
        <v>77</v>
      </c>
      <c r="H717" s="4" t="s">
        <v>16</v>
      </c>
      <c r="I717" s="4">
        <v>-166.2</v>
      </c>
      <c r="J717" s="4">
        <v>-166.2</v>
      </c>
      <c r="K717" t="str">
        <f>VLOOKUP($C717,Table1[#All],2,FALSE)</f>
        <v>HOTEL PANTRY</v>
      </c>
      <c r="L717" t="str">
        <f>VLOOKUP($C717,Table1[#All],3,FALSE)</f>
        <v>Transactions related to the hotel convenience store, including some food and beverage costs.</v>
      </c>
      <c r="M717" t="str">
        <f>IFERROR(VLOOKUP($B717,ChartOfAccounts!A716:B801,2,FALSE),"")</f>
        <v/>
      </c>
      <c r="N717" t="str">
        <f>IFERROR(VLOOKUP($B717,ChartOfAccounts!C716:D801,2,FALSE),"")</f>
        <v/>
      </c>
      <c r="O717" t="str">
        <f>IFERROR(VLOOKUP($B717,ChartOfAccounts!E716:F801,2,FALSE),"")</f>
        <v/>
      </c>
      <c r="P717" t="str">
        <f>IFERROR(VLOOKUP(D717,PreparerInfo!A716:B728,2,FALSE),"")</f>
        <v/>
      </c>
      <c r="Q717" t="str">
        <f>IFERROR(VLOOKUP(E717,Source!A716:B724,2,FALSE),"")</f>
        <v/>
      </c>
    </row>
    <row r="718" spans="1:17" x14ac:dyDescent="0.3">
      <c r="A718" s="3">
        <v>2033878</v>
      </c>
      <c r="B718">
        <v>71900</v>
      </c>
      <c r="C718">
        <v>1</v>
      </c>
      <c r="D718" s="9">
        <v>102</v>
      </c>
      <c r="E718">
        <v>1002</v>
      </c>
      <c r="F718" s="1">
        <v>44012</v>
      </c>
      <c r="G718" t="s">
        <v>36</v>
      </c>
      <c r="H718" s="4">
        <v>223.2</v>
      </c>
      <c r="I718" s="4" t="s">
        <v>16</v>
      </c>
      <c r="J718" s="4">
        <v>223.2</v>
      </c>
      <c r="K718" t="str">
        <f>VLOOKUP($C718,Table1[#All],2,FALSE)</f>
        <v>FOOD SERVICE</v>
      </c>
      <c r="L718" t="str">
        <f>VLOOKUP($C718,Table1[#All],3,FALSE)</f>
        <v xml:space="preserve">Transactions related to food and beverage service. Includes all guest transactions in the hotel restaurants, catering-related transactions and food service payroll. </v>
      </c>
      <c r="M718" t="str">
        <f>IFERROR(VLOOKUP($B718,ChartOfAccounts!A717:B802,2,FALSE),"")</f>
        <v/>
      </c>
      <c r="N718" t="str">
        <f>IFERROR(VLOOKUP($B718,ChartOfAccounts!C717:D802,2,FALSE),"")</f>
        <v/>
      </c>
      <c r="O718" t="str">
        <f>IFERROR(VLOOKUP($B718,ChartOfAccounts!E717:F802,2,FALSE),"")</f>
        <v/>
      </c>
      <c r="P718" t="str">
        <f>IFERROR(VLOOKUP(D718,PreparerInfo!A717:B729,2,FALSE),"")</f>
        <v/>
      </c>
      <c r="Q718" t="str">
        <f>IFERROR(VLOOKUP(E718,Source!A717:B725,2,FALSE),"")</f>
        <v/>
      </c>
    </row>
    <row r="719" spans="1:17" x14ac:dyDescent="0.3">
      <c r="A719" s="3">
        <v>2033878</v>
      </c>
      <c r="B719">
        <v>11845</v>
      </c>
      <c r="C719">
        <v>1</v>
      </c>
      <c r="D719" s="9">
        <v>102</v>
      </c>
      <c r="E719">
        <v>1002</v>
      </c>
      <c r="F719" s="1">
        <v>44012</v>
      </c>
      <c r="G719" t="s">
        <v>36</v>
      </c>
      <c r="H719" s="4" t="s">
        <v>16</v>
      </c>
      <c r="I719" s="4">
        <v>-223.2</v>
      </c>
      <c r="J719" s="4">
        <v>-223.2</v>
      </c>
      <c r="K719" t="str">
        <f>VLOOKUP($C719,Table1[#All],2,FALSE)</f>
        <v>FOOD SERVICE</v>
      </c>
      <c r="L719" t="str">
        <f>VLOOKUP($C719,Table1[#All],3,FALSE)</f>
        <v xml:space="preserve">Transactions related to food and beverage service. Includes all guest transactions in the hotel restaurants, catering-related transactions and food service payroll. </v>
      </c>
      <c r="M719" t="str">
        <f>IFERROR(VLOOKUP($B719,ChartOfAccounts!A718:B803,2,FALSE),"")</f>
        <v/>
      </c>
      <c r="N719" t="str">
        <f>IFERROR(VLOOKUP($B719,ChartOfAccounts!C718:D803,2,FALSE),"")</f>
        <v/>
      </c>
      <c r="O719" t="str">
        <f>IFERROR(VLOOKUP($B719,ChartOfAccounts!E718:F803,2,FALSE),"")</f>
        <v/>
      </c>
      <c r="P719" t="str">
        <f>IFERROR(VLOOKUP(D719,PreparerInfo!A718:B730,2,FALSE),"")</f>
        <v/>
      </c>
      <c r="Q719" t="str">
        <f>IFERROR(VLOOKUP(E719,Source!A718:B726,2,FALSE),"")</f>
        <v/>
      </c>
    </row>
    <row r="720" spans="1:17" x14ac:dyDescent="0.3">
      <c r="A720" s="3">
        <v>2033879</v>
      </c>
      <c r="B720">
        <v>71400</v>
      </c>
      <c r="C720">
        <v>2</v>
      </c>
      <c r="D720" s="9">
        <v>101</v>
      </c>
      <c r="E720">
        <v>1002</v>
      </c>
      <c r="F720" s="1">
        <v>44012</v>
      </c>
      <c r="G720" t="s">
        <v>208</v>
      </c>
      <c r="H720" s="4">
        <v>294.39999999999998</v>
      </c>
      <c r="I720" s="4" t="s">
        <v>16</v>
      </c>
      <c r="J720" s="4">
        <v>294.39999999999998</v>
      </c>
      <c r="K720" t="str">
        <f>VLOOKUP($C720,Table1[#All],2,FALSE)</f>
        <v>HOTEL</v>
      </c>
      <c r="L720" t="str">
        <f>VLOOKUP($C720,Table1[#All],3,FALSE)</f>
        <v xml:space="preserve">Transactions related to guest rooms and overall hotel operations. Includes payroll for administrative staff, clerks and interns. </v>
      </c>
      <c r="M720" t="str">
        <f>IFERROR(VLOOKUP($B720,ChartOfAccounts!A719:B804,2,FALSE),"")</f>
        <v/>
      </c>
      <c r="N720" t="str">
        <f>IFERROR(VLOOKUP($B720,ChartOfAccounts!C719:D804,2,FALSE),"")</f>
        <v/>
      </c>
      <c r="O720" t="str">
        <f>IFERROR(VLOOKUP($B720,ChartOfAccounts!E719:F804,2,FALSE),"")</f>
        <v/>
      </c>
      <c r="P720" t="str">
        <f>IFERROR(VLOOKUP(D720,PreparerInfo!A719:B731,2,FALSE),"")</f>
        <v/>
      </c>
      <c r="Q720" t="str">
        <f>IFERROR(VLOOKUP(E720,Source!A719:B727,2,FALSE),"")</f>
        <v/>
      </c>
    </row>
    <row r="721" spans="1:17" x14ac:dyDescent="0.3">
      <c r="A721" s="3">
        <v>2033879</v>
      </c>
      <c r="B721">
        <v>11845</v>
      </c>
      <c r="C721">
        <v>2</v>
      </c>
      <c r="D721" s="9">
        <v>101</v>
      </c>
      <c r="E721">
        <v>1002</v>
      </c>
      <c r="F721" s="1">
        <v>44012</v>
      </c>
      <c r="G721" t="s">
        <v>208</v>
      </c>
      <c r="H721" s="4" t="s">
        <v>16</v>
      </c>
      <c r="I721" s="4">
        <v>-294.39999999999998</v>
      </c>
      <c r="J721" s="4">
        <v>-294.39999999999998</v>
      </c>
      <c r="K721" t="str">
        <f>VLOOKUP($C721,Table1[#All],2,FALSE)</f>
        <v>HOTEL</v>
      </c>
      <c r="L721" t="str">
        <f>VLOOKUP($C721,Table1[#All],3,FALSE)</f>
        <v xml:space="preserve">Transactions related to guest rooms and overall hotel operations. Includes payroll for administrative staff, clerks and interns. </v>
      </c>
      <c r="M721" t="str">
        <f>IFERROR(VLOOKUP($B721,ChartOfAccounts!A720:B805,2,FALSE),"")</f>
        <v/>
      </c>
      <c r="N721" t="str">
        <f>IFERROR(VLOOKUP($B721,ChartOfAccounts!C720:D805,2,FALSE),"")</f>
        <v/>
      </c>
      <c r="O721" t="str">
        <f>IFERROR(VLOOKUP($B721,ChartOfAccounts!E720:F805,2,FALSE),"")</f>
        <v/>
      </c>
      <c r="P721" t="str">
        <f>IFERROR(VLOOKUP(D721,PreparerInfo!A720:B732,2,FALSE),"")</f>
        <v/>
      </c>
      <c r="Q721" t="str">
        <f>IFERROR(VLOOKUP(E721,Source!A720:B728,2,FALSE),"")</f>
        <v/>
      </c>
    </row>
    <row r="722" spans="1:17" x14ac:dyDescent="0.3">
      <c r="A722" s="3">
        <v>2033880</v>
      </c>
      <c r="B722">
        <v>71410</v>
      </c>
      <c r="C722">
        <v>1</v>
      </c>
      <c r="D722" s="9">
        <v>101</v>
      </c>
      <c r="E722">
        <v>1007</v>
      </c>
      <c r="F722" s="1">
        <v>44012</v>
      </c>
      <c r="G722" t="s">
        <v>71</v>
      </c>
      <c r="H722" s="4">
        <v>336.51</v>
      </c>
      <c r="I722" s="4" t="s">
        <v>16</v>
      </c>
      <c r="J722" s="4">
        <v>336.51</v>
      </c>
      <c r="K722" t="str">
        <f>VLOOKUP($C722,Table1[#All],2,FALSE)</f>
        <v>FOOD SERVICE</v>
      </c>
      <c r="L722" t="str">
        <f>VLOOKUP($C722,Table1[#All],3,FALSE)</f>
        <v xml:space="preserve">Transactions related to food and beverage service. Includes all guest transactions in the hotel restaurants, catering-related transactions and food service payroll. </v>
      </c>
      <c r="M722" t="str">
        <f>IFERROR(VLOOKUP($B722,ChartOfAccounts!A721:B806,2,FALSE),"")</f>
        <v/>
      </c>
      <c r="N722" t="str">
        <f>IFERROR(VLOOKUP($B722,ChartOfAccounts!C721:D806,2,FALSE),"")</f>
        <v/>
      </c>
      <c r="O722" t="str">
        <f>IFERROR(VLOOKUP($B722,ChartOfAccounts!E721:F806,2,FALSE),"")</f>
        <v/>
      </c>
      <c r="P722" t="str">
        <f>IFERROR(VLOOKUP(D722,PreparerInfo!A721:B733,2,FALSE),"")</f>
        <v/>
      </c>
      <c r="Q722" t="str">
        <f>IFERROR(VLOOKUP(E722,Source!A721:B729,2,FALSE),"")</f>
        <v/>
      </c>
    </row>
    <row r="723" spans="1:17" x14ac:dyDescent="0.3">
      <c r="A723" s="3">
        <v>2033880</v>
      </c>
      <c r="B723">
        <v>11845</v>
      </c>
      <c r="C723">
        <v>1</v>
      </c>
      <c r="D723" s="9">
        <v>101</v>
      </c>
      <c r="E723">
        <v>1007</v>
      </c>
      <c r="F723" s="1">
        <v>44012</v>
      </c>
      <c r="G723" t="s">
        <v>71</v>
      </c>
      <c r="H723" s="4" t="s">
        <v>16</v>
      </c>
      <c r="I723" s="4">
        <v>-336.51</v>
      </c>
      <c r="J723" s="4">
        <v>-336.51</v>
      </c>
      <c r="K723" t="str">
        <f>VLOOKUP($C723,Table1[#All],2,FALSE)</f>
        <v>FOOD SERVICE</v>
      </c>
      <c r="L723" t="str">
        <f>VLOOKUP($C723,Table1[#All],3,FALSE)</f>
        <v xml:space="preserve">Transactions related to food and beverage service. Includes all guest transactions in the hotel restaurants, catering-related transactions and food service payroll. </v>
      </c>
      <c r="M723" t="str">
        <f>IFERROR(VLOOKUP($B723,ChartOfAccounts!A722:B807,2,FALSE),"")</f>
        <v/>
      </c>
      <c r="N723" t="str">
        <f>IFERROR(VLOOKUP($B723,ChartOfAccounts!C722:D807,2,FALSE),"")</f>
        <v/>
      </c>
      <c r="O723" t="str">
        <f>IFERROR(VLOOKUP($B723,ChartOfAccounts!E722:F807,2,FALSE),"")</f>
        <v/>
      </c>
      <c r="P723" t="str">
        <f>IFERROR(VLOOKUP(D723,PreparerInfo!A722:B734,2,FALSE),"")</f>
        <v/>
      </c>
      <c r="Q723" t="str">
        <f>IFERROR(VLOOKUP(E723,Source!A722:B730,2,FALSE),"")</f>
        <v/>
      </c>
    </row>
    <row r="724" spans="1:17" x14ac:dyDescent="0.3">
      <c r="A724" s="3">
        <v>2033881</v>
      </c>
      <c r="B724">
        <v>71400</v>
      </c>
      <c r="C724">
        <v>1</v>
      </c>
      <c r="D724" s="9">
        <v>101</v>
      </c>
      <c r="E724">
        <v>1007</v>
      </c>
      <c r="F724" s="1">
        <v>44012</v>
      </c>
      <c r="G724" t="s">
        <v>92</v>
      </c>
      <c r="H724" s="4">
        <v>343.35</v>
      </c>
      <c r="I724" s="4" t="s">
        <v>16</v>
      </c>
      <c r="J724" s="4">
        <v>343.35</v>
      </c>
      <c r="K724" t="str">
        <f>VLOOKUP($C724,Table1[#All],2,FALSE)</f>
        <v>FOOD SERVICE</v>
      </c>
      <c r="L724" t="str">
        <f>VLOOKUP($C724,Table1[#All],3,FALSE)</f>
        <v xml:space="preserve">Transactions related to food and beverage service. Includes all guest transactions in the hotel restaurants, catering-related transactions and food service payroll. </v>
      </c>
      <c r="M724" t="str">
        <f>IFERROR(VLOOKUP($B724,ChartOfAccounts!A723:B808,2,FALSE),"")</f>
        <v/>
      </c>
      <c r="N724" t="str">
        <f>IFERROR(VLOOKUP($B724,ChartOfAccounts!C723:D808,2,FALSE),"")</f>
        <v/>
      </c>
      <c r="O724" t="str">
        <f>IFERROR(VLOOKUP($B724,ChartOfAccounts!E723:F808,2,FALSE),"")</f>
        <v/>
      </c>
      <c r="P724" t="str">
        <f>IFERROR(VLOOKUP(D724,PreparerInfo!A723:B735,2,FALSE),"")</f>
        <v/>
      </c>
      <c r="Q724" t="str">
        <f>IFERROR(VLOOKUP(E724,Source!A723:B731,2,FALSE),"")</f>
        <v/>
      </c>
    </row>
    <row r="725" spans="1:17" x14ac:dyDescent="0.3">
      <c r="A725" s="3">
        <v>2033881</v>
      </c>
      <c r="B725">
        <v>11845</v>
      </c>
      <c r="C725">
        <v>1</v>
      </c>
      <c r="D725" s="9">
        <v>101</v>
      </c>
      <c r="E725">
        <v>1007</v>
      </c>
      <c r="F725" s="1">
        <v>44012</v>
      </c>
      <c r="G725" t="s">
        <v>92</v>
      </c>
      <c r="H725" s="4" t="s">
        <v>16</v>
      </c>
      <c r="I725" s="4">
        <v>-343.35</v>
      </c>
      <c r="J725" s="4">
        <v>-343.35</v>
      </c>
      <c r="K725" t="str">
        <f>VLOOKUP($C725,Table1[#All],2,FALSE)</f>
        <v>FOOD SERVICE</v>
      </c>
      <c r="L725" t="str">
        <f>VLOOKUP($C725,Table1[#All],3,FALSE)</f>
        <v xml:space="preserve">Transactions related to food and beverage service. Includes all guest transactions in the hotel restaurants, catering-related transactions and food service payroll. </v>
      </c>
      <c r="M725" t="str">
        <f>IFERROR(VLOOKUP($B725,ChartOfAccounts!A724:B809,2,FALSE),"")</f>
        <v/>
      </c>
      <c r="N725" t="str">
        <f>IFERROR(VLOOKUP($B725,ChartOfAccounts!C724:D809,2,FALSE),"")</f>
        <v/>
      </c>
      <c r="O725" t="str">
        <f>IFERROR(VLOOKUP($B725,ChartOfAccounts!E724:F809,2,FALSE),"")</f>
        <v/>
      </c>
      <c r="P725" t="str">
        <f>IFERROR(VLOOKUP(D725,PreparerInfo!A724:B736,2,FALSE),"")</f>
        <v/>
      </c>
      <c r="Q725" t="str">
        <f>IFERROR(VLOOKUP(E725,Source!A724:B732,2,FALSE),"")</f>
        <v/>
      </c>
    </row>
    <row r="726" spans="1:17" x14ac:dyDescent="0.3">
      <c r="A726" s="3">
        <v>2033882</v>
      </c>
      <c r="B726">
        <v>11845</v>
      </c>
      <c r="C726">
        <v>1</v>
      </c>
      <c r="D726" s="9">
        <v>102</v>
      </c>
      <c r="E726">
        <v>1003</v>
      </c>
      <c r="F726" s="1">
        <v>44012</v>
      </c>
      <c r="G726" t="s">
        <v>15</v>
      </c>
      <c r="H726" s="4">
        <v>373.76</v>
      </c>
      <c r="I726" s="4" t="s">
        <v>16</v>
      </c>
      <c r="J726" s="4">
        <v>373.76</v>
      </c>
      <c r="K726" t="str">
        <f>VLOOKUP($C726,Table1[#All],2,FALSE)</f>
        <v>FOOD SERVICE</v>
      </c>
      <c r="L726" t="str">
        <f>VLOOKUP($C726,Table1[#All],3,FALSE)</f>
        <v xml:space="preserve">Transactions related to food and beverage service. Includes all guest transactions in the hotel restaurants, catering-related transactions and food service payroll. </v>
      </c>
      <c r="M726" t="str">
        <f>IFERROR(VLOOKUP($B726,ChartOfAccounts!A725:B810,2,FALSE),"")</f>
        <v/>
      </c>
      <c r="N726" t="str">
        <f>IFERROR(VLOOKUP($B726,ChartOfAccounts!C725:D810,2,FALSE),"")</f>
        <v/>
      </c>
      <c r="O726" t="str">
        <f>IFERROR(VLOOKUP($B726,ChartOfAccounts!E725:F810,2,FALSE),"")</f>
        <v/>
      </c>
      <c r="P726" t="str">
        <f>IFERROR(VLOOKUP(D726,PreparerInfo!A725:B737,2,FALSE),"")</f>
        <v/>
      </c>
      <c r="Q726" t="str">
        <f>IFERROR(VLOOKUP(E726,Source!A725:B733,2,FALSE),"")</f>
        <v/>
      </c>
    </row>
    <row r="727" spans="1:17" x14ac:dyDescent="0.3">
      <c r="A727" s="3">
        <v>2033882</v>
      </c>
      <c r="B727">
        <v>43310</v>
      </c>
      <c r="C727">
        <v>1</v>
      </c>
      <c r="D727" s="9">
        <v>102</v>
      </c>
      <c r="E727">
        <v>1003</v>
      </c>
      <c r="F727" s="1">
        <v>44012</v>
      </c>
      <c r="G727" t="s">
        <v>15</v>
      </c>
      <c r="H727" s="4" t="s">
        <v>16</v>
      </c>
      <c r="I727" s="4">
        <v>-373.76</v>
      </c>
      <c r="J727" s="4">
        <v>-373.76</v>
      </c>
      <c r="K727" t="str">
        <f>VLOOKUP($C727,Table1[#All],2,FALSE)</f>
        <v>FOOD SERVICE</v>
      </c>
      <c r="L727" t="str">
        <f>VLOOKUP($C727,Table1[#All],3,FALSE)</f>
        <v xml:space="preserve">Transactions related to food and beverage service. Includes all guest transactions in the hotel restaurants, catering-related transactions and food service payroll. </v>
      </c>
      <c r="M727" t="str">
        <f>IFERROR(VLOOKUP($B727,ChartOfAccounts!A726:B811,2,FALSE),"")</f>
        <v/>
      </c>
      <c r="N727" t="str">
        <f>IFERROR(VLOOKUP($B727,ChartOfAccounts!C726:D811,2,FALSE),"")</f>
        <v/>
      </c>
      <c r="O727" t="str">
        <f>IFERROR(VLOOKUP($B727,ChartOfAccounts!E726:F811,2,FALSE),"")</f>
        <v/>
      </c>
      <c r="P727" t="str">
        <f>IFERROR(VLOOKUP(D727,PreparerInfo!A726:B738,2,FALSE),"")</f>
        <v/>
      </c>
      <c r="Q727" t="str">
        <f>IFERROR(VLOOKUP(E727,Source!A726:B734,2,FALSE),"")</f>
        <v/>
      </c>
    </row>
    <row r="728" spans="1:17" x14ac:dyDescent="0.3">
      <c r="A728" s="3">
        <v>2033883</v>
      </c>
      <c r="B728">
        <v>71400</v>
      </c>
      <c r="C728">
        <v>4</v>
      </c>
      <c r="D728" s="9">
        <v>101</v>
      </c>
      <c r="E728">
        <v>1007</v>
      </c>
      <c r="F728" s="1">
        <v>44012</v>
      </c>
      <c r="G728" t="s">
        <v>77</v>
      </c>
      <c r="H728" s="4">
        <v>385.74</v>
      </c>
      <c r="I728" s="4" t="s">
        <v>16</v>
      </c>
      <c r="J728" s="4">
        <v>385.74</v>
      </c>
      <c r="K728" t="str">
        <f>VLOOKUP($C728,Table1[#All],2,FALSE)</f>
        <v>HOUSEKEEPING</v>
      </c>
      <c r="L728" t="str">
        <f>VLOOKUP($C728,Table1[#All],3,FALSE)</f>
        <v xml:space="preserve">Transactions related to the Housekeeping Department. Primarily includes payroll for housekeepers and housekeeping supplies. </v>
      </c>
      <c r="M728" t="str">
        <f>IFERROR(VLOOKUP($B728,ChartOfAccounts!A727:B812,2,FALSE),"")</f>
        <v/>
      </c>
      <c r="N728" t="str">
        <f>IFERROR(VLOOKUP($B728,ChartOfAccounts!C727:D812,2,FALSE),"")</f>
        <v/>
      </c>
      <c r="O728" t="str">
        <f>IFERROR(VLOOKUP($B728,ChartOfAccounts!E727:F812,2,FALSE),"")</f>
        <v/>
      </c>
      <c r="P728" t="str">
        <f>IFERROR(VLOOKUP(D728,PreparerInfo!A727:B739,2,FALSE),"")</f>
        <v/>
      </c>
      <c r="Q728" t="str">
        <f>IFERROR(VLOOKUP(E728,Source!A727:B735,2,FALSE),"")</f>
        <v/>
      </c>
    </row>
    <row r="729" spans="1:17" x14ac:dyDescent="0.3">
      <c r="A729" s="3">
        <v>2033883</v>
      </c>
      <c r="B729">
        <v>11845</v>
      </c>
      <c r="C729">
        <v>4</v>
      </c>
      <c r="D729" s="9">
        <v>101</v>
      </c>
      <c r="E729">
        <v>1007</v>
      </c>
      <c r="F729" s="1">
        <v>44012</v>
      </c>
      <c r="G729" t="s">
        <v>77</v>
      </c>
      <c r="H729" s="4" t="s">
        <v>16</v>
      </c>
      <c r="I729" s="4">
        <v>-385.74</v>
      </c>
      <c r="J729" s="4">
        <v>-385.74</v>
      </c>
      <c r="K729" t="str">
        <f>VLOOKUP($C729,Table1[#All],2,FALSE)</f>
        <v>HOUSEKEEPING</v>
      </c>
      <c r="L729" t="str">
        <f>VLOOKUP($C729,Table1[#All],3,FALSE)</f>
        <v xml:space="preserve">Transactions related to the Housekeeping Department. Primarily includes payroll for housekeepers and housekeeping supplies. </v>
      </c>
      <c r="M729" t="str">
        <f>IFERROR(VLOOKUP($B729,ChartOfAccounts!A728:B813,2,FALSE),"")</f>
        <v/>
      </c>
      <c r="N729" t="str">
        <f>IFERROR(VLOOKUP($B729,ChartOfAccounts!C728:D813,2,FALSE),"")</f>
        <v/>
      </c>
      <c r="O729" t="str">
        <f>IFERROR(VLOOKUP($B729,ChartOfAccounts!E728:F813,2,FALSE),"")</f>
        <v/>
      </c>
      <c r="P729" t="str">
        <f>IFERROR(VLOOKUP(D729,PreparerInfo!A728:B740,2,FALSE),"")</f>
        <v/>
      </c>
      <c r="Q729" t="str">
        <f>IFERROR(VLOOKUP(E729,Source!A728:B736,2,FALSE),"")</f>
        <v/>
      </c>
    </row>
    <row r="730" spans="1:17" x14ac:dyDescent="0.3">
      <c r="A730" s="3">
        <v>2033884</v>
      </c>
      <c r="B730">
        <v>71400</v>
      </c>
      <c r="C730">
        <v>1</v>
      </c>
      <c r="D730" s="9">
        <v>101</v>
      </c>
      <c r="E730">
        <v>1007</v>
      </c>
      <c r="F730" s="1">
        <v>44012</v>
      </c>
      <c r="G730" t="s">
        <v>203</v>
      </c>
      <c r="H730" s="4">
        <v>400</v>
      </c>
      <c r="I730" s="4" t="s">
        <v>16</v>
      </c>
      <c r="J730" s="4">
        <v>400</v>
      </c>
      <c r="K730" t="str">
        <f>VLOOKUP($C730,Table1[#All],2,FALSE)</f>
        <v>FOOD SERVICE</v>
      </c>
      <c r="L730" t="str">
        <f>VLOOKUP($C730,Table1[#All],3,FALSE)</f>
        <v xml:space="preserve">Transactions related to food and beverage service. Includes all guest transactions in the hotel restaurants, catering-related transactions and food service payroll. </v>
      </c>
      <c r="M730" t="str">
        <f>IFERROR(VLOOKUP($B730,ChartOfAccounts!A729:B814,2,FALSE),"")</f>
        <v/>
      </c>
      <c r="N730" t="str">
        <f>IFERROR(VLOOKUP($B730,ChartOfAccounts!C729:D814,2,FALSE),"")</f>
        <v/>
      </c>
      <c r="O730" t="str">
        <f>IFERROR(VLOOKUP($B730,ChartOfAccounts!E729:F814,2,FALSE),"")</f>
        <v/>
      </c>
      <c r="P730" t="str">
        <f>IFERROR(VLOOKUP(D730,PreparerInfo!A729:B741,2,FALSE),"")</f>
        <v/>
      </c>
      <c r="Q730" t="str">
        <f>IFERROR(VLOOKUP(E730,Source!A729:B737,2,FALSE),"")</f>
        <v/>
      </c>
    </row>
    <row r="731" spans="1:17" x14ac:dyDescent="0.3">
      <c r="A731" s="3">
        <v>2033884</v>
      </c>
      <c r="B731">
        <v>11845</v>
      </c>
      <c r="C731">
        <v>1</v>
      </c>
      <c r="D731" s="9">
        <v>101</v>
      </c>
      <c r="E731">
        <v>1007</v>
      </c>
      <c r="F731" s="1">
        <v>44012</v>
      </c>
      <c r="G731" t="s">
        <v>203</v>
      </c>
      <c r="H731" s="4" t="s">
        <v>16</v>
      </c>
      <c r="I731" s="4">
        <v>-400</v>
      </c>
      <c r="J731" s="4">
        <v>-400</v>
      </c>
      <c r="K731" t="str">
        <f>VLOOKUP($C731,Table1[#All],2,FALSE)</f>
        <v>FOOD SERVICE</v>
      </c>
      <c r="L731" t="str">
        <f>VLOOKUP($C731,Table1[#All],3,FALSE)</f>
        <v xml:space="preserve">Transactions related to food and beverage service. Includes all guest transactions in the hotel restaurants, catering-related transactions and food service payroll. </v>
      </c>
      <c r="M731" t="str">
        <f>IFERROR(VLOOKUP($B731,ChartOfAccounts!A730:B815,2,FALSE),"")</f>
        <v/>
      </c>
      <c r="N731" t="str">
        <f>IFERROR(VLOOKUP($B731,ChartOfAccounts!C730:D815,2,FALSE),"")</f>
        <v/>
      </c>
      <c r="O731" t="str">
        <f>IFERROR(VLOOKUP($B731,ChartOfAccounts!E730:F815,2,FALSE),"")</f>
        <v/>
      </c>
      <c r="P731" t="str">
        <f>IFERROR(VLOOKUP(D731,PreparerInfo!A730:B742,2,FALSE),"")</f>
        <v/>
      </c>
      <c r="Q731" t="str">
        <f>IFERROR(VLOOKUP(E731,Source!A730:B738,2,FALSE),"")</f>
        <v/>
      </c>
    </row>
    <row r="732" spans="1:17" x14ac:dyDescent="0.3">
      <c r="A732" s="3">
        <v>2033885</v>
      </c>
      <c r="B732">
        <v>71400</v>
      </c>
      <c r="C732">
        <v>4</v>
      </c>
      <c r="D732" s="9">
        <v>101</v>
      </c>
      <c r="E732">
        <v>1007</v>
      </c>
      <c r="F732" s="1">
        <v>44012</v>
      </c>
      <c r="G732" t="s">
        <v>78</v>
      </c>
      <c r="H732" s="4">
        <v>506.04</v>
      </c>
      <c r="I732" s="4" t="s">
        <v>16</v>
      </c>
      <c r="J732" s="4">
        <v>506.04</v>
      </c>
      <c r="K732" t="str">
        <f>VLOOKUP($C732,Table1[#All],2,FALSE)</f>
        <v>HOUSEKEEPING</v>
      </c>
      <c r="L732" t="str">
        <f>VLOOKUP($C732,Table1[#All],3,FALSE)</f>
        <v xml:space="preserve">Transactions related to the Housekeeping Department. Primarily includes payroll for housekeepers and housekeeping supplies. </v>
      </c>
      <c r="M732" t="str">
        <f>IFERROR(VLOOKUP($B732,ChartOfAccounts!A731:B816,2,FALSE),"")</f>
        <v/>
      </c>
      <c r="N732" t="str">
        <f>IFERROR(VLOOKUP($B732,ChartOfAccounts!C731:D816,2,FALSE),"")</f>
        <v/>
      </c>
      <c r="O732" t="str">
        <f>IFERROR(VLOOKUP($B732,ChartOfAccounts!E731:F816,2,FALSE),"")</f>
        <v/>
      </c>
      <c r="P732" t="str">
        <f>IFERROR(VLOOKUP(D732,PreparerInfo!A731:B743,2,FALSE),"")</f>
        <v/>
      </c>
      <c r="Q732" t="str">
        <f>IFERROR(VLOOKUP(E732,Source!A731:B739,2,FALSE),"")</f>
        <v/>
      </c>
    </row>
    <row r="733" spans="1:17" x14ac:dyDescent="0.3">
      <c r="A733" s="3">
        <v>2033885</v>
      </c>
      <c r="B733">
        <v>11845</v>
      </c>
      <c r="C733">
        <v>4</v>
      </c>
      <c r="D733" s="9">
        <v>101</v>
      </c>
      <c r="E733">
        <v>1007</v>
      </c>
      <c r="F733" s="1">
        <v>44012</v>
      </c>
      <c r="G733" t="s">
        <v>78</v>
      </c>
      <c r="H733" s="4" t="s">
        <v>16</v>
      </c>
      <c r="I733" s="4">
        <v>-506.04</v>
      </c>
      <c r="J733" s="4">
        <v>-506.04</v>
      </c>
      <c r="K733" t="str">
        <f>VLOOKUP($C733,Table1[#All],2,FALSE)</f>
        <v>HOUSEKEEPING</v>
      </c>
      <c r="L733" t="str">
        <f>VLOOKUP($C733,Table1[#All],3,FALSE)</f>
        <v xml:space="preserve">Transactions related to the Housekeeping Department. Primarily includes payroll for housekeepers and housekeeping supplies. </v>
      </c>
      <c r="M733" t="str">
        <f>IFERROR(VLOOKUP($B733,ChartOfAccounts!A732:B817,2,FALSE),"")</f>
        <v/>
      </c>
      <c r="N733" t="str">
        <f>IFERROR(VLOOKUP($B733,ChartOfAccounts!C732:D817,2,FALSE),"")</f>
        <v/>
      </c>
      <c r="O733" t="str">
        <f>IFERROR(VLOOKUP($B733,ChartOfAccounts!E732:F817,2,FALSE),"")</f>
        <v/>
      </c>
      <c r="P733" t="str">
        <f>IFERROR(VLOOKUP(D733,PreparerInfo!A732:B744,2,FALSE),"")</f>
        <v/>
      </c>
      <c r="Q733" t="str">
        <f>IFERROR(VLOOKUP(E733,Source!A732:B740,2,FALSE),"")</f>
        <v/>
      </c>
    </row>
    <row r="734" spans="1:17" x14ac:dyDescent="0.3">
      <c r="A734" s="3">
        <v>2033886</v>
      </c>
      <c r="B734">
        <v>71400</v>
      </c>
      <c r="C734">
        <v>1</v>
      </c>
      <c r="D734" s="9">
        <v>101</v>
      </c>
      <c r="E734">
        <v>1007</v>
      </c>
      <c r="F734" s="1">
        <v>44012</v>
      </c>
      <c r="G734" t="s">
        <v>88</v>
      </c>
      <c r="H734" s="4">
        <v>522.45000000000005</v>
      </c>
      <c r="I734" s="4" t="s">
        <v>16</v>
      </c>
      <c r="J734" s="4">
        <v>522.45000000000005</v>
      </c>
      <c r="K734" t="str">
        <f>VLOOKUP($C734,Table1[#All],2,FALSE)</f>
        <v>FOOD SERVICE</v>
      </c>
      <c r="L734" t="str">
        <f>VLOOKUP($C734,Table1[#All],3,FALSE)</f>
        <v xml:space="preserve">Transactions related to food and beverage service. Includes all guest transactions in the hotel restaurants, catering-related transactions and food service payroll. </v>
      </c>
      <c r="M734" t="str">
        <f>IFERROR(VLOOKUP($B734,ChartOfAccounts!A733:B818,2,FALSE),"")</f>
        <v/>
      </c>
      <c r="N734" t="str">
        <f>IFERROR(VLOOKUP($B734,ChartOfAccounts!C733:D818,2,FALSE),"")</f>
        <v/>
      </c>
      <c r="O734" t="str">
        <f>IFERROR(VLOOKUP($B734,ChartOfAccounts!E733:F818,2,FALSE),"")</f>
        <v/>
      </c>
      <c r="P734" t="str">
        <f>IFERROR(VLOOKUP(D734,PreparerInfo!A733:B745,2,FALSE),"")</f>
        <v/>
      </c>
      <c r="Q734" t="str">
        <f>IFERROR(VLOOKUP(E734,Source!A733:B741,2,FALSE),"")</f>
        <v/>
      </c>
    </row>
    <row r="735" spans="1:17" x14ac:dyDescent="0.3">
      <c r="A735" s="3">
        <v>2033886</v>
      </c>
      <c r="B735">
        <v>11845</v>
      </c>
      <c r="C735">
        <v>1</v>
      </c>
      <c r="D735" s="9">
        <v>101</v>
      </c>
      <c r="E735">
        <v>1007</v>
      </c>
      <c r="F735" s="1">
        <v>44012</v>
      </c>
      <c r="G735" t="s">
        <v>88</v>
      </c>
      <c r="H735" s="4" t="s">
        <v>16</v>
      </c>
      <c r="I735" s="4">
        <v>-522.45000000000005</v>
      </c>
      <c r="J735" s="4">
        <v>-522.45000000000005</v>
      </c>
      <c r="K735" t="str">
        <f>VLOOKUP($C735,Table1[#All],2,FALSE)</f>
        <v>FOOD SERVICE</v>
      </c>
      <c r="L735" t="str">
        <f>VLOOKUP($C735,Table1[#All],3,FALSE)</f>
        <v xml:space="preserve">Transactions related to food and beverage service. Includes all guest transactions in the hotel restaurants, catering-related transactions and food service payroll. </v>
      </c>
      <c r="M735" t="str">
        <f>IFERROR(VLOOKUP($B735,ChartOfAccounts!A734:B819,2,FALSE),"")</f>
        <v/>
      </c>
      <c r="N735" t="str">
        <f>IFERROR(VLOOKUP($B735,ChartOfAccounts!C734:D819,2,FALSE),"")</f>
        <v/>
      </c>
      <c r="O735" t="str">
        <f>IFERROR(VLOOKUP($B735,ChartOfAccounts!E734:F819,2,FALSE),"")</f>
        <v/>
      </c>
      <c r="P735" t="str">
        <f>IFERROR(VLOOKUP(D735,PreparerInfo!A734:B746,2,FALSE),"")</f>
        <v/>
      </c>
      <c r="Q735" t="str">
        <f>IFERROR(VLOOKUP(E735,Source!A734:B742,2,FALSE),"")</f>
        <v/>
      </c>
    </row>
    <row r="736" spans="1:17" x14ac:dyDescent="0.3">
      <c r="A736" s="3">
        <v>2033887</v>
      </c>
      <c r="B736">
        <v>71400</v>
      </c>
      <c r="C736">
        <v>1</v>
      </c>
      <c r="D736" s="9">
        <v>101</v>
      </c>
      <c r="E736">
        <v>1007</v>
      </c>
      <c r="F736" s="1">
        <v>44012</v>
      </c>
      <c r="G736" t="s">
        <v>88</v>
      </c>
      <c r="H736" s="4">
        <v>525.70000000000005</v>
      </c>
      <c r="I736" s="4" t="s">
        <v>16</v>
      </c>
      <c r="J736" s="4">
        <v>525.70000000000005</v>
      </c>
      <c r="K736" t="str">
        <f>VLOOKUP($C736,Table1[#All],2,FALSE)</f>
        <v>FOOD SERVICE</v>
      </c>
      <c r="L736" t="str">
        <f>VLOOKUP($C736,Table1[#All],3,FALSE)</f>
        <v xml:space="preserve">Transactions related to food and beverage service. Includes all guest transactions in the hotel restaurants, catering-related transactions and food service payroll. </v>
      </c>
      <c r="M736" t="str">
        <f>IFERROR(VLOOKUP($B736,ChartOfAccounts!A735:B820,2,FALSE),"")</f>
        <v/>
      </c>
      <c r="N736" t="str">
        <f>IFERROR(VLOOKUP($B736,ChartOfAccounts!C735:D820,2,FALSE),"")</f>
        <v/>
      </c>
      <c r="O736" t="str">
        <f>IFERROR(VLOOKUP($B736,ChartOfAccounts!E735:F820,2,FALSE),"")</f>
        <v/>
      </c>
      <c r="P736" t="str">
        <f>IFERROR(VLOOKUP(D736,PreparerInfo!A735:B747,2,FALSE),"")</f>
        <v/>
      </c>
      <c r="Q736" t="str">
        <f>IFERROR(VLOOKUP(E736,Source!A735:B743,2,FALSE),"")</f>
        <v/>
      </c>
    </row>
    <row r="737" spans="1:17" x14ac:dyDescent="0.3">
      <c r="A737" s="3">
        <v>2033887</v>
      </c>
      <c r="B737">
        <v>11845</v>
      </c>
      <c r="C737">
        <v>1</v>
      </c>
      <c r="D737" s="9">
        <v>101</v>
      </c>
      <c r="E737">
        <v>1007</v>
      </c>
      <c r="F737" s="1">
        <v>44012</v>
      </c>
      <c r="G737" t="s">
        <v>88</v>
      </c>
      <c r="H737" s="4" t="s">
        <v>16</v>
      </c>
      <c r="I737" s="4">
        <v>-525.70000000000005</v>
      </c>
      <c r="J737" s="4">
        <v>-525.70000000000005</v>
      </c>
      <c r="K737" t="str">
        <f>VLOOKUP($C737,Table1[#All],2,FALSE)</f>
        <v>FOOD SERVICE</v>
      </c>
      <c r="L737" t="str">
        <f>VLOOKUP($C737,Table1[#All],3,FALSE)</f>
        <v xml:space="preserve">Transactions related to food and beverage service. Includes all guest transactions in the hotel restaurants, catering-related transactions and food service payroll. </v>
      </c>
      <c r="M737" t="str">
        <f>IFERROR(VLOOKUP($B737,ChartOfAccounts!A736:B821,2,FALSE),"")</f>
        <v/>
      </c>
      <c r="N737" t="str">
        <f>IFERROR(VLOOKUP($B737,ChartOfAccounts!C736:D821,2,FALSE),"")</f>
        <v/>
      </c>
      <c r="O737" t="str">
        <f>IFERROR(VLOOKUP($B737,ChartOfAccounts!E736:F821,2,FALSE),"")</f>
        <v/>
      </c>
      <c r="P737" t="str">
        <f>IFERROR(VLOOKUP(D737,PreparerInfo!A736:B748,2,FALSE),"")</f>
        <v/>
      </c>
      <c r="Q737" t="str">
        <f>IFERROR(VLOOKUP(E737,Source!A736:B744,2,FALSE),"")</f>
        <v/>
      </c>
    </row>
    <row r="738" spans="1:17" x14ac:dyDescent="0.3">
      <c r="A738" s="3">
        <v>2033888</v>
      </c>
      <c r="B738">
        <v>71400</v>
      </c>
      <c r="C738">
        <v>4</v>
      </c>
      <c r="D738" s="9">
        <v>101</v>
      </c>
      <c r="E738">
        <v>1007</v>
      </c>
      <c r="F738" s="1">
        <v>44012</v>
      </c>
      <c r="G738" t="s">
        <v>79</v>
      </c>
      <c r="H738" s="4">
        <v>570.4</v>
      </c>
      <c r="I738" s="4" t="s">
        <v>16</v>
      </c>
      <c r="J738" s="4">
        <v>570.4</v>
      </c>
      <c r="K738" t="str">
        <f>VLOOKUP($C738,Table1[#All],2,FALSE)</f>
        <v>HOUSEKEEPING</v>
      </c>
      <c r="L738" t="str">
        <f>VLOOKUP($C738,Table1[#All],3,FALSE)</f>
        <v xml:space="preserve">Transactions related to the Housekeeping Department. Primarily includes payroll for housekeepers and housekeeping supplies. </v>
      </c>
      <c r="M738" t="str">
        <f>IFERROR(VLOOKUP($B738,ChartOfAccounts!A737:B822,2,FALSE),"")</f>
        <v/>
      </c>
      <c r="N738" t="str">
        <f>IFERROR(VLOOKUP($B738,ChartOfAccounts!C737:D822,2,FALSE),"")</f>
        <v/>
      </c>
      <c r="O738" t="str">
        <f>IFERROR(VLOOKUP($B738,ChartOfAccounts!E737:F822,2,FALSE),"")</f>
        <v/>
      </c>
      <c r="P738" t="str">
        <f>IFERROR(VLOOKUP(D738,PreparerInfo!A737:B749,2,FALSE),"")</f>
        <v/>
      </c>
      <c r="Q738" t="str">
        <f>IFERROR(VLOOKUP(E738,Source!A737:B745,2,FALSE),"")</f>
        <v/>
      </c>
    </row>
    <row r="739" spans="1:17" x14ac:dyDescent="0.3">
      <c r="A739" s="3">
        <v>2033888</v>
      </c>
      <c r="B739">
        <v>11845</v>
      </c>
      <c r="C739">
        <v>4</v>
      </c>
      <c r="D739" s="9">
        <v>101</v>
      </c>
      <c r="E739">
        <v>1007</v>
      </c>
      <c r="F739" s="1">
        <v>44012</v>
      </c>
      <c r="G739" t="s">
        <v>79</v>
      </c>
      <c r="H739" s="4" t="s">
        <v>16</v>
      </c>
      <c r="I739" s="4">
        <v>-570.4</v>
      </c>
      <c r="J739" s="4">
        <v>-570.4</v>
      </c>
      <c r="K739" t="str">
        <f>VLOOKUP($C739,Table1[#All],2,FALSE)</f>
        <v>HOUSEKEEPING</v>
      </c>
      <c r="L739" t="str">
        <f>VLOOKUP($C739,Table1[#All],3,FALSE)</f>
        <v xml:space="preserve">Transactions related to the Housekeeping Department. Primarily includes payroll for housekeepers and housekeeping supplies. </v>
      </c>
      <c r="M739" t="str">
        <f>IFERROR(VLOOKUP($B739,ChartOfAccounts!A738:B823,2,FALSE),"")</f>
        <v/>
      </c>
      <c r="N739" t="str">
        <f>IFERROR(VLOOKUP($B739,ChartOfAccounts!C738:D823,2,FALSE),"")</f>
        <v/>
      </c>
      <c r="O739" t="str">
        <f>IFERROR(VLOOKUP($B739,ChartOfAccounts!E738:F823,2,FALSE),"")</f>
        <v/>
      </c>
      <c r="P739" t="str">
        <f>IFERROR(VLOOKUP(D739,PreparerInfo!A738:B750,2,FALSE),"")</f>
        <v/>
      </c>
      <c r="Q739" t="str">
        <f>IFERROR(VLOOKUP(E739,Source!A738:B746,2,FALSE),"")</f>
        <v/>
      </c>
    </row>
    <row r="740" spans="1:17" x14ac:dyDescent="0.3">
      <c r="A740" s="3">
        <v>2033889</v>
      </c>
      <c r="B740">
        <v>71400</v>
      </c>
      <c r="C740">
        <v>4</v>
      </c>
      <c r="D740" s="9">
        <v>101</v>
      </c>
      <c r="E740">
        <v>1007</v>
      </c>
      <c r="F740" s="1">
        <v>44012</v>
      </c>
      <c r="G740" t="s">
        <v>133</v>
      </c>
      <c r="H740" s="4">
        <v>651.70000000000005</v>
      </c>
      <c r="I740" s="4" t="s">
        <v>16</v>
      </c>
      <c r="J740" s="4">
        <v>651.70000000000005</v>
      </c>
      <c r="K740" t="str">
        <f>VLOOKUP($C740,Table1[#All],2,FALSE)</f>
        <v>HOUSEKEEPING</v>
      </c>
      <c r="L740" t="str">
        <f>VLOOKUP($C740,Table1[#All],3,FALSE)</f>
        <v xml:space="preserve">Transactions related to the Housekeeping Department. Primarily includes payroll for housekeepers and housekeeping supplies. </v>
      </c>
      <c r="M740" t="str">
        <f>IFERROR(VLOOKUP($B740,ChartOfAccounts!A739:B824,2,FALSE),"")</f>
        <v/>
      </c>
      <c r="N740" t="str">
        <f>IFERROR(VLOOKUP($B740,ChartOfAccounts!C739:D824,2,FALSE),"")</f>
        <v/>
      </c>
      <c r="O740" t="str">
        <f>IFERROR(VLOOKUP($B740,ChartOfAccounts!E739:F824,2,FALSE),"")</f>
        <v/>
      </c>
      <c r="P740" t="str">
        <f>IFERROR(VLOOKUP(D740,PreparerInfo!A739:B751,2,FALSE),"")</f>
        <v/>
      </c>
      <c r="Q740" t="str">
        <f>IFERROR(VLOOKUP(E740,Source!A739:B747,2,FALSE),"")</f>
        <v/>
      </c>
    </row>
    <row r="741" spans="1:17" x14ac:dyDescent="0.3">
      <c r="A741" s="3">
        <v>2033889</v>
      </c>
      <c r="B741">
        <v>11845</v>
      </c>
      <c r="C741">
        <v>4</v>
      </c>
      <c r="D741" s="9">
        <v>101</v>
      </c>
      <c r="E741">
        <v>1007</v>
      </c>
      <c r="F741" s="1">
        <v>44012</v>
      </c>
      <c r="G741" t="s">
        <v>133</v>
      </c>
      <c r="H741" s="4" t="s">
        <v>16</v>
      </c>
      <c r="I741" s="4">
        <v>-651.70000000000005</v>
      </c>
      <c r="J741" s="4">
        <v>-651.70000000000005</v>
      </c>
      <c r="K741" t="str">
        <f>VLOOKUP($C741,Table1[#All],2,FALSE)</f>
        <v>HOUSEKEEPING</v>
      </c>
      <c r="L741" t="str">
        <f>VLOOKUP($C741,Table1[#All],3,FALSE)</f>
        <v xml:space="preserve">Transactions related to the Housekeeping Department. Primarily includes payroll for housekeepers and housekeeping supplies. </v>
      </c>
      <c r="M741" t="str">
        <f>IFERROR(VLOOKUP($B741,ChartOfAccounts!A740:B825,2,FALSE),"")</f>
        <v/>
      </c>
      <c r="N741" t="str">
        <f>IFERROR(VLOOKUP($B741,ChartOfAccounts!C740:D825,2,FALSE),"")</f>
        <v/>
      </c>
      <c r="O741" t="str">
        <f>IFERROR(VLOOKUP($B741,ChartOfAccounts!E740:F825,2,FALSE),"")</f>
        <v/>
      </c>
      <c r="P741" t="str">
        <f>IFERROR(VLOOKUP(D741,PreparerInfo!A740:B752,2,FALSE),"")</f>
        <v/>
      </c>
      <c r="Q741" t="str">
        <f>IFERROR(VLOOKUP(E741,Source!A740:B748,2,FALSE),"")</f>
        <v/>
      </c>
    </row>
    <row r="742" spans="1:17" x14ac:dyDescent="0.3">
      <c r="A742" s="3">
        <v>2033890</v>
      </c>
      <c r="B742">
        <v>71400</v>
      </c>
      <c r="C742">
        <v>1</v>
      </c>
      <c r="D742" s="9">
        <v>101</v>
      </c>
      <c r="E742">
        <v>1007</v>
      </c>
      <c r="F742" s="1">
        <v>44012</v>
      </c>
      <c r="G742" t="s">
        <v>128</v>
      </c>
      <c r="H742" s="4">
        <v>711</v>
      </c>
      <c r="I742" s="4" t="s">
        <v>16</v>
      </c>
      <c r="J742" s="4">
        <v>711</v>
      </c>
      <c r="K742" t="str">
        <f>VLOOKUP($C742,Table1[#All],2,FALSE)</f>
        <v>FOOD SERVICE</v>
      </c>
      <c r="L742" t="str">
        <f>VLOOKUP($C742,Table1[#All],3,FALSE)</f>
        <v xml:space="preserve">Transactions related to food and beverage service. Includes all guest transactions in the hotel restaurants, catering-related transactions and food service payroll. </v>
      </c>
      <c r="M742" t="str">
        <f>IFERROR(VLOOKUP($B742,ChartOfAccounts!A741:B826,2,FALSE),"")</f>
        <v/>
      </c>
      <c r="N742" t="str">
        <f>IFERROR(VLOOKUP($B742,ChartOfAccounts!C741:D826,2,FALSE),"")</f>
        <v/>
      </c>
      <c r="O742" t="str">
        <f>IFERROR(VLOOKUP($B742,ChartOfAccounts!E741:F826,2,FALSE),"")</f>
        <v/>
      </c>
      <c r="P742" t="str">
        <f>IFERROR(VLOOKUP(D742,PreparerInfo!A741:B753,2,FALSE),"")</f>
        <v/>
      </c>
      <c r="Q742" t="str">
        <f>IFERROR(VLOOKUP(E742,Source!A741:B749,2,FALSE),"")</f>
        <v/>
      </c>
    </row>
    <row r="743" spans="1:17" x14ac:dyDescent="0.3">
      <c r="A743" s="3">
        <v>2033890</v>
      </c>
      <c r="B743">
        <v>11845</v>
      </c>
      <c r="C743">
        <v>1</v>
      </c>
      <c r="D743" s="9">
        <v>101</v>
      </c>
      <c r="E743">
        <v>1007</v>
      </c>
      <c r="F743" s="1">
        <v>44012</v>
      </c>
      <c r="G743" t="s">
        <v>128</v>
      </c>
      <c r="H743" s="4" t="s">
        <v>16</v>
      </c>
      <c r="I743" s="4">
        <v>-711</v>
      </c>
      <c r="J743" s="4">
        <v>-711</v>
      </c>
      <c r="K743" t="str">
        <f>VLOOKUP($C743,Table1[#All],2,FALSE)</f>
        <v>FOOD SERVICE</v>
      </c>
      <c r="L743" t="str">
        <f>VLOOKUP($C743,Table1[#All],3,FALSE)</f>
        <v xml:space="preserve">Transactions related to food and beverage service. Includes all guest transactions in the hotel restaurants, catering-related transactions and food service payroll. </v>
      </c>
      <c r="M743" t="str">
        <f>IFERROR(VLOOKUP($B743,ChartOfAccounts!A742:B827,2,FALSE),"")</f>
        <v/>
      </c>
      <c r="N743" t="str">
        <f>IFERROR(VLOOKUP($B743,ChartOfAccounts!C742:D827,2,FALSE),"")</f>
        <v/>
      </c>
      <c r="O743" t="str">
        <f>IFERROR(VLOOKUP($B743,ChartOfAccounts!E742:F827,2,FALSE),"")</f>
        <v/>
      </c>
      <c r="P743" t="str">
        <f>IFERROR(VLOOKUP(D743,PreparerInfo!A742:B754,2,FALSE),"")</f>
        <v/>
      </c>
      <c r="Q743" t="str">
        <f>IFERROR(VLOOKUP(E743,Source!A742:B750,2,FALSE),"")</f>
        <v/>
      </c>
    </row>
    <row r="744" spans="1:17" x14ac:dyDescent="0.3">
      <c r="A744" s="3">
        <v>2033891</v>
      </c>
      <c r="B744">
        <v>71500</v>
      </c>
      <c r="C744">
        <v>6</v>
      </c>
      <c r="D744" s="9">
        <v>101</v>
      </c>
      <c r="E744">
        <v>1002</v>
      </c>
      <c r="F744" s="1">
        <v>44012</v>
      </c>
      <c r="G744" t="s">
        <v>186</v>
      </c>
      <c r="H744" s="4">
        <v>827</v>
      </c>
      <c r="I744" s="4" t="s">
        <v>16</v>
      </c>
      <c r="J744" s="4">
        <v>827</v>
      </c>
      <c r="K744" t="str">
        <f>VLOOKUP($C744,Table1[#All],2,FALSE)</f>
        <v>MAINTENANCE</v>
      </c>
      <c r="L744" t="str">
        <f>VLOOKUP($C744,Table1[#All],3,FALSE)</f>
        <v>Transactions related to the hotel Maintenance Department. Primarily includes payroll for maintenance, grounds keepers and related supplies.</v>
      </c>
      <c r="M744" t="str">
        <f>IFERROR(VLOOKUP($B744,ChartOfAccounts!A743:B828,2,FALSE),"")</f>
        <v/>
      </c>
      <c r="N744" t="str">
        <f>IFERROR(VLOOKUP($B744,ChartOfAccounts!C743:D828,2,FALSE),"")</f>
        <v/>
      </c>
      <c r="O744" t="str">
        <f>IFERROR(VLOOKUP($B744,ChartOfAccounts!E743:F828,2,FALSE),"")</f>
        <v/>
      </c>
      <c r="P744" t="str">
        <f>IFERROR(VLOOKUP(D744,PreparerInfo!A743:B755,2,FALSE),"")</f>
        <v/>
      </c>
      <c r="Q744" t="str">
        <f>IFERROR(VLOOKUP(E744,Source!A743:B751,2,FALSE),"")</f>
        <v/>
      </c>
    </row>
    <row r="745" spans="1:17" x14ac:dyDescent="0.3">
      <c r="A745" s="3">
        <v>2033891</v>
      </c>
      <c r="B745">
        <v>11845</v>
      </c>
      <c r="C745">
        <v>6</v>
      </c>
      <c r="D745" s="9">
        <v>101</v>
      </c>
      <c r="E745">
        <v>1002</v>
      </c>
      <c r="F745" s="1">
        <v>44012</v>
      </c>
      <c r="G745" t="s">
        <v>186</v>
      </c>
      <c r="H745" s="4" t="s">
        <v>16</v>
      </c>
      <c r="I745" s="4">
        <v>-827</v>
      </c>
      <c r="J745" s="4">
        <v>-827</v>
      </c>
      <c r="K745" t="str">
        <f>VLOOKUP($C745,Table1[#All],2,FALSE)</f>
        <v>MAINTENANCE</v>
      </c>
      <c r="L745" t="str">
        <f>VLOOKUP($C745,Table1[#All],3,FALSE)</f>
        <v>Transactions related to the hotel Maintenance Department. Primarily includes payroll for maintenance, grounds keepers and related supplies.</v>
      </c>
      <c r="M745" t="str">
        <f>IFERROR(VLOOKUP($B745,ChartOfAccounts!A744:B829,2,FALSE),"")</f>
        <v/>
      </c>
      <c r="N745" t="str">
        <f>IFERROR(VLOOKUP($B745,ChartOfAccounts!C744:D829,2,FALSE),"")</f>
        <v/>
      </c>
      <c r="O745" t="str">
        <f>IFERROR(VLOOKUP($B745,ChartOfAccounts!E744:F829,2,FALSE),"")</f>
        <v/>
      </c>
      <c r="P745" t="str">
        <f>IFERROR(VLOOKUP(D745,PreparerInfo!A744:B756,2,FALSE),"")</f>
        <v/>
      </c>
      <c r="Q745" t="str">
        <f>IFERROR(VLOOKUP(E745,Source!A744:B752,2,FALSE),"")</f>
        <v/>
      </c>
    </row>
    <row r="746" spans="1:17" x14ac:dyDescent="0.3">
      <c r="A746" s="3">
        <v>2033892</v>
      </c>
      <c r="B746">
        <v>71400</v>
      </c>
      <c r="C746">
        <v>1</v>
      </c>
      <c r="D746" s="9">
        <v>101</v>
      </c>
      <c r="E746">
        <v>1007</v>
      </c>
      <c r="F746" s="1">
        <v>44012</v>
      </c>
      <c r="G746" t="s">
        <v>88</v>
      </c>
      <c r="H746" s="4">
        <v>876.5</v>
      </c>
      <c r="I746" s="4" t="s">
        <v>16</v>
      </c>
      <c r="J746" s="4">
        <v>876.5</v>
      </c>
      <c r="K746" t="str">
        <f>VLOOKUP($C746,Table1[#All],2,FALSE)</f>
        <v>FOOD SERVICE</v>
      </c>
      <c r="L746" t="str">
        <f>VLOOKUP($C746,Table1[#All],3,FALSE)</f>
        <v xml:space="preserve">Transactions related to food and beverage service. Includes all guest transactions in the hotel restaurants, catering-related transactions and food service payroll. </v>
      </c>
      <c r="M746" t="str">
        <f>IFERROR(VLOOKUP($B746,ChartOfAccounts!A745:B830,2,FALSE),"")</f>
        <v/>
      </c>
      <c r="N746" t="str">
        <f>IFERROR(VLOOKUP($B746,ChartOfAccounts!C745:D830,2,FALSE),"")</f>
        <v/>
      </c>
      <c r="O746" t="str">
        <f>IFERROR(VLOOKUP($B746,ChartOfAccounts!E745:F830,2,FALSE),"")</f>
        <v/>
      </c>
      <c r="P746" t="str">
        <f>IFERROR(VLOOKUP(D746,PreparerInfo!A745:B757,2,FALSE),"")</f>
        <v/>
      </c>
      <c r="Q746" t="str">
        <f>IFERROR(VLOOKUP(E746,Source!A745:B753,2,FALSE),"")</f>
        <v/>
      </c>
    </row>
    <row r="747" spans="1:17" x14ac:dyDescent="0.3">
      <c r="A747" s="3">
        <v>2033892</v>
      </c>
      <c r="B747">
        <v>11845</v>
      </c>
      <c r="C747">
        <v>1</v>
      </c>
      <c r="D747" s="9">
        <v>101</v>
      </c>
      <c r="E747">
        <v>1007</v>
      </c>
      <c r="F747" s="1">
        <v>44012</v>
      </c>
      <c r="G747" t="s">
        <v>88</v>
      </c>
      <c r="H747" s="4" t="s">
        <v>16</v>
      </c>
      <c r="I747" s="4">
        <v>-876.5</v>
      </c>
      <c r="J747" s="4">
        <v>-876.5</v>
      </c>
      <c r="K747" t="str">
        <f>VLOOKUP($C747,Table1[#All],2,FALSE)</f>
        <v>FOOD SERVICE</v>
      </c>
      <c r="L747" t="str">
        <f>VLOOKUP($C747,Table1[#All],3,FALSE)</f>
        <v xml:space="preserve">Transactions related to food and beverage service. Includes all guest transactions in the hotel restaurants, catering-related transactions and food service payroll. </v>
      </c>
      <c r="M747" t="str">
        <f>IFERROR(VLOOKUP($B747,ChartOfAccounts!A746:B831,2,FALSE),"")</f>
        <v/>
      </c>
      <c r="N747" t="str">
        <f>IFERROR(VLOOKUP($B747,ChartOfAccounts!C746:D831,2,FALSE),"")</f>
        <v/>
      </c>
      <c r="O747" t="str">
        <f>IFERROR(VLOOKUP($B747,ChartOfAccounts!E746:F831,2,FALSE),"")</f>
        <v/>
      </c>
      <c r="P747" t="str">
        <f>IFERROR(VLOOKUP(D747,PreparerInfo!A746:B758,2,FALSE),"")</f>
        <v/>
      </c>
      <c r="Q747" t="str">
        <f>IFERROR(VLOOKUP(E747,Source!A746:B754,2,FALSE),"")</f>
        <v/>
      </c>
    </row>
    <row r="748" spans="1:17" x14ac:dyDescent="0.3">
      <c r="A748" s="3">
        <v>2033893</v>
      </c>
      <c r="B748">
        <v>11845</v>
      </c>
      <c r="C748">
        <v>1</v>
      </c>
      <c r="D748" s="9">
        <v>102</v>
      </c>
      <c r="E748">
        <v>1001</v>
      </c>
      <c r="F748" s="1">
        <v>44012</v>
      </c>
      <c r="G748" t="s">
        <v>41</v>
      </c>
      <c r="H748" s="4">
        <v>1039.21</v>
      </c>
      <c r="I748" s="4" t="s">
        <v>16</v>
      </c>
      <c r="J748" s="4">
        <v>1039.21</v>
      </c>
      <c r="K748" t="str">
        <f>VLOOKUP($C748,Table1[#All],2,FALSE)</f>
        <v>FOOD SERVICE</v>
      </c>
      <c r="L748" t="str">
        <f>VLOOKUP($C748,Table1[#All],3,FALSE)</f>
        <v xml:space="preserve">Transactions related to food and beverage service. Includes all guest transactions in the hotel restaurants, catering-related transactions and food service payroll. </v>
      </c>
      <c r="M748" t="str">
        <f>IFERROR(VLOOKUP($B748,ChartOfAccounts!A747:B832,2,FALSE),"")</f>
        <v/>
      </c>
      <c r="N748" t="str">
        <f>IFERROR(VLOOKUP($B748,ChartOfAccounts!C747:D832,2,FALSE),"")</f>
        <v/>
      </c>
      <c r="O748" t="str">
        <f>IFERROR(VLOOKUP($B748,ChartOfAccounts!E747:F832,2,FALSE),"")</f>
        <v/>
      </c>
      <c r="P748" t="str">
        <f>IFERROR(VLOOKUP(D748,PreparerInfo!A747:B759,2,FALSE),"")</f>
        <v/>
      </c>
      <c r="Q748" t="str">
        <f>IFERROR(VLOOKUP(E748,Source!A747:B755,2,FALSE),"")</f>
        <v/>
      </c>
    </row>
    <row r="749" spans="1:17" x14ac:dyDescent="0.3">
      <c r="A749" s="3">
        <v>2033893</v>
      </c>
      <c r="B749">
        <v>43310</v>
      </c>
      <c r="C749">
        <v>1</v>
      </c>
      <c r="D749" s="9">
        <v>102</v>
      </c>
      <c r="E749">
        <v>1001</v>
      </c>
      <c r="F749" s="1">
        <v>44012</v>
      </c>
      <c r="G749" t="s">
        <v>41</v>
      </c>
      <c r="H749" s="4" t="s">
        <v>16</v>
      </c>
      <c r="I749" s="4">
        <v>-1039.21</v>
      </c>
      <c r="J749" s="4">
        <v>-1039.21</v>
      </c>
      <c r="K749" t="str">
        <f>VLOOKUP($C749,Table1[#All],2,FALSE)</f>
        <v>FOOD SERVICE</v>
      </c>
      <c r="L749" t="str">
        <f>VLOOKUP($C749,Table1[#All],3,FALSE)</f>
        <v xml:space="preserve">Transactions related to food and beverage service. Includes all guest transactions in the hotel restaurants, catering-related transactions and food service payroll. </v>
      </c>
      <c r="M749" t="str">
        <f>IFERROR(VLOOKUP($B749,ChartOfAccounts!A748:B833,2,FALSE),"")</f>
        <v/>
      </c>
      <c r="N749" t="str">
        <f>IFERROR(VLOOKUP($B749,ChartOfAccounts!C748:D833,2,FALSE),"")</f>
        <v/>
      </c>
      <c r="O749" t="str">
        <f>IFERROR(VLOOKUP($B749,ChartOfAccounts!E748:F833,2,FALSE),"")</f>
        <v/>
      </c>
      <c r="P749" t="str">
        <f>IFERROR(VLOOKUP(D749,PreparerInfo!A748:B760,2,FALSE),"")</f>
        <v/>
      </c>
      <c r="Q749" t="str">
        <f>IFERROR(VLOOKUP(E749,Source!A748:B756,2,FALSE),"")</f>
        <v/>
      </c>
    </row>
    <row r="750" spans="1:17" x14ac:dyDescent="0.3">
      <c r="A750" s="3">
        <v>2033894</v>
      </c>
      <c r="B750">
        <v>11845</v>
      </c>
      <c r="C750">
        <v>1</v>
      </c>
      <c r="D750" s="9">
        <v>101</v>
      </c>
      <c r="E750">
        <v>1007</v>
      </c>
      <c r="F750" s="1">
        <v>44012</v>
      </c>
      <c r="G750" t="s">
        <v>90</v>
      </c>
      <c r="H750" s="4">
        <v>1170</v>
      </c>
      <c r="I750" s="4" t="s">
        <v>16</v>
      </c>
      <c r="J750" s="4">
        <v>1170</v>
      </c>
      <c r="K750" t="str">
        <f>VLOOKUP($C750,Table1[#All],2,FALSE)</f>
        <v>FOOD SERVICE</v>
      </c>
      <c r="L750" t="str">
        <f>VLOOKUP($C750,Table1[#All],3,FALSE)</f>
        <v xml:space="preserve">Transactions related to food and beverage service. Includes all guest transactions in the hotel restaurants, catering-related transactions and food service payroll. </v>
      </c>
      <c r="M750" t="str">
        <f>IFERROR(VLOOKUP($B750,ChartOfAccounts!A749:B834,2,FALSE),"")</f>
        <v/>
      </c>
      <c r="N750" t="str">
        <f>IFERROR(VLOOKUP($B750,ChartOfAccounts!C749:D834,2,FALSE),"")</f>
        <v/>
      </c>
      <c r="O750" t="str">
        <f>IFERROR(VLOOKUP($B750,ChartOfAccounts!E749:F834,2,FALSE),"")</f>
        <v/>
      </c>
      <c r="P750" t="str">
        <f>IFERROR(VLOOKUP(D750,PreparerInfo!A749:B761,2,FALSE),"")</f>
        <v/>
      </c>
      <c r="Q750" t="str">
        <f>IFERROR(VLOOKUP(E750,Source!A749:B757,2,FALSE),"")</f>
        <v/>
      </c>
    </row>
    <row r="751" spans="1:17" x14ac:dyDescent="0.3">
      <c r="A751" s="3">
        <v>2033894</v>
      </c>
      <c r="B751">
        <v>71400</v>
      </c>
      <c r="C751">
        <v>1</v>
      </c>
      <c r="D751" s="9">
        <v>101</v>
      </c>
      <c r="E751">
        <v>1007</v>
      </c>
      <c r="F751" s="1">
        <v>44012</v>
      </c>
      <c r="G751" t="s">
        <v>90</v>
      </c>
      <c r="H751" s="4" t="s">
        <v>16</v>
      </c>
      <c r="I751" s="4">
        <v>-1170</v>
      </c>
      <c r="J751" s="4">
        <v>-1170</v>
      </c>
      <c r="K751" t="str">
        <f>VLOOKUP($C751,Table1[#All],2,FALSE)</f>
        <v>FOOD SERVICE</v>
      </c>
      <c r="L751" t="str">
        <f>VLOOKUP($C751,Table1[#All],3,FALSE)</f>
        <v xml:space="preserve">Transactions related to food and beverage service. Includes all guest transactions in the hotel restaurants, catering-related transactions and food service payroll. </v>
      </c>
      <c r="M751" t="str">
        <f>IFERROR(VLOOKUP($B751,ChartOfAccounts!A750:B835,2,FALSE),"")</f>
        <v/>
      </c>
      <c r="N751" t="str">
        <f>IFERROR(VLOOKUP($B751,ChartOfAccounts!C750:D835,2,FALSE),"")</f>
        <v/>
      </c>
      <c r="O751" t="str">
        <f>IFERROR(VLOOKUP($B751,ChartOfAccounts!E750:F835,2,FALSE),"")</f>
        <v/>
      </c>
      <c r="P751" t="str">
        <f>IFERROR(VLOOKUP(D751,PreparerInfo!A750:B762,2,FALSE),"")</f>
        <v/>
      </c>
      <c r="Q751" t="str">
        <f>IFERROR(VLOOKUP(E751,Source!A750:B758,2,FALSE),"")</f>
        <v/>
      </c>
    </row>
    <row r="752" spans="1:17" x14ac:dyDescent="0.3">
      <c r="A752" s="3">
        <v>2033895</v>
      </c>
      <c r="B752">
        <v>71400</v>
      </c>
      <c r="C752">
        <v>1</v>
      </c>
      <c r="D752" s="9">
        <v>101</v>
      </c>
      <c r="E752">
        <v>1007</v>
      </c>
      <c r="F752" s="1">
        <v>44012</v>
      </c>
      <c r="G752" t="s">
        <v>88</v>
      </c>
      <c r="H752" s="4">
        <v>1184.94</v>
      </c>
      <c r="I752" s="4" t="s">
        <v>16</v>
      </c>
      <c r="J752" s="4">
        <v>1184.94</v>
      </c>
      <c r="K752" t="str">
        <f>VLOOKUP($C752,Table1[#All],2,FALSE)</f>
        <v>FOOD SERVICE</v>
      </c>
      <c r="L752" t="str">
        <f>VLOOKUP($C752,Table1[#All],3,FALSE)</f>
        <v xml:space="preserve">Transactions related to food and beverage service. Includes all guest transactions in the hotel restaurants, catering-related transactions and food service payroll. </v>
      </c>
      <c r="M752" t="str">
        <f>IFERROR(VLOOKUP($B752,ChartOfAccounts!A751:B836,2,FALSE),"")</f>
        <v/>
      </c>
      <c r="N752" t="str">
        <f>IFERROR(VLOOKUP($B752,ChartOfAccounts!C751:D836,2,FALSE),"")</f>
        <v/>
      </c>
      <c r="O752" t="str">
        <f>IFERROR(VLOOKUP($B752,ChartOfAccounts!E751:F836,2,FALSE),"")</f>
        <v/>
      </c>
      <c r="P752" t="str">
        <f>IFERROR(VLOOKUP(D752,PreparerInfo!A751:B763,2,FALSE),"")</f>
        <v/>
      </c>
      <c r="Q752" t="str">
        <f>IFERROR(VLOOKUP(E752,Source!A751:B759,2,FALSE),"")</f>
        <v/>
      </c>
    </row>
    <row r="753" spans="1:17" x14ac:dyDescent="0.3">
      <c r="A753" s="3">
        <v>2033895</v>
      </c>
      <c r="B753">
        <v>11845</v>
      </c>
      <c r="C753">
        <v>1</v>
      </c>
      <c r="D753" s="9">
        <v>101</v>
      </c>
      <c r="E753">
        <v>1007</v>
      </c>
      <c r="F753" s="1">
        <v>44012</v>
      </c>
      <c r="G753" t="s">
        <v>88</v>
      </c>
      <c r="H753" s="4" t="s">
        <v>16</v>
      </c>
      <c r="I753" s="4">
        <v>-1184.94</v>
      </c>
      <c r="J753" s="4">
        <v>-1184.94</v>
      </c>
      <c r="K753" t="str">
        <f>VLOOKUP($C753,Table1[#All],2,FALSE)</f>
        <v>FOOD SERVICE</v>
      </c>
      <c r="L753" t="str">
        <f>VLOOKUP($C753,Table1[#All],3,FALSE)</f>
        <v xml:space="preserve">Transactions related to food and beverage service. Includes all guest transactions in the hotel restaurants, catering-related transactions and food service payroll. </v>
      </c>
      <c r="M753" t="str">
        <f>IFERROR(VLOOKUP($B753,ChartOfAccounts!A752:B837,2,FALSE),"")</f>
        <v/>
      </c>
      <c r="N753" t="str">
        <f>IFERROR(VLOOKUP($B753,ChartOfAccounts!C752:D837,2,FALSE),"")</f>
        <v/>
      </c>
      <c r="O753" t="str">
        <f>IFERROR(VLOOKUP($B753,ChartOfAccounts!E752:F837,2,FALSE),"")</f>
        <v/>
      </c>
      <c r="P753" t="str">
        <f>IFERROR(VLOOKUP(D753,PreparerInfo!A752:B764,2,FALSE),"")</f>
        <v/>
      </c>
      <c r="Q753" t="str">
        <f>IFERROR(VLOOKUP(E753,Source!A752:B760,2,FALSE),"")</f>
        <v/>
      </c>
    </row>
    <row r="754" spans="1:17" x14ac:dyDescent="0.3">
      <c r="A754" s="3">
        <v>2033896</v>
      </c>
      <c r="B754">
        <v>71400</v>
      </c>
      <c r="C754">
        <v>1</v>
      </c>
      <c r="D754" s="9">
        <v>101</v>
      </c>
      <c r="E754">
        <v>1007</v>
      </c>
      <c r="F754" s="1">
        <v>44012</v>
      </c>
      <c r="G754" t="s">
        <v>95</v>
      </c>
      <c r="H754" s="4">
        <v>1382.47</v>
      </c>
      <c r="I754" s="4" t="s">
        <v>16</v>
      </c>
      <c r="J754" s="4">
        <v>1382.47</v>
      </c>
      <c r="K754" t="str">
        <f>VLOOKUP($C754,Table1[#All],2,FALSE)</f>
        <v>FOOD SERVICE</v>
      </c>
      <c r="L754" t="str">
        <f>VLOOKUP($C754,Table1[#All],3,FALSE)</f>
        <v xml:space="preserve">Transactions related to food and beverage service. Includes all guest transactions in the hotel restaurants, catering-related transactions and food service payroll. </v>
      </c>
      <c r="M754" t="str">
        <f>IFERROR(VLOOKUP($B754,ChartOfAccounts!A753:B838,2,FALSE),"")</f>
        <v/>
      </c>
      <c r="N754" t="str">
        <f>IFERROR(VLOOKUP($B754,ChartOfAccounts!C753:D838,2,FALSE),"")</f>
        <v/>
      </c>
      <c r="O754" t="str">
        <f>IFERROR(VLOOKUP($B754,ChartOfAccounts!E753:F838,2,FALSE),"")</f>
        <v/>
      </c>
      <c r="P754" t="str">
        <f>IFERROR(VLOOKUP(D754,PreparerInfo!A753:B765,2,FALSE),"")</f>
        <v/>
      </c>
      <c r="Q754" t="str">
        <f>IFERROR(VLOOKUP(E754,Source!A753:B761,2,FALSE),"")</f>
        <v/>
      </c>
    </row>
    <row r="755" spans="1:17" x14ac:dyDescent="0.3">
      <c r="A755" s="3">
        <v>2033896</v>
      </c>
      <c r="B755">
        <v>11845</v>
      </c>
      <c r="C755">
        <v>1</v>
      </c>
      <c r="D755" s="9">
        <v>101</v>
      </c>
      <c r="E755">
        <v>1007</v>
      </c>
      <c r="F755" s="1">
        <v>44012</v>
      </c>
      <c r="G755" t="s">
        <v>95</v>
      </c>
      <c r="H755" s="4" t="s">
        <v>16</v>
      </c>
      <c r="I755" s="4">
        <v>-1382.47</v>
      </c>
      <c r="J755" s="4">
        <v>-1382.47</v>
      </c>
      <c r="K755" t="str">
        <f>VLOOKUP($C755,Table1[#All],2,FALSE)</f>
        <v>FOOD SERVICE</v>
      </c>
      <c r="L755" t="str">
        <f>VLOOKUP($C755,Table1[#All],3,FALSE)</f>
        <v xml:space="preserve">Transactions related to food and beverage service. Includes all guest transactions in the hotel restaurants, catering-related transactions and food service payroll. </v>
      </c>
      <c r="M755" t="str">
        <f>IFERROR(VLOOKUP($B755,ChartOfAccounts!A754:B839,2,FALSE),"")</f>
        <v/>
      </c>
      <c r="N755" t="str">
        <f>IFERROR(VLOOKUP($B755,ChartOfAccounts!C754:D839,2,FALSE),"")</f>
        <v/>
      </c>
      <c r="O755" t="str">
        <f>IFERROR(VLOOKUP($B755,ChartOfAccounts!E754:F839,2,FALSE),"")</f>
        <v/>
      </c>
      <c r="P755" t="str">
        <f>IFERROR(VLOOKUP(D755,PreparerInfo!A754:B766,2,FALSE),"")</f>
        <v/>
      </c>
      <c r="Q755" t="str">
        <f>IFERROR(VLOOKUP(E755,Source!A754:B762,2,FALSE),"")</f>
        <v/>
      </c>
    </row>
    <row r="756" spans="1:17" x14ac:dyDescent="0.3">
      <c r="A756" s="3">
        <v>2033897</v>
      </c>
      <c r="B756">
        <v>71400</v>
      </c>
      <c r="C756">
        <v>1</v>
      </c>
      <c r="D756" s="9">
        <v>101</v>
      </c>
      <c r="E756">
        <v>1007</v>
      </c>
      <c r="F756" s="1">
        <v>44012</v>
      </c>
      <c r="G756" t="s">
        <v>88</v>
      </c>
      <c r="H756" s="4">
        <v>1386.24</v>
      </c>
      <c r="I756" s="4" t="s">
        <v>16</v>
      </c>
      <c r="J756" s="4">
        <v>1386.24</v>
      </c>
      <c r="K756" t="str">
        <f>VLOOKUP($C756,Table1[#All],2,FALSE)</f>
        <v>FOOD SERVICE</v>
      </c>
      <c r="L756" t="str">
        <f>VLOOKUP($C756,Table1[#All],3,FALSE)</f>
        <v xml:space="preserve">Transactions related to food and beverage service. Includes all guest transactions in the hotel restaurants, catering-related transactions and food service payroll. </v>
      </c>
      <c r="M756" t="str">
        <f>IFERROR(VLOOKUP($B756,ChartOfAccounts!A755:B840,2,FALSE),"")</f>
        <v/>
      </c>
      <c r="N756" t="str">
        <f>IFERROR(VLOOKUP($B756,ChartOfAccounts!C755:D840,2,FALSE),"")</f>
        <v/>
      </c>
      <c r="O756" t="str">
        <f>IFERROR(VLOOKUP($B756,ChartOfAccounts!E755:F840,2,FALSE),"")</f>
        <v/>
      </c>
      <c r="P756" t="str">
        <f>IFERROR(VLOOKUP(D756,PreparerInfo!A755:B767,2,FALSE),"")</f>
        <v/>
      </c>
      <c r="Q756" t="str">
        <f>IFERROR(VLOOKUP(E756,Source!A755:B763,2,FALSE),"")</f>
        <v/>
      </c>
    </row>
    <row r="757" spans="1:17" x14ac:dyDescent="0.3">
      <c r="A757" s="3">
        <v>2033897</v>
      </c>
      <c r="B757">
        <v>11845</v>
      </c>
      <c r="C757">
        <v>1</v>
      </c>
      <c r="D757" s="9">
        <v>101</v>
      </c>
      <c r="E757">
        <v>1007</v>
      </c>
      <c r="F757" s="1">
        <v>44012</v>
      </c>
      <c r="G757" t="s">
        <v>88</v>
      </c>
      <c r="H757" s="4" t="s">
        <v>16</v>
      </c>
      <c r="I757" s="4">
        <v>-1386.24</v>
      </c>
      <c r="J757" s="4">
        <v>-1386.24</v>
      </c>
      <c r="K757" t="str">
        <f>VLOOKUP($C757,Table1[#All],2,FALSE)</f>
        <v>FOOD SERVICE</v>
      </c>
      <c r="L757" t="str">
        <f>VLOOKUP($C757,Table1[#All],3,FALSE)</f>
        <v xml:space="preserve">Transactions related to food and beverage service. Includes all guest transactions in the hotel restaurants, catering-related transactions and food service payroll. </v>
      </c>
      <c r="M757" t="str">
        <f>IFERROR(VLOOKUP($B757,ChartOfAccounts!A756:B841,2,FALSE),"")</f>
        <v/>
      </c>
      <c r="N757" t="str">
        <f>IFERROR(VLOOKUP($B757,ChartOfAccounts!C756:D841,2,FALSE),"")</f>
        <v/>
      </c>
      <c r="O757" t="str">
        <f>IFERROR(VLOOKUP($B757,ChartOfAccounts!E756:F841,2,FALSE),"")</f>
        <v/>
      </c>
      <c r="P757" t="str">
        <f>IFERROR(VLOOKUP(D757,PreparerInfo!A756:B768,2,FALSE),"")</f>
        <v/>
      </c>
      <c r="Q757" t="str">
        <f>IFERROR(VLOOKUP(E757,Source!A756:B764,2,FALSE),"")</f>
        <v/>
      </c>
    </row>
    <row r="758" spans="1:17" x14ac:dyDescent="0.3">
      <c r="A758" s="3">
        <v>2033898</v>
      </c>
      <c r="B758">
        <v>71400</v>
      </c>
      <c r="C758">
        <v>1</v>
      </c>
      <c r="D758" s="9">
        <v>101</v>
      </c>
      <c r="E758">
        <v>1007</v>
      </c>
      <c r="F758" s="1">
        <v>44012</v>
      </c>
      <c r="G758" t="s">
        <v>88</v>
      </c>
      <c r="H758" s="4">
        <v>1944.24</v>
      </c>
      <c r="I758" s="4" t="s">
        <v>16</v>
      </c>
      <c r="J758" s="4">
        <v>1944.24</v>
      </c>
      <c r="K758" t="str">
        <f>VLOOKUP($C758,Table1[#All],2,FALSE)</f>
        <v>FOOD SERVICE</v>
      </c>
      <c r="L758" t="str">
        <f>VLOOKUP($C758,Table1[#All],3,FALSE)</f>
        <v xml:space="preserve">Transactions related to food and beverage service. Includes all guest transactions in the hotel restaurants, catering-related transactions and food service payroll. </v>
      </c>
      <c r="M758" t="str">
        <f>IFERROR(VLOOKUP($B758,ChartOfAccounts!A757:B842,2,FALSE),"")</f>
        <v/>
      </c>
      <c r="N758" t="str">
        <f>IFERROR(VLOOKUP($B758,ChartOfAccounts!C757:D842,2,FALSE),"")</f>
        <v/>
      </c>
      <c r="O758" t="str">
        <f>IFERROR(VLOOKUP($B758,ChartOfAccounts!E757:F842,2,FALSE),"")</f>
        <v/>
      </c>
      <c r="P758" t="str">
        <f>IFERROR(VLOOKUP(D758,PreparerInfo!A757:B769,2,FALSE),"")</f>
        <v/>
      </c>
      <c r="Q758" t="str">
        <f>IFERROR(VLOOKUP(E758,Source!A757:B765,2,FALSE),"")</f>
        <v/>
      </c>
    </row>
    <row r="759" spans="1:17" x14ac:dyDescent="0.3">
      <c r="A759" s="3">
        <v>2033898</v>
      </c>
      <c r="B759">
        <v>11845</v>
      </c>
      <c r="C759">
        <v>1</v>
      </c>
      <c r="D759" s="9">
        <v>101</v>
      </c>
      <c r="E759">
        <v>1007</v>
      </c>
      <c r="F759" s="1">
        <v>44012</v>
      </c>
      <c r="G759" t="s">
        <v>88</v>
      </c>
      <c r="H759" s="4" t="s">
        <v>16</v>
      </c>
      <c r="I759" s="4">
        <v>-1944.24</v>
      </c>
      <c r="J759" s="4">
        <v>-1944.24</v>
      </c>
      <c r="K759" t="str">
        <f>VLOOKUP($C759,Table1[#All],2,FALSE)</f>
        <v>FOOD SERVICE</v>
      </c>
      <c r="L759" t="str">
        <f>VLOOKUP($C759,Table1[#All],3,FALSE)</f>
        <v xml:space="preserve">Transactions related to food and beverage service. Includes all guest transactions in the hotel restaurants, catering-related transactions and food service payroll. </v>
      </c>
      <c r="M759" t="str">
        <f>IFERROR(VLOOKUP($B759,ChartOfAccounts!A758:B843,2,FALSE),"")</f>
        <v/>
      </c>
      <c r="N759" t="str">
        <f>IFERROR(VLOOKUP($B759,ChartOfAccounts!C758:D843,2,FALSE),"")</f>
        <v/>
      </c>
      <c r="O759" t="str">
        <f>IFERROR(VLOOKUP($B759,ChartOfAccounts!E758:F843,2,FALSE),"")</f>
        <v/>
      </c>
      <c r="P759" t="str">
        <f>IFERROR(VLOOKUP(D759,PreparerInfo!A758:B770,2,FALSE),"")</f>
        <v/>
      </c>
      <c r="Q759" t="str">
        <f>IFERROR(VLOOKUP(E759,Source!A758:B766,2,FALSE),"")</f>
        <v/>
      </c>
    </row>
    <row r="760" spans="1:17" x14ac:dyDescent="0.3">
      <c r="A760" s="3">
        <v>2033899</v>
      </c>
      <c r="B760">
        <v>14260</v>
      </c>
      <c r="C760">
        <v>1</v>
      </c>
      <c r="D760" s="9">
        <v>101</v>
      </c>
      <c r="E760">
        <v>1007</v>
      </c>
      <c r="F760" s="1">
        <v>44012</v>
      </c>
      <c r="G760" t="s">
        <v>216</v>
      </c>
      <c r="H760" s="4">
        <v>1964.6</v>
      </c>
      <c r="I760" s="4" t="s">
        <v>16</v>
      </c>
      <c r="J760" s="4">
        <v>1964.6</v>
      </c>
      <c r="K760" t="str">
        <f>VLOOKUP($C760,Table1[#All],2,FALSE)</f>
        <v>FOOD SERVICE</v>
      </c>
      <c r="L760" t="str">
        <f>VLOOKUP($C760,Table1[#All],3,FALSE)</f>
        <v xml:space="preserve">Transactions related to food and beverage service. Includes all guest transactions in the hotel restaurants, catering-related transactions and food service payroll. </v>
      </c>
      <c r="M760" t="str">
        <f>IFERROR(VLOOKUP($B760,ChartOfAccounts!A759:B844,2,FALSE),"")</f>
        <v/>
      </c>
      <c r="N760" t="str">
        <f>IFERROR(VLOOKUP($B760,ChartOfAccounts!C759:D844,2,FALSE),"")</f>
        <v/>
      </c>
      <c r="O760" t="str">
        <f>IFERROR(VLOOKUP($B760,ChartOfAccounts!E759:F844,2,FALSE),"")</f>
        <v/>
      </c>
      <c r="P760" t="str">
        <f>IFERROR(VLOOKUP(D760,PreparerInfo!A759:B771,2,FALSE),"")</f>
        <v/>
      </c>
      <c r="Q760" t="str">
        <f>IFERROR(VLOOKUP(E760,Source!A759:B767,2,FALSE),"")</f>
        <v/>
      </c>
    </row>
    <row r="761" spans="1:17" x14ac:dyDescent="0.3">
      <c r="A761" s="3">
        <v>2033899</v>
      </c>
      <c r="B761">
        <v>11845</v>
      </c>
      <c r="C761">
        <v>1</v>
      </c>
      <c r="D761" s="9">
        <v>101</v>
      </c>
      <c r="E761">
        <v>1007</v>
      </c>
      <c r="F761" s="1">
        <v>44012</v>
      </c>
      <c r="G761" t="s">
        <v>216</v>
      </c>
      <c r="H761" s="4" t="s">
        <v>16</v>
      </c>
      <c r="I761" s="4">
        <v>-1964.6</v>
      </c>
      <c r="J761" s="4">
        <v>-1964.6</v>
      </c>
      <c r="K761" t="str">
        <f>VLOOKUP($C761,Table1[#All],2,FALSE)</f>
        <v>FOOD SERVICE</v>
      </c>
      <c r="L761" t="str">
        <f>VLOOKUP($C761,Table1[#All],3,FALSE)</f>
        <v xml:space="preserve">Transactions related to food and beverage service. Includes all guest transactions in the hotel restaurants, catering-related transactions and food service payroll. </v>
      </c>
      <c r="M761" t="str">
        <f>IFERROR(VLOOKUP($B761,ChartOfAccounts!A760:B845,2,FALSE),"")</f>
        <v/>
      </c>
      <c r="N761" t="str">
        <f>IFERROR(VLOOKUP($B761,ChartOfAccounts!C760:D845,2,FALSE),"")</f>
        <v/>
      </c>
      <c r="O761" t="str">
        <f>IFERROR(VLOOKUP($B761,ChartOfAccounts!E760:F845,2,FALSE),"")</f>
        <v/>
      </c>
      <c r="P761" t="str">
        <f>IFERROR(VLOOKUP(D761,PreparerInfo!A760:B772,2,FALSE),"")</f>
        <v/>
      </c>
      <c r="Q761" t="str">
        <f>IFERROR(VLOOKUP(E761,Source!A760:B768,2,FALSE),"")</f>
        <v/>
      </c>
    </row>
    <row r="762" spans="1:17" x14ac:dyDescent="0.3">
      <c r="A762" s="3">
        <v>2033900</v>
      </c>
      <c r="B762">
        <v>71400</v>
      </c>
      <c r="C762">
        <v>1</v>
      </c>
      <c r="D762" s="9">
        <v>101</v>
      </c>
      <c r="E762">
        <v>1007</v>
      </c>
      <c r="F762" s="1">
        <v>44012</v>
      </c>
      <c r="G762" t="s">
        <v>216</v>
      </c>
      <c r="H762" s="4">
        <v>2308.65</v>
      </c>
      <c r="I762" s="4" t="s">
        <v>16</v>
      </c>
      <c r="J762" s="4">
        <v>2308.65</v>
      </c>
      <c r="K762" t="str">
        <f>VLOOKUP($C762,Table1[#All],2,FALSE)</f>
        <v>FOOD SERVICE</v>
      </c>
      <c r="L762" t="str">
        <f>VLOOKUP($C762,Table1[#All],3,FALSE)</f>
        <v xml:space="preserve">Transactions related to food and beverage service. Includes all guest transactions in the hotel restaurants, catering-related transactions and food service payroll. </v>
      </c>
      <c r="M762" t="str">
        <f>IFERROR(VLOOKUP($B762,ChartOfAccounts!A761:B846,2,FALSE),"")</f>
        <v/>
      </c>
      <c r="N762" t="str">
        <f>IFERROR(VLOOKUP($B762,ChartOfAccounts!C761:D846,2,FALSE),"")</f>
        <v/>
      </c>
      <c r="O762" t="str">
        <f>IFERROR(VLOOKUP($B762,ChartOfAccounts!E761:F846,2,FALSE),"")</f>
        <v/>
      </c>
      <c r="P762" t="str">
        <f>IFERROR(VLOOKUP(D762,PreparerInfo!A761:B773,2,FALSE),"")</f>
        <v/>
      </c>
      <c r="Q762" t="str">
        <f>IFERROR(VLOOKUP(E762,Source!A761:B769,2,FALSE),"")</f>
        <v/>
      </c>
    </row>
    <row r="763" spans="1:17" x14ac:dyDescent="0.3">
      <c r="A763" s="3">
        <v>2033900</v>
      </c>
      <c r="B763">
        <v>11845</v>
      </c>
      <c r="C763">
        <v>1</v>
      </c>
      <c r="D763" s="9">
        <v>101</v>
      </c>
      <c r="E763">
        <v>1007</v>
      </c>
      <c r="F763" s="1">
        <v>44012</v>
      </c>
      <c r="G763" t="s">
        <v>216</v>
      </c>
      <c r="H763" s="4" t="s">
        <v>16</v>
      </c>
      <c r="I763" s="4">
        <v>-2308.65</v>
      </c>
      <c r="J763" s="4">
        <v>-2308.65</v>
      </c>
      <c r="K763" t="str">
        <f>VLOOKUP($C763,Table1[#All],2,FALSE)</f>
        <v>FOOD SERVICE</v>
      </c>
      <c r="L763" t="str">
        <f>VLOOKUP($C763,Table1[#All],3,FALSE)</f>
        <v xml:space="preserve">Transactions related to food and beverage service. Includes all guest transactions in the hotel restaurants, catering-related transactions and food service payroll. </v>
      </c>
      <c r="M763" t="str">
        <f>IFERROR(VLOOKUP($B763,ChartOfAccounts!A762:B847,2,FALSE),"")</f>
        <v/>
      </c>
      <c r="N763" t="str">
        <f>IFERROR(VLOOKUP($B763,ChartOfAccounts!C762:D847,2,FALSE),"")</f>
        <v/>
      </c>
      <c r="O763" t="str">
        <f>IFERROR(VLOOKUP($B763,ChartOfAccounts!E762:F847,2,FALSE),"")</f>
        <v/>
      </c>
      <c r="P763" t="str">
        <f>IFERROR(VLOOKUP(D763,PreparerInfo!A762:B774,2,FALSE),"")</f>
        <v/>
      </c>
      <c r="Q763" t="str">
        <f>IFERROR(VLOOKUP(E763,Source!A762:B770,2,FALSE),"")</f>
        <v/>
      </c>
    </row>
    <row r="764" spans="1:17" x14ac:dyDescent="0.3">
      <c r="A764" s="3">
        <v>2033901</v>
      </c>
      <c r="B764">
        <v>71400</v>
      </c>
      <c r="C764">
        <v>1</v>
      </c>
      <c r="D764" s="9">
        <v>101</v>
      </c>
      <c r="E764">
        <v>1007</v>
      </c>
      <c r="F764" s="1">
        <v>44012</v>
      </c>
      <c r="G764" t="s">
        <v>145</v>
      </c>
      <c r="H764" s="4">
        <v>2415.8200000000002</v>
      </c>
      <c r="I764" s="4" t="s">
        <v>16</v>
      </c>
      <c r="J764" s="4">
        <v>2415.8200000000002</v>
      </c>
      <c r="K764" t="str">
        <f>VLOOKUP($C764,Table1[#All],2,FALSE)</f>
        <v>FOOD SERVICE</v>
      </c>
      <c r="L764" t="str">
        <f>VLOOKUP($C764,Table1[#All],3,FALSE)</f>
        <v xml:space="preserve">Transactions related to food and beverage service. Includes all guest transactions in the hotel restaurants, catering-related transactions and food service payroll. </v>
      </c>
      <c r="M764" t="str">
        <f>IFERROR(VLOOKUP($B764,ChartOfAccounts!A763:B848,2,FALSE),"")</f>
        <v/>
      </c>
      <c r="N764" t="str">
        <f>IFERROR(VLOOKUP($B764,ChartOfAccounts!C763:D848,2,FALSE),"")</f>
        <v/>
      </c>
      <c r="O764" t="str">
        <f>IFERROR(VLOOKUP($B764,ChartOfAccounts!E763:F848,2,FALSE),"")</f>
        <v/>
      </c>
      <c r="P764" t="str">
        <f>IFERROR(VLOOKUP(D764,PreparerInfo!A763:B775,2,FALSE),"")</f>
        <v/>
      </c>
      <c r="Q764" t="str">
        <f>IFERROR(VLOOKUP(E764,Source!A763:B771,2,FALSE),"")</f>
        <v/>
      </c>
    </row>
    <row r="765" spans="1:17" x14ac:dyDescent="0.3">
      <c r="A765" s="3">
        <v>2033901</v>
      </c>
      <c r="B765">
        <v>11845</v>
      </c>
      <c r="C765">
        <v>1</v>
      </c>
      <c r="D765" s="9">
        <v>101</v>
      </c>
      <c r="E765">
        <v>1007</v>
      </c>
      <c r="F765" s="1">
        <v>44012</v>
      </c>
      <c r="G765" t="s">
        <v>145</v>
      </c>
      <c r="H765" s="4" t="s">
        <v>16</v>
      </c>
      <c r="I765" s="4">
        <v>-2415.8200000000002</v>
      </c>
      <c r="J765" s="4">
        <v>-2415.8200000000002</v>
      </c>
      <c r="K765" t="str">
        <f>VLOOKUP($C765,Table1[#All],2,FALSE)</f>
        <v>FOOD SERVICE</v>
      </c>
      <c r="L765" t="str">
        <f>VLOOKUP($C765,Table1[#All],3,FALSE)</f>
        <v xml:space="preserve">Transactions related to food and beverage service. Includes all guest transactions in the hotel restaurants, catering-related transactions and food service payroll. </v>
      </c>
      <c r="M765" t="str">
        <f>IFERROR(VLOOKUP($B765,ChartOfAccounts!A764:B849,2,FALSE),"")</f>
        <v/>
      </c>
      <c r="N765" t="str">
        <f>IFERROR(VLOOKUP($B765,ChartOfAccounts!C764:D849,2,FALSE),"")</f>
        <v/>
      </c>
      <c r="O765" t="str">
        <f>IFERROR(VLOOKUP($B765,ChartOfAccounts!E764:F849,2,FALSE),"")</f>
        <v/>
      </c>
      <c r="P765" t="str">
        <f>IFERROR(VLOOKUP(D765,PreparerInfo!A764:B776,2,FALSE),"")</f>
        <v/>
      </c>
      <c r="Q765" t="str">
        <f>IFERROR(VLOOKUP(E765,Source!A764:B772,2,FALSE),"")</f>
        <v/>
      </c>
    </row>
    <row r="766" spans="1:17" x14ac:dyDescent="0.3">
      <c r="A766" s="3">
        <v>2033902</v>
      </c>
      <c r="B766">
        <v>71500</v>
      </c>
      <c r="C766">
        <v>6</v>
      </c>
      <c r="D766" s="9">
        <v>101</v>
      </c>
      <c r="E766">
        <v>1002</v>
      </c>
      <c r="F766" s="1">
        <v>44012</v>
      </c>
      <c r="G766" t="s">
        <v>186</v>
      </c>
      <c r="H766" s="4">
        <v>3381</v>
      </c>
      <c r="I766" s="4" t="s">
        <v>16</v>
      </c>
      <c r="J766" s="4">
        <v>3381</v>
      </c>
      <c r="K766" t="str">
        <f>VLOOKUP($C766,Table1[#All],2,FALSE)</f>
        <v>MAINTENANCE</v>
      </c>
      <c r="L766" t="str">
        <f>VLOOKUP($C766,Table1[#All],3,FALSE)</f>
        <v>Transactions related to the hotel Maintenance Department. Primarily includes payroll for maintenance, grounds keepers and related supplies.</v>
      </c>
      <c r="M766" t="str">
        <f>IFERROR(VLOOKUP($B766,ChartOfAccounts!A765:B850,2,FALSE),"")</f>
        <v/>
      </c>
      <c r="N766" t="str">
        <f>IFERROR(VLOOKUP($B766,ChartOfAccounts!C765:D850,2,FALSE),"")</f>
        <v/>
      </c>
      <c r="O766" t="str">
        <f>IFERROR(VLOOKUP($B766,ChartOfAccounts!E765:F850,2,FALSE),"")</f>
        <v/>
      </c>
      <c r="P766" t="str">
        <f>IFERROR(VLOOKUP(D766,PreparerInfo!A765:B777,2,FALSE),"")</f>
        <v/>
      </c>
      <c r="Q766" t="str">
        <f>IFERROR(VLOOKUP(E766,Source!A765:B773,2,FALSE),"")</f>
        <v/>
      </c>
    </row>
    <row r="767" spans="1:17" x14ac:dyDescent="0.3">
      <c r="A767" s="3">
        <v>2033902</v>
      </c>
      <c r="B767">
        <v>11845</v>
      </c>
      <c r="C767">
        <v>6</v>
      </c>
      <c r="D767" s="9">
        <v>101</v>
      </c>
      <c r="E767">
        <v>1002</v>
      </c>
      <c r="F767" s="1">
        <v>44012</v>
      </c>
      <c r="G767" t="s">
        <v>186</v>
      </c>
      <c r="H767" s="4" t="s">
        <v>16</v>
      </c>
      <c r="I767" s="4">
        <v>-3381</v>
      </c>
      <c r="J767" s="4">
        <v>-3381</v>
      </c>
      <c r="K767" t="str">
        <f>VLOOKUP($C767,Table1[#All],2,FALSE)</f>
        <v>MAINTENANCE</v>
      </c>
      <c r="L767" t="str">
        <f>VLOOKUP($C767,Table1[#All],3,FALSE)</f>
        <v>Transactions related to the hotel Maintenance Department. Primarily includes payroll for maintenance, grounds keepers and related supplies.</v>
      </c>
      <c r="M767" t="str">
        <f>IFERROR(VLOOKUP($B767,ChartOfAccounts!A766:B851,2,FALSE),"")</f>
        <v/>
      </c>
      <c r="N767" t="str">
        <f>IFERROR(VLOOKUP($B767,ChartOfAccounts!C766:D851,2,FALSE),"")</f>
        <v/>
      </c>
      <c r="O767" t="str">
        <f>IFERROR(VLOOKUP($B767,ChartOfAccounts!E766:F851,2,FALSE),"")</f>
        <v/>
      </c>
      <c r="P767" t="str">
        <f>IFERROR(VLOOKUP(D767,PreparerInfo!A766:B778,2,FALSE),"")</f>
        <v/>
      </c>
      <c r="Q767" t="str">
        <f>IFERROR(VLOOKUP(E767,Source!A766:B774,2,FALSE),"")</f>
        <v/>
      </c>
    </row>
    <row r="768" spans="1:17" x14ac:dyDescent="0.3">
      <c r="A768" s="3">
        <v>2033903</v>
      </c>
      <c r="B768">
        <v>74201</v>
      </c>
      <c r="C768">
        <v>2</v>
      </c>
      <c r="D768" s="9">
        <v>101</v>
      </c>
      <c r="E768">
        <v>1002</v>
      </c>
      <c r="F768" s="1">
        <v>44012</v>
      </c>
      <c r="G768" t="s">
        <v>183</v>
      </c>
      <c r="H768" s="4">
        <v>3864.84</v>
      </c>
      <c r="I768" s="4" t="s">
        <v>16</v>
      </c>
      <c r="J768" s="4">
        <v>3864.84</v>
      </c>
      <c r="K768" t="str">
        <f>VLOOKUP($C768,Table1[#All],2,FALSE)</f>
        <v>HOTEL</v>
      </c>
      <c r="L768" t="str">
        <f>VLOOKUP($C768,Table1[#All],3,FALSE)</f>
        <v xml:space="preserve">Transactions related to guest rooms and overall hotel operations. Includes payroll for administrative staff, clerks and interns. </v>
      </c>
      <c r="M768" t="str">
        <f>IFERROR(VLOOKUP($B768,ChartOfAccounts!A767:B852,2,FALSE),"")</f>
        <v/>
      </c>
      <c r="N768" t="str">
        <f>IFERROR(VLOOKUP($B768,ChartOfAccounts!C767:D852,2,FALSE),"")</f>
        <v/>
      </c>
      <c r="O768" t="str">
        <f>IFERROR(VLOOKUP($B768,ChartOfAccounts!E767:F852,2,FALSE),"")</f>
        <v/>
      </c>
      <c r="P768" t="str">
        <f>IFERROR(VLOOKUP(D768,PreparerInfo!A767:B779,2,FALSE),"")</f>
        <v/>
      </c>
      <c r="Q768" t="str">
        <f>IFERROR(VLOOKUP(E768,Source!A767:B775,2,FALSE),"")</f>
        <v/>
      </c>
    </row>
    <row r="769" spans="1:17" x14ac:dyDescent="0.3">
      <c r="A769" s="3">
        <v>2033903</v>
      </c>
      <c r="B769">
        <v>11845</v>
      </c>
      <c r="C769">
        <v>2</v>
      </c>
      <c r="D769" s="9">
        <v>101</v>
      </c>
      <c r="E769">
        <v>1002</v>
      </c>
      <c r="F769" s="1">
        <v>44012</v>
      </c>
      <c r="G769" t="s">
        <v>183</v>
      </c>
      <c r="H769" s="4" t="s">
        <v>16</v>
      </c>
      <c r="I769" s="4">
        <v>-3864.84</v>
      </c>
      <c r="J769" s="4">
        <v>-3864.84</v>
      </c>
      <c r="K769" t="str">
        <f>VLOOKUP($C769,Table1[#All],2,FALSE)</f>
        <v>HOTEL</v>
      </c>
      <c r="L769" t="str">
        <f>VLOOKUP($C769,Table1[#All],3,FALSE)</f>
        <v xml:space="preserve">Transactions related to guest rooms and overall hotel operations. Includes payroll for administrative staff, clerks and interns. </v>
      </c>
      <c r="M769" t="str">
        <f>IFERROR(VLOOKUP($B769,ChartOfAccounts!A768:B853,2,FALSE),"")</f>
        <v/>
      </c>
      <c r="N769" t="str">
        <f>IFERROR(VLOOKUP($B769,ChartOfAccounts!C768:D853,2,FALSE),"")</f>
        <v/>
      </c>
      <c r="O769" t="str">
        <f>IFERROR(VLOOKUP($B769,ChartOfAccounts!E768:F853,2,FALSE),"")</f>
        <v/>
      </c>
      <c r="P769" t="str">
        <f>IFERROR(VLOOKUP(D769,PreparerInfo!A768:B780,2,FALSE),"")</f>
        <v/>
      </c>
      <c r="Q769" t="str">
        <f>IFERROR(VLOOKUP(E769,Source!A768:B776,2,FALSE),"")</f>
        <v/>
      </c>
    </row>
    <row r="770" spans="1:17" x14ac:dyDescent="0.3">
      <c r="A770" s="3">
        <v>2033904</v>
      </c>
      <c r="B770">
        <v>11845</v>
      </c>
      <c r="C770">
        <v>2</v>
      </c>
      <c r="D770" s="9">
        <v>104</v>
      </c>
      <c r="E770">
        <v>1003</v>
      </c>
      <c r="F770" s="1">
        <v>44012</v>
      </c>
      <c r="G770" t="s">
        <v>41</v>
      </c>
      <c r="H770" s="4">
        <v>4600</v>
      </c>
      <c r="I770" s="4" t="s">
        <v>16</v>
      </c>
      <c r="J770" s="4">
        <v>4600</v>
      </c>
      <c r="K770" t="str">
        <f>VLOOKUP($C770,Table1[#All],2,FALSE)</f>
        <v>HOTEL</v>
      </c>
      <c r="L770" t="str">
        <f>VLOOKUP($C770,Table1[#All],3,FALSE)</f>
        <v xml:space="preserve">Transactions related to guest rooms and overall hotel operations. Includes payroll for administrative staff, clerks and interns. </v>
      </c>
      <c r="M770" t="str">
        <f>IFERROR(VLOOKUP($B770,ChartOfAccounts!A769:B854,2,FALSE),"")</f>
        <v/>
      </c>
      <c r="N770" t="str">
        <f>IFERROR(VLOOKUP($B770,ChartOfAccounts!C769:D854,2,FALSE),"")</f>
        <v/>
      </c>
      <c r="O770" t="str">
        <f>IFERROR(VLOOKUP($B770,ChartOfAccounts!E769:F854,2,FALSE),"")</f>
        <v/>
      </c>
      <c r="P770" t="str">
        <f>IFERROR(VLOOKUP(D770,PreparerInfo!A769:B781,2,FALSE),"")</f>
        <v/>
      </c>
      <c r="Q770" t="str">
        <f>IFERROR(VLOOKUP(E770,Source!A769:B777,2,FALSE),"")</f>
        <v/>
      </c>
    </row>
    <row r="771" spans="1:17" x14ac:dyDescent="0.3">
      <c r="A771" s="3">
        <v>2033904</v>
      </c>
      <c r="B771">
        <v>43180</v>
      </c>
      <c r="C771">
        <v>2</v>
      </c>
      <c r="D771" s="9">
        <v>104</v>
      </c>
      <c r="E771">
        <v>1003</v>
      </c>
      <c r="F771" s="1">
        <v>44012</v>
      </c>
      <c r="G771" t="s">
        <v>41</v>
      </c>
      <c r="H771" s="4" t="s">
        <v>16</v>
      </c>
      <c r="I771" s="4">
        <v>-4600</v>
      </c>
      <c r="J771" s="4">
        <v>-4600</v>
      </c>
      <c r="K771" t="str">
        <f>VLOOKUP($C771,Table1[#All],2,FALSE)</f>
        <v>HOTEL</v>
      </c>
      <c r="L771" t="str">
        <f>VLOOKUP($C771,Table1[#All],3,FALSE)</f>
        <v xml:space="preserve">Transactions related to guest rooms and overall hotel operations. Includes payroll for administrative staff, clerks and interns. </v>
      </c>
      <c r="M771" t="str">
        <f>IFERROR(VLOOKUP($B771,ChartOfAccounts!A770:B855,2,FALSE),"")</f>
        <v/>
      </c>
      <c r="N771" t="str">
        <f>IFERROR(VLOOKUP($B771,ChartOfAccounts!C770:D855,2,FALSE),"")</f>
        <v/>
      </c>
      <c r="O771" t="str">
        <f>IFERROR(VLOOKUP($B771,ChartOfAccounts!E770:F855,2,FALSE),"")</f>
        <v/>
      </c>
      <c r="P771" t="str">
        <f>IFERROR(VLOOKUP(D771,PreparerInfo!A770:B782,2,FALSE),"")</f>
        <v/>
      </c>
      <c r="Q771" t="str">
        <f>IFERROR(VLOOKUP(E771,Source!A770:B778,2,FALSE),"")</f>
        <v/>
      </c>
    </row>
    <row r="772" spans="1:17" x14ac:dyDescent="0.3">
      <c r="A772" s="3">
        <v>2033905</v>
      </c>
      <c r="B772">
        <v>11845</v>
      </c>
      <c r="C772">
        <v>2</v>
      </c>
      <c r="D772" s="9">
        <v>104</v>
      </c>
      <c r="E772">
        <v>1003</v>
      </c>
      <c r="F772" s="1">
        <v>44012</v>
      </c>
      <c r="G772" t="s">
        <v>15</v>
      </c>
      <c r="H772" s="4">
        <v>5000</v>
      </c>
      <c r="I772" s="4" t="s">
        <v>16</v>
      </c>
      <c r="J772" s="4">
        <v>5000</v>
      </c>
      <c r="K772" t="str">
        <f>VLOOKUP($C772,Table1[#All],2,FALSE)</f>
        <v>HOTEL</v>
      </c>
      <c r="L772" t="str">
        <f>VLOOKUP($C772,Table1[#All],3,FALSE)</f>
        <v xml:space="preserve">Transactions related to guest rooms and overall hotel operations. Includes payroll for administrative staff, clerks and interns. </v>
      </c>
      <c r="M772" t="str">
        <f>IFERROR(VLOOKUP($B772,ChartOfAccounts!A771:B856,2,FALSE),"")</f>
        <v/>
      </c>
      <c r="N772" t="str">
        <f>IFERROR(VLOOKUP($B772,ChartOfAccounts!C771:D856,2,FALSE),"")</f>
        <v/>
      </c>
      <c r="O772" t="str">
        <f>IFERROR(VLOOKUP($B772,ChartOfAccounts!E771:F856,2,FALSE),"")</f>
        <v/>
      </c>
      <c r="P772" t="str">
        <f>IFERROR(VLOOKUP(D772,PreparerInfo!A771:B783,2,FALSE),"")</f>
        <v/>
      </c>
      <c r="Q772" t="str">
        <f>IFERROR(VLOOKUP(E772,Source!A771:B779,2,FALSE),"")</f>
        <v/>
      </c>
    </row>
    <row r="773" spans="1:17" x14ac:dyDescent="0.3">
      <c r="A773" s="3">
        <v>2033905</v>
      </c>
      <c r="B773">
        <v>43180</v>
      </c>
      <c r="C773">
        <v>2</v>
      </c>
      <c r="D773" s="9">
        <v>104</v>
      </c>
      <c r="E773">
        <v>1003</v>
      </c>
      <c r="F773" s="1">
        <v>44012</v>
      </c>
      <c r="G773" t="s">
        <v>15</v>
      </c>
      <c r="H773" s="4" t="s">
        <v>16</v>
      </c>
      <c r="I773" s="4">
        <v>-5000</v>
      </c>
      <c r="J773" s="4">
        <v>-5000</v>
      </c>
      <c r="K773" t="str">
        <f>VLOOKUP($C773,Table1[#All],2,FALSE)</f>
        <v>HOTEL</v>
      </c>
      <c r="L773" t="str">
        <f>VLOOKUP($C773,Table1[#All],3,FALSE)</f>
        <v xml:space="preserve">Transactions related to guest rooms and overall hotel operations. Includes payroll for administrative staff, clerks and interns. </v>
      </c>
      <c r="M773" t="str">
        <f>IFERROR(VLOOKUP($B773,ChartOfAccounts!A772:B857,2,FALSE),"")</f>
        <v/>
      </c>
      <c r="N773" t="str">
        <f>IFERROR(VLOOKUP($B773,ChartOfAccounts!C772:D857,2,FALSE),"")</f>
        <v/>
      </c>
      <c r="O773" t="str">
        <f>IFERROR(VLOOKUP($B773,ChartOfAccounts!E772:F857,2,FALSE),"")</f>
        <v/>
      </c>
      <c r="P773" t="str">
        <f>IFERROR(VLOOKUP(D773,PreparerInfo!A772:B784,2,FALSE),"")</f>
        <v/>
      </c>
      <c r="Q773" t="str">
        <f>IFERROR(VLOOKUP(E773,Source!A772:B780,2,FALSE),"")</f>
        <v/>
      </c>
    </row>
    <row r="774" spans="1:17" x14ac:dyDescent="0.3">
      <c r="A774" s="3">
        <v>2033906</v>
      </c>
      <c r="B774">
        <v>11845</v>
      </c>
      <c r="C774">
        <v>2</v>
      </c>
      <c r="D774" s="9">
        <v>104</v>
      </c>
      <c r="E774">
        <v>1003</v>
      </c>
      <c r="F774" s="1">
        <v>44012</v>
      </c>
      <c r="G774" t="s">
        <v>248</v>
      </c>
      <c r="H774" s="4">
        <v>12375</v>
      </c>
      <c r="I774" s="4" t="s">
        <v>16</v>
      </c>
      <c r="J774" s="4">
        <v>12375</v>
      </c>
      <c r="K774" t="str">
        <f>VLOOKUP($C774,Table1[#All],2,FALSE)</f>
        <v>HOTEL</v>
      </c>
      <c r="L774" t="str">
        <f>VLOOKUP($C774,Table1[#All],3,FALSE)</f>
        <v xml:space="preserve">Transactions related to guest rooms and overall hotel operations. Includes payroll for administrative staff, clerks and interns. </v>
      </c>
      <c r="M774" t="str">
        <f>IFERROR(VLOOKUP($B774,ChartOfAccounts!A773:B858,2,FALSE),"")</f>
        <v/>
      </c>
      <c r="N774" t="str">
        <f>IFERROR(VLOOKUP($B774,ChartOfAccounts!C773:D858,2,FALSE),"")</f>
        <v/>
      </c>
      <c r="O774" t="str">
        <f>IFERROR(VLOOKUP($B774,ChartOfAccounts!E773:F858,2,FALSE),"")</f>
        <v/>
      </c>
      <c r="P774" t="str">
        <f>IFERROR(VLOOKUP(D774,PreparerInfo!A773:B785,2,FALSE),"")</f>
        <v/>
      </c>
      <c r="Q774" t="str">
        <f>IFERROR(VLOOKUP(E774,Source!A773:B781,2,FALSE),"")</f>
        <v/>
      </c>
    </row>
    <row r="775" spans="1:17" x14ac:dyDescent="0.3">
      <c r="A775" s="3">
        <v>2033906</v>
      </c>
      <c r="B775">
        <v>43180</v>
      </c>
      <c r="C775">
        <v>2</v>
      </c>
      <c r="D775" s="9">
        <v>104</v>
      </c>
      <c r="E775">
        <v>1003</v>
      </c>
      <c r="F775" s="1">
        <v>44012</v>
      </c>
      <c r="G775" t="s">
        <v>248</v>
      </c>
      <c r="H775" s="4" t="s">
        <v>16</v>
      </c>
      <c r="I775" s="4">
        <v>-12375</v>
      </c>
      <c r="J775" s="4">
        <v>-12375</v>
      </c>
      <c r="K775" t="str">
        <f>VLOOKUP($C775,Table1[#All],2,FALSE)</f>
        <v>HOTEL</v>
      </c>
      <c r="L775" t="str">
        <f>VLOOKUP($C775,Table1[#All],3,FALSE)</f>
        <v xml:space="preserve">Transactions related to guest rooms and overall hotel operations. Includes payroll for administrative staff, clerks and interns. </v>
      </c>
      <c r="M775" t="str">
        <f>IFERROR(VLOOKUP($B775,ChartOfAccounts!A774:B859,2,FALSE),"")</f>
        <v/>
      </c>
      <c r="N775" t="str">
        <f>IFERROR(VLOOKUP($B775,ChartOfAccounts!C774:D859,2,FALSE),"")</f>
        <v/>
      </c>
      <c r="O775" t="str">
        <f>IFERROR(VLOOKUP($B775,ChartOfAccounts!E774:F859,2,FALSE),"")</f>
        <v/>
      </c>
      <c r="P775" t="str">
        <f>IFERROR(VLOOKUP(D775,PreparerInfo!A774:B786,2,FALSE),"")</f>
        <v/>
      </c>
      <c r="Q775" t="str">
        <f>IFERROR(VLOOKUP(E775,Source!A774:B782,2,FALSE),"")</f>
        <v/>
      </c>
    </row>
    <row r="776" spans="1:17" x14ac:dyDescent="0.3">
      <c r="A776" s="3">
        <v>2033907</v>
      </c>
      <c r="B776">
        <v>11845</v>
      </c>
      <c r="C776">
        <v>3</v>
      </c>
      <c r="D776" s="9">
        <v>102</v>
      </c>
      <c r="E776">
        <v>1003</v>
      </c>
      <c r="F776" s="1">
        <v>44012</v>
      </c>
      <c r="G776" t="s">
        <v>15</v>
      </c>
      <c r="H776" s="4">
        <v>75.52</v>
      </c>
      <c r="I776" s="4" t="s">
        <v>16</v>
      </c>
      <c r="J776" s="4">
        <v>75.52</v>
      </c>
      <c r="K776" t="str">
        <f>VLOOKUP($C776,Table1[#All],2,FALSE)</f>
        <v>HOTEL PANTRY</v>
      </c>
      <c r="L776" t="str">
        <f>VLOOKUP($C776,Table1[#All],3,FALSE)</f>
        <v>Transactions related to the hotel convenience store, including some food and beverage costs.</v>
      </c>
      <c r="M776" t="str">
        <f>IFERROR(VLOOKUP($B776,ChartOfAccounts!A775:B860,2,FALSE),"")</f>
        <v/>
      </c>
      <c r="N776" t="str">
        <f>IFERROR(VLOOKUP($B776,ChartOfAccounts!C775:D860,2,FALSE),"")</f>
        <v/>
      </c>
      <c r="O776" t="str">
        <f>IFERROR(VLOOKUP($B776,ChartOfAccounts!E775:F860,2,FALSE),"")</f>
        <v/>
      </c>
      <c r="P776" t="str">
        <f>IFERROR(VLOOKUP(D776,PreparerInfo!A775:B787,2,FALSE),"")</f>
        <v/>
      </c>
      <c r="Q776" t="str">
        <f>IFERROR(VLOOKUP(E776,Source!A775:B783,2,FALSE),"")</f>
        <v/>
      </c>
    </row>
    <row r="777" spans="1:17" x14ac:dyDescent="0.3">
      <c r="A777" s="3">
        <v>2033907</v>
      </c>
      <c r="B777">
        <v>43440</v>
      </c>
      <c r="C777">
        <v>3</v>
      </c>
      <c r="D777" s="9">
        <v>102</v>
      </c>
      <c r="E777">
        <v>1003</v>
      </c>
      <c r="F777" s="1">
        <v>44012</v>
      </c>
      <c r="G777" t="s">
        <v>15</v>
      </c>
      <c r="H777" s="4" t="s">
        <v>16</v>
      </c>
      <c r="I777" s="4">
        <v>-75.52</v>
      </c>
      <c r="J777" s="4">
        <v>-75.52</v>
      </c>
      <c r="K777" t="str">
        <f>VLOOKUP($C777,Table1[#All],2,FALSE)</f>
        <v>HOTEL PANTRY</v>
      </c>
      <c r="L777" t="str">
        <f>VLOOKUP($C777,Table1[#All],3,FALSE)</f>
        <v>Transactions related to the hotel convenience store, including some food and beverage costs.</v>
      </c>
      <c r="M777" t="str">
        <f>IFERROR(VLOOKUP($B777,ChartOfAccounts!A776:B861,2,FALSE),"")</f>
        <v/>
      </c>
      <c r="N777" t="str">
        <f>IFERROR(VLOOKUP($B777,ChartOfAccounts!C776:D861,2,FALSE),"")</f>
        <v/>
      </c>
      <c r="O777" t="str">
        <f>IFERROR(VLOOKUP($B777,ChartOfAccounts!E776:F861,2,FALSE),"")</f>
        <v/>
      </c>
      <c r="P777" t="str">
        <f>IFERROR(VLOOKUP(D777,PreparerInfo!A776:B788,2,FALSE),"")</f>
        <v/>
      </c>
      <c r="Q777" t="str">
        <f>IFERROR(VLOOKUP(E777,Source!A776:B784,2,FALSE),"")</f>
        <v/>
      </c>
    </row>
    <row r="778" spans="1:17" x14ac:dyDescent="0.3">
      <c r="A778" s="3">
        <v>2033908</v>
      </c>
      <c r="B778">
        <v>11845</v>
      </c>
      <c r="C778">
        <v>1</v>
      </c>
      <c r="D778" s="9">
        <v>102</v>
      </c>
      <c r="E778">
        <v>1003</v>
      </c>
      <c r="F778" s="1">
        <v>44012</v>
      </c>
      <c r="G778" t="s">
        <v>15</v>
      </c>
      <c r="H778" s="4">
        <v>478.89</v>
      </c>
      <c r="I778" s="4" t="s">
        <v>16</v>
      </c>
      <c r="J778" s="4">
        <v>478.89</v>
      </c>
      <c r="K778" t="str">
        <f>VLOOKUP($C778,Table1[#All],2,FALSE)</f>
        <v>FOOD SERVICE</v>
      </c>
      <c r="L778" t="str">
        <f>VLOOKUP($C778,Table1[#All],3,FALSE)</f>
        <v xml:space="preserve">Transactions related to food and beverage service. Includes all guest transactions in the hotel restaurants, catering-related transactions and food service payroll. </v>
      </c>
      <c r="M778" t="str">
        <f>IFERROR(VLOOKUP($B778,ChartOfAccounts!A777:B862,2,FALSE),"")</f>
        <v/>
      </c>
      <c r="N778" t="str">
        <f>IFERROR(VLOOKUP($B778,ChartOfAccounts!C777:D862,2,FALSE),"")</f>
        <v/>
      </c>
      <c r="O778" t="str">
        <f>IFERROR(VLOOKUP($B778,ChartOfAccounts!E777:F862,2,FALSE),"")</f>
        <v/>
      </c>
      <c r="P778" t="str">
        <f>IFERROR(VLOOKUP(D778,PreparerInfo!A777:B789,2,FALSE),"")</f>
        <v/>
      </c>
      <c r="Q778" t="str">
        <f>IFERROR(VLOOKUP(E778,Source!A777:B785,2,FALSE),"")</f>
        <v/>
      </c>
    </row>
    <row r="779" spans="1:17" x14ac:dyDescent="0.3">
      <c r="A779" s="3">
        <v>2033908</v>
      </c>
      <c r="B779">
        <v>43310</v>
      </c>
      <c r="C779">
        <v>1</v>
      </c>
      <c r="D779" s="9">
        <v>102</v>
      </c>
      <c r="E779">
        <v>1003</v>
      </c>
      <c r="F779" s="1">
        <v>44012</v>
      </c>
      <c r="G779" t="s">
        <v>15</v>
      </c>
      <c r="H779" s="4" t="s">
        <v>16</v>
      </c>
      <c r="I779" s="4">
        <v>-478.89</v>
      </c>
      <c r="J779" s="4">
        <v>-478.89</v>
      </c>
      <c r="K779" t="str">
        <f>VLOOKUP($C779,Table1[#All],2,FALSE)</f>
        <v>FOOD SERVICE</v>
      </c>
      <c r="L779" t="str">
        <f>VLOOKUP($C779,Table1[#All],3,FALSE)</f>
        <v xml:space="preserve">Transactions related to food and beverage service. Includes all guest transactions in the hotel restaurants, catering-related transactions and food service payroll. </v>
      </c>
      <c r="M779" t="str">
        <f>IFERROR(VLOOKUP($B779,ChartOfAccounts!A778:B863,2,FALSE),"")</f>
        <v/>
      </c>
      <c r="N779" t="str">
        <f>IFERROR(VLOOKUP($B779,ChartOfAccounts!C778:D863,2,FALSE),"")</f>
        <v/>
      </c>
      <c r="O779" t="str">
        <f>IFERROR(VLOOKUP($B779,ChartOfAccounts!E778:F863,2,FALSE),"")</f>
        <v/>
      </c>
      <c r="P779" t="str">
        <f>IFERROR(VLOOKUP(D779,PreparerInfo!A778:B790,2,FALSE),"")</f>
        <v/>
      </c>
      <c r="Q779" t="str">
        <f>IFERROR(VLOOKUP(E779,Source!A778:B786,2,FALSE),"")</f>
        <v/>
      </c>
    </row>
    <row r="780" spans="1:17" x14ac:dyDescent="0.3">
      <c r="A780" s="3">
        <v>2033909</v>
      </c>
      <c r="B780">
        <v>11845</v>
      </c>
      <c r="C780">
        <v>2</v>
      </c>
      <c r="D780" s="9">
        <v>104</v>
      </c>
      <c r="E780">
        <v>1003</v>
      </c>
      <c r="F780" s="1">
        <v>44012</v>
      </c>
      <c r="G780" t="s">
        <v>15</v>
      </c>
      <c r="H780" s="4">
        <v>1497</v>
      </c>
      <c r="I780" s="4" t="s">
        <v>16</v>
      </c>
      <c r="J780" s="4">
        <v>1497</v>
      </c>
      <c r="K780" t="str">
        <f>VLOOKUP($C780,Table1[#All],2,FALSE)</f>
        <v>HOTEL</v>
      </c>
      <c r="L780" t="str">
        <f>VLOOKUP($C780,Table1[#All],3,FALSE)</f>
        <v xml:space="preserve">Transactions related to guest rooms and overall hotel operations. Includes payroll for administrative staff, clerks and interns. </v>
      </c>
      <c r="M780" t="str">
        <f>IFERROR(VLOOKUP($B780,ChartOfAccounts!A779:B864,2,FALSE),"")</f>
        <v/>
      </c>
      <c r="N780" t="str">
        <f>IFERROR(VLOOKUP($B780,ChartOfAccounts!C779:D864,2,FALSE),"")</f>
        <v/>
      </c>
      <c r="O780" t="str">
        <f>IFERROR(VLOOKUP($B780,ChartOfAccounts!E779:F864,2,FALSE),"")</f>
        <v/>
      </c>
      <c r="P780" t="str">
        <f>IFERROR(VLOOKUP(D780,PreparerInfo!A779:B791,2,FALSE),"")</f>
        <v/>
      </c>
      <c r="Q780" t="str">
        <f>IFERROR(VLOOKUP(E780,Source!A779:B787,2,FALSE),"")</f>
        <v/>
      </c>
    </row>
    <row r="781" spans="1:17" x14ac:dyDescent="0.3">
      <c r="A781" s="3">
        <v>2033909</v>
      </c>
      <c r="B781">
        <v>43180</v>
      </c>
      <c r="C781">
        <v>2</v>
      </c>
      <c r="D781" s="9">
        <v>104</v>
      </c>
      <c r="E781">
        <v>1003</v>
      </c>
      <c r="F781" s="1">
        <v>44012</v>
      </c>
      <c r="G781" t="s">
        <v>15</v>
      </c>
      <c r="H781" s="4" t="s">
        <v>16</v>
      </c>
      <c r="I781" s="4">
        <v>-1497</v>
      </c>
      <c r="J781" s="4">
        <v>-1497</v>
      </c>
      <c r="K781" t="str">
        <f>VLOOKUP($C781,Table1[#All],2,FALSE)</f>
        <v>HOTEL</v>
      </c>
      <c r="L781" t="str">
        <f>VLOOKUP($C781,Table1[#All],3,FALSE)</f>
        <v xml:space="preserve">Transactions related to guest rooms and overall hotel operations. Includes payroll for administrative staff, clerks and interns. </v>
      </c>
      <c r="M781" t="str">
        <f>IFERROR(VLOOKUP($B781,ChartOfAccounts!A780:B865,2,FALSE),"")</f>
        <v/>
      </c>
      <c r="N781" t="str">
        <f>IFERROR(VLOOKUP($B781,ChartOfAccounts!C780:D865,2,FALSE),"")</f>
        <v/>
      </c>
      <c r="O781" t="str">
        <f>IFERROR(VLOOKUP($B781,ChartOfAccounts!E780:F865,2,FALSE),"")</f>
        <v/>
      </c>
      <c r="P781" t="str">
        <f>IFERROR(VLOOKUP(D781,PreparerInfo!A780:B792,2,FALSE),"")</f>
        <v/>
      </c>
      <c r="Q781" t="str">
        <f>IFERROR(VLOOKUP(E781,Source!A780:B788,2,FALSE),"")</f>
        <v/>
      </c>
    </row>
    <row r="782" spans="1:17" x14ac:dyDescent="0.3">
      <c r="A782" s="3">
        <v>2033910</v>
      </c>
      <c r="B782">
        <v>40910</v>
      </c>
      <c r="C782">
        <v>5</v>
      </c>
      <c r="D782" s="9">
        <v>103</v>
      </c>
      <c r="E782">
        <v>1008</v>
      </c>
      <c r="F782" s="1">
        <v>44012</v>
      </c>
      <c r="G782" t="s">
        <v>281</v>
      </c>
      <c r="H782" s="4">
        <v>6770.96</v>
      </c>
      <c r="I782" s="4" t="s">
        <v>16</v>
      </c>
      <c r="J782" s="4">
        <v>6770.96</v>
      </c>
      <c r="K782" t="str">
        <f>VLOOKUP($C782,Table1[#All],2,FALSE)</f>
        <v>INTEREST</v>
      </c>
      <c r="L782" t="str">
        <f>VLOOKUP($C782,Table1[#All],3,FALSE)</f>
        <v>Interest from the cash operations account.</v>
      </c>
      <c r="M782" t="str">
        <f>IFERROR(VLOOKUP($B782,ChartOfAccounts!A781:B866,2,FALSE),"")</f>
        <v/>
      </c>
      <c r="N782" t="str">
        <f>IFERROR(VLOOKUP($B782,ChartOfAccounts!C781:D866,2,FALSE),"")</f>
        <v/>
      </c>
      <c r="O782" t="str">
        <f>IFERROR(VLOOKUP($B782,ChartOfAccounts!E781:F866,2,FALSE),"")</f>
        <v/>
      </c>
      <c r="P782" t="str">
        <f>IFERROR(VLOOKUP(D782,PreparerInfo!A781:B793,2,FALSE),"")</f>
        <v/>
      </c>
      <c r="Q782" t="str">
        <f>IFERROR(VLOOKUP(E782,Source!A781:B789,2,FALSE),"")</f>
        <v/>
      </c>
    </row>
    <row r="783" spans="1:17" x14ac:dyDescent="0.3">
      <c r="A783" s="3">
        <v>2033910</v>
      </c>
      <c r="B783">
        <v>40910</v>
      </c>
      <c r="C783">
        <v>2</v>
      </c>
      <c r="D783" s="9">
        <v>103</v>
      </c>
      <c r="E783">
        <v>1008</v>
      </c>
      <c r="F783" s="1">
        <v>44012</v>
      </c>
      <c r="G783" t="s">
        <v>249</v>
      </c>
      <c r="H783" s="4" t="s">
        <v>16</v>
      </c>
      <c r="I783" s="4">
        <v>-3385.48</v>
      </c>
      <c r="J783" s="4">
        <v>-3385.48</v>
      </c>
      <c r="K783" t="str">
        <f>VLOOKUP($C783,Table1[#All],2,FALSE)</f>
        <v>HOTEL</v>
      </c>
      <c r="L783" t="str">
        <f>VLOOKUP($C783,Table1[#All],3,FALSE)</f>
        <v xml:space="preserve">Transactions related to guest rooms and overall hotel operations. Includes payroll for administrative staff, clerks and interns. </v>
      </c>
      <c r="M783" t="str">
        <f>IFERROR(VLOOKUP($B783,ChartOfAccounts!A782:B867,2,FALSE),"")</f>
        <v/>
      </c>
      <c r="N783" t="str">
        <f>IFERROR(VLOOKUP($B783,ChartOfAccounts!C782:D867,2,FALSE),"")</f>
        <v/>
      </c>
      <c r="O783" t="str">
        <f>IFERROR(VLOOKUP($B783,ChartOfAccounts!E782:F867,2,FALSE),"")</f>
        <v/>
      </c>
      <c r="P783" t="str">
        <f>IFERROR(VLOOKUP(D783,PreparerInfo!A782:B794,2,FALSE),"")</f>
        <v/>
      </c>
      <c r="Q783" t="str">
        <f>IFERROR(VLOOKUP(E783,Source!A782:B790,2,FALSE),"")</f>
        <v/>
      </c>
    </row>
    <row r="784" spans="1:17" x14ac:dyDescent="0.3">
      <c r="A784" s="3">
        <v>2033910</v>
      </c>
      <c r="B784">
        <v>40910</v>
      </c>
      <c r="C784">
        <v>1</v>
      </c>
      <c r="D784" s="9">
        <v>103</v>
      </c>
      <c r="E784">
        <v>1008</v>
      </c>
      <c r="F784" s="1">
        <v>44012</v>
      </c>
      <c r="G784" t="s">
        <v>249</v>
      </c>
      <c r="H784" s="4" t="s">
        <v>16</v>
      </c>
      <c r="I784" s="4">
        <v>-3385.48</v>
      </c>
      <c r="J784" s="4">
        <v>-3385.48</v>
      </c>
      <c r="K784" t="str">
        <f>VLOOKUP($C784,Table1[#All],2,FALSE)</f>
        <v>FOOD SERVICE</v>
      </c>
      <c r="L784" t="str">
        <f>VLOOKUP($C784,Table1[#All],3,FALSE)</f>
        <v xml:space="preserve">Transactions related to food and beverage service. Includes all guest transactions in the hotel restaurants, catering-related transactions and food service payroll. </v>
      </c>
      <c r="M784" t="str">
        <f>IFERROR(VLOOKUP($B784,ChartOfAccounts!A783:B868,2,FALSE),"")</f>
        <v/>
      </c>
      <c r="N784" t="str">
        <f>IFERROR(VLOOKUP($B784,ChartOfAccounts!C783:D868,2,FALSE),"")</f>
        <v/>
      </c>
      <c r="O784" t="str">
        <f>IFERROR(VLOOKUP($B784,ChartOfAccounts!E783:F868,2,FALSE),"")</f>
        <v/>
      </c>
      <c r="P784" t="str">
        <f>IFERROR(VLOOKUP(D784,PreparerInfo!A783:B795,2,FALSE),"")</f>
        <v/>
      </c>
      <c r="Q784" t="str">
        <f>IFERROR(VLOOKUP(E784,Source!A783:B791,2,FALSE),"")</f>
        <v/>
      </c>
    </row>
    <row r="785" spans="1:17" x14ac:dyDescent="0.3">
      <c r="A785" s="3">
        <v>2033911</v>
      </c>
      <c r="B785">
        <v>86100</v>
      </c>
      <c r="C785">
        <v>7</v>
      </c>
      <c r="D785" s="9">
        <v>103</v>
      </c>
      <c r="E785">
        <v>1008</v>
      </c>
      <c r="F785" s="1">
        <v>44012</v>
      </c>
      <c r="G785" t="s">
        <v>103</v>
      </c>
      <c r="H785" s="4">
        <v>66957.22</v>
      </c>
      <c r="I785" s="4" t="s">
        <v>16</v>
      </c>
      <c r="J785" s="4">
        <v>66957.22</v>
      </c>
      <c r="K785" t="str">
        <f>VLOOKUP($C785,Table1[#All],2,FALSE)</f>
        <v>OPER - GENERAL</v>
      </c>
      <c r="L785" t="str">
        <f>VLOOKUP($C785,Table1[#All],3,FALSE)</f>
        <v>Transactions related to corporate accounting functions, e.g., monthly depreciation entries.</v>
      </c>
      <c r="M785" t="str">
        <f>IFERROR(VLOOKUP($B785,ChartOfAccounts!A784:B869,2,FALSE),"")</f>
        <v/>
      </c>
      <c r="N785" t="str">
        <f>IFERROR(VLOOKUP($B785,ChartOfAccounts!C784:D869,2,FALSE),"")</f>
        <v/>
      </c>
      <c r="O785" t="str">
        <f>IFERROR(VLOOKUP($B785,ChartOfAccounts!E784:F869,2,FALSE),"")</f>
        <v/>
      </c>
      <c r="P785" t="str">
        <f>IFERROR(VLOOKUP(D785,PreparerInfo!A784:B796,2,FALSE),"")</f>
        <v/>
      </c>
      <c r="Q785" t="str">
        <f>IFERROR(VLOOKUP(E785,Source!A784:B792,2,FALSE),"")</f>
        <v/>
      </c>
    </row>
    <row r="786" spans="1:17" x14ac:dyDescent="0.3">
      <c r="A786" s="3">
        <v>2033911</v>
      </c>
      <c r="B786">
        <v>16290</v>
      </c>
      <c r="C786">
        <v>7</v>
      </c>
      <c r="D786" s="9">
        <v>103</v>
      </c>
      <c r="E786">
        <v>1008</v>
      </c>
      <c r="F786" s="1">
        <v>44012</v>
      </c>
      <c r="G786" t="s">
        <v>103</v>
      </c>
      <c r="H786" s="4" t="s">
        <v>16</v>
      </c>
      <c r="I786" s="4">
        <v>-66957.22</v>
      </c>
      <c r="J786" s="4">
        <v>-66957.22</v>
      </c>
      <c r="K786" t="str">
        <f>VLOOKUP($C786,Table1[#All],2,FALSE)</f>
        <v>OPER - GENERAL</v>
      </c>
      <c r="L786" t="str">
        <f>VLOOKUP($C786,Table1[#All],3,FALSE)</f>
        <v>Transactions related to corporate accounting functions, e.g., monthly depreciation entries.</v>
      </c>
      <c r="M786" t="str">
        <f>IFERROR(VLOOKUP($B786,ChartOfAccounts!A785:B870,2,FALSE),"")</f>
        <v/>
      </c>
      <c r="N786" t="str">
        <f>IFERROR(VLOOKUP($B786,ChartOfAccounts!C785:D870,2,FALSE),"")</f>
        <v/>
      </c>
      <c r="O786" t="str">
        <f>IFERROR(VLOOKUP($B786,ChartOfAccounts!E785:F870,2,FALSE),"")</f>
        <v/>
      </c>
      <c r="P786" t="str">
        <f>IFERROR(VLOOKUP(D786,PreparerInfo!A785:B797,2,FALSE),"")</f>
        <v/>
      </c>
      <c r="Q786" t="str">
        <f>IFERROR(VLOOKUP(E786,Source!A785:B793,2,FALSE),"")</f>
        <v/>
      </c>
    </row>
    <row r="787" spans="1:17" x14ac:dyDescent="0.3">
      <c r="A787" s="3">
        <v>2033912</v>
      </c>
      <c r="B787">
        <v>86200</v>
      </c>
      <c r="C787">
        <v>7</v>
      </c>
      <c r="D787" s="9">
        <v>103</v>
      </c>
      <c r="E787">
        <v>1008</v>
      </c>
      <c r="F787" s="1">
        <v>44012</v>
      </c>
      <c r="G787" t="s">
        <v>108</v>
      </c>
      <c r="H787" s="4">
        <v>12035.24</v>
      </c>
      <c r="I787" s="4" t="s">
        <v>16</v>
      </c>
      <c r="J787" s="4">
        <v>12035.24</v>
      </c>
      <c r="K787" t="str">
        <f>VLOOKUP($C787,Table1[#All],2,FALSE)</f>
        <v>OPER - GENERAL</v>
      </c>
      <c r="L787" t="str">
        <f>VLOOKUP($C787,Table1[#All],3,FALSE)</f>
        <v>Transactions related to corporate accounting functions, e.g., monthly depreciation entries.</v>
      </c>
      <c r="M787" t="str">
        <f>IFERROR(VLOOKUP($B787,ChartOfAccounts!A786:B871,2,FALSE),"")</f>
        <v/>
      </c>
      <c r="N787" t="str">
        <f>IFERROR(VLOOKUP($B787,ChartOfAccounts!C786:D871,2,FALSE),"")</f>
        <v/>
      </c>
      <c r="O787" t="str">
        <f>IFERROR(VLOOKUP($B787,ChartOfAccounts!E786:F871,2,FALSE),"")</f>
        <v/>
      </c>
      <c r="P787" t="str">
        <f>IFERROR(VLOOKUP(D787,PreparerInfo!A786:B798,2,FALSE),"")</f>
        <v/>
      </c>
      <c r="Q787" t="str">
        <f>IFERROR(VLOOKUP(E787,Source!A786:B794,2,FALSE),"")</f>
        <v/>
      </c>
    </row>
    <row r="788" spans="1:17" x14ac:dyDescent="0.3">
      <c r="A788" s="3">
        <v>2033912</v>
      </c>
      <c r="B788">
        <v>16590</v>
      </c>
      <c r="C788">
        <v>7</v>
      </c>
      <c r="D788" s="9">
        <v>103</v>
      </c>
      <c r="E788">
        <v>1008</v>
      </c>
      <c r="F788" s="1">
        <v>44012</v>
      </c>
      <c r="G788" t="s">
        <v>108</v>
      </c>
      <c r="H788" s="4" t="s">
        <v>16</v>
      </c>
      <c r="I788" s="4">
        <v>-12035.24</v>
      </c>
      <c r="J788" s="4">
        <v>-12035.24</v>
      </c>
      <c r="K788" t="str">
        <f>VLOOKUP($C788,Table1[#All],2,FALSE)</f>
        <v>OPER - GENERAL</v>
      </c>
      <c r="L788" t="str">
        <f>VLOOKUP($C788,Table1[#All],3,FALSE)</f>
        <v>Transactions related to corporate accounting functions, e.g., monthly depreciation entries.</v>
      </c>
      <c r="M788" t="str">
        <f>IFERROR(VLOOKUP($B788,ChartOfAccounts!A787:B872,2,FALSE),"")</f>
        <v/>
      </c>
      <c r="N788" t="str">
        <f>IFERROR(VLOOKUP($B788,ChartOfAccounts!C787:D872,2,FALSE),"")</f>
        <v/>
      </c>
      <c r="O788" t="str">
        <f>IFERROR(VLOOKUP($B788,ChartOfAccounts!E787:F872,2,FALSE),"")</f>
        <v/>
      </c>
      <c r="P788" t="str">
        <f>IFERROR(VLOOKUP(D788,PreparerInfo!A787:B799,2,FALSE),"")</f>
        <v/>
      </c>
      <c r="Q788" t="str">
        <f>IFERROR(VLOOKUP(E788,Source!A787:B795,2,FALSE),"")</f>
        <v/>
      </c>
    </row>
    <row r="789" spans="1:17" x14ac:dyDescent="0.3">
      <c r="A789" s="3">
        <v>2033913</v>
      </c>
      <c r="B789">
        <v>22110</v>
      </c>
      <c r="C789">
        <v>8</v>
      </c>
      <c r="D789" s="9">
        <v>103</v>
      </c>
      <c r="E789">
        <v>1002</v>
      </c>
      <c r="F789" s="1">
        <v>44012</v>
      </c>
      <c r="G789" t="s">
        <v>31</v>
      </c>
      <c r="H789" s="4">
        <v>57357.63</v>
      </c>
      <c r="I789" s="4" t="s">
        <v>16</v>
      </c>
      <c r="J789" s="4">
        <v>57357.63</v>
      </c>
      <c r="K789" t="str">
        <f>VLOOKUP($C789,Table1[#All],2,FALSE)</f>
        <v>PAYROLL S/B JV</v>
      </c>
      <c r="L789" t="str">
        <f>VLOOKUP($C789,Table1[#All],3,FALSE)</f>
        <v>Transactions related to payroll for employees.</v>
      </c>
      <c r="M789" t="str">
        <f>IFERROR(VLOOKUP($B789,ChartOfAccounts!A788:B873,2,FALSE),"")</f>
        <v/>
      </c>
      <c r="N789" t="str">
        <f>IFERROR(VLOOKUP($B789,ChartOfAccounts!C788:D873,2,FALSE),"")</f>
        <v/>
      </c>
      <c r="O789" t="str">
        <f>IFERROR(VLOOKUP($B789,ChartOfAccounts!E788:F873,2,FALSE),"")</f>
        <v/>
      </c>
      <c r="P789" t="str">
        <f>IFERROR(VLOOKUP(D789,PreparerInfo!A788:B800,2,FALSE),"")</f>
        <v/>
      </c>
      <c r="Q789" t="str">
        <f>IFERROR(VLOOKUP(E789,Source!A788:B796,2,FALSE),"")</f>
        <v/>
      </c>
    </row>
    <row r="790" spans="1:17" x14ac:dyDescent="0.3">
      <c r="A790" s="3">
        <v>2033913</v>
      </c>
      <c r="B790">
        <v>11845</v>
      </c>
      <c r="C790">
        <v>8</v>
      </c>
      <c r="D790" s="9">
        <v>103</v>
      </c>
      <c r="E790">
        <v>1002</v>
      </c>
      <c r="F790" s="1">
        <v>44012</v>
      </c>
      <c r="G790" t="s">
        <v>31</v>
      </c>
      <c r="H790" s="4" t="s">
        <v>16</v>
      </c>
      <c r="I790" s="4">
        <v>-57357.63</v>
      </c>
      <c r="J790" s="4">
        <v>-57357.63</v>
      </c>
      <c r="K790" t="str">
        <f>VLOOKUP($C790,Table1[#All],2,FALSE)</f>
        <v>PAYROLL S/B JV</v>
      </c>
      <c r="L790" t="str">
        <f>VLOOKUP($C790,Table1[#All],3,FALSE)</f>
        <v>Transactions related to payroll for employees.</v>
      </c>
      <c r="M790" t="str">
        <f>IFERROR(VLOOKUP($B790,ChartOfAccounts!A789:B874,2,FALSE),"")</f>
        <v/>
      </c>
      <c r="N790" t="str">
        <f>IFERROR(VLOOKUP($B790,ChartOfAccounts!C789:D874,2,FALSE),"")</f>
        <v/>
      </c>
      <c r="O790" t="str">
        <f>IFERROR(VLOOKUP($B790,ChartOfAccounts!E789:F874,2,FALSE),"")</f>
        <v/>
      </c>
      <c r="P790" t="str">
        <f>IFERROR(VLOOKUP(D790,PreparerInfo!A789:B801,2,FALSE),"")</f>
        <v/>
      </c>
      <c r="Q790" t="str">
        <f>IFERROR(VLOOKUP(E790,Source!A789:B797,2,FALSE),"")</f>
        <v/>
      </c>
    </row>
  </sheetData>
  <pageMargins left="0.7" right="0.7" top="0.75" bottom="0.75" header="0.3" footer="0.3"/>
  <ignoredErrors>
    <ignoredError sqref="N2:N790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B614AA9C3F254D9A264B03EAEDB202" ma:contentTypeVersion="13" ma:contentTypeDescription="Create a new document." ma:contentTypeScope="" ma:versionID="fb6100e54377561603d8283fc808bf59">
  <xsd:schema xmlns:xsd="http://www.w3.org/2001/XMLSchema" xmlns:xs="http://www.w3.org/2001/XMLSchema" xmlns:p="http://schemas.microsoft.com/office/2006/metadata/properties" xmlns:ns2="09149449-70a8-4d88-a7de-ceff3bf7a80b" xmlns:ns3="6896d4a5-3dc5-471f-acdf-ad1932f31499" xmlns:ns4="http://schemas.microsoft.com/sharepoint/v4" targetNamespace="http://schemas.microsoft.com/office/2006/metadata/properties" ma:root="true" ma:fieldsID="586ad518ccf2dd53d089138a94cc8312" ns2:_="" ns3:_="" ns4:_="">
    <xsd:import namespace="09149449-70a8-4d88-a7de-ceff3bf7a80b"/>
    <xsd:import namespace="6896d4a5-3dc5-471f-acdf-ad1932f31499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4:IconOverlay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9449-70a8-4d88-a7de-ceff3bf7a8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96d4a5-3dc5-471f-acdf-ad1932f3149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00221E-3E8A-412A-851A-1C0CF57DA52F}">
  <ds:schemaRefs>
    <ds:schemaRef ds:uri="http://schemas.microsoft.com/office/2006/metadata/properties"/>
    <ds:schemaRef ds:uri="http://schemas.microsoft.com/office/infopath/2007/PartnerControls"/>
    <ds:schemaRef ds:uri="http://schemas.microsoft.com/sharepoint/v4"/>
  </ds:schemaRefs>
</ds:datastoreItem>
</file>

<file path=customXml/itemProps2.xml><?xml version="1.0" encoding="utf-8"?>
<ds:datastoreItem xmlns:ds="http://schemas.openxmlformats.org/officeDocument/2006/customXml" ds:itemID="{6FEFB412-0C2F-477F-884F-02298159D7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EE5898-D122-46CF-B11F-399768F03F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149449-70a8-4d88-a7de-ceff3bf7a80b"/>
    <ds:schemaRef ds:uri="6896d4a5-3dc5-471f-acdf-ad1932f31499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JELineItems</vt:lpstr>
      <vt:lpstr>BusinessUnits</vt:lpstr>
      <vt:lpstr>ChartOfAccounts</vt:lpstr>
      <vt:lpstr>PreparerInfo</vt:lpstr>
      <vt:lpstr>Source</vt:lpstr>
      <vt:lpstr>Case 4 solution</vt:lpstr>
      <vt:lpstr>use Xloopup</vt:lpstr>
      <vt:lpstr>use VLookup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guthrja1</dc:creator>
  <cp:lastModifiedBy>Ruyi Zhong</cp:lastModifiedBy>
  <cp:lastPrinted>2017-06-09T22:09:10Z</cp:lastPrinted>
  <dcterms:created xsi:type="dcterms:W3CDTF">2017-06-05T03:06:39Z</dcterms:created>
  <dcterms:modified xsi:type="dcterms:W3CDTF">2026-04-13T21:22:28Z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0x010100A5B614AA9C3F254D9A264B03EAEDB202</vt:lpwstr>
  </property>
</Properties>
</file>