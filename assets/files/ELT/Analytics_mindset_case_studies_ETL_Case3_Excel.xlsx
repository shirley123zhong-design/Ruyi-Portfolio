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hirl\Desktop\SDU\Data Analytics in Accounting\Assignment\Before14-04\1. Excel part 2\ETL Assignment\Done\"/>
    </mc:Choice>
  </mc:AlternateContent>
  <xr:revisionPtr revIDLastSave="0" documentId="13_ncr:1_{2582018C-C3D1-4AD3-9FFD-0CFE258EDCD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Case 3 solution" sheetId="4" r:id="rId1"/>
    <sheet name="Sheet1" sheetId="5" r:id="rId2"/>
    <sheet name="Case 3 dat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4" l="1"/>
  <c r="K14" i="4"/>
  <c r="K19" i="4"/>
  <c r="K24" i="4"/>
  <c r="K29" i="4"/>
  <c r="K34" i="4"/>
  <c r="K39" i="4"/>
  <c r="K44" i="4"/>
  <c r="K49" i="4"/>
  <c r="K54" i="4"/>
  <c r="K59" i="4"/>
  <c r="K64" i="4"/>
  <c r="K69" i="4"/>
  <c r="K74" i="4"/>
  <c r="K79" i="4"/>
  <c r="K84" i="4"/>
  <c r="K89" i="4"/>
  <c r="K94" i="4"/>
  <c r="K99" i="4"/>
  <c r="K104" i="4"/>
  <c r="K109" i="4"/>
  <c r="K114" i="4"/>
  <c r="K119" i="4"/>
  <c r="K124" i="4"/>
  <c r="K129" i="4"/>
  <c r="K134" i="4"/>
  <c r="K139" i="4"/>
  <c r="K144" i="4"/>
  <c r="K149" i="4"/>
  <c r="K154" i="4"/>
  <c r="K159" i="4"/>
  <c r="K164" i="4"/>
  <c r="K169" i="4"/>
  <c r="K174" i="4"/>
  <c r="K179" i="4"/>
  <c r="K184" i="4"/>
  <c r="K189" i="4"/>
  <c r="K194" i="4"/>
  <c r="K199" i="4"/>
  <c r="K204" i="4"/>
  <c r="K209" i="4"/>
  <c r="K214" i="4"/>
  <c r="K219" i="4"/>
  <c r="K224" i="4"/>
  <c r="K229" i="4"/>
  <c r="K234" i="4"/>
  <c r="K239" i="4"/>
  <c r="K244" i="4"/>
  <c r="K249" i="4"/>
  <c r="K254" i="4"/>
  <c r="K259" i="4"/>
  <c r="K264" i="4"/>
  <c r="K269" i="4"/>
  <c r="K274" i="4"/>
  <c r="K279" i="4"/>
  <c r="K284" i="4"/>
  <c r="K289" i="4"/>
  <c r="K294" i="4"/>
  <c r="K299" i="4"/>
  <c r="K304" i="4"/>
  <c r="K309" i="4"/>
  <c r="K314" i="4"/>
  <c r="K319" i="4"/>
  <c r="K324" i="4"/>
  <c r="K329" i="4"/>
  <c r="K334" i="4"/>
  <c r="K339" i="4"/>
  <c r="K344" i="4"/>
  <c r="K349" i="4"/>
  <c r="K354" i="4"/>
  <c r="K359" i="4"/>
  <c r="K364" i="4"/>
  <c r="K369" i="4"/>
  <c r="K374" i="4"/>
  <c r="K379" i="4"/>
  <c r="K384" i="4"/>
  <c r="K389" i="4"/>
  <c r="K394" i="4"/>
  <c r="K399" i="4"/>
  <c r="K404" i="4"/>
  <c r="K409" i="4"/>
  <c r="K414" i="4"/>
  <c r="K419" i="4"/>
  <c r="K424" i="4"/>
  <c r="K429" i="4"/>
  <c r="K434" i="4"/>
  <c r="K439" i="4"/>
  <c r="K444" i="4"/>
  <c r="K449" i="4"/>
  <c r="K454" i="4"/>
  <c r="K459" i="4"/>
  <c r="K464" i="4"/>
  <c r="K469" i="4"/>
  <c r="K474" i="4"/>
  <c r="K479" i="4"/>
  <c r="K484" i="4"/>
  <c r="K489" i="4"/>
  <c r="K494" i="4"/>
  <c r="K499" i="4"/>
  <c r="K504" i="4"/>
  <c r="K509" i="4"/>
  <c r="K514" i="4"/>
  <c r="K519" i="4"/>
  <c r="K524" i="4"/>
  <c r="K529" i="4"/>
  <c r="K534" i="4"/>
  <c r="K539" i="4"/>
  <c r="K544" i="4"/>
  <c r="K549" i="4"/>
  <c r="K554" i="4"/>
  <c r="K559" i="4"/>
  <c r="K564" i="4"/>
  <c r="K569" i="4"/>
  <c r="K574" i="4"/>
  <c r="K579" i="4"/>
  <c r="K584" i="4"/>
  <c r="K589" i="4"/>
  <c r="K594" i="4"/>
  <c r="K599" i="4"/>
  <c r="F3" i="4"/>
  <c r="B3" i="4"/>
  <c r="C3" i="4"/>
  <c r="D3" i="4" a="1"/>
  <c r="D3" i="4" s="1"/>
  <c r="E3" i="4" a="1"/>
  <c r="E3" i="4"/>
  <c r="G3" i="4"/>
  <c r="H3" i="4" s="1"/>
  <c r="B4" i="4"/>
  <c r="C4" i="4"/>
  <c r="D4" i="4" a="1"/>
  <c r="D4" i="4" s="1"/>
  <c r="E4" i="4" a="1"/>
  <c r="E4" i="4"/>
  <c r="F4" i="4"/>
  <c r="G4" i="4"/>
  <c r="B5" i="4"/>
  <c r="C5" i="4"/>
  <c r="D5" i="4" a="1"/>
  <c r="D5" i="4"/>
  <c r="E5" i="4" a="1"/>
  <c r="E5" i="4"/>
  <c r="G5" i="4"/>
  <c r="F5" i="4" s="1"/>
  <c r="H5" i="4" s="1"/>
  <c r="B6" i="4"/>
  <c r="C6" i="4"/>
  <c r="D6" i="4" a="1"/>
  <c r="D6" i="4"/>
  <c r="E6" i="4" a="1"/>
  <c r="E6" i="4" s="1"/>
  <c r="G6" i="4"/>
  <c r="F6" i="4" s="1"/>
  <c r="B7" i="4"/>
  <c r="C7" i="4"/>
  <c r="D7" i="4" a="1"/>
  <c r="D7" i="4"/>
  <c r="E7" i="4" a="1"/>
  <c r="E7" i="4" s="1"/>
  <c r="G7" i="4"/>
  <c r="F7" i="4" s="1"/>
  <c r="H7" i="4" s="1"/>
  <c r="B8" i="4"/>
  <c r="C8" i="4"/>
  <c r="D8" i="4" a="1"/>
  <c r="D8" i="4" s="1"/>
  <c r="E8" i="4" a="1"/>
  <c r="E8" i="4"/>
  <c r="G8" i="4"/>
  <c r="F8" i="4" s="1"/>
  <c r="H8" i="4" s="1"/>
  <c r="B9" i="4"/>
  <c r="C9" i="4"/>
  <c r="D9" i="4" a="1"/>
  <c r="D9" i="4"/>
  <c r="E9" i="4" a="1"/>
  <c r="E9" i="4" s="1"/>
  <c r="G9" i="4"/>
  <c r="F9" i="4" s="1"/>
  <c r="H9" i="4" s="1"/>
  <c r="B10" i="4"/>
  <c r="C10" i="4"/>
  <c r="D10" i="4" a="1"/>
  <c r="D10" i="4"/>
  <c r="E10" i="4" a="1"/>
  <c r="E10" i="4"/>
  <c r="F10" i="4"/>
  <c r="H10" i="4" s="1"/>
  <c r="G10" i="4"/>
  <c r="B11" i="4"/>
  <c r="C11" i="4"/>
  <c r="D11" i="4" a="1"/>
  <c r="D11" i="4" s="1"/>
  <c r="E11" i="4" a="1"/>
  <c r="E11" i="4"/>
  <c r="F11" i="4"/>
  <c r="G11" i="4"/>
  <c r="B12" i="4"/>
  <c r="C12" i="4"/>
  <c r="D12" i="4" a="1"/>
  <c r="D12" i="4"/>
  <c r="E12" i="4" a="1"/>
  <c r="E12" i="4" s="1"/>
  <c r="G12" i="4"/>
  <c r="F12" i="4" s="1"/>
  <c r="H12" i="4" s="1"/>
  <c r="B13" i="4"/>
  <c r="C13" i="4"/>
  <c r="D13" i="4" a="1"/>
  <c r="D13" i="4" s="1"/>
  <c r="H13" i="4" s="1"/>
  <c r="E13" i="4" a="1"/>
  <c r="E13" i="4" s="1"/>
  <c r="G13" i="4"/>
  <c r="F13" i="4" s="1"/>
  <c r="B14" i="4"/>
  <c r="C14" i="4"/>
  <c r="D14" i="4" a="1"/>
  <c r="D14" i="4" s="1"/>
  <c r="E14" i="4" a="1"/>
  <c r="E14" i="4"/>
  <c r="F14" i="4"/>
  <c r="G14" i="4"/>
  <c r="B15" i="4"/>
  <c r="C15" i="4"/>
  <c r="D15" i="4" a="1"/>
  <c r="D15" i="4" s="1"/>
  <c r="E15" i="4" a="1"/>
  <c r="E15" i="4"/>
  <c r="F15" i="4"/>
  <c r="G15" i="4"/>
  <c r="B16" i="4"/>
  <c r="C16" i="4"/>
  <c r="D16" i="4" a="1"/>
  <c r="D16" i="4" s="1"/>
  <c r="E16" i="4" a="1"/>
  <c r="E16" i="4"/>
  <c r="F16" i="4"/>
  <c r="G16" i="4"/>
  <c r="B17" i="4"/>
  <c r="C17" i="4"/>
  <c r="D17" i="4" a="1"/>
  <c r="D17" i="4"/>
  <c r="E17" i="4" a="1"/>
  <c r="E17" i="4" s="1"/>
  <c r="G17" i="4"/>
  <c r="F17" i="4" s="1"/>
  <c r="H17" i="4" s="1"/>
  <c r="B18" i="4"/>
  <c r="C18" i="4"/>
  <c r="D18" i="4" a="1"/>
  <c r="D18" i="4"/>
  <c r="E18" i="4" a="1"/>
  <c r="E18" i="4"/>
  <c r="G18" i="4"/>
  <c r="F18" i="4" s="1"/>
  <c r="B19" i="4"/>
  <c r="C19" i="4"/>
  <c r="D19" i="4" a="1"/>
  <c r="D19" i="4" s="1"/>
  <c r="E19" i="4" a="1"/>
  <c r="E19" i="4"/>
  <c r="G19" i="4"/>
  <c r="F19" i="4" s="1"/>
  <c r="B20" i="4"/>
  <c r="C20" i="4"/>
  <c r="D20" i="4" a="1"/>
  <c r="D20" i="4"/>
  <c r="E20" i="4" a="1"/>
  <c r="E20" i="4"/>
  <c r="F20" i="4"/>
  <c r="G20" i="4"/>
  <c r="B21" i="4"/>
  <c r="C21" i="4"/>
  <c r="D21" i="4" a="1"/>
  <c r="D21" i="4"/>
  <c r="E21" i="4" a="1"/>
  <c r="E21" i="4"/>
  <c r="F21" i="4"/>
  <c r="G21" i="4"/>
  <c r="H21" i="4"/>
  <c r="B22" i="4"/>
  <c r="C22" i="4"/>
  <c r="D22" i="4" a="1"/>
  <c r="D22" i="4" s="1"/>
  <c r="E22" i="4" a="1"/>
  <c r="E22" i="4" s="1"/>
  <c r="G22" i="4"/>
  <c r="F22" i="4" s="1"/>
  <c r="B23" i="4"/>
  <c r="C23" i="4"/>
  <c r="D23" i="4" a="1"/>
  <c r="D23" i="4"/>
  <c r="E23" i="4" a="1"/>
  <c r="E23" i="4" s="1"/>
  <c r="G23" i="4"/>
  <c r="F23" i="4" s="1"/>
  <c r="H23" i="4" s="1"/>
  <c r="B24" i="4"/>
  <c r="C24" i="4"/>
  <c r="D24" i="4" a="1"/>
  <c r="D24" i="4" s="1"/>
  <c r="E24" i="4" a="1"/>
  <c r="E24" i="4"/>
  <c r="G24" i="4"/>
  <c r="F24" i="4" s="1"/>
  <c r="H24" i="4" s="1"/>
  <c r="B25" i="4"/>
  <c r="C25" i="4"/>
  <c r="D25" i="4" a="1"/>
  <c r="D25" i="4" s="1"/>
  <c r="E25" i="4" a="1"/>
  <c r="E25" i="4" s="1"/>
  <c r="G25" i="4"/>
  <c r="F25" i="4" s="1"/>
  <c r="B26" i="4"/>
  <c r="C26" i="4"/>
  <c r="D26" i="4" a="1"/>
  <c r="D26" i="4"/>
  <c r="E26" i="4" a="1"/>
  <c r="E26" i="4"/>
  <c r="F26" i="4"/>
  <c r="G26" i="4"/>
  <c r="H26" i="4"/>
  <c r="B27" i="4"/>
  <c r="C27" i="4"/>
  <c r="D27" i="4" a="1"/>
  <c r="D27" i="4" s="1"/>
  <c r="E27" i="4" a="1"/>
  <c r="E27" i="4"/>
  <c r="G27" i="4"/>
  <c r="F27" i="4" s="1"/>
  <c r="B28" i="4"/>
  <c r="C28" i="4"/>
  <c r="D28" i="4" a="1"/>
  <c r="D28" i="4"/>
  <c r="E28" i="4" a="1"/>
  <c r="E28" i="4" s="1"/>
  <c r="G28" i="4"/>
  <c r="F28" i="4" s="1"/>
  <c r="H28" i="4" s="1"/>
  <c r="B29" i="4"/>
  <c r="C29" i="4"/>
  <c r="D29" i="4" a="1"/>
  <c r="D29" i="4" s="1"/>
  <c r="H29" i="4" s="1"/>
  <c r="E29" i="4" a="1"/>
  <c r="E29" i="4"/>
  <c r="G29" i="4"/>
  <c r="F29" i="4" s="1"/>
  <c r="B30" i="4"/>
  <c r="C30" i="4"/>
  <c r="D30" i="4" a="1"/>
  <c r="D30" i="4" s="1"/>
  <c r="E30" i="4" a="1"/>
  <c r="E30" i="4" s="1"/>
  <c r="G30" i="4"/>
  <c r="F30" i="4" s="1"/>
  <c r="H30" i="4" s="1"/>
  <c r="B31" i="4"/>
  <c r="C31" i="4"/>
  <c r="D31" i="4" a="1"/>
  <c r="D31" i="4"/>
  <c r="E31" i="4" a="1"/>
  <c r="E31" i="4"/>
  <c r="F31" i="4"/>
  <c r="G31" i="4"/>
  <c r="B32" i="4"/>
  <c r="C32" i="4"/>
  <c r="D32" i="4" a="1"/>
  <c r="D32" i="4"/>
  <c r="E32" i="4" a="1"/>
  <c r="E32" i="4"/>
  <c r="G32" i="4"/>
  <c r="F32" i="4" s="1"/>
  <c r="B33" i="4"/>
  <c r="C33" i="4"/>
  <c r="D33" i="4" a="1"/>
  <c r="D33" i="4" s="1"/>
  <c r="E33" i="4" a="1"/>
  <c r="E33" i="4" s="1"/>
  <c r="G33" i="4"/>
  <c r="F33" i="4" s="1"/>
  <c r="B34" i="4"/>
  <c r="C34" i="4"/>
  <c r="D34" i="4" a="1"/>
  <c r="D34" i="4" s="1"/>
  <c r="E34" i="4" a="1"/>
  <c r="E34" i="4"/>
  <c r="G34" i="4"/>
  <c r="F34" i="4" s="1"/>
  <c r="B35" i="4"/>
  <c r="C35" i="4"/>
  <c r="D35" i="4" a="1"/>
  <c r="D35" i="4" s="1"/>
  <c r="E35" i="4" a="1"/>
  <c r="E35" i="4"/>
  <c r="G35" i="4"/>
  <c r="F35" i="4" s="1"/>
  <c r="B36" i="4"/>
  <c r="C36" i="4"/>
  <c r="D36" i="4" a="1"/>
  <c r="D36" i="4" s="1"/>
  <c r="E36" i="4" a="1"/>
  <c r="E36" i="4"/>
  <c r="F36" i="4"/>
  <c r="G36" i="4"/>
  <c r="B37" i="4"/>
  <c r="C37" i="4"/>
  <c r="D37" i="4" a="1"/>
  <c r="D37" i="4"/>
  <c r="H37" i="4" s="1"/>
  <c r="E37" i="4" a="1"/>
  <c r="E37" i="4"/>
  <c r="F37" i="4"/>
  <c r="G37" i="4"/>
  <c r="B38" i="4"/>
  <c r="C38" i="4"/>
  <c r="D38" i="4" a="1"/>
  <c r="D38" i="4"/>
  <c r="E38" i="4" a="1"/>
  <c r="E38" i="4" s="1"/>
  <c r="G38" i="4"/>
  <c r="F38" i="4" s="1"/>
  <c r="B39" i="4"/>
  <c r="C39" i="4"/>
  <c r="D39" i="4" a="1"/>
  <c r="D39" i="4"/>
  <c r="H39" i="4" s="1"/>
  <c r="E39" i="4" a="1"/>
  <c r="E39" i="4" s="1"/>
  <c r="F39" i="4"/>
  <c r="G39" i="4"/>
  <c r="B40" i="4"/>
  <c r="C40" i="4"/>
  <c r="D40" i="4" a="1"/>
  <c r="D40" i="4" s="1"/>
  <c r="E40" i="4" a="1"/>
  <c r="E40" i="4"/>
  <c r="G40" i="4"/>
  <c r="F40" i="4" s="1"/>
  <c r="H40" i="4" s="1"/>
  <c r="B41" i="4"/>
  <c r="C41" i="4"/>
  <c r="D41" i="4" a="1"/>
  <c r="D41" i="4"/>
  <c r="E41" i="4" a="1"/>
  <c r="E41" i="4" s="1"/>
  <c r="F41" i="4"/>
  <c r="G41" i="4"/>
  <c r="B42" i="4"/>
  <c r="C42" i="4"/>
  <c r="D42" i="4" a="1"/>
  <c r="D42" i="4"/>
  <c r="E42" i="4" a="1"/>
  <c r="E42" i="4"/>
  <c r="F42" i="4"/>
  <c r="H42" i="4" s="1"/>
  <c r="G42" i="4"/>
  <c r="B43" i="4"/>
  <c r="C43" i="4"/>
  <c r="D43" i="4" a="1"/>
  <c r="D43" i="4" s="1"/>
  <c r="E43" i="4" a="1"/>
  <c r="E43" i="4" s="1"/>
  <c r="G43" i="4"/>
  <c r="F43" i="4" s="1"/>
  <c r="B44" i="4"/>
  <c r="C44" i="4"/>
  <c r="D44" i="4" a="1"/>
  <c r="D44" i="4"/>
  <c r="E44" i="4" a="1"/>
  <c r="E44" i="4" s="1"/>
  <c r="G44" i="4"/>
  <c r="F44" i="4" s="1"/>
  <c r="H44" i="4" s="1"/>
  <c r="B45" i="4"/>
  <c r="C45" i="4"/>
  <c r="D45" i="4" a="1"/>
  <c r="D45" i="4" s="1"/>
  <c r="E45" i="4" a="1"/>
  <c r="E45" i="4" s="1"/>
  <c r="G45" i="4"/>
  <c r="F45" i="4" s="1"/>
  <c r="B46" i="4"/>
  <c r="C46" i="4"/>
  <c r="D46" i="4" a="1"/>
  <c r="D46" i="4" s="1"/>
  <c r="E46" i="4" a="1"/>
  <c r="E46" i="4"/>
  <c r="F46" i="4"/>
  <c r="H46" i="4" s="1"/>
  <c r="G46" i="4"/>
  <c r="B47" i="4"/>
  <c r="C47" i="4"/>
  <c r="D47" i="4" a="1"/>
  <c r="D47" i="4"/>
  <c r="E47" i="4" a="1"/>
  <c r="E47" i="4"/>
  <c r="F47" i="4"/>
  <c r="G47" i="4"/>
  <c r="B48" i="4"/>
  <c r="C48" i="4"/>
  <c r="D48" i="4" a="1"/>
  <c r="D48" i="4" s="1"/>
  <c r="E48" i="4" a="1"/>
  <c r="E48" i="4"/>
  <c r="G48" i="4"/>
  <c r="F48" i="4" s="1"/>
  <c r="H48" i="4"/>
  <c r="B49" i="4"/>
  <c r="C49" i="4"/>
  <c r="D49" i="4" a="1"/>
  <c r="D49" i="4" s="1"/>
  <c r="E49" i="4" a="1"/>
  <c r="E49" i="4" s="1"/>
  <c r="G49" i="4"/>
  <c r="F49" i="4" s="1"/>
  <c r="B50" i="4"/>
  <c r="C50" i="4"/>
  <c r="D50" i="4" a="1"/>
  <c r="D50" i="4" s="1"/>
  <c r="E50" i="4" a="1"/>
  <c r="E50" i="4" s="1"/>
  <c r="G50" i="4"/>
  <c r="F50" i="4" s="1"/>
  <c r="B51" i="4"/>
  <c r="C51" i="4"/>
  <c r="D51" i="4" a="1"/>
  <c r="D51" i="4" s="1"/>
  <c r="E51" i="4" a="1"/>
  <c r="E51" i="4"/>
  <c r="G51" i="4"/>
  <c r="F51" i="4" s="1"/>
  <c r="B52" i="4"/>
  <c r="C52" i="4"/>
  <c r="D52" i="4" a="1"/>
  <c r="D52" i="4" s="1"/>
  <c r="E52" i="4" a="1"/>
  <c r="E52" i="4" s="1"/>
  <c r="F52" i="4"/>
  <c r="G52" i="4"/>
  <c r="B53" i="4"/>
  <c r="C53" i="4"/>
  <c r="D53" i="4" a="1"/>
  <c r="D53" i="4"/>
  <c r="E53" i="4" a="1"/>
  <c r="E53" i="4"/>
  <c r="G53" i="4"/>
  <c r="F53" i="4" s="1"/>
  <c r="B54" i="4"/>
  <c r="C54" i="4"/>
  <c r="D54" i="4" a="1"/>
  <c r="D54" i="4"/>
  <c r="E54" i="4" a="1"/>
  <c r="E54" i="4" s="1"/>
  <c r="G54" i="4"/>
  <c r="F54" i="4" s="1"/>
  <c r="B55" i="4"/>
  <c r="C55" i="4"/>
  <c r="D55" i="4" a="1"/>
  <c r="D55" i="4"/>
  <c r="E55" i="4" a="1"/>
  <c r="E55" i="4"/>
  <c r="F55" i="4"/>
  <c r="G55" i="4"/>
  <c r="B56" i="4"/>
  <c r="C56" i="4"/>
  <c r="D56" i="4" a="1"/>
  <c r="D56" i="4" s="1"/>
  <c r="E56" i="4" a="1"/>
  <c r="E56" i="4"/>
  <c r="G56" i="4"/>
  <c r="F56" i="4" s="1"/>
  <c r="H56" i="4"/>
  <c r="B57" i="4"/>
  <c r="C57" i="4"/>
  <c r="D57" i="4" a="1"/>
  <c r="D57" i="4" s="1"/>
  <c r="E57" i="4" a="1"/>
  <c r="E57" i="4"/>
  <c r="F57" i="4"/>
  <c r="G57" i="4"/>
  <c r="B58" i="4"/>
  <c r="C58" i="4"/>
  <c r="D58" i="4" a="1"/>
  <c r="D58" i="4"/>
  <c r="E58" i="4" a="1"/>
  <c r="E58" i="4"/>
  <c r="F58" i="4"/>
  <c r="H58" i="4" s="1"/>
  <c r="G58" i="4"/>
  <c r="B59" i="4"/>
  <c r="C59" i="4"/>
  <c r="D59" i="4" a="1"/>
  <c r="D59" i="4" s="1"/>
  <c r="E59" i="4" a="1"/>
  <c r="E59" i="4" s="1"/>
  <c r="F59" i="4"/>
  <c r="G59" i="4"/>
  <c r="B60" i="4"/>
  <c r="C60" i="4"/>
  <c r="D60" i="4" a="1"/>
  <c r="D60" i="4"/>
  <c r="E60" i="4" a="1"/>
  <c r="E60" i="4" s="1"/>
  <c r="G60" i="4"/>
  <c r="F60" i="4" s="1"/>
  <c r="H60" i="4" s="1"/>
  <c r="B61" i="4"/>
  <c r="C61" i="4"/>
  <c r="D61" i="4" a="1"/>
  <c r="D61" i="4"/>
  <c r="H61" i="4" s="1"/>
  <c r="E61" i="4" a="1"/>
  <c r="E61" i="4" s="1"/>
  <c r="G61" i="4"/>
  <c r="F61" i="4" s="1"/>
  <c r="B62" i="4"/>
  <c r="C62" i="4"/>
  <c r="D62" i="4" a="1"/>
  <c r="D62" i="4" s="1"/>
  <c r="E62" i="4" a="1"/>
  <c r="E62" i="4"/>
  <c r="G62" i="4"/>
  <c r="F62" i="4" s="1"/>
  <c r="H62" i="4"/>
  <c r="B63" i="4"/>
  <c r="C63" i="4"/>
  <c r="D63" i="4" a="1"/>
  <c r="D63" i="4"/>
  <c r="E63" i="4" a="1"/>
  <c r="E63" i="4"/>
  <c r="F63" i="4"/>
  <c r="G63" i="4"/>
  <c r="B64" i="4"/>
  <c r="C64" i="4"/>
  <c r="D64" i="4" a="1"/>
  <c r="D64" i="4" s="1"/>
  <c r="E64" i="4" a="1"/>
  <c r="E64" i="4" s="1"/>
  <c r="G64" i="4"/>
  <c r="F64" i="4" s="1"/>
  <c r="B65" i="4"/>
  <c r="C65" i="4"/>
  <c r="D65" i="4" a="1"/>
  <c r="D65" i="4" s="1"/>
  <c r="E65" i="4" a="1"/>
  <c r="E65" i="4" s="1"/>
  <c r="G65" i="4"/>
  <c r="F65" i="4" s="1"/>
  <c r="B66" i="4"/>
  <c r="C66" i="4"/>
  <c r="D66" i="4" a="1"/>
  <c r="D66" i="4" s="1"/>
  <c r="E66" i="4" a="1"/>
  <c r="E66" i="4" s="1"/>
  <c r="F66" i="4"/>
  <c r="G66" i="4"/>
  <c r="B67" i="4"/>
  <c r="C67" i="4"/>
  <c r="D67" i="4" a="1"/>
  <c r="D67" i="4" s="1"/>
  <c r="E67" i="4" a="1"/>
  <c r="E67" i="4"/>
  <c r="G67" i="4"/>
  <c r="F67" i="4" s="1"/>
  <c r="H67" i="4" s="1"/>
  <c r="B68" i="4"/>
  <c r="C68" i="4"/>
  <c r="D68" i="4" a="1"/>
  <c r="D68" i="4" s="1"/>
  <c r="E68" i="4" a="1"/>
  <c r="E68" i="4" s="1"/>
  <c r="F68" i="4"/>
  <c r="G68" i="4"/>
  <c r="B69" i="4"/>
  <c r="C69" i="4"/>
  <c r="D69" i="4" a="1"/>
  <c r="D69" i="4"/>
  <c r="E69" i="4" a="1"/>
  <c r="E69" i="4"/>
  <c r="G69" i="4"/>
  <c r="F69" i="4" s="1"/>
  <c r="B70" i="4"/>
  <c r="C70" i="4"/>
  <c r="D70" i="4" a="1"/>
  <c r="D70" i="4"/>
  <c r="E70" i="4" a="1"/>
  <c r="E70" i="4" s="1"/>
  <c r="G70" i="4"/>
  <c r="F70" i="4" s="1"/>
  <c r="B71" i="4"/>
  <c r="C71" i="4"/>
  <c r="D71" i="4" a="1"/>
  <c r="D71" i="4"/>
  <c r="E71" i="4" a="1"/>
  <c r="E71" i="4"/>
  <c r="G71" i="4"/>
  <c r="F71" i="4" s="1"/>
  <c r="H71" i="4" s="1"/>
  <c r="B72" i="4"/>
  <c r="C72" i="4"/>
  <c r="D72" i="4" a="1"/>
  <c r="D72" i="4" s="1"/>
  <c r="E72" i="4" a="1"/>
  <c r="E72" i="4"/>
  <c r="G72" i="4"/>
  <c r="F72" i="4" s="1"/>
  <c r="H72" i="4"/>
  <c r="B73" i="4"/>
  <c r="C73" i="4"/>
  <c r="D73" i="4" a="1"/>
  <c r="D73" i="4" s="1"/>
  <c r="E73" i="4" a="1"/>
  <c r="E73" i="4" s="1"/>
  <c r="F73" i="4"/>
  <c r="G73" i="4"/>
  <c r="H73" i="4"/>
  <c r="B74" i="4"/>
  <c r="C74" i="4"/>
  <c r="D74" i="4" a="1"/>
  <c r="D74" i="4"/>
  <c r="E74" i="4" a="1"/>
  <c r="E74" i="4"/>
  <c r="F74" i="4"/>
  <c r="G74" i="4"/>
  <c r="H74" i="4"/>
  <c r="B75" i="4"/>
  <c r="C75" i="4"/>
  <c r="D75" i="4" a="1"/>
  <c r="D75" i="4" s="1"/>
  <c r="E75" i="4" a="1"/>
  <c r="E75" i="4" s="1"/>
  <c r="F75" i="4"/>
  <c r="G75" i="4"/>
  <c r="B76" i="4"/>
  <c r="C76" i="4"/>
  <c r="D76" i="4" a="1"/>
  <c r="D76" i="4"/>
  <c r="E76" i="4" a="1"/>
  <c r="E76" i="4" s="1"/>
  <c r="F76" i="4"/>
  <c r="G76" i="4"/>
  <c r="H76" i="4"/>
  <c r="B77" i="4"/>
  <c r="C77" i="4"/>
  <c r="D77" i="4" a="1"/>
  <c r="D77" i="4" s="1"/>
  <c r="E77" i="4" a="1"/>
  <c r="E77" i="4" s="1"/>
  <c r="G77" i="4"/>
  <c r="F77" i="4" s="1"/>
  <c r="B78" i="4"/>
  <c r="C78" i="4"/>
  <c r="D78" i="4" a="1"/>
  <c r="D78" i="4" s="1"/>
  <c r="E78" i="4" a="1"/>
  <c r="E78" i="4"/>
  <c r="G78" i="4"/>
  <c r="F78" i="4" s="1"/>
  <c r="B79" i="4"/>
  <c r="C79" i="4"/>
  <c r="D79" i="4" a="1"/>
  <c r="D79" i="4"/>
  <c r="H79" i="4" s="1"/>
  <c r="E79" i="4" a="1"/>
  <c r="E79" i="4" s="1"/>
  <c r="F79" i="4"/>
  <c r="G79" i="4"/>
  <c r="B80" i="4"/>
  <c r="C80" i="4"/>
  <c r="D80" i="4" a="1"/>
  <c r="D80" i="4" s="1"/>
  <c r="E80" i="4" a="1"/>
  <c r="E80" i="4"/>
  <c r="G80" i="4"/>
  <c r="F80" i="4" s="1"/>
  <c r="B81" i="4"/>
  <c r="C81" i="4"/>
  <c r="D81" i="4" a="1"/>
  <c r="D81" i="4" s="1"/>
  <c r="E81" i="4" a="1"/>
  <c r="E81" i="4" s="1"/>
  <c r="G81" i="4"/>
  <c r="F81" i="4" s="1"/>
  <c r="B82" i="4"/>
  <c r="C82" i="4"/>
  <c r="D82" i="4" a="1"/>
  <c r="D82" i="4" s="1"/>
  <c r="E82" i="4" a="1"/>
  <c r="E82" i="4" s="1"/>
  <c r="G82" i="4"/>
  <c r="F82" i="4" s="1"/>
  <c r="B83" i="4"/>
  <c r="C83" i="4"/>
  <c r="D83" i="4" a="1"/>
  <c r="D83" i="4" s="1"/>
  <c r="E83" i="4" a="1"/>
  <c r="E83" i="4"/>
  <c r="G83" i="4"/>
  <c r="F83" i="4" s="1"/>
  <c r="H83" i="4"/>
  <c r="B84" i="4"/>
  <c r="C84" i="4"/>
  <c r="D84" i="4" a="1"/>
  <c r="D84" i="4" s="1"/>
  <c r="E84" i="4" a="1"/>
  <c r="E84" i="4" s="1"/>
  <c r="F84" i="4"/>
  <c r="G84" i="4"/>
  <c r="B85" i="4"/>
  <c r="C85" i="4"/>
  <c r="D85" i="4" a="1"/>
  <c r="D85" i="4"/>
  <c r="E85" i="4" a="1"/>
  <c r="E85" i="4"/>
  <c r="G85" i="4"/>
  <c r="F85" i="4" s="1"/>
  <c r="H85" i="4" s="1"/>
  <c r="B86" i="4"/>
  <c r="C86" i="4"/>
  <c r="D86" i="4" a="1"/>
  <c r="D86" i="4"/>
  <c r="H86" i="4" s="1"/>
  <c r="E86" i="4" a="1"/>
  <c r="E86" i="4" s="1"/>
  <c r="G86" i="4"/>
  <c r="F86" i="4" s="1"/>
  <c r="B87" i="4"/>
  <c r="C87" i="4"/>
  <c r="D87" i="4" a="1"/>
  <c r="D87" i="4"/>
  <c r="E87" i="4" a="1"/>
  <c r="E87" i="4"/>
  <c r="G87" i="4"/>
  <c r="F87" i="4" s="1"/>
  <c r="H87" i="4" s="1"/>
  <c r="B88" i="4"/>
  <c r="C88" i="4"/>
  <c r="D88" i="4" a="1"/>
  <c r="D88" i="4" s="1"/>
  <c r="E88" i="4" a="1"/>
  <c r="E88" i="4"/>
  <c r="G88" i="4"/>
  <c r="F88" i="4" s="1"/>
  <c r="B89" i="4"/>
  <c r="C89" i="4"/>
  <c r="D89" i="4" a="1"/>
  <c r="D89" i="4" s="1"/>
  <c r="E89" i="4" a="1"/>
  <c r="E89" i="4"/>
  <c r="G89" i="4"/>
  <c r="F89" i="4" s="1"/>
  <c r="H89" i="4" s="1"/>
  <c r="B90" i="4"/>
  <c r="C90" i="4"/>
  <c r="D90" i="4" a="1"/>
  <c r="D90" i="4"/>
  <c r="E90" i="4" a="1"/>
  <c r="E90" i="4"/>
  <c r="F90" i="4"/>
  <c r="G90" i="4"/>
  <c r="H90" i="4"/>
  <c r="B91" i="4"/>
  <c r="C91" i="4"/>
  <c r="D91" i="4" a="1"/>
  <c r="D91" i="4"/>
  <c r="E91" i="4" a="1"/>
  <c r="E91" i="4"/>
  <c r="F91" i="4"/>
  <c r="G91" i="4"/>
  <c r="B92" i="4"/>
  <c r="C92" i="4"/>
  <c r="D92" i="4" a="1"/>
  <c r="D92" i="4"/>
  <c r="E92" i="4" a="1"/>
  <c r="E92" i="4" s="1"/>
  <c r="G92" i="4"/>
  <c r="F92" i="4" s="1"/>
  <c r="H92" i="4" s="1"/>
  <c r="B93" i="4"/>
  <c r="C93" i="4"/>
  <c r="D93" i="4" a="1"/>
  <c r="D93" i="4"/>
  <c r="E93" i="4" a="1"/>
  <c r="E93" i="4"/>
  <c r="G93" i="4"/>
  <c r="F93" i="4" s="1"/>
  <c r="B94" i="4"/>
  <c r="C94" i="4"/>
  <c r="D94" i="4" a="1"/>
  <c r="D94" i="4" s="1"/>
  <c r="E94" i="4" a="1"/>
  <c r="E94" i="4"/>
  <c r="F94" i="4"/>
  <c r="G94" i="4"/>
  <c r="B95" i="4"/>
  <c r="C95" i="4"/>
  <c r="D95" i="4" a="1"/>
  <c r="D95" i="4"/>
  <c r="H95" i="4" s="1"/>
  <c r="E95" i="4" a="1"/>
  <c r="E95" i="4" s="1"/>
  <c r="F95" i="4"/>
  <c r="G95" i="4"/>
  <c r="B96" i="4"/>
  <c r="C96" i="4"/>
  <c r="D96" i="4" a="1"/>
  <c r="D96" i="4"/>
  <c r="H96" i="4" s="1"/>
  <c r="E96" i="4" a="1"/>
  <c r="E96" i="4"/>
  <c r="F96" i="4"/>
  <c r="G96" i="4"/>
  <c r="B97" i="4"/>
  <c r="C97" i="4"/>
  <c r="D97" i="4" a="1"/>
  <c r="D97" i="4" s="1"/>
  <c r="E97" i="4" a="1"/>
  <c r="E97" i="4" s="1"/>
  <c r="G97" i="4"/>
  <c r="F97" i="4" s="1"/>
  <c r="B98" i="4"/>
  <c r="C98" i="4"/>
  <c r="D98" i="4" a="1"/>
  <c r="D98" i="4"/>
  <c r="E98" i="4" a="1"/>
  <c r="E98" i="4" s="1"/>
  <c r="G98" i="4"/>
  <c r="F98" i="4" s="1"/>
  <c r="B99" i="4"/>
  <c r="C99" i="4"/>
  <c r="D99" i="4" a="1"/>
  <c r="D99" i="4" s="1"/>
  <c r="E99" i="4" a="1"/>
  <c r="E99" i="4"/>
  <c r="G99" i="4"/>
  <c r="F99" i="4" s="1"/>
  <c r="H99" i="4"/>
  <c r="B100" i="4"/>
  <c r="C100" i="4"/>
  <c r="D100" i="4" a="1"/>
  <c r="D100" i="4" s="1"/>
  <c r="H100" i="4" s="1"/>
  <c r="E100" i="4" a="1"/>
  <c r="E100" i="4"/>
  <c r="F100" i="4"/>
  <c r="G100" i="4"/>
  <c r="B101" i="4"/>
  <c r="C101" i="4"/>
  <c r="D101" i="4" a="1"/>
  <c r="D101" i="4"/>
  <c r="E101" i="4" a="1"/>
  <c r="E101" i="4"/>
  <c r="G101" i="4"/>
  <c r="F101" i="4" s="1"/>
  <c r="H101" i="4" s="1"/>
  <c r="B102" i="4"/>
  <c r="C102" i="4"/>
  <c r="D102" i="4" a="1"/>
  <c r="D102" i="4"/>
  <c r="H102" i="4" s="1"/>
  <c r="E102" i="4" a="1"/>
  <c r="E102" i="4" s="1"/>
  <c r="G102" i="4"/>
  <c r="F102" i="4" s="1"/>
  <c r="B103" i="4"/>
  <c r="C103" i="4"/>
  <c r="D103" i="4" a="1"/>
  <c r="D103" i="4"/>
  <c r="E103" i="4" a="1"/>
  <c r="E103" i="4"/>
  <c r="G103" i="4"/>
  <c r="F103" i="4" s="1"/>
  <c r="H103" i="4"/>
  <c r="B104" i="4"/>
  <c r="C104" i="4"/>
  <c r="D104" i="4" a="1"/>
  <c r="D104" i="4" s="1"/>
  <c r="E104" i="4" a="1"/>
  <c r="E104" i="4"/>
  <c r="G104" i="4"/>
  <c r="F104" i="4" s="1"/>
  <c r="B105" i="4"/>
  <c r="C105" i="4"/>
  <c r="D105" i="4" a="1"/>
  <c r="D105" i="4"/>
  <c r="E105" i="4" a="1"/>
  <c r="E105" i="4"/>
  <c r="G105" i="4"/>
  <c r="F105" i="4" s="1"/>
  <c r="H105" i="4"/>
  <c r="B106" i="4"/>
  <c r="C106" i="4"/>
  <c r="D106" i="4" a="1"/>
  <c r="D106" i="4"/>
  <c r="E106" i="4" a="1"/>
  <c r="E106" i="4"/>
  <c r="F106" i="4"/>
  <c r="G106" i="4"/>
  <c r="H106" i="4"/>
  <c r="B107" i="4"/>
  <c r="C107" i="4"/>
  <c r="D107" i="4" a="1"/>
  <c r="D107" i="4"/>
  <c r="E107" i="4" a="1"/>
  <c r="E107" i="4"/>
  <c r="F107" i="4"/>
  <c r="G107" i="4"/>
  <c r="B108" i="4"/>
  <c r="C108" i="4"/>
  <c r="D108" i="4" a="1"/>
  <c r="D108" i="4"/>
  <c r="E108" i="4" a="1"/>
  <c r="E108" i="4" s="1"/>
  <c r="G108" i="4"/>
  <c r="F108" i="4" s="1"/>
  <c r="H108" i="4" s="1"/>
  <c r="B109" i="4"/>
  <c r="C109" i="4"/>
  <c r="D109" i="4" a="1"/>
  <c r="D109" i="4" s="1"/>
  <c r="E109" i="4" a="1"/>
  <c r="E109" i="4"/>
  <c r="G109" i="4"/>
  <c r="F109" i="4" s="1"/>
  <c r="B110" i="4"/>
  <c r="C110" i="4"/>
  <c r="D110" i="4" a="1"/>
  <c r="D110" i="4" s="1"/>
  <c r="E110" i="4" a="1"/>
  <c r="E110" i="4"/>
  <c r="F110" i="4"/>
  <c r="G110" i="4"/>
  <c r="B111" i="4"/>
  <c r="C111" i="4"/>
  <c r="D111" i="4" a="1"/>
  <c r="D111" i="4"/>
  <c r="H111" i="4" s="1"/>
  <c r="E111" i="4" a="1"/>
  <c r="E111" i="4" s="1"/>
  <c r="F111" i="4"/>
  <c r="G111" i="4"/>
  <c r="B112" i="4"/>
  <c r="C112" i="4"/>
  <c r="D112" i="4" a="1"/>
  <c r="D112" i="4" s="1"/>
  <c r="E112" i="4" a="1"/>
  <c r="E112" i="4"/>
  <c r="F112" i="4"/>
  <c r="G112" i="4"/>
  <c r="B113" i="4"/>
  <c r="C113" i="4"/>
  <c r="D113" i="4" a="1"/>
  <c r="D113" i="4" s="1"/>
  <c r="E113" i="4" a="1"/>
  <c r="E113" i="4" s="1"/>
  <c r="G113" i="4"/>
  <c r="F113" i="4" s="1"/>
  <c r="B114" i="4"/>
  <c r="C114" i="4"/>
  <c r="D114" i="4" a="1"/>
  <c r="D114" i="4" s="1"/>
  <c r="E114" i="4" a="1"/>
  <c r="E114" i="4" s="1"/>
  <c r="F114" i="4"/>
  <c r="H114" i="4" s="1"/>
  <c r="G114" i="4"/>
  <c r="B115" i="4"/>
  <c r="C115" i="4"/>
  <c r="D115" i="4" a="1"/>
  <c r="D115" i="4" s="1"/>
  <c r="E115" i="4" a="1"/>
  <c r="E115" i="4"/>
  <c r="G115" i="4"/>
  <c r="F115" i="4" s="1"/>
  <c r="H115" i="4" s="1"/>
  <c r="B116" i="4"/>
  <c r="C116" i="4"/>
  <c r="D116" i="4" a="1"/>
  <c r="D116" i="4" s="1"/>
  <c r="H116" i="4" s="1"/>
  <c r="E116" i="4" a="1"/>
  <c r="E116" i="4"/>
  <c r="F116" i="4"/>
  <c r="G116" i="4"/>
  <c r="B117" i="4"/>
  <c r="C117" i="4"/>
  <c r="D117" i="4" a="1"/>
  <c r="D117" i="4"/>
  <c r="E117" i="4" a="1"/>
  <c r="E117" i="4"/>
  <c r="F117" i="4"/>
  <c r="G117" i="4"/>
  <c r="B118" i="4"/>
  <c r="C118" i="4"/>
  <c r="D118" i="4" a="1"/>
  <c r="D118" i="4"/>
  <c r="E118" i="4" a="1"/>
  <c r="E118" i="4" s="1"/>
  <c r="G118" i="4"/>
  <c r="F118" i="4" s="1"/>
  <c r="B119" i="4"/>
  <c r="C119" i="4"/>
  <c r="D119" i="4" a="1"/>
  <c r="D119" i="4"/>
  <c r="E119" i="4" a="1"/>
  <c r="E119" i="4" s="1"/>
  <c r="G119" i="4"/>
  <c r="F119" i="4" s="1"/>
  <c r="B120" i="4"/>
  <c r="C120" i="4"/>
  <c r="D120" i="4" a="1"/>
  <c r="D120" i="4" s="1"/>
  <c r="E120" i="4" a="1"/>
  <c r="E120" i="4"/>
  <c r="G120" i="4"/>
  <c r="F120" i="4" s="1"/>
  <c r="H120" i="4"/>
  <c r="B121" i="4"/>
  <c r="C121" i="4"/>
  <c r="D121" i="4" a="1"/>
  <c r="D121" i="4"/>
  <c r="E121" i="4" a="1"/>
  <c r="E121" i="4" s="1"/>
  <c r="G121" i="4"/>
  <c r="F121" i="4" s="1"/>
  <c r="B122" i="4"/>
  <c r="C122" i="4"/>
  <c r="D122" i="4" a="1"/>
  <c r="D122" i="4"/>
  <c r="E122" i="4" a="1"/>
  <c r="E122" i="4"/>
  <c r="F122" i="4"/>
  <c r="G122" i="4"/>
  <c r="H122" i="4"/>
  <c r="B123" i="4"/>
  <c r="C123" i="4"/>
  <c r="D123" i="4" a="1"/>
  <c r="D123" i="4" s="1"/>
  <c r="H123" i="4" s="1"/>
  <c r="E123" i="4" a="1"/>
  <c r="E123" i="4"/>
  <c r="F123" i="4"/>
  <c r="G123" i="4"/>
  <c r="B124" i="4"/>
  <c r="C124" i="4"/>
  <c r="D124" i="4" a="1"/>
  <c r="D124" i="4"/>
  <c r="E124" i="4" a="1"/>
  <c r="E124" i="4" s="1"/>
  <c r="F124" i="4"/>
  <c r="G124" i="4"/>
  <c r="H124" i="4"/>
  <c r="B125" i="4"/>
  <c r="C125" i="4"/>
  <c r="D125" i="4" a="1"/>
  <c r="D125" i="4" s="1"/>
  <c r="H125" i="4" s="1"/>
  <c r="E125" i="4" a="1"/>
  <c r="E125" i="4"/>
  <c r="G125" i="4"/>
  <c r="F125" i="4" s="1"/>
  <c r="B126" i="4"/>
  <c r="C126" i="4"/>
  <c r="D126" i="4" a="1"/>
  <c r="D126" i="4" s="1"/>
  <c r="E126" i="4" a="1"/>
  <c r="E126" i="4"/>
  <c r="F126" i="4"/>
  <c r="G126" i="4"/>
  <c r="H126" i="4"/>
  <c r="B127" i="4"/>
  <c r="C127" i="4"/>
  <c r="D127" i="4" a="1"/>
  <c r="D127" i="4" s="1"/>
  <c r="E127" i="4" a="1"/>
  <c r="E127" i="4" s="1"/>
  <c r="F127" i="4"/>
  <c r="G127" i="4"/>
  <c r="B128" i="4"/>
  <c r="C128" i="4"/>
  <c r="D128" i="4" a="1"/>
  <c r="D128" i="4"/>
  <c r="E128" i="4" a="1"/>
  <c r="E128" i="4"/>
  <c r="G128" i="4"/>
  <c r="F128" i="4" s="1"/>
  <c r="H128" i="4" s="1"/>
  <c r="B129" i="4"/>
  <c r="C129" i="4"/>
  <c r="D129" i="4" a="1"/>
  <c r="D129" i="4" s="1"/>
  <c r="E129" i="4" a="1"/>
  <c r="E129" i="4" s="1"/>
  <c r="G129" i="4"/>
  <c r="F129" i="4" s="1"/>
  <c r="B130" i="4"/>
  <c r="C130" i="4"/>
  <c r="D130" i="4" a="1"/>
  <c r="D130" i="4" s="1"/>
  <c r="H130" i="4" s="1"/>
  <c r="E130" i="4" a="1"/>
  <c r="E130" i="4"/>
  <c r="G130" i="4"/>
  <c r="F130" i="4" s="1"/>
  <c r="B131" i="4"/>
  <c r="C131" i="4"/>
  <c r="D131" i="4" a="1"/>
  <c r="D131" i="4" s="1"/>
  <c r="E131" i="4" a="1"/>
  <c r="E131" i="4"/>
  <c r="G131" i="4"/>
  <c r="F131" i="4" s="1"/>
  <c r="B132" i="4"/>
  <c r="C132" i="4"/>
  <c r="D132" i="4" a="1"/>
  <c r="D132" i="4" s="1"/>
  <c r="E132" i="4" a="1"/>
  <c r="E132" i="4"/>
  <c r="F132" i="4"/>
  <c r="G132" i="4"/>
  <c r="B133" i="4"/>
  <c r="C133" i="4"/>
  <c r="D133" i="4" a="1"/>
  <c r="D133" i="4"/>
  <c r="E133" i="4" a="1"/>
  <c r="E133" i="4"/>
  <c r="F133" i="4"/>
  <c r="G133" i="4"/>
  <c r="B134" i="4"/>
  <c r="C134" i="4"/>
  <c r="D134" i="4" a="1"/>
  <c r="D134" i="4"/>
  <c r="E134" i="4" a="1"/>
  <c r="E134" i="4" s="1"/>
  <c r="G134" i="4"/>
  <c r="F134" i="4" s="1"/>
  <c r="B135" i="4"/>
  <c r="C135" i="4"/>
  <c r="D135" i="4" a="1"/>
  <c r="D135" i="4"/>
  <c r="H135" i="4" s="1"/>
  <c r="E135" i="4" a="1"/>
  <c r="E135" i="4" s="1"/>
  <c r="F135" i="4"/>
  <c r="G135" i="4"/>
  <c r="B136" i="4"/>
  <c r="C136" i="4"/>
  <c r="D136" i="4" a="1"/>
  <c r="D136" i="4" s="1"/>
  <c r="E136" i="4" a="1"/>
  <c r="E136" i="4"/>
  <c r="G136" i="4"/>
  <c r="F136" i="4" s="1"/>
  <c r="B137" i="4"/>
  <c r="C137" i="4"/>
  <c r="D137" i="4" a="1"/>
  <c r="D137" i="4"/>
  <c r="E137" i="4" a="1"/>
  <c r="E137" i="4" s="1"/>
  <c r="F137" i="4"/>
  <c r="G137" i="4"/>
  <c r="B138" i="4"/>
  <c r="C138" i="4"/>
  <c r="D138" i="4" a="1"/>
  <c r="D138" i="4"/>
  <c r="E138" i="4" a="1"/>
  <c r="E138" i="4"/>
  <c r="F138" i="4"/>
  <c r="G138" i="4"/>
  <c r="H138" i="4"/>
  <c r="B139" i="4"/>
  <c r="C139" i="4"/>
  <c r="D139" i="4" a="1"/>
  <c r="D139" i="4" s="1"/>
  <c r="E139" i="4" a="1"/>
  <c r="E139" i="4" s="1"/>
  <c r="G139" i="4"/>
  <c r="F139" i="4" s="1"/>
  <c r="B140" i="4"/>
  <c r="C140" i="4"/>
  <c r="D140" i="4" a="1"/>
  <c r="D140" i="4"/>
  <c r="E140" i="4" a="1"/>
  <c r="E140" i="4" s="1"/>
  <c r="G140" i="4"/>
  <c r="F140" i="4" s="1"/>
  <c r="H140" i="4" s="1"/>
  <c r="B141" i="4"/>
  <c r="C141" i="4"/>
  <c r="D141" i="4" a="1"/>
  <c r="D141" i="4" s="1"/>
  <c r="E141" i="4" a="1"/>
  <c r="E141" i="4" s="1"/>
  <c r="G141" i="4"/>
  <c r="F141" i="4" s="1"/>
  <c r="B142" i="4"/>
  <c r="C142" i="4"/>
  <c r="D142" i="4" a="1"/>
  <c r="D142" i="4" s="1"/>
  <c r="E142" i="4" a="1"/>
  <c r="E142" i="4"/>
  <c r="F142" i="4"/>
  <c r="H142" i="4" s="1"/>
  <c r="G142" i="4"/>
  <c r="B143" i="4"/>
  <c r="C143" i="4"/>
  <c r="D143" i="4" a="1"/>
  <c r="D143" i="4"/>
  <c r="E143" i="4" a="1"/>
  <c r="E143" i="4" s="1"/>
  <c r="F143" i="4"/>
  <c r="G143" i="4"/>
  <c r="B144" i="4"/>
  <c r="C144" i="4"/>
  <c r="D144" i="4" a="1"/>
  <c r="D144" i="4" s="1"/>
  <c r="E144" i="4" a="1"/>
  <c r="E144" i="4"/>
  <c r="F144" i="4"/>
  <c r="H144" i="4" s="1"/>
  <c r="G144" i="4"/>
  <c r="B145" i="4"/>
  <c r="C145" i="4"/>
  <c r="D145" i="4" a="1"/>
  <c r="D145" i="4" s="1"/>
  <c r="E145" i="4" a="1"/>
  <c r="E145" i="4" s="1"/>
  <c r="G145" i="4"/>
  <c r="F145" i="4" s="1"/>
  <c r="B146" i="4"/>
  <c r="C146" i="4"/>
  <c r="D146" i="4" a="1"/>
  <c r="D146" i="4"/>
  <c r="E146" i="4" a="1"/>
  <c r="E146" i="4" s="1"/>
  <c r="G146" i="4"/>
  <c r="F146" i="4" s="1"/>
  <c r="H146" i="4"/>
  <c r="B147" i="4"/>
  <c r="C147" i="4"/>
  <c r="D147" i="4" a="1"/>
  <c r="D147" i="4" s="1"/>
  <c r="E147" i="4" a="1"/>
  <c r="E147" i="4"/>
  <c r="G147" i="4"/>
  <c r="F147" i="4" s="1"/>
  <c r="B148" i="4"/>
  <c r="C148" i="4"/>
  <c r="D148" i="4" a="1"/>
  <c r="D148" i="4"/>
  <c r="E148" i="4" a="1"/>
  <c r="E148" i="4" s="1"/>
  <c r="F148" i="4"/>
  <c r="G148" i="4"/>
  <c r="B149" i="4"/>
  <c r="C149" i="4"/>
  <c r="D149" i="4" a="1"/>
  <c r="D149" i="4"/>
  <c r="E149" i="4" a="1"/>
  <c r="E149" i="4"/>
  <c r="F149" i="4"/>
  <c r="G149" i="4"/>
  <c r="B150" i="4"/>
  <c r="C150" i="4"/>
  <c r="D150" i="4" a="1"/>
  <c r="D150" i="4"/>
  <c r="H150" i="4" s="1"/>
  <c r="E150" i="4" a="1"/>
  <c r="E150" i="4" s="1"/>
  <c r="G150" i="4"/>
  <c r="F150" i="4" s="1"/>
  <c r="B151" i="4"/>
  <c r="C151" i="4"/>
  <c r="D151" i="4" a="1"/>
  <c r="D151" i="4"/>
  <c r="E151" i="4" a="1"/>
  <c r="E151" i="4"/>
  <c r="G151" i="4"/>
  <c r="F151" i="4" s="1"/>
  <c r="B152" i="4"/>
  <c r="C152" i="4"/>
  <c r="D152" i="4" a="1"/>
  <c r="D152" i="4" s="1"/>
  <c r="H152" i="4" s="1"/>
  <c r="E152" i="4" a="1"/>
  <c r="E152" i="4"/>
  <c r="G152" i="4"/>
  <c r="F152" i="4" s="1"/>
  <c r="B153" i="4"/>
  <c r="C153" i="4"/>
  <c r="D153" i="4" a="1"/>
  <c r="D153" i="4"/>
  <c r="E153" i="4" a="1"/>
  <c r="E153" i="4" s="1"/>
  <c r="G153" i="4"/>
  <c r="F153" i="4" s="1"/>
  <c r="B154" i="4"/>
  <c r="C154" i="4"/>
  <c r="D154" i="4" a="1"/>
  <c r="D154" i="4"/>
  <c r="E154" i="4" a="1"/>
  <c r="E154" i="4"/>
  <c r="F154" i="4"/>
  <c r="H154" i="4" s="1"/>
  <c r="G154" i="4"/>
  <c r="B155" i="4"/>
  <c r="C155" i="4"/>
  <c r="D155" i="4" a="1"/>
  <c r="D155" i="4"/>
  <c r="E155" i="4" a="1"/>
  <c r="E155" i="4"/>
  <c r="G155" i="4"/>
  <c r="F155" i="4" s="1"/>
  <c r="B156" i="4"/>
  <c r="C156" i="4"/>
  <c r="D156" i="4" a="1"/>
  <c r="D156" i="4"/>
  <c r="E156" i="4" a="1"/>
  <c r="E156" i="4" s="1"/>
  <c r="G156" i="4"/>
  <c r="F156" i="4" s="1"/>
  <c r="H156" i="4" s="1"/>
  <c r="B157" i="4"/>
  <c r="C157" i="4"/>
  <c r="D157" i="4" a="1"/>
  <c r="D157" i="4" s="1"/>
  <c r="E157" i="4" a="1"/>
  <c r="E157" i="4" s="1"/>
  <c r="G157" i="4"/>
  <c r="F157" i="4" s="1"/>
  <c r="B158" i="4"/>
  <c r="C158" i="4"/>
  <c r="D158" i="4" a="1"/>
  <c r="D158" i="4" s="1"/>
  <c r="E158" i="4" a="1"/>
  <c r="E158" i="4"/>
  <c r="F158" i="4"/>
  <c r="G158" i="4"/>
  <c r="H158" i="4"/>
  <c r="B159" i="4"/>
  <c r="C159" i="4"/>
  <c r="D159" i="4" a="1"/>
  <c r="D159" i="4"/>
  <c r="H159" i="4" s="1"/>
  <c r="E159" i="4" a="1"/>
  <c r="E159" i="4" s="1"/>
  <c r="F159" i="4"/>
  <c r="G159" i="4"/>
  <c r="B160" i="4"/>
  <c r="C160" i="4"/>
  <c r="D160" i="4" a="1"/>
  <c r="D160" i="4" s="1"/>
  <c r="E160" i="4" a="1"/>
  <c r="E160" i="4"/>
  <c r="F160" i="4"/>
  <c r="G160" i="4"/>
  <c r="B161" i="4"/>
  <c r="C161" i="4"/>
  <c r="D161" i="4" a="1"/>
  <c r="D161" i="4" s="1"/>
  <c r="E161" i="4" a="1"/>
  <c r="E161" i="4" s="1"/>
  <c r="G161" i="4"/>
  <c r="F161" i="4" s="1"/>
  <c r="B162" i="4"/>
  <c r="C162" i="4"/>
  <c r="D162" i="4" a="1"/>
  <c r="D162" i="4"/>
  <c r="E162" i="4" a="1"/>
  <c r="E162" i="4" s="1"/>
  <c r="G162" i="4"/>
  <c r="F162" i="4" s="1"/>
  <c r="H162" i="4" s="1"/>
  <c r="B163" i="4"/>
  <c r="C163" i="4"/>
  <c r="D163" i="4" a="1"/>
  <c r="D163" i="4" s="1"/>
  <c r="E163" i="4" a="1"/>
  <c r="E163" i="4"/>
  <c r="G163" i="4"/>
  <c r="F163" i="4" s="1"/>
  <c r="H163" i="4"/>
  <c r="B164" i="4"/>
  <c r="C164" i="4"/>
  <c r="D164" i="4" a="1"/>
  <c r="D164" i="4"/>
  <c r="H164" i="4" s="1"/>
  <c r="E164" i="4" a="1"/>
  <c r="E164" i="4" s="1"/>
  <c r="F164" i="4"/>
  <c r="G164" i="4"/>
  <c r="B165" i="4"/>
  <c r="C165" i="4"/>
  <c r="D165" i="4" a="1"/>
  <c r="D165" i="4"/>
  <c r="E165" i="4" a="1"/>
  <c r="E165" i="4"/>
  <c r="G165" i="4"/>
  <c r="F165" i="4" s="1"/>
  <c r="H165" i="4" s="1"/>
  <c r="B166" i="4"/>
  <c r="C166" i="4"/>
  <c r="D166" i="4" a="1"/>
  <c r="D166" i="4" s="1"/>
  <c r="E166" i="4" a="1"/>
  <c r="E166" i="4" s="1"/>
  <c r="G166" i="4"/>
  <c r="F166" i="4" s="1"/>
  <c r="B167" i="4"/>
  <c r="C167" i="4"/>
  <c r="D167" i="4" a="1"/>
  <c r="D167" i="4"/>
  <c r="E167" i="4" a="1"/>
  <c r="E167" i="4" s="1"/>
  <c r="G167" i="4"/>
  <c r="F167" i="4" s="1"/>
  <c r="H167" i="4" s="1"/>
  <c r="B168" i="4"/>
  <c r="C168" i="4"/>
  <c r="D168" i="4" a="1"/>
  <c r="D168" i="4" s="1"/>
  <c r="E168" i="4" a="1"/>
  <c r="E168" i="4"/>
  <c r="G168" i="4"/>
  <c r="F168" i="4" s="1"/>
  <c r="H168" i="4"/>
  <c r="B169" i="4"/>
  <c r="C169" i="4"/>
  <c r="D169" i="4" a="1"/>
  <c r="D169" i="4"/>
  <c r="E169" i="4" a="1"/>
  <c r="E169" i="4" s="1"/>
  <c r="F169" i="4"/>
  <c r="H169" i="4" s="1"/>
  <c r="G169" i="4"/>
  <c r="B170" i="4"/>
  <c r="C170" i="4"/>
  <c r="D170" i="4" a="1"/>
  <c r="D170" i="4"/>
  <c r="E170" i="4" a="1"/>
  <c r="E170" i="4"/>
  <c r="F170" i="4"/>
  <c r="G170" i="4"/>
  <c r="H170" i="4"/>
  <c r="B171" i="4"/>
  <c r="C171" i="4"/>
  <c r="D171" i="4" a="1"/>
  <c r="D171" i="4" s="1"/>
  <c r="E171" i="4" a="1"/>
  <c r="E171" i="4"/>
  <c r="G171" i="4"/>
  <c r="F171" i="4" s="1"/>
  <c r="B172" i="4"/>
  <c r="C172" i="4"/>
  <c r="D172" i="4" a="1"/>
  <c r="D172" i="4"/>
  <c r="E172" i="4" a="1"/>
  <c r="E172" i="4" s="1"/>
  <c r="G172" i="4"/>
  <c r="F172" i="4" s="1"/>
  <c r="H172" i="4" s="1"/>
  <c r="B173" i="4"/>
  <c r="C173" i="4"/>
  <c r="D173" i="4" a="1"/>
  <c r="D173" i="4" s="1"/>
  <c r="E173" i="4" a="1"/>
  <c r="E173" i="4" s="1"/>
  <c r="G173" i="4"/>
  <c r="F173" i="4" s="1"/>
  <c r="B174" i="4"/>
  <c r="C174" i="4"/>
  <c r="D174" i="4" a="1"/>
  <c r="D174" i="4" s="1"/>
  <c r="E174" i="4" a="1"/>
  <c r="E174" i="4" s="1"/>
  <c r="G174" i="4"/>
  <c r="F174" i="4" s="1"/>
  <c r="H174" i="4" s="1"/>
  <c r="B175" i="4"/>
  <c r="C175" i="4"/>
  <c r="D175" i="4" a="1"/>
  <c r="D175" i="4"/>
  <c r="E175" i="4" a="1"/>
  <c r="E175" i="4" s="1"/>
  <c r="F175" i="4"/>
  <c r="G175" i="4"/>
  <c r="B176" i="4"/>
  <c r="C176" i="4"/>
  <c r="D176" i="4" a="1"/>
  <c r="D176" i="4" s="1"/>
  <c r="E176" i="4" a="1"/>
  <c r="E176" i="4" s="1"/>
  <c r="G176" i="4"/>
  <c r="F176" i="4" s="1"/>
  <c r="B177" i="4"/>
  <c r="C177" i="4"/>
  <c r="D177" i="4" a="1"/>
  <c r="D177" i="4" s="1"/>
  <c r="E177" i="4" a="1"/>
  <c r="E177" i="4" s="1"/>
  <c r="G177" i="4"/>
  <c r="F177" i="4" s="1"/>
  <c r="B178" i="4"/>
  <c r="C178" i="4"/>
  <c r="D178" i="4" a="1"/>
  <c r="D178" i="4"/>
  <c r="H178" i="4" s="1"/>
  <c r="E178" i="4" a="1"/>
  <c r="E178" i="4" s="1"/>
  <c r="F178" i="4"/>
  <c r="G178" i="4"/>
  <c r="B179" i="4"/>
  <c r="C179" i="4"/>
  <c r="D179" i="4" a="1"/>
  <c r="D179" i="4" s="1"/>
  <c r="E179" i="4" a="1"/>
  <c r="E179" i="4"/>
  <c r="G179" i="4"/>
  <c r="F179" i="4" s="1"/>
  <c r="B180" i="4"/>
  <c r="C180" i="4"/>
  <c r="D180" i="4" a="1"/>
  <c r="D180" i="4"/>
  <c r="E180" i="4" a="1"/>
  <c r="E180" i="4" s="1"/>
  <c r="F180" i="4"/>
  <c r="G180" i="4"/>
  <c r="B181" i="4"/>
  <c r="C181" i="4"/>
  <c r="D181" i="4" a="1"/>
  <c r="D181" i="4"/>
  <c r="E181" i="4" a="1"/>
  <c r="E181" i="4"/>
  <c r="F181" i="4"/>
  <c r="H181" i="4" s="1"/>
  <c r="G181" i="4"/>
  <c r="B182" i="4"/>
  <c r="C182" i="4"/>
  <c r="D182" i="4" a="1"/>
  <c r="D182" i="4"/>
  <c r="H182" i="4" s="1"/>
  <c r="E182" i="4" a="1"/>
  <c r="E182" i="4" s="1"/>
  <c r="G182" i="4"/>
  <c r="F182" i="4" s="1"/>
  <c r="B183" i="4"/>
  <c r="C183" i="4"/>
  <c r="D183" i="4" a="1"/>
  <c r="D183" i="4"/>
  <c r="E183" i="4" a="1"/>
  <c r="E183" i="4" s="1"/>
  <c r="G183" i="4"/>
  <c r="F183" i="4" s="1"/>
  <c r="B184" i="4"/>
  <c r="C184" i="4"/>
  <c r="D184" i="4" a="1"/>
  <c r="D184" i="4" s="1"/>
  <c r="H184" i="4" s="1"/>
  <c r="E184" i="4" a="1"/>
  <c r="E184" i="4"/>
  <c r="G184" i="4"/>
  <c r="F184" i="4" s="1"/>
  <c r="B185" i="4"/>
  <c r="C185" i="4"/>
  <c r="D185" i="4" a="1"/>
  <c r="D185" i="4"/>
  <c r="E185" i="4" a="1"/>
  <c r="E185" i="4" s="1"/>
  <c r="G185" i="4"/>
  <c r="F185" i="4" s="1"/>
  <c r="B186" i="4"/>
  <c r="C186" i="4"/>
  <c r="D186" i="4" a="1"/>
  <c r="D186" i="4"/>
  <c r="E186" i="4" a="1"/>
  <c r="E186" i="4"/>
  <c r="F186" i="4"/>
  <c r="H186" i="4" s="1"/>
  <c r="G186" i="4"/>
  <c r="B187" i="4"/>
  <c r="C187" i="4"/>
  <c r="D187" i="4" a="1"/>
  <c r="D187" i="4" s="1"/>
  <c r="E187" i="4" a="1"/>
  <c r="E187" i="4"/>
  <c r="G187" i="4"/>
  <c r="F187" i="4" s="1"/>
  <c r="B188" i="4"/>
  <c r="C188" i="4"/>
  <c r="D188" i="4" a="1"/>
  <c r="D188" i="4"/>
  <c r="E188" i="4" a="1"/>
  <c r="E188" i="4" s="1"/>
  <c r="F188" i="4"/>
  <c r="H188" i="4" s="1"/>
  <c r="G188" i="4"/>
  <c r="B189" i="4"/>
  <c r="C189" i="4"/>
  <c r="D189" i="4" a="1"/>
  <c r="D189" i="4" s="1"/>
  <c r="H189" i="4" s="1"/>
  <c r="E189" i="4" a="1"/>
  <c r="E189" i="4"/>
  <c r="G189" i="4"/>
  <c r="F189" i="4" s="1"/>
  <c r="B190" i="4"/>
  <c r="C190" i="4"/>
  <c r="D190" i="4" a="1"/>
  <c r="D190" i="4" s="1"/>
  <c r="E190" i="4" a="1"/>
  <c r="E190" i="4"/>
  <c r="G190" i="4"/>
  <c r="F190" i="4" s="1"/>
  <c r="B191" i="4"/>
  <c r="C191" i="4"/>
  <c r="D191" i="4" a="1"/>
  <c r="D191" i="4" s="1"/>
  <c r="E191" i="4" a="1"/>
  <c r="E191" i="4" s="1"/>
  <c r="F191" i="4"/>
  <c r="G191" i="4"/>
  <c r="B192" i="4"/>
  <c r="C192" i="4"/>
  <c r="D192" i="4" a="1"/>
  <c r="D192" i="4"/>
  <c r="E192" i="4" a="1"/>
  <c r="E192" i="4"/>
  <c r="G192" i="4"/>
  <c r="F192" i="4" s="1"/>
  <c r="B193" i="4"/>
  <c r="C193" i="4"/>
  <c r="D193" i="4" a="1"/>
  <c r="D193" i="4" s="1"/>
  <c r="E193" i="4" a="1"/>
  <c r="E193" i="4" s="1"/>
  <c r="G193" i="4"/>
  <c r="F193" i="4" s="1"/>
  <c r="B194" i="4"/>
  <c r="C194" i="4"/>
  <c r="D194" i="4" a="1"/>
  <c r="D194" i="4"/>
  <c r="E194" i="4" a="1"/>
  <c r="E194" i="4"/>
  <c r="G194" i="4"/>
  <c r="F194" i="4" s="1"/>
  <c r="B195" i="4"/>
  <c r="C195" i="4"/>
  <c r="D195" i="4" a="1"/>
  <c r="D195" i="4" s="1"/>
  <c r="E195" i="4" a="1"/>
  <c r="E195" i="4"/>
  <c r="G195" i="4"/>
  <c r="F195" i="4" s="1"/>
  <c r="B196" i="4"/>
  <c r="C196" i="4"/>
  <c r="D196" i="4" a="1"/>
  <c r="D196" i="4"/>
  <c r="E196" i="4" a="1"/>
  <c r="E196" i="4"/>
  <c r="F196" i="4"/>
  <c r="G196" i="4"/>
  <c r="B197" i="4"/>
  <c r="C197" i="4"/>
  <c r="D197" i="4" a="1"/>
  <c r="D197" i="4"/>
  <c r="E197" i="4" a="1"/>
  <c r="E197" i="4"/>
  <c r="F197" i="4"/>
  <c r="H197" i="4" s="1"/>
  <c r="G197" i="4"/>
  <c r="B198" i="4"/>
  <c r="C198" i="4"/>
  <c r="D198" i="4" a="1"/>
  <c r="D198" i="4" s="1"/>
  <c r="E198" i="4" a="1"/>
  <c r="E198" i="4" s="1"/>
  <c r="G198" i="4"/>
  <c r="F198" i="4" s="1"/>
  <c r="B199" i="4"/>
  <c r="C199" i="4"/>
  <c r="D199" i="4" a="1"/>
  <c r="D199" i="4"/>
  <c r="E199" i="4" a="1"/>
  <c r="E199" i="4"/>
  <c r="F199" i="4"/>
  <c r="G199" i="4"/>
  <c r="B200" i="4"/>
  <c r="C200" i="4"/>
  <c r="D200" i="4" a="1"/>
  <c r="D200" i="4" s="1"/>
  <c r="E200" i="4" a="1"/>
  <c r="E200" i="4"/>
  <c r="G200" i="4"/>
  <c r="F200" i="4" s="1"/>
  <c r="H200" i="4"/>
  <c r="B201" i="4"/>
  <c r="C201" i="4"/>
  <c r="D201" i="4" a="1"/>
  <c r="D201" i="4" s="1"/>
  <c r="E201" i="4" a="1"/>
  <c r="E201" i="4"/>
  <c r="F201" i="4"/>
  <c r="G201" i="4"/>
  <c r="B202" i="4"/>
  <c r="C202" i="4"/>
  <c r="D202" i="4" a="1"/>
  <c r="D202" i="4"/>
  <c r="E202" i="4" a="1"/>
  <c r="E202" i="4"/>
  <c r="F202" i="4"/>
  <c r="H202" i="4" s="1"/>
  <c r="G202" i="4"/>
  <c r="B203" i="4"/>
  <c r="C203" i="4"/>
  <c r="D203" i="4" a="1"/>
  <c r="D203" i="4"/>
  <c r="E203" i="4" a="1"/>
  <c r="E203" i="4" s="1"/>
  <c r="G203" i="4"/>
  <c r="F203" i="4" s="1"/>
  <c r="B204" i="4"/>
  <c r="C204" i="4"/>
  <c r="D204" i="4" a="1"/>
  <c r="D204" i="4"/>
  <c r="E204" i="4" a="1"/>
  <c r="E204" i="4" s="1"/>
  <c r="G204" i="4"/>
  <c r="F204" i="4" s="1"/>
  <c r="H204" i="4" s="1"/>
  <c r="B205" i="4"/>
  <c r="C205" i="4"/>
  <c r="D205" i="4" a="1"/>
  <c r="D205" i="4"/>
  <c r="E205" i="4" a="1"/>
  <c r="E205" i="4" s="1"/>
  <c r="G205" i="4"/>
  <c r="F205" i="4" s="1"/>
  <c r="B206" i="4"/>
  <c r="C206" i="4"/>
  <c r="D206" i="4" a="1"/>
  <c r="D206" i="4" s="1"/>
  <c r="E206" i="4" a="1"/>
  <c r="E206" i="4"/>
  <c r="G206" i="4"/>
  <c r="F206" i="4" s="1"/>
  <c r="H206" i="4" s="1"/>
  <c r="B207" i="4"/>
  <c r="C207" i="4"/>
  <c r="D207" i="4" a="1"/>
  <c r="D207" i="4"/>
  <c r="H207" i="4" s="1"/>
  <c r="E207" i="4" a="1"/>
  <c r="E207" i="4" s="1"/>
  <c r="F207" i="4"/>
  <c r="G207" i="4"/>
  <c r="B208" i="4"/>
  <c r="C208" i="4"/>
  <c r="D208" i="4" a="1"/>
  <c r="D208" i="4" s="1"/>
  <c r="E208" i="4" a="1"/>
  <c r="E208" i="4"/>
  <c r="F208" i="4"/>
  <c r="H208" i="4" s="1"/>
  <c r="G208" i="4"/>
  <c r="B209" i="4"/>
  <c r="C209" i="4"/>
  <c r="D209" i="4" a="1"/>
  <c r="D209" i="4" s="1"/>
  <c r="E209" i="4" a="1"/>
  <c r="E209" i="4" s="1"/>
  <c r="G209" i="4"/>
  <c r="F209" i="4" s="1"/>
  <c r="B210" i="4"/>
  <c r="C210" i="4"/>
  <c r="D210" i="4" a="1"/>
  <c r="D210" i="4"/>
  <c r="E210" i="4" a="1"/>
  <c r="E210" i="4" s="1"/>
  <c r="G210" i="4"/>
  <c r="F210" i="4" s="1"/>
  <c r="H210" i="4" s="1"/>
  <c r="B211" i="4"/>
  <c r="C211" i="4"/>
  <c r="D211" i="4" a="1"/>
  <c r="D211" i="4" s="1"/>
  <c r="E211" i="4" a="1"/>
  <c r="E211" i="4"/>
  <c r="G211" i="4"/>
  <c r="F211" i="4" s="1"/>
  <c r="H211" i="4" s="1"/>
  <c r="B212" i="4"/>
  <c r="C212" i="4"/>
  <c r="D212" i="4" a="1"/>
  <c r="D212" i="4"/>
  <c r="E212" i="4" a="1"/>
  <c r="E212" i="4" s="1"/>
  <c r="F212" i="4"/>
  <c r="G212" i="4"/>
  <c r="B213" i="4"/>
  <c r="C213" i="4"/>
  <c r="D213" i="4" a="1"/>
  <c r="D213" i="4"/>
  <c r="E213" i="4" a="1"/>
  <c r="E213" i="4"/>
  <c r="G213" i="4"/>
  <c r="F213" i="4" s="1"/>
  <c r="H213" i="4" s="1"/>
  <c r="B214" i="4"/>
  <c r="C214" i="4"/>
  <c r="D214" i="4" a="1"/>
  <c r="D214" i="4"/>
  <c r="E214" i="4" a="1"/>
  <c r="E214" i="4" s="1"/>
  <c r="G214" i="4"/>
  <c r="F214" i="4" s="1"/>
  <c r="B215" i="4"/>
  <c r="C215" i="4"/>
  <c r="D215" i="4" a="1"/>
  <c r="D215" i="4"/>
  <c r="E215" i="4" a="1"/>
  <c r="E215" i="4"/>
  <c r="G215" i="4"/>
  <c r="F215" i="4" s="1"/>
  <c r="B216" i="4"/>
  <c r="C216" i="4"/>
  <c r="D216" i="4" a="1"/>
  <c r="D216" i="4" s="1"/>
  <c r="E216" i="4" a="1"/>
  <c r="E216" i="4"/>
  <c r="G216" i="4"/>
  <c r="F216" i="4" s="1"/>
  <c r="H216" i="4" s="1"/>
  <c r="B217" i="4"/>
  <c r="C217" i="4"/>
  <c r="D217" i="4" a="1"/>
  <c r="D217" i="4" s="1"/>
  <c r="E217" i="4" a="1"/>
  <c r="E217" i="4"/>
  <c r="G217" i="4"/>
  <c r="F217" i="4" s="1"/>
  <c r="B218" i="4"/>
  <c r="C218" i="4"/>
  <c r="D218" i="4" a="1"/>
  <c r="D218" i="4"/>
  <c r="E218" i="4" a="1"/>
  <c r="E218" i="4"/>
  <c r="F218" i="4"/>
  <c r="H218" i="4" s="1"/>
  <c r="G218" i="4"/>
  <c r="B219" i="4"/>
  <c r="C219" i="4"/>
  <c r="D219" i="4" a="1"/>
  <c r="D219" i="4"/>
  <c r="E219" i="4" a="1"/>
  <c r="E219" i="4"/>
  <c r="G219" i="4"/>
  <c r="F219" i="4" s="1"/>
  <c r="B220" i="4"/>
  <c r="C220" i="4"/>
  <c r="D220" i="4" a="1"/>
  <c r="D220" i="4"/>
  <c r="E220" i="4" a="1"/>
  <c r="E220" i="4" s="1"/>
  <c r="G220" i="4"/>
  <c r="F220" i="4" s="1"/>
  <c r="H220" i="4" s="1"/>
  <c r="B221" i="4"/>
  <c r="C221" i="4"/>
  <c r="D221" i="4" a="1"/>
  <c r="D221" i="4"/>
  <c r="E221" i="4" a="1"/>
  <c r="E221" i="4" s="1"/>
  <c r="G221" i="4"/>
  <c r="F221" i="4" s="1"/>
  <c r="B222" i="4"/>
  <c r="C222" i="4"/>
  <c r="D222" i="4" a="1"/>
  <c r="D222" i="4" s="1"/>
  <c r="E222" i="4" a="1"/>
  <c r="E222" i="4"/>
  <c r="G222" i="4"/>
  <c r="F222" i="4" s="1"/>
  <c r="H222" i="4" s="1"/>
  <c r="B223" i="4"/>
  <c r="C223" i="4"/>
  <c r="D223" i="4" a="1"/>
  <c r="D223" i="4" s="1"/>
  <c r="E223" i="4" a="1"/>
  <c r="E223" i="4" s="1"/>
  <c r="F223" i="4"/>
  <c r="G223" i="4"/>
  <c r="B224" i="4"/>
  <c r="C224" i="4"/>
  <c r="D224" i="4" a="1"/>
  <c r="D224" i="4" s="1"/>
  <c r="E224" i="4" a="1"/>
  <c r="E224" i="4"/>
  <c r="G224" i="4"/>
  <c r="F224" i="4" s="1"/>
  <c r="H224" i="4"/>
  <c r="B225" i="4"/>
  <c r="C225" i="4"/>
  <c r="D225" i="4" a="1"/>
  <c r="D225" i="4" s="1"/>
  <c r="H225" i="4" s="1"/>
  <c r="E225" i="4" a="1"/>
  <c r="E225" i="4" s="1"/>
  <c r="G225" i="4"/>
  <c r="F225" i="4" s="1"/>
  <c r="B226" i="4"/>
  <c r="C226" i="4"/>
  <c r="D226" i="4" a="1"/>
  <c r="D226" i="4"/>
  <c r="E226" i="4" a="1"/>
  <c r="E226" i="4" s="1"/>
  <c r="G226" i="4"/>
  <c r="F226" i="4" s="1"/>
  <c r="B227" i="4"/>
  <c r="C227" i="4"/>
  <c r="D227" i="4" a="1"/>
  <c r="D227" i="4" s="1"/>
  <c r="E227" i="4" a="1"/>
  <c r="E227" i="4"/>
  <c r="G227" i="4"/>
  <c r="F227" i="4" s="1"/>
  <c r="B228" i="4"/>
  <c r="C228" i="4"/>
  <c r="D228" i="4" a="1"/>
  <c r="D228" i="4"/>
  <c r="E228" i="4" a="1"/>
  <c r="E228" i="4" s="1"/>
  <c r="F228" i="4"/>
  <c r="G228" i="4"/>
  <c r="B229" i="4"/>
  <c r="C229" i="4"/>
  <c r="D229" i="4" a="1"/>
  <c r="D229" i="4"/>
  <c r="E229" i="4" a="1"/>
  <c r="E229" i="4"/>
  <c r="G229" i="4"/>
  <c r="F229" i="4" s="1"/>
  <c r="B230" i="4"/>
  <c r="C230" i="4"/>
  <c r="D230" i="4" a="1"/>
  <c r="D230" i="4" s="1"/>
  <c r="E230" i="4" a="1"/>
  <c r="E230" i="4" s="1"/>
  <c r="G230" i="4"/>
  <c r="F230" i="4" s="1"/>
  <c r="B231" i="4"/>
  <c r="C231" i="4"/>
  <c r="D231" i="4" a="1"/>
  <c r="D231" i="4"/>
  <c r="E231" i="4" a="1"/>
  <c r="E231" i="4"/>
  <c r="F231" i="4"/>
  <c r="G231" i="4"/>
  <c r="B232" i="4"/>
  <c r="C232" i="4"/>
  <c r="D232" i="4" a="1"/>
  <c r="D232" i="4" s="1"/>
  <c r="E232" i="4" a="1"/>
  <c r="E232" i="4"/>
  <c r="G232" i="4"/>
  <c r="F232" i="4" s="1"/>
  <c r="H232" i="4"/>
  <c r="B233" i="4"/>
  <c r="C233" i="4"/>
  <c r="D233" i="4" a="1"/>
  <c r="D233" i="4"/>
  <c r="E233" i="4" a="1"/>
  <c r="E233" i="4" s="1"/>
  <c r="F233" i="4"/>
  <c r="G233" i="4"/>
  <c r="B234" i="4"/>
  <c r="C234" i="4"/>
  <c r="D234" i="4" a="1"/>
  <c r="D234" i="4"/>
  <c r="E234" i="4" a="1"/>
  <c r="E234" i="4"/>
  <c r="F234" i="4"/>
  <c r="H234" i="4" s="1"/>
  <c r="G234" i="4"/>
  <c r="B235" i="4"/>
  <c r="C235" i="4"/>
  <c r="D235" i="4" a="1"/>
  <c r="D235" i="4"/>
  <c r="E235" i="4" a="1"/>
  <c r="E235" i="4" s="1"/>
  <c r="F235" i="4"/>
  <c r="G235" i="4"/>
  <c r="B236" i="4"/>
  <c r="C236" i="4"/>
  <c r="D236" i="4" a="1"/>
  <c r="D236" i="4"/>
  <c r="E236" i="4" a="1"/>
  <c r="E236" i="4" s="1"/>
  <c r="G236" i="4"/>
  <c r="F236" i="4" s="1"/>
  <c r="H236" i="4" s="1"/>
  <c r="B237" i="4"/>
  <c r="C237" i="4"/>
  <c r="D237" i="4" a="1"/>
  <c r="D237" i="4" s="1"/>
  <c r="E237" i="4" a="1"/>
  <c r="E237" i="4" s="1"/>
  <c r="G237" i="4"/>
  <c r="F237" i="4" s="1"/>
  <c r="B238" i="4"/>
  <c r="C238" i="4"/>
  <c r="D238" i="4" a="1"/>
  <c r="D238" i="4" s="1"/>
  <c r="E238" i="4" a="1"/>
  <c r="E238" i="4" s="1"/>
  <c r="G238" i="4"/>
  <c r="F238" i="4" s="1"/>
  <c r="H238" i="4" s="1"/>
  <c r="B239" i="4"/>
  <c r="C239" i="4"/>
  <c r="D239" i="4" a="1"/>
  <c r="D239" i="4"/>
  <c r="E239" i="4" a="1"/>
  <c r="E239" i="4" s="1"/>
  <c r="F239" i="4"/>
  <c r="G239" i="4"/>
  <c r="B240" i="4"/>
  <c r="C240" i="4"/>
  <c r="D240" i="4" a="1"/>
  <c r="D240" i="4"/>
  <c r="E240" i="4" a="1"/>
  <c r="E240" i="4" s="1"/>
  <c r="G240" i="4"/>
  <c r="F240" i="4" s="1"/>
  <c r="H240" i="4" s="1"/>
  <c r="B241" i="4"/>
  <c r="C241" i="4"/>
  <c r="D241" i="4" a="1"/>
  <c r="D241" i="4" s="1"/>
  <c r="E241" i="4" a="1"/>
  <c r="E241" i="4" s="1"/>
  <c r="G241" i="4"/>
  <c r="F241" i="4" s="1"/>
  <c r="B242" i="4"/>
  <c r="C242" i="4"/>
  <c r="D242" i="4" a="1"/>
  <c r="D242" i="4" s="1"/>
  <c r="E242" i="4" a="1"/>
  <c r="E242" i="4"/>
  <c r="F242" i="4"/>
  <c r="G242" i="4"/>
  <c r="B243" i="4"/>
  <c r="C243" i="4"/>
  <c r="D243" i="4" a="1"/>
  <c r="D243" i="4" s="1"/>
  <c r="E243" i="4" a="1"/>
  <c r="E243" i="4"/>
  <c r="G243" i="4"/>
  <c r="F243" i="4" s="1"/>
  <c r="H243" i="4"/>
  <c r="B244" i="4"/>
  <c r="C244" i="4"/>
  <c r="D244" i="4" a="1"/>
  <c r="D244" i="4" s="1"/>
  <c r="E244" i="4" a="1"/>
  <c r="E244" i="4"/>
  <c r="F244" i="4"/>
  <c r="G244" i="4"/>
  <c r="B245" i="4"/>
  <c r="C245" i="4"/>
  <c r="D245" i="4" a="1"/>
  <c r="D245" i="4"/>
  <c r="E245" i="4" a="1"/>
  <c r="E245" i="4"/>
  <c r="G245" i="4"/>
  <c r="F245" i="4" s="1"/>
  <c r="H245" i="4" s="1"/>
  <c r="B246" i="4"/>
  <c r="C246" i="4"/>
  <c r="D246" i="4" a="1"/>
  <c r="D246" i="4"/>
  <c r="E246" i="4" a="1"/>
  <c r="E246" i="4" s="1"/>
  <c r="G246" i="4"/>
  <c r="F246" i="4" s="1"/>
  <c r="B247" i="4"/>
  <c r="C247" i="4"/>
  <c r="D247" i="4" a="1"/>
  <c r="D247" i="4"/>
  <c r="E247" i="4" a="1"/>
  <c r="E247" i="4"/>
  <c r="F247" i="4"/>
  <c r="G247" i="4"/>
  <c r="H247" i="4"/>
  <c r="B248" i="4"/>
  <c r="C248" i="4"/>
  <c r="D248" i="4" a="1"/>
  <c r="D248" i="4" s="1"/>
  <c r="E248" i="4" a="1"/>
  <c r="E248" i="4"/>
  <c r="G248" i="4"/>
  <c r="F248" i="4" s="1"/>
  <c r="H248" i="4"/>
  <c r="B249" i="4"/>
  <c r="C249" i="4"/>
  <c r="D249" i="4" a="1"/>
  <c r="D249" i="4"/>
  <c r="E249" i="4" a="1"/>
  <c r="E249" i="4"/>
  <c r="F249" i="4"/>
  <c r="H249" i="4" s="1"/>
  <c r="G249" i="4"/>
  <c r="B250" i="4"/>
  <c r="C250" i="4"/>
  <c r="D250" i="4" a="1"/>
  <c r="D250" i="4"/>
  <c r="E250" i="4" a="1"/>
  <c r="E250" i="4"/>
  <c r="F250" i="4"/>
  <c r="H250" i="4" s="1"/>
  <c r="G250" i="4"/>
  <c r="B251" i="4"/>
  <c r="C251" i="4"/>
  <c r="D251" i="4" a="1"/>
  <c r="D251" i="4"/>
  <c r="E251" i="4" a="1"/>
  <c r="E251" i="4"/>
  <c r="G251" i="4"/>
  <c r="F251" i="4" s="1"/>
  <c r="B252" i="4"/>
  <c r="C252" i="4"/>
  <c r="D252" i="4" a="1"/>
  <c r="D252" i="4"/>
  <c r="E252" i="4" a="1"/>
  <c r="E252" i="4" s="1"/>
  <c r="F252" i="4"/>
  <c r="H252" i="4" s="1"/>
  <c r="G252" i="4"/>
  <c r="B253" i="4"/>
  <c r="C253" i="4"/>
  <c r="D253" i="4" a="1"/>
  <c r="D253" i="4"/>
  <c r="E253" i="4" a="1"/>
  <c r="E253" i="4" s="1"/>
  <c r="G253" i="4"/>
  <c r="F253" i="4" s="1"/>
  <c r="B254" i="4"/>
  <c r="C254" i="4"/>
  <c r="D254" i="4" a="1"/>
  <c r="D254" i="4" s="1"/>
  <c r="E254" i="4" a="1"/>
  <c r="E254" i="4"/>
  <c r="G254" i="4"/>
  <c r="F254" i="4" s="1"/>
  <c r="H254" i="4" s="1"/>
  <c r="B255" i="4"/>
  <c r="C255" i="4"/>
  <c r="D255" i="4" a="1"/>
  <c r="D255" i="4" s="1"/>
  <c r="E255" i="4" a="1"/>
  <c r="E255" i="4" s="1"/>
  <c r="F255" i="4"/>
  <c r="G255" i="4"/>
  <c r="B256" i="4"/>
  <c r="C256" i="4"/>
  <c r="D256" i="4" a="1"/>
  <c r="D256" i="4"/>
  <c r="E256" i="4" a="1"/>
  <c r="E256" i="4" s="1"/>
  <c r="G256" i="4"/>
  <c r="F256" i="4" s="1"/>
  <c r="H256" i="4" s="1"/>
  <c r="B257" i="4"/>
  <c r="C257" i="4"/>
  <c r="D257" i="4" a="1"/>
  <c r="D257" i="4" s="1"/>
  <c r="E257" i="4" a="1"/>
  <c r="E257" i="4" s="1"/>
  <c r="G257" i="4"/>
  <c r="F257" i="4" s="1"/>
  <c r="B258" i="4"/>
  <c r="C258" i="4"/>
  <c r="D258" i="4" a="1"/>
  <c r="D258" i="4"/>
  <c r="E258" i="4" a="1"/>
  <c r="E258" i="4"/>
  <c r="F258" i="4"/>
  <c r="G258" i="4"/>
  <c r="B259" i="4"/>
  <c r="C259" i="4"/>
  <c r="D259" i="4" a="1"/>
  <c r="D259" i="4" s="1"/>
  <c r="E259" i="4" a="1"/>
  <c r="E259" i="4"/>
  <c r="G259" i="4"/>
  <c r="F259" i="4" s="1"/>
  <c r="H259" i="4"/>
  <c r="B260" i="4"/>
  <c r="C260" i="4"/>
  <c r="D260" i="4" a="1"/>
  <c r="D260" i="4" s="1"/>
  <c r="E260" i="4" a="1"/>
  <c r="E260" i="4"/>
  <c r="F260" i="4"/>
  <c r="G260" i="4"/>
  <c r="B261" i="4"/>
  <c r="C261" i="4"/>
  <c r="D261" i="4" a="1"/>
  <c r="D261" i="4"/>
  <c r="E261" i="4" a="1"/>
  <c r="E261" i="4"/>
  <c r="G261" i="4"/>
  <c r="F261" i="4" s="1"/>
  <c r="H261" i="4" s="1"/>
  <c r="B262" i="4"/>
  <c r="C262" i="4"/>
  <c r="D262" i="4" a="1"/>
  <c r="D262" i="4" s="1"/>
  <c r="H262" i="4" s="1"/>
  <c r="E262" i="4" a="1"/>
  <c r="E262" i="4" s="1"/>
  <c r="G262" i="4"/>
  <c r="F262" i="4" s="1"/>
  <c r="B263" i="4"/>
  <c r="C263" i="4"/>
  <c r="D263" i="4" a="1"/>
  <c r="D263" i="4"/>
  <c r="E263" i="4" a="1"/>
  <c r="E263" i="4"/>
  <c r="F263" i="4"/>
  <c r="H263" i="4" s="1"/>
  <c r="G263" i="4"/>
  <c r="B264" i="4"/>
  <c r="C264" i="4"/>
  <c r="D264" i="4" a="1"/>
  <c r="D264" i="4" s="1"/>
  <c r="E264" i="4" a="1"/>
  <c r="E264" i="4"/>
  <c r="G264" i="4"/>
  <c r="F264" i="4" s="1"/>
  <c r="B265" i="4"/>
  <c r="C265" i="4"/>
  <c r="D265" i="4" a="1"/>
  <c r="D265" i="4" s="1"/>
  <c r="E265" i="4" a="1"/>
  <c r="E265" i="4"/>
  <c r="F265" i="4"/>
  <c r="H265" i="4" s="1"/>
  <c r="G265" i="4"/>
  <c r="B266" i="4"/>
  <c r="C266" i="4"/>
  <c r="D266" i="4" a="1"/>
  <c r="D266" i="4"/>
  <c r="E266" i="4" a="1"/>
  <c r="E266" i="4"/>
  <c r="F266" i="4"/>
  <c r="H266" i="4" s="1"/>
  <c r="G266" i="4"/>
  <c r="B267" i="4"/>
  <c r="C267" i="4"/>
  <c r="D267" i="4" a="1"/>
  <c r="D267" i="4"/>
  <c r="E267" i="4" a="1"/>
  <c r="E267" i="4" s="1"/>
  <c r="G267" i="4"/>
  <c r="F267" i="4" s="1"/>
  <c r="B268" i="4"/>
  <c r="C268" i="4"/>
  <c r="D268" i="4" a="1"/>
  <c r="D268" i="4"/>
  <c r="E268" i="4" a="1"/>
  <c r="E268" i="4" s="1"/>
  <c r="F268" i="4"/>
  <c r="G268" i="4"/>
  <c r="H268" i="4"/>
  <c r="B269" i="4"/>
  <c r="C269" i="4"/>
  <c r="D269" i="4" a="1"/>
  <c r="D269" i="4"/>
  <c r="E269" i="4" a="1"/>
  <c r="E269" i="4" s="1"/>
  <c r="G269" i="4"/>
  <c r="F269" i="4" s="1"/>
  <c r="B270" i="4"/>
  <c r="C270" i="4"/>
  <c r="D270" i="4" a="1"/>
  <c r="D270" i="4" s="1"/>
  <c r="E270" i="4" a="1"/>
  <c r="E270" i="4" s="1"/>
  <c r="F270" i="4"/>
  <c r="G270" i="4"/>
  <c r="B271" i="4"/>
  <c r="C271" i="4"/>
  <c r="D271" i="4" a="1"/>
  <c r="D271" i="4" s="1"/>
  <c r="E271" i="4" a="1"/>
  <c r="E271" i="4" s="1"/>
  <c r="F271" i="4"/>
  <c r="G271" i="4"/>
  <c r="B272" i="4"/>
  <c r="C272" i="4"/>
  <c r="D272" i="4" a="1"/>
  <c r="D272" i="4"/>
  <c r="E272" i="4" a="1"/>
  <c r="E272" i="4" s="1"/>
  <c r="F272" i="4"/>
  <c r="G272" i="4"/>
  <c r="B273" i="4"/>
  <c r="C273" i="4"/>
  <c r="D273" i="4" a="1"/>
  <c r="D273" i="4" s="1"/>
  <c r="E273" i="4" a="1"/>
  <c r="E273" i="4" s="1"/>
  <c r="G273" i="4"/>
  <c r="F273" i="4" s="1"/>
  <c r="B274" i="4"/>
  <c r="C274" i="4"/>
  <c r="D274" i="4" a="1"/>
  <c r="D274" i="4" s="1"/>
  <c r="E274" i="4" a="1"/>
  <c r="E274" i="4"/>
  <c r="F274" i="4"/>
  <c r="G274" i="4"/>
  <c r="B275" i="4"/>
  <c r="C275" i="4"/>
  <c r="D275" i="4" a="1"/>
  <c r="D275" i="4" s="1"/>
  <c r="E275" i="4" a="1"/>
  <c r="E275" i="4"/>
  <c r="G275" i="4"/>
  <c r="F275" i="4" s="1"/>
  <c r="H275" i="4" s="1"/>
  <c r="B276" i="4"/>
  <c r="C276" i="4"/>
  <c r="D276" i="4" a="1"/>
  <c r="D276" i="4" s="1"/>
  <c r="H276" i="4" s="1"/>
  <c r="E276" i="4" a="1"/>
  <c r="E276" i="4"/>
  <c r="F276" i="4"/>
  <c r="G276" i="4"/>
  <c r="B277" i="4"/>
  <c r="C277" i="4"/>
  <c r="D277" i="4" a="1"/>
  <c r="D277" i="4"/>
  <c r="E277" i="4" a="1"/>
  <c r="E277" i="4"/>
  <c r="G277" i="4"/>
  <c r="F277" i="4" s="1"/>
  <c r="H277" i="4"/>
  <c r="B278" i="4"/>
  <c r="C278" i="4"/>
  <c r="D278" i="4" a="1"/>
  <c r="D278" i="4" s="1"/>
  <c r="E278" i="4" a="1"/>
  <c r="E278" i="4" s="1"/>
  <c r="G278" i="4"/>
  <c r="F278" i="4" s="1"/>
  <c r="B279" i="4"/>
  <c r="C279" i="4"/>
  <c r="D279" i="4" a="1"/>
  <c r="D279" i="4"/>
  <c r="E279" i="4" a="1"/>
  <c r="E279" i="4"/>
  <c r="F279" i="4"/>
  <c r="H279" i="4" s="1"/>
  <c r="G279" i="4"/>
  <c r="B280" i="4"/>
  <c r="C280" i="4"/>
  <c r="D280" i="4" a="1"/>
  <c r="D280" i="4" s="1"/>
  <c r="E280" i="4" a="1"/>
  <c r="E280" i="4"/>
  <c r="G280" i="4"/>
  <c r="F280" i="4" s="1"/>
  <c r="B281" i="4"/>
  <c r="C281" i="4"/>
  <c r="D281" i="4" a="1"/>
  <c r="D281" i="4" s="1"/>
  <c r="E281" i="4" a="1"/>
  <c r="E281" i="4"/>
  <c r="F281" i="4"/>
  <c r="G281" i="4"/>
  <c r="B282" i="4"/>
  <c r="C282" i="4"/>
  <c r="D282" i="4" a="1"/>
  <c r="D282" i="4"/>
  <c r="E282" i="4" a="1"/>
  <c r="E282" i="4"/>
  <c r="F282" i="4"/>
  <c r="H282" i="4" s="1"/>
  <c r="G282" i="4"/>
  <c r="B283" i="4"/>
  <c r="C283" i="4"/>
  <c r="D283" i="4" a="1"/>
  <c r="D283" i="4"/>
  <c r="E283" i="4" a="1"/>
  <c r="E283" i="4" s="1"/>
  <c r="G283" i="4"/>
  <c r="F283" i="4" s="1"/>
  <c r="B284" i="4"/>
  <c r="C284" i="4"/>
  <c r="D284" i="4" a="1"/>
  <c r="D284" i="4"/>
  <c r="E284" i="4" a="1"/>
  <c r="E284" i="4" s="1"/>
  <c r="F284" i="4"/>
  <c r="H284" i="4" s="1"/>
  <c r="G284" i="4"/>
  <c r="B285" i="4"/>
  <c r="C285" i="4"/>
  <c r="D285" i="4" a="1"/>
  <c r="D285" i="4"/>
  <c r="E285" i="4" a="1"/>
  <c r="E285" i="4" s="1"/>
  <c r="G285" i="4"/>
  <c r="F285" i="4" s="1"/>
  <c r="B286" i="4"/>
  <c r="C286" i="4"/>
  <c r="D286" i="4" a="1"/>
  <c r="D286" i="4" s="1"/>
  <c r="E286" i="4" a="1"/>
  <c r="E286" i="4"/>
  <c r="F286" i="4"/>
  <c r="G286" i="4"/>
  <c r="B287" i="4"/>
  <c r="C287" i="4"/>
  <c r="D287" i="4" a="1"/>
  <c r="D287" i="4"/>
  <c r="E287" i="4" a="1"/>
  <c r="E287" i="4" s="1"/>
  <c r="F287" i="4"/>
  <c r="G287" i="4"/>
  <c r="H287" i="4"/>
  <c r="B288" i="4"/>
  <c r="C288" i="4"/>
  <c r="D288" i="4" a="1"/>
  <c r="D288" i="4"/>
  <c r="E288" i="4" a="1"/>
  <c r="E288" i="4"/>
  <c r="F288" i="4"/>
  <c r="H288" i="4" s="1"/>
  <c r="G288" i="4"/>
  <c r="B289" i="4"/>
  <c r="C289" i="4"/>
  <c r="D289" i="4" a="1"/>
  <c r="D289" i="4" s="1"/>
  <c r="E289" i="4" a="1"/>
  <c r="E289" i="4" s="1"/>
  <c r="F289" i="4"/>
  <c r="G289" i="4"/>
  <c r="B290" i="4"/>
  <c r="C290" i="4"/>
  <c r="D290" i="4" a="1"/>
  <c r="D290" i="4"/>
  <c r="E290" i="4" a="1"/>
  <c r="E290" i="4" s="1"/>
  <c r="G290" i="4"/>
  <c r="F290" i="4" s="1"/>
  <c r="B291" i="4"/>
  <c r="C291" i="4"/>
  <c r="D291" i="4" a="1"/>
  <c r="D291" i="4" s="1"/>
  <c r="H291" i="4" s="1"/>
  <c r="E291" i="4" a="1"/>
  <c r="E291" i="4"/>
  <c r="G291" i="4"/>
  <c r="F291" i="4" s="1"/>
  <c r="B292" i="4"/>
  <c r="C292" i="4"/>
  <c r="D292" i="4" a="1"/>
  <c r="D292" i="4"/>
  <c r="E292" i="4" a="1"/>
  <c r="E292" i="4"/>
  <c r="F292" i="4"/>
  <c r="G292" i="4"/>
  <c r="B293" i="4"/>
  <c r="C293" i="4"/>
  <c r="D293" i="4" a="1"/>
  <c r="D293" i="4" s="1"/>
  <c r="E293" i="4" a="1"/>
  <c r="E293" i="4"/>
  <c r="F293" i="4"/>
  <c r="G293" i="4"/>
  <c r="B294" i="4"/>
  <c r="C294" i="4"/>
  <c r="D294" i="4" a="1"/>
  <c r="D294" i="4"/>
  <c r="E294" i="4" a="1"/>
  <c r="E294" i="4" s="1"/>
  <c r="G294" i="4"/>
  <c r="F294" i="4" s="1"/>
  <c r="B295" i="4"/>
  <c r="C295" i="4"/>
  <c r="D295" i="4" a="1"/>
  <c r="D295" i="4"/>
  <c r="E295" i="4" a="1"/>
  <c r="E295" i="4"/>
  <c r="F295" i="4"/>
  <c r="G295" i="4"/>
  <c r="B296" i="4"/>
  <c r="C296" i="4"/>
  <c r="D296" i="4" a="1"/>
  <c r="D296" i="4" s="1"/>
  <c r="E296" i="4" a="1"/>
  <c r="E296" i="4"/>
  <c r="G296" i="4"/>
  <c r="F296" i="4" s="1"/>
  <c r="H296" i="4" s="1"/>
  <c r="B297" i="4"/>
  <c r="C297" i="4"/>
  <c r="D297" i="4" a="1"/>
  <c r="D297" i="4" s="1"/>
  <c r="E297" i="4" a="1"/>
  <c r="E297" i="4"/>
  <c r="G297" i="4"/>
  <c r="F297" i="4" s="1"/>
  <c r="B298" i="4"/>
  <c r="C298" i="4"/>
  <c r="D298" i="4" a="1"/>
  <c r="D298" i="4"/>
  <c r="E298" i="4" a="1"/>
  <c r="E298" i="4"/>
  <c r="F298" i="4"/>
  <c r="G298" i="4"/>
  <c r="B299" i="4"/>
  <c r="C299" i="4"/>
  <c r="D299" i="4" a="1"/>
  <c r="D299" i="4"/>
  <c r="E299" i="4" a="1"/>
  <c r="E299" i="4"/>
  <c r="G299" i="4"/>
  <c r="F299" i="4" s="1"/>
  <c r="B300" i="4"/>
  <c r="C300" i="4"/>
  <c r="D300" i="4" a="1"/>
  <c r="D300" i="4"/>
  <c r="E300" i="4" a="1"/>
  <c r="E300" i="4" s="1"/>
  <c r="G300" i="4"/>
  <c r="F300" i="4" s="1"/>
  <c r="B301" i="4"/>
  <c r="C301" i="4"/>
  <c r="D301" i="4" a="1"/>
  <c r="D301" i="4"/>
  <c r="E301" i="4" a="1"/>
  <c r="E301" i="4"/>
  <c r="G301" i="4"/>
  <c r="F301" i="4" s="1"/>
  <c r="H301" i="4" s="1"/>
  <c r="B302" i="4"/>
  <c r="C302" i="4"/>
  <c r="D302" i="4" a="1"/>
  <c r="D302" i="4" s="1"/>
  <c r="E302" i="4" a="1"/>
  <c r="E302" i="4"/>
  <c r="G302" i="4"/>
  <c r="F302" i="4" s="1"/>
  <c r="B303" i="4"/>
  <c r="C303" i="4"/>
  <c r="D303" i="4" a="1"/>
  <c r="D303" i="4"/>
  <c r="E303" i="4" a="1"/>
  <c r="E303" i="4"/>
  <c r="F303" i="4"/>
  <c r="G303" i="4"/>
  <c r="H303" i="4"/>
  <c r="B304" i="4"/>
  <c r="C304" i="4"/>
  <c r="D304" i="4" a="1"/>
  <c r="D304" i="4"/>
  <c r="E304" i="4" a="1"/>
  <c r="E304" i="4" s="1"/>
  <c r="G304" i="4"/>
  <c r="F304" i="4" s="1"/>
  <c r="B305" i="4"/>
  <c r="C305" i="4"/>
  <c r="D305" i="4" a="1"/>
  <c r="D305" i="4" s="1"/>
  <c r="E305" i="4" a="1"/>
  <c r="E305" i="4" s="1"/>
  <c r="G305" i="4"/>
  <c r="F305" i="4" s="1"/>
  <c r="B306" i="4"/>
  <c r="C306" i="4"/>
  <c r="D306" i="4" a="1"/>
  <c r="D306" i="4"/>
  <c r="E306" i="4" a="1"/>
  <c r="E306" i="4" s="1"/>
  <c r="F306" i="4"/>
  <c r="H306" i="4" s="1"/>
  <c r="G306" i="4"/>
  <c r="B307" i="4"/>
  <c r="C307" i="4"/>
  <c r="D307" i="4" a="1"/>
  <c r="D307" i="4" s="1"/>
  <c r="E307" i="4" a="1"/>
  <c r="E307" i="4"/>
  <c r="G307" i="4"/>
  <c r="F307" i="4" s="1"/>
  <c r="H307" i="4" s="1"/>
  <c r="B308" i="4"/>
  <c r="C308" i="4"/>
  <c r="D308" i="4" a="1"/>
  <c r="D308" i="4"/>
  <c r="E308" i="4" a="1"/>
  <c r="E308" i="4" s="1"/>
  <c r="F308" i="4"/>
  <c r="G308" i="4"/>
  <c r="B309" i="4"/>
  <c r="C309" i="4"/>
  <c r="D309" i="4" a="1"/>
  <c r="D309" i="4"/>
  <c r="E309" i="4" a="1"/>
  <c r="E309" i="4"/>
  <c r="G309" i="4"/>
  <c r="F309" i="4" s="1"/>
  <c r="H309" i="4"/>
  <c r="B310" i="4"/>
  <c r="C310" i="4"/>
  <c r="D310" i="4" a="1"/>
  <c r="D310" i="4"/>
  <c r="E310" i="4" a="1"/>
  <c r="E310" i="4" s="1"/>
  <c r="G310" i="4"/>
  <c r="F310" i="4" s="1"/>
  <c r="B311" i="4"/>
  <c r="C311" i="4"/>
  <c r="D311" i="4" a="1"/>
  <c r="D311" i="4"/>
  <c r="E311" i="4" a="1"/>
  <c r="E311" i="4"/>
  <c r="F311" i="4"/>
  <c r="H311" i="4" s="1"/>
  <c r="G311" i="4"/>
  <c r="B312" i="4"/>
  <c r="C312" i="4"/>
  <c r="D312" i="4" a="1"/>
  <c r="D312" i="4" s="1"/>
  <c r="E312" i="4" a="1"/>
  <c r="E312" i="4"/>
  <c r="G312" i="4"/>
  <c r="F312" i="4" s="1"/>
  <c r="H312" i="4" s="1"/>
  <c r="B313" i="4"/>
  <c r="C313" i="4"/>
  <c r="D313" i="4" a="1"/>
  <c r="D313" i="4"/>
  <c r="E313" i="4" a="1"/>
  <c r="E313" i="4"/>
  <c r="F313" i="4"/>
  <c r="H313" i="4" s="1"/>
  <c r="G313" i="4"/>
  <c r="B314" i="4"/>
  <c r="C314" i="4"/>
  <c r="D314" i="4" a="1"/>
  <c r="D314" i="4"/>
  <c r="E314" i="4" a="1"/>
  <c r="E314" i="4"/>
  <c r="F314" i="4"/>
  <c r="H314" i="4" s="1"/>
  <c r="G314" i="4"/>
  <c r="B315" i="4"/>
  <c r="C315" i="4"/>
  <c r="D315" i="4" a="1"/>
  <c r="D315" i="4"/>
  <c r="E315" i="4" a="1"/>
  <c r="E315" i="4" s="1"/>
  <c r="G315" i="4"/>
  <c r="F315" i="4" s="1"/>
  <c r="B316" i="4"/>
  <c r="C316" i="4"/>
  <c r="D316" i="4" a="1"/>
  <c r="D316" i="4"/>
  <c r="E316" i="4" a="1"/>
  <c r="E316" i="4" s="1"/>
  <c r="F316" i="4"/>
  <c r="H316" i="4" s="1"/>
  <c r="G316" i="4"/>
  <c r="B317" i="4"/>
  <c r="C317" i="4"/>
  <c r="D317" i="4" a="1"/>
  <c r="D317" i="4"/>
  <c r="E317" i="4" a="1"/>
  <c r="E317" i="4" s="1"/>
  <c r="G317" i="4"/>
  <c r="F317" i="4" s="1"/>
  <c r="B318" i="4"/>
  <c r="C318" i="4"/>
  <c r="D318" i="4" a="1"/>
  <c r="D318" i="4" s="1"/>
  <c r="E318" i="4" a="1"/>
  <c r="E318" i="4"/>
  <c r="F318" i="4"/>
  <c r="H318" i="4" s="1"/>
  <c r="G318" i="4"/>
  <c r="B319" i="4"/>
  <c r="C319" i="4"/>
  <c r="D319" i="4" a="1"/>
  <c r="D319" i="4"/>
  <c r="H319" i="4" s="1"/>
  <c r="E319" i="4" a="1"/>
  <c r="E319" i="4" s="1"/>
  <c r="F319" i="4"/>
  <c r="G319" i="4"/>
  <c r="B320" i="4"/>
  <c r="C320" i="4"/>
  <c r="D320" i="4" a="1"/>
  <c r="D320" i="4" s="1"/>
  <c r="E320" i="4" a="1"/>
  <c r="E320" i="4"/>
  <c r="G320" i="4"/>
  <c r="F320" i="4" s="1"/>
  <c r="B321" i="4"/>
  <c r="C321" i="4"/>
  <c r="D321" i="4" a="1"/>
  <c r="D321" i="4" s="1"/>
  <c r="E321" i="4" a="1"/>
  <c r="E321" i="4" s="1"/>
  <c r="G321" i="4"/>
  <c r="F321" i="4" s="1"/>
  <c r="B322" i="4"/>
  <c r="C322" i="4"/>
  <c r="D322" i="4" a="1"/>
  <c r="D322" i="4"/>
  <c r="E322" i="4" a="1"/>
  <c r="E322" i="4" s="1"/>
  <c r="F322" i="4"/>
  <c r="H322" i="4" s="1"/>
  <c r="G322" i="4"/>
  <c r="B323" i="4"/>
  <c r="C323" i="4"/>
  <c r="D323" i="4" a="1"/>
  <c r="D323" i="4" s="1"/>
  <c r="E323" i="4" a="1"/>
  <c r="E323" i="4" s="1"/>
  <c r="G323" i="4"/>
  <c r="F323" i="4" s="1"/>
  <c r="H323" i="4"/>
  <c r="B324" i="4"/>
  <c r="C324" i="4"/>
  <c r="D324" i="4" a="1"/>
  <c r="D324" i="4"/>
  <c r="E324" i="4" a="1"/>
  <c r="E324" i="4" s="1"/>
  <c r="F324" i="4"/>
  <c r="G324" i="4"/>
  <c r="B325" i="4"/>
  <c r="C325" i="4"/>
  <c r="D325" i="4" a="1"/>
  <c r="D325" i="4"/>
  <c r="E325" i="4" a="1"/>
  <c r="E325" i="4"/>
  <c r="G325" i="4"/>
  <c r="F325" i="4" s="1"/>
  <c r="H325" i="4" s="1"/>
  <c r="B326" i="4"/>
  <c r="C326" i="4"/>
  <c r="D326" i="4" a="1"/>
  <c r="D326" i="4"/>
  <c r="E326" i="4" a="1"/>
  <c r="E326" i="4" s="1"/>
  <c r="G326" i="4"/>
  <c r="F326" i="4" s="1"/>
  <c r="B327" i="4"/>
  <c r="C327" i="4"/>
  <c r="D327" i="4" a="1"/>
  <c r="D327" i="4"/>
  <c r="E327" i="4" a="1"/>
  <c r="E327" i="4"/>
  <c r="F327" i="4"/>
  <c r="H327" i="4" s="1"/>
  <c r="G327" i="4"/>
  <c r="B328" i="4"/>
  <c r="C328" i="4"/>
  <c r="D328" i="4" a="1"/>
  <c r="D328" i="4" s="1"/>
  <c r="H328" i="4" s="1"/>
  <c r="E328" i="4" a="1"/>
  <c r="E328" i="4"/>
  <c r="G328" i="4"/>
  <c r="F328" i="4" s="1"/>
  <c r="B329" i="4"/>
  <c r="C329" i="4"/>
  <c r="D329" i="4" a="1"/>
  <c r="D329" i="4"/>
  <c r="E329" i="4" a="1"/>
  <c r="E329" i="4"/>
  <c r="F329" i="4"/>
  <c r="H329" i="4" s="1"/>
  <c r="G329" i="4"/>
  <c r="B330" i="4"/>
  <c r="C330" i="4"/>
  <c r="D330" i="4" a="1"/>
  <c r="D330" i="4"/>
  <c r="H330" i="4" s="1"/>
  <c r="E330" i="4" a="1"/>
  <c r="E330" i="4"/>
  <c r="F330" i="4"/>
  <c r="G330" i="4"/>
  <c r="B331" i="4"/>
  <c r="C331" i="4"/>
  <c r="D331" i="4" a="1"/>
  <c r="D331" i="4"/>
  <c r="E331" i="4" a="1"/>
  <c r="E331" i="4" s="1"/>
  <c r="G331" i="4"/>
  <c r="F331" i="4" s="1"/>
  <c r="B332" i="4"/>
  <c r="C332" i="4"/>
  <c r="D332" i="4" a="1"/>
  <c r="D332" i="4"/>
  <c r="E332" i="4" a="1"/>
  <c r="E332" i="4" s="1"/>
  <c r="F332" i="4"/>
  <c r="G332" i="4"/>
  <c r="B333" i="4"/>
  <c r="C333" i="4"/>
  <c r="D333" i="4" a="1"/>
  <c r="D333" i="4" s="1"/>
  <c r="E333" i="4" a="1"/>
  <c r="E333" i="4" s="1"/>
  <c r="G333" i="4"/>
  <c r="F333" i="4" s="1"/>
  <c r="B334" i="4"/>
  <c r="C334" i="4"/>
  <c r="D334" i="4" a="1"/>
  <c r="D334" i="4" s="1"/>
  <c r="H334" i="4" s="1"/>
  <c r="E334" i="4" a="1"/>
  <c r="E334" i="4"/>
  <c r="F334" i="4"/>
  <c r="G334" i="4"/>
  <c r="B335" i="4"/>
  <c r="C335" i="4"/>
  <c r="D335" i="4" a="1"/>
  <c r="D335" i="4"/>
  <c r="E335" i="4" a="1"/>
  <c r="E335" i="4" s="1"/>
  <c r="F335" i="4"/>
  <c r="H335" i="4" s="1"/>
  <c r="G335" i="4"/>
  <c r="B336" i="4"/>
  <c r="C336" i="4"/>
  <c r="D336" i="4" a="1"/>
  <c r="D336" i="4"/>
  <c r="H336" i="4" s="1"/>
  <c r="E336" i="4" a="1"/>
  <c r="E336" i="4"/>
  <c r="G336" i="4"/>
  <c r="F336" i="4" s="1"/>
  <c r="B337" i="4"/>
  <c r="C337" i="4"/>
  <c r="D337" i="4" a="1"/>
  <c r="D337" i="4" s="1"/>
  <c r="E337" i="4" a="1"/>
  <c r="E337" i="4" s="1"/>
  <c r="G337" i="4"/>
  <c r="F337" i="4" s="1"/>
  <c r="B338" i="4"/>
  <c r="C338" i="4"/>
  <c r="D338" i="4" a="1"/>
  <c r="D338" i="4" s="1"/>
  <c r="E338" i="4" a="1"/>
  <c r="E338" i="4"/>
  <c r="F338" i="4"/>
  <c r="G338" i="4"/>
  <c r="H338" i="4"/>
  <c r="B339" i="4"/>
  <c r="C339" i="4"/>
  <c r="D339" i="4" a="1"/>
  <c r="D339" i="4" s="1"/>
  <c r="E339" i="4" a="1"/>
  <c r="E339" i="4"/>
  <c r="G339" i="4"/>
  <c r="F339" i="4" s="1"/>
  <c r="H339" i="4"/>
  <c r="B340" i="4"/>
  <c r="C340" i="4"/>
  <c r="D340" i="4" a="1"/>
  <c r="D340" i="4" s="1"/>
  <c r="E340" i="4" a="1"/>
  <c r="E340" i="4"/>
  <c r="G340" i="4"/>
  <c r="F340" i="4" s="1"/>
  <c r="B341" i="4"/>
  <c r="C341" i="4"/>
  <c r="D341" i="4" a="1"/>
  <c r="D341" i="4" s="1"/>
  <c r="E341" i="4" a="1"/>
  <c r="E341" i="4" s="1"/>
  <c r="G341" i="4"/>
  <c r="F341" i="4" s="1"/>
  <c r="B342" i="4"/>
  <c r="C342" i="4"/>
  <c r="D342" i="4" a="1"/>
  <c r="D342" i="4"/>
  <c r="E342" i="4" a="1"/>
  <c r="E342" i="4" s="1"/>
  <c r="G342" i="4"/>
  <c r="F342" i="4" s="1"/>
  <c r="B343" i="4"/>
  <c r="C343" i="4"/>
  <c r="D343" i="4" a="1"/>
  <c r="D343" i="4"/>
  <c r="E343" i="4" a="1"/>
  <c r="E343" i="4"/>
  <c r="F343" i="4"/>
  <c r="G343" i="4"/>
  <c r="B344" i="4"/>
  <c r="C344" i="4"/>
  <c r="D344" i="4" a="1"/>
  <c r="D344" i="4" s="1"/>
  <c r="E344" i="4" a="1"/>
  <c r="E344" i="4"/>
  <c r="G344" i="4"/>
  <c r="F344" i="4" s="1"/>
  <c r="B345" i="4"/>
  <c r="C345" i="4"/>
  <c r="D345" i="4" a="1"/>
  <c r="D345" i="4"/>
  <c r="E345" i="4" a="1"/>
  <c r="E345" i="4" s="1"/>
  <c r="F345" i="4"/>
  <c r="G345" i="4"/>
  <c r="B346" i="4"/>
  <c r="C346" i="4"/>
  <c r="D346" i="4" a="1"/>
  <c r="D346" i="4"/>
  <c r="E346" i="4" a="1"/>
  <c r="E346" i="4"/>
  <c r="F346" i="4"/>
  <c r="G346" i="4"/>
  <c r="H346" i="4"/>
  <c r="B347" i="4"/>
  <c r="C347" i="4"/>
  <c r="D347" i="4" a="1"/>
  <c r="D347" i="4" s="1"/>
  <c r="E347" i="4" a="1"/>
  <c r="E347" i="4" s="1"/>
  <c r="G347" i="4"/>
  <c r="F347" i="4" s="1"/>
  <c r="B348" i="4"/>
  <c r="C348" i="4"/>
  <c r="D348" i="4" a="1"/>
  <c r="D348" i="4" s="1"/>
  <c r="E348" i="4" a="1"/>
  <c r="E348" i="4"/>
  <c r="F348" i="4"/>
  <c r="H348" i="4" s="1"/>
  <c r="G348" i="4"/>
  <c r="B349" i="4"/>
  <c r="C349" i="4"/>
  <c r="D349" i="4" a="1"/>
  <c r="D349" i="4" s="1"/>
  <c r="E349" i="4" a="1"/>
  <c r="E349" i="4" s="1"/>
  <c r="F349" i="4"/>
  <c r="G349" i="4"/>
  <c r="B350" i="4"/>
  <c r="C350" i="4"/>
  <c r="D350" i="4" a="1"/>
  <c r="D350" i="4"/>
  <c r="E350" i="4" a="1"/>
  <c r="E350" i="4" s="1"/>
  <c r="G350" i="4"/>
  <c r="F350" i="4" s="1"/>
  <c r="B351" i="4"/>
  <c r="C351" i="4"/>
  <c r="D351" i="4" a="1"/>
  <c r="D351" i="4"/>
  <c r="E351" i="4" a="1"/>
  <c r="E351" i="4" s="1"/>
  <c r="F351" i="4"/>
  <c r="G351" i="4"/>
  <c r="B352" i="4"/>
  <c r="C352" i="4"/>
  <c r="D352" i="4" a="1"/>
  <c r="D352" i="4" s="1"/>
  <c r="E352" i="4" a="1"/>
  <c r="E352" i="4"/>
  <c r="G352" i="4"/>
  <c r="F352" i="4" s="1"/>
  <c r="H352" i="4" s="1"/>
  <c r="B353" i="4"/>
  <c r="C353" i="4"/>
  <c r="D353" i="4" a="1"/>
  <c r="D353" i="4" s="1"/>
  <c r="E353" i="4" a="1"/>
  <c r="E353" i="4" s="1"/>
  <c r="G353" i="4"/>
  <c r="F353" i="4" s="1"/>
  <c r="B354" i="4"/>
  <c r="C354" i="4"/>
  <c r="D354" i="4" a="1"/>
  <c r="D354" i="4"/>
  <c r="E354" i="4" a="1"/>
  <c r="E354" i="4"/>
  <c r="G354" i="4"/>
  <c r="F354" i="4" s="1"/>
  <c r="H354" i="4" s="1"/>
  <c r="B355" i="4"/>
  <c r="C355" i="4"/>
  <c r="D355" i="4" a="1"/>
  <c r="D355" i="4" s="1"/>
  <c r="E355" i="4" a="1"/>
  <c r="E355" i="4"/>
  <c r="F355" i="4"/>
  <c r="G355" i="4"/>
  <c r="B356" i="4"/>
  <c r="C356" i="4"/>
  <c r="D356" i="4" a="1"/>
  <c r="D356" i="4"/>
  <c r="E356" i="4" a="1"/>
  <c r="E356" i="4"/>
  <c r="G356" i="4"/>
  <c r="F356" i="4" s="1"/>
  <c r="B357" i="4"/>
  <c r="C357" i="4"/>
  <c r="D357" i="4" a="1"/>
  <c r="D357" i="4"/>
  <c r="E357" i="4" a="1"/>
  <c r="E357" i="4"/>
  <c r="G357" i="4"/>
  <c r="F357" i="4" s="1"/>
  <c r="H357" i="4" s="1"/>
  <c r="B358" i="4"/>
  <c r="C358" i="4"/>
  <c r="D358" i="4" a="1"/>
  <c r="D358" i="4"/>
  <c r="E358" i="4" a="1"/>
  <c r="E358" i="4"/>
  <c r="G358" i="4"/>
  <c r="F358" i="4" s="1"/>
  <c r="B359" i="4"/>
  <c r="C359" i="4"/>
  <c r="D359" i="4" a="1"/>
  <c r="D359" i="4" s="1"/>
  <c r="E359" i="4" a="1"/>
  <c r="E359" i="4"/>
  <c r="F359" i="4"/>
  <c r="G359" i="4"/>
  <c r="H359" i="4"/>
  <c r="B360" i="4"/>
  <c r="C360" i="4"/>
  <c r="D360" i="4" a="1"/>
  <c r="D360" i="4"/>
  <c r="E360" i="4" a="1"/>
  <c r="E360" i="4"/>
  <c r="G360" i="4"/>
  <c r="F360" i="4" s="1"/>
  <c r="H360" i="4"/>
  <c r="B361" i="4"/>
  <c r="C361" i="4"/>
  <c r="D361" i="4" a="1"/>
  <c r="D361" i="4"/>
  <c r="E361" i="4" a="1"/>
  <c r="E361" i="4" s="1"/>
  <c r="G361" i="4"/>
  <c r="F361" i="4" s="1"/>
  <c r="H361" i="4"/>
  <c r="B362" i="4"/>
  <c r="C362" i="4"/>
  <c r="D362" i="4" a="1"/>
  <c r="D362" i="4"/>
  <c r="E362" i="4" a="1"/>
  <c r="E362" i="4"/>
  <c r="G362" i="4"/>
  <c r="F362" i="4" s="1"/>
  <c r="H362" i="4" s="1"/>
  <c r="B363" i="4"/>
  <c r="C363" i="4"/>
  <c r="D363" i="4" a="1"/>
  <c r="D363" i="4" s="1"/>
  <c r="E363" i="4" a="1"/>
  <c r="E363" i="4"/>
  <c r="G363" i="4"/>
  <c r="F363" i="4" s="1"/>
  <c r="H363" i="4" s="1"/>
  <c r="B364" i="4"/>
  <c r="C364" i="4"/>
  <c r="D364" i="4" a="1"/>
  <c r="D364" i="4" s="1"/>
  <c r="E364" i="4" a="1"/>
  <c r="E364" i="4"/>
  <c r="F364" i="4"/>
  <c r="G364" i="4"/>
  <c r="H364" i="4"/>
  <c r="B365" i="4"/>
  <c r="C365" i="4"/>
  <c r="D365" i="4" a="1"/>
  <c r="D365" i="4" s="1"/>
  <c r="E365" i="4" a="1"/>
  <c r="E365" i="4" s="1"/>
  <c r="F365" i="4"/>
  <c r="G365" i="4"/>
  <c r="B366" i="4"/>
  <c r="C366" i="4"/>
  <c r="D366" i="4" a="1"/>
  <c r="D366" i="4"/>
  <c r="E366" i="4" a="1"/>
  <c r="E366" i="4" s="1"/>
  <c r="G366" i="4"/>
  <c r="F366" i="4" s="1"/>
  <c r="B367" i="4"/>
  <c r="C367" i="4"/>
  <c r="D367" i="4" a="1"/>
  <c r="D367" i="4"/>
  <c r="E367" i="4" a="1"/>
  <c r="E367" i="4" s="1"/>
  <c r="F367" i="4"/>
  <c r="G367" i="4"/>
  <c r="B368" i="4"/>
  <c r="C368" i="4"/>
  <c r="D368" i="4" a="1"/>
  <c r="D368" i="4" s="1"/>
  <c r="E368" i="4" a="1"/>
  <c r="E368" i="4"/>
  <c r="G368" i="4"/>
  <c r="F368" i="4" s="1"/>
  <c r="H368" i="4" s="1"/>
  <c r="B369" i="4"/>
  <c r="C369" i="4"/>
  <c r="D369" i="4" a="1"/>
  <c r="D369" i="4"/>
  <c r="E369" i="4" a="1"/>
  <c r="E369" i="4" s="1"/>
  <c r="G369" i="4"/>
  <c r="F369" i="4" s="1"/>
  <c r="H369" i="4" s="1"/>
  <c r="B370" i="4"/>
  <c r="C370" i="4"/>
  <c r="D370" i="4" a="1"/>
  <c r="D370" i="4"/>
  <c r="E370" i="4" a="1"/>
  <c r="E370" i="4"/>
  <c r="F370" i="4"/>
  <c r="H370" i="4" s="1"/>
  <c r="G370" i="4"/>
  <c r="B371" i="4"/>
  <c r="C371" i="4"/>
  <c r="D371" i="4" a="1"/>
  <c r="D371" i="4" s="1"/>
  <c r="E371" i="4" a="1"/>
  <c r="E371" i="4"/>
  <c r="F371" i="4"/>
  <c r="G371" i="4"/>
  <c r="B372" i="4"/>
  <c r="C372" i="4"/>
  <c r="D372" i="4" a="1"/>
  <c r="D372" i="4"/>
  <c r="E372" i="4" a="1"/>
  <c r="E372" i="4"/>
  <c r="F372" i="4"/>
  <c r="H372" i="4" s="1"/>
  <c r="G372" i="4"/>
  <c r="B373" i="4"/>
  <c r="C373" i="4"/>
  <c r="D373" i="4" a="1"/>
  <c r="D373" i="4"/>
  <c r="E373" i="4" a="1"/>
  <c r="E373" i="4"/>
  <c r="G373" i="4"/>
  <c r="F373" i="4" s="1"/>
  <c r="H373" i="4" s="1"/>
  <c r="B374" i="4"/>
  <c r="C374" i="4"/>
  <c r="D374" i="4" a="1"/>
  <c r="D374" i="4"/>
  <c r="E374" i="4" a="1"/>
  <c r="E374" i="4" s="1"/>
  <c r="G374" i="4"/>
  <c r="F374" i="4" s="1"/>
  <c r="B375" i="4"/>
  <c r="C375" i="4"/>
  <c r="D375" i="4" a="1"/>
  <c r="D375" i="4"/>
  <c r="E375" i="4" a="1"/>
  <c r="E375" i="4"/>
  <c r="F375" i="4"/>
  <c r="H375" i="4" s="1"/>
  <c r="G375" i="4"/>
  <c r="B376" i="4"/>
  <c r="C376" i="4"/>
  <c r="D376" i="4" a="1"/>
  <c r="D376" i="4"/>
  <c r="E376" i="4" a="1"/>
  <c r="E376" i="4" s="1"/>
  <c r="G376" i="4"/>
  <c r="F376" i="4" s="1"/>
  <c r="H376" i="4"/>
  <c r="B377" i="4"/>
  <c r="C377" i="4"/>
  <c r="D377" i="4" a="1"/>
  <c r="D377" i="4"/>
  <c r="E377" i="4" a="1"/>
  <c r="E377" i="4" s="1"/>
  <c r="G377" i="4"/>
  <c r="F377" i="4" s="1"/>
  <c r="H377" i="4" s="1"/>
  <c r="B378" i="4"/>
  <c r="C378" i="4"/>
  <c r="D378" i="4" a="1"/>
  <c r="D378" i="4"/>
  <c r="E378" i="4" a="1"/>
  <c r="E378" i="4"/>
  <c r="G378" i="4"/>
  <c r="F378" i="4" s="1"/>
  <c r="H378" i="4" s="1"/>
  <c r="B379" i="4"/>
  <c r="C379" i="4"/>
  <c r="D379" i="4" a="1"/>
  <c r="D379" i="4" s="1"/>
  <c r="H379" i="4" s="1"/>
  <c r="E379" i="4" a="1"/>
  <c r="E379" i="4" s="1"/>
  <c r="F379" i="4"/>
  <c r="G379" i="4"/>
  <c r="B380" i="4"/>
  <c r="C380" i="4"/>
  <c r="D380" i="4" a="1"/>
  <c r="D380" i="4" s="1"/>
  <c r="E380" i="4" a="1"/>
  <c r="E380" i="4" s="1"/>
  <c r="F380" i="4"/>
  <c r="G380" i="4"/>
  <c r="H380" i="4"/>
  <c r="B381" i="4"/>
  <c r="C381" i="4"/>
  <c r="D381" i="4" a="1"/>
  <c r="D381" i="4" s="1"/>
  <c r="E381" i="4" a="1"/>
  <c r="E381" i="4" s="1"/>
  <c r="F381" i="4"/>
  <c r="G381" i="4"/>
  <c r="B382" i="4"/>
  <c r="C382" i="4"/>
  <c r="D382" i="4" a="1"/>
  <c r="D382" i="4" s="1"/>
  <c r="E382" i="4" a="1"/>
  <c r="E382" i="4" s="1"/>
  <c r="F382" i="4"/>
  <c r="G382" i="4"/>
  <c r="B383" i="4"/>
  <c r="C383" i="4"/>
  <c r="D383" i="4" a="1"/>
  <c r="D383" i="4" s="1"/>
  <c r="H383" i="4" s="1"/>
  <c r="E383" i="4" a="1"/>
  <c r="E383" i="4" s="1"/>
  <c r="F383" i="4"/>
  <c r="G383" i="4"/>
  <c r="B384" i="4"/>
  <c r="C384" i="4"/>
  <c r="D384" i="4" a="1"/>
  <c r="D384" i="4" s="1"/>
  <c r="E384" i="4" a="1"/>
  <c r="E384" i="4" s="1"/>
  <c r="G384" i="4"/>
  <c r="F384" i="4" s="1"/>
  <c r="H384" i="4" s="1"/>
  <c r="B385" i="4"/>
  <c r="C385" i="4"/>
  <c r="D385" i="4" a="1"/>
  <c r="D385" i="4"/>
  <c r="E385" i="4" a="1"/>
  <c r="E385" i="4" s="1"/>
  <c r="G385" i="4"/>
  <c r="F385" i="4" s="1"/>
  <c r="B386" i="4"/>
  <c r="C386" i="4"/>
  <c r="D386" i="4" a="1"/>
  <c r="D386" i="4"/>
  <c r="E386" i="4" a="1"/>
  <c r="E386" i="4"/>
  <c r="G386" i="4"/>
  <c r="F386" i="4" s="1"/>
  <c r="H386" i="4" s="1"/>
  <c r="B387" i="4"/>
  <c r="C387" i="4"/>
  <c r="D387" i="4" a="1"/>
  <c r="D387" i="4" s="1"/>
  <c r="E387" i="4" a="1"/>
  <c r="E387" i="4"/>
  <c r="F387" i="4"/>
  <c r="G387" i="4"/>
  <c r="B388" i="4"/>
  <c r="C388" i="4"/>
  <c r="D388" i="4" a="1"/>
  <c r="D388" i="4"/>
  <c r="E388" i="4" a="1"/>
  <c r="E388" i="4"/>
  <c r="G388" i="4"/>
  <c r="F388" i="4" s="1"/>
  <c r="H388" i="4" s="1"/>
  <c r="B389" i="4"/>
  <c r="C389" i="4"/>
  <c r="D389" i="4" a="1"/>
  <c r="D389" i="4"/>
  <c r="E389" i="4" a="1"/>
  <c r="E389" i="4" s="1"/>
  <c r="G389" i="4"/>
  <c r="F389" i="4" s="1"/>
  <c r="H389" i="4" s="1"/>
  <c r="B390" i="4"/>
  <c r="C390" i="4"/>
  <c r="D390" i="4" a="1"/>
  <c r="D390" i="4"/>
  <c r="E390" i="4" a="1"/>
  <c r="E390" i="4" s="1"/>
  <c r="G390" i="4"/>
  <c r="F390" i="4" s="1"/>
  <c r="B391" i="4"/>
  <c r="C391" i="4"/>
  <c r="D391" i="4" a="1"/>
  <c r="D391" i="4"/>
  <c r="E391" i="4" a="1"/>
  <c r="E391" i="4"/>
  <c r="F391" i="4"/>
  <c r="G391" i="4"/>
  <c r="B392" i="4"/>
  <c r="C392" i="4"/>
  <c r="D392" i="4" a="1"/>
  <c r="D392" i="4"/>
  <c r="E392" i="4" a="1"/>
  <c r="E392" i="4"/>
  <c r="G392" i="4"/>
  <c r="F392" i="4" s="1"/>
  <c r="H392" i="4" s="1"/>
  <c r="B393" i="4"/>
  <c r="C393" i="4"/>
  <c r="D393" i="4" a="1"/>
  <c r="D393" i="4"/>
  <c r="E393" i="4" a="1"/>
  <c r="E393" i="4"/>
  <c r="F393" i="4"/>
  <c r="G393" i="4"/>
  <c r="B394" i="4"/>
  <c r="C394" i="4"/>
  <c r="D394" i="4" a="1"/>
  <c r="D394" i="4" s="1"/>
  <c r="E394" i="4" a="1"/>
  <c r="E394" i="4"/>
  <c r="F394" i="4"/>
  <c r="G394" i="4"/>
  <c r="B395" i="4"/>
  <c r="C395" i="4"/>
  <c r="D395" i="4" a="1"/>
  <c r="D395" i="4" s="1"/>
  <c r="E395" i="4" a="1"/>
  <c r="E395" i="4" s="1"/>
  <c r="G395" i="4"/>
  <c r="F395" i="4" s="1"/>
  <c r="B396" i="4"/>
  <c r="C396" i="4"/>
  <c r="D396" i="4" a="1"/>
  <c r="D396" i="4" s="1"/>
  <c r="E396" i="4" a="1"/>
  <c r="E396" i="4" s="1"/>
  <c r="F396" i="4"/>
  <c r="H396" i="4" s="1"/>
  <c r="G396" i="4"/>
  <c r="B397" i="4"/>
  <c r="C397" i="4"/>
  <c r="D397" i="4" a="1"/>
  <c r="D397" i="4" s="1"/>
  <c r="E397" i="4" a="1"/>
  <c r="E397" i="4"/>
  <c r="G397" i="4"/>
  <c r="F397" i="4" s="1"/>
  <c r="B398" i="4"/>
  <c r="C398" i="4"/>
  <c r="D398" i="4" a="1"/>
  <c r="D398" i="4" s="1"/>
  <c r="E398" i="4" a="1"/>
  <c r="E398" i="4" s="1"/>
  <c r="G398" i="4"/>
  <c r="F398" i="4" s="1"/>
  <c r="H398" i="4" s="1"/>
  <c r="B399" i="4"/>
  <c r="C399" i="4"/>
  <c r="D399" i="4" a="1"/>
  <c r="D399" i="4" s="1"/>
  <c r="H399" i="4" s="1"/>
  <c r="E399" i="4" a="1"/>
  <c r="E399" i="4"/>
  <c r="F399" i="4"/>
  <c r="G399" i="4"/>
  <c r="B400" i="4"/>
  <c r="C400" i="4"/>
  <c r="D400" i="4" a="1"/>
  <c r="D400" i="4" s="1"/>
  <c r="E400" i="4" a="1"/>
  <c r="E400" i="4" s="1"/>
  <c r="G400" i="4"/>
  <c r="F400" i="4" s="1"/>
  <c r="H400" i="4" s="1"/>
  <c r="B401" i="4"/>
  <c r="C401" i="4"/>
  <c r="D401" i="4" a="1"/>
  <c r="D401" i="4" s="1"/>
  <c r="E401" i="4" a="1"/>
  <c r="E401" i="4" s="1"/>
  <c r="G401" i="4"/>
  <c r="F401" i="4" s="1"/>
  <c r="B402" i="4"/>
  <c r="C402" i="4"/>
  <c r="D402" i="4" a="1"/>
  <c r="D402" i="4"/>
  <c r="E402" i="4" a="1"/>
  <c r="E402" i="4" s="1"/>
  <c r="G402" i="4"/>
  <c r="F402" i="4" s="1"/>
  <c r="H402" i="4" s="1"/>
  <c r="B403" i="4"/>
  <c r="C403" i="4"/>
  <c r="D403" i="4" a="1"/>
  <c r="D403" i="4" s="1"/>
  <c r="E403" i="4" a="1"/>
  <c r="E403" i="4"/>
  <c r="G403" i="4"/>
  <c r="F403" i="4" s="1"/>
  <c r="B404" i="4"/>
  <c r="C404" i="4"/>
  <c r="D404" i="4" a="1"/>
  <c r="D404" i="4"/>
  <c r="E404" i="4" a="1"/>
  <c r="E404" i="4" s="1"/>
  <c r="G404" i="4"/>
  <c r="F404" i="4" s="1"/>
  <c r="H404" i="4" s="1"/>
  <c r="B405" i="4"/>
  <c r="C405" i="4"/>
  <c r="D405" i="4" a="1"/>
  <c r="D405" i="4" s="1"/>
  <c r="E405" i="4" a="1"/>
  <c r="E405" i="4" s="1"/>
  <c r="G405" i="4"/>
  <c r="F405" i="4" s="1"/>
  <c r="B406" i="4"/>
  <c r="C406" i="4"/>
  <c r="D406" i="4" a="1"/>
  <c r="D406" i="4" s="1"/>
  <c r="E406" i="4" a="1"/>
  <c r="E406" i="4"/>
  <c r="G406" i="4"/>
  <c r="F406" i="4" s="1"/>
  <c r="B407" i="4"/>
  <c r="C407" i="4"/>
  <c r="D407" i="4" a="1"/>
  <c r="D407" i="4" s="1"/>
  <c r="E407" i="4" a="1"/>
  <c r="E407" i="4"/>
  <c r="G407" i="4"/>
  <c r="F407" i="4" s="1"/>
  <c r="B408" i="4"/>
  <c r="C408" i="4"/>
  <c r="D408" i="4" a="1"/>
  <c r="D408" i="4" s="1"/>
  <c r="E408" i="4" a="1"/>
  <c r="E408" i="4"/>
  <c r="G408" i="4"/>
  <c r="F408" i="4" s="1"/>
  <c r="H408" i="4"/>
  <c r="B409" i="4"/>
  <c r="C409" i="4"/>
  <c r="D409" i="4" a="1"/>
  <c r="D409" i="4"/>
  <c r="E409" i="4" a="1"/>
  <c r="E409" i="4"/>
  <c r="F409" i="4"/>
  <c r="H409" i="4" s="1"/>
  <c r="G409" i="4"/>
  <c r="B410" i="4"/>
  <c r="C410" i="4"/>
  <c r="D410" i="4" a="1"/>
  <c r="D410" i="4"/>
  <c r="E410" i="4" a="1"/>
  <c r="E410" i="4"/>
  <c r="G410" i="4"/>
  <c r="F410" i="4" s="1"/>
  <c r="H410" i="4" s="1"/>
  <c r="B411" i="4"/>
  <c r="C411" i="4"/>
  <c r="D411" i="4" a="1"/>
  <c r="D411" i="4"/>
  <c r="E411" i="4" a="1"/>
  <c r="E411" i="4" s="1"/>
  <c r="G411" i="4"/>
  <c r="F411" i="4" s="1"/>
  <c r="H411" i="4" s="1"/>
  <c r="B412" i="4"/>
  <c r="C412" i="4"/>
  <c r="D412" i="4" a="1"/>
  <c r="D412" i="4" s="1"/>
  <c r="E412" i="4" a="1"/>
  <c r="E412" i="4" s="1"/>
  <c r="F412" i="4"/>
  <c r="G412" i="4"/>
  <c r="B413" i="4"/>
  <c r="C413" i="4"/>
  <c r="D413" i="4" a="1"/>
  <c r="D413" i="4" s="1"/>
  <c r="E413" i="4" a="1"/>
  <c r="E413" i="4"/>
  <c r="F413" i="4"/>
  <c r="G413" i="4"/>
  <c r="B414" i="4"/>
  <c r="C414" i="4"/>
  <c r="D414" i="4" a="1"/>
  <c r="D414" i="4" s="1"/>
  <c r="H414" i="4" s="1"/>
  <c r="E414" i="4" a="1"/>
  <c r="E414" i="4" s="1"/>
  <c r="G414" i="4"/>
  <c r="F414" i="4" s="1"/>
  <c r="B415" i="4"/>
  <c r="C415" i="4"/>
  <c r="D415" i="4" a="1"/>
  <c r="D415" i="4"/>
  <c r="E415" i="4" a="1"/>
  <c r="E415" i="4" s="1"/>
  <c r="G415" i="4"/>
  <c r="F415" i="4" s="1"/>
  <c r="H415" i="4" s="1"/>
  <c r="B416" i="4"/>
  <c r="C416" i="4"/>
  <c r="D416" i="4" a="1"/>
  <c r="D416" i="4" s="1"/>
  <c r="E416" i="4" a="1"/>
  <c r="E416" i="4" s="1"/>
  <c r="G416" i="4"/>
  <c r="F416" i="4" s="1"/>
  <c r="B417" i="4"/>
  <c r="C417" i="4"/>
  <c r="D417" i="4" a="1"/>
  <c r="D417" i="4"/>
  <c r="E417" i="4" a="1"/>
  <c r="E417" i="4" s="1"/>
  <c r="F417" i="4"/>
  <c r="H417" i="4" s="1"/>
  <c r="G417" i="4"/>
  <c r="B418" i="4"/>
  <c r="C418" i="4"/>
  <c r="D418" i="4" a="1"/>
  <c r="D418" i="4" s="1"/>
  <c r="E418" i="4" a="1"/>
  <c r="E418" i="4"/>
  <c r="G418" i="4"/>
  <c r="F418" i="4" s="1"/>
  <c r="B419" i="4"/>
  <c r="C419" i="4"/>
  <c r="D419" i="4" a="1"/>
  <c r="D419" i="4" s="1"/>
  <c r="E419" i="4" a="1"/>
  <c r="E419" i="4"/>
  <c r="F419" i="4"/>
  <c r="G419" i="4"/>
  <c r="B420" i="4"/>
  <c r="C420" i="4"/>
  <c r="D420" i="4" a="1"/>
  <c r="D420" i="4"/>
  <c r="E420" i="4" a="1"/>
  <c r="E420" i="4"/>
  <c r="F420" i="4"/>
  <c r="G420" i="4"/>
  <c r="H420" i="4"/>
  <c r="B421" i="4"/>
  <c r="C421" i="4"/>
  <c r="D421" i="4" a="1"/>
  <c r="D421" i="4"/>
  <c r="E421" i="4" a="1"/>
  <c r="E421" i="4"/>
  <c r="G421" i="4"/>
  <c r="F421" i="4" s="1"/>
  <c r="H421" i="4" s="1"/>
  <c r="B422" i="4"/>
  <c r="C422" i="4"/>
  <c r="D422" i="4" a="1"/>
  <c r="D422" i="4"/>
  <c r="E422" i="4" a="1"/>
  <c r="E422" i="4"/>
  <c r="G422" i="4"/>
  <c r="F422" i="4" s="1"/>
  <c r="H422" i="4" s="1"/>
  <c r="B423" i="4"/>
  <c r="C423" i="4"/>
  <c r="D423" i="4" a="1"/>
  <c r="D423" i="4"/>
  <c r="E423" i="4" a="1"/>
  <c r="E423" i="4"/>
  <c r="F423" i="4"/>
  <c r="G423" i="4"/>
  <c r="B424" i="4"/>
  <c r="C424" i="4"/>
  <c r="D424" i="4" a="1"/>
  <c r="D424" i="4"/>
  <c r="E424" i="4" a="1"/>
  <c r="E424" i="4"/>
  <c r="F424" i="4"/>
  <c r="H424" i="4" s="1"/>
  <c r="G424" i="4"/>
  <c r="B425" i="4"/>
  <c r="C425" i="4"/>
  <c r="D425" i="4" a="1"/>
  <c r="D425" i="4"/>
  <c r="E425" i="4" a="1"/>
  <c r="E425" i="4"/>
  <c r="G425" i="4"/>
  <c r="F425" i="4" s="1"/>
  <c r="B426" i="4"/>
  <c r="C426" i="4"/>
  <c r="D426" i="4" a="1"/>
  <c r="D426" i="4"/>
  <c r="E426" i="4" a="1"/>
  <c r="E426" i="4" s="1"/>
  <c r="G426" i="4"/>
  <c r="F426" i="4" s="1"/>
  <c r="H426" i="4" s="1"/>
  <c r="B427" i="4"/>
  <c r="C427" i="4"/>
  <c r="D427" i="4" a="1"/>
  <c r="D427" i="4"/>
  <c r="E427" i="4" a="1"/>
  <c r="E427" i="4"/>
  <c r="G427" i="4"/>
  <c r="F427" i="4" s="1"/>
  <c r="B428" i="4"/>
  <c r="C428" i="4"/>
  <c r="D428" i="4" a="1"/>
  <c r="D428" i="4" s="1"/>
  <c r="E428" i="4" a="1"/>
  <c r="E428" i="4"/>
  <c r="F428" i="4"/>
  <c r="H428" i="4" s="1"/>
  <c r="G428" i="4"/>
  <c r="B429" i="4"/>
  <c r="C429" i="4"/>
  <c r="D429" i="4" a="1"/>
  <c r="D429" i="4"/>
  <c r="E429" i="4" a="1"/>
  <c r="E429" i="4"/>
  <c r="F429" i="4"/>
  <c r="G429" i="4"/>
  <c r="H429" i="4"/>
  <c r="B430" i="4"/>
  <c r="C430" i="4"/>
  <c r="D430" i="4" a="1"/>
  <c r="D430" i="4"/>
  <c r="E430" i="4" a="1"/>
  <c r="E430" i="4" s="1"/>
  <c r="G430" i="4"/>
  <c r="F430" i="4" s="1"/>
  <c r="B431" i="4"/>
  <c r="C431" i="4"/>
  <c r="D431" i="4" a="1"/>
  <c r="D431" i="4"/>
  <c r="E431" i="4" a="1"/>
  <c r="E431" i="4"/>
  <c r="G431" i="4"/>
  <c r="F431" i="4" s="1"/>
  <c r="H431" i="4" s="1"/>
  <c r="B432" i="4"/>
  <c r="C432" i="4"/>
  <c r="D432" i="4" a="1"/>
  <c r="D432" i="4" s="1"/>
  <c r="E432" i="4" a="1"/>
  <c r="E432" i="4" s="1"/>
  <c r="F432" i="4"/>
  <c r="H432" i="4" s="1"/>
  <c r="G432" i="4"/>
  <c r="B433" i="4"/>
  <c r="C433" i="4"/>
  <c r="D433" i="4" a="1"/>
  <c r="D433" i="4"/>
  <c r="E433" i="4" a="1"/>
  <c r="E433" i="4" s="1"/>
  <c r="G433" i="4"/>
  <c r="F433" i="4" s="1"/>
  <c r="H433" i="4" s="1"/>
  <c r="B434" i="4"/>
  <c r="C434" i="4"/>
  <c r="D434" i="4" a="1"/>
  <c r="D434" i="4" s="1"/>
  <c r="E434" i="4" a="1"/>
  <c r="E434" i="4"/>
  <c r="F434" i="4"/>
  <c r="G434" i="4"/>
  <c r="B435" i="4"/>
  <c r="C435" i="4"/>
  <c r="D435" i="4" a="1"/>
  <c r="D435" i="4" s="1"/>
  <c r="H435" i="4" s="1"/>
  <c r="E435" i="4" a="1"/>
  <c r="E435" i="4"/>
  <c r="F435" i="4"/>
  <c r="G435" i="4"/>
  <c r="B436" i="4"/>
  <c r="C436" i="4"/>
  <c r="D436" i="4" a="1"/>
  <c r="D436" i="4"/>
  <c r="H436" i="4" s="1"/>
  <c r="E436" i="4" a="1"/>
  <c r="E436" i="4" s="1"/>
  <c r="G436" i="4"/>
  <c r="F436" i="4" s="1"/>
  <c r="B437" i="4"/>
  <c r="C437" i="4"/>
  <c r="D437" i="4" a="1"/>
  <c r="D437" i="4"/>
  <c r="E437" i="4" a="1"/>
  <c r="E437" i="4" s="1"/>
  <c r="G437" i="4"/>
  <c r="F437" i="4" s="1"/>
  <c r="H437" i="4" s="1"/>
  <c r="B438" i="4"/>
  <c r="C438" i="4"/>
  <c r="D438" i="4" a="1"/>
  <c r="D438" i="4"/>
  <c r="E438" i="4" a="1"/>
  <c r="E438" i="4" s="1"/>
  <c r="G438" i="4"/>
  <c r="F438" i="4" s="1"/>
  <c r="B439" i="4"/>
  <c r="C439" i="4"/>
  <c r="D439" i="4" a="1"/>
  <c r="D439" i="4"/>
  <c r="E439" i="4" a="1"/>
  <c r="E439" i="4"/>
  <c r="F439" i="4"/>
  <c r="H439" i="4" s="1"/>
  <c r="G439" i="4"/>
  <c r="B440" i="4"/>
  <c r="C440" i="4"/>
  <c r="D440" i="4" a="1"/>
  <c r="D440" i="4" s="1"/>
  <c r="E440" i="4" a="1"/>
  <c r="E440" i="4"/>
  <c r="G440" i="4"/>
  <c r="F440" i="4" s="1"/>
  <c r="B441" i="4"/>
  <c r="C441" i="4"/>
  <c r="D441" i="4" a="1"/>
  <c r="D441" i="4"/>
  <c r="E441" i="4" a="1"/>
  <c r="E441" i="4" s="1"/>
  <c r="F441" i="4"/>
  <c r="H441" i="4" s="1"/>
  <c r="G441" i="4"/>
  <c r="B442" i="4"/>
  <c r="C442" i="4"/>
  <c r="D442" i="4" a="1"/>
  <c r="D442" i="4"/>
  <c r="E442" i="4" a="1"/>
  <c r="E442" i="4"/>
  <c r="G442" i="4"/>
  <c r="F442" i="4" s="1"/>
  <c r="H442" i="4" s="1"/>
  <c r="B443" i="4"/>
  <c r="C443" i="4"/>
  <c r="D443" i="4" a="1"/>
  <c r="D443" i="4" s="1"/>
  <c r="E443" i="4" a="1"/>
  <c r="E443" i="4"/>
  <c r="G443" i="4"/>
  <c r="F443" i="4" s="1"/>
  <c r="B444" i="4"/>
  <c r="C444" i="4"/>
  <c r="D444" i="4" a="1"/>
  <c r="D444" i="4"/>
  <c r="E444" i="4" a="1"/>
  <c r="E444" i="4"/>
  <c r="F444" i="4"/>
  <c r="H444" i="4" s="1"/>
  <c r="G444" i="4"/>
  <c r="B445" i="4"/>
  <c r="C445" i="4"/>
  <c r="D445" i="4" a="1"/>
  <c r="D445" i="4" s="1"/>
  <c r="E445" i="4" a="1"/>
  <c r="E445" i="4"/>
  <c r="G445" i="4"/>
  <c r="F445" i="4" s="1"/>
  <c r="B446" i="4"/>
  <c r="C446" i="4"/>
  <c r="D446" i="4" a="1"/>
  <c r="D446" i="4"/>
  <c r="E446" i="4" a="1"/>
  <c r="E446" i="4" s="1"/>
  <c r="F446" i="4"/>
  <c r="G446" i="4"/>
  <c r="H446" i="4"/>
  <c r="B447" i="4"/>
  <c r="C447" i="4"/>
  <c r="D447" i="4" a="1"/>
  <c r="D447" i="4"/>
  <c r="E447" i="4" a="1"/>
  <c r="E447" i="4" s="1"/>
  <c r="G447" i="4"/>
  <c r="F447" i="4" s="1"/>
  <c r="B448" i="4"/>
  <c r="C448" i="4"/>
  <c r="D448" i="4" a="1"/>
  <c r="D448" i="4" s="1"/>
  <c r="E448" i="4" a="1"/>
  <c r="E448" i="4" s="1"/>
  <c r="G448" i="4"/>
  <c r="F448" i="4" s="1"/>
  <c r="H448" i="4" s="1"/>
  <c r="B449" i="4"/>
  <c r="C449" i="4"/>
  <c r="D449" i="4" a="1"/>
  <c r="D449" i="4"/>
  <c r="E449" i="4" a="1"/>
  <c r="E449" i="4"/>
  <c r="G449" i="4"/>
  <c r="F449" i="4" s="1"/>
  <c r="B450" i="4"/>
  <c r="C450" i="4"/>
  <c r="D450" i="4" a="1"/>
  <c r="D450" i="4" s="1"/>
  <c r="E450" i="4" a="1"/>
  <c r="E450" i="4"/>
  <c r="F450" i="4"/>
  <c r="G450" i="4"/>
  <c r="B451" i="4"/>
  <c r="C451" i="4"/>
  <c r="D451" i="4" a="1"/>
  <c r="D451" i="4"/>
  <c r="E451" i="4" a="1"/>
  <c r="E451" i="4"/>
  <c r="F451" i="4"/>
  <c r="G451" i="4"/>
  <c r="B452" i="4"/>
  <c r="C452" i="4"/>
  <c r="D452" i="4" a="1"/>
  <c r="D452" i="4" s="1"/>
  <c r="E452" i="4" a="1"/>
  <c r="E452" i="4" s="1"/>
  <c r="F452" i="4"/>
  <c r="G452" i="4"/>
  <c r="B453" i="4"/>
  <c r="C453" i="4"/>
  <c r="D453" i="4" a="1"/>
  <c r="D453" i="4"/>
  <c r="E453" i="4" a="1"/>
  <c r="E453" i="4"/>
  <c r="G453" i="4"/>
  <c r="F453" i="4" s="1"/>
  <c r="H453" i="4"/>
  <c r="B454" i="4"/>
  <c r="C454" i="4"/>
  <c r="D454" i="4" a="1"/>
  <c r="D454" i="4"/>
  <c r="E454" i="4" a="1"/>
  <c r="E454" i="4" s="1"/>
  <c r="G454" i="4"/>
  <c r="F454" i="4" s="1"/>
  <c r="B455" i="4"/>
  <c r="C455" i="4"/>
  <c r="D455" i="4" a="1"/>
  <c r="D455" i="4"/>
  <c r="E455" i="4" a="1"/>
  <c r="E455" i="4"/>
  <c r="G455" i="4"/>
  <c r="F455" i="4" s="1"/>
  <c r="H455" i="4" s="1"/>
  <c r="B456" i="4"/>
  <c r="C456" i="4"/>
  <c r="D456" i="4" a="1"/>
  <c r="D456" i="4"/>
  <c r="H456" i="4" s="1"/>
  <c r="E456" i="4" a="1"/>
  <c r="E456" i="4"/>
  <c r="F456" i="4"/>
  <c r="G456" i="4"/>
  <c r="B457" i="4"/>
  <c r="C457" i="4"/>
  <c r="D457" i="4" a="1"/>
  <c r="D457" i="4"/>
  <c r="E457" i="4" a="1"/>
  <c r="E457" i="4"/>
  <c r="F457" i="4"/>
  <c r="G457" i="4"/>
  <c r="H457" i="4"/>
  <c r="B458" i="4"/>
  <c r="C458" i="4"/>
  <c r="D458" i="4" a="1"/>
  <c r="D458" i="4"/>
  <c r="H458" i="4" s="1"/>
  <c r="E458" i="4" a="1"/>
  <c r="E458" i="4" s="1"/>
  <c r="G458" i="4"/>
  <c r="F458" i="4" s="1"/>
  <c r="B459" i="4"/>
  <c r="C459" i="4"/>
  <c r="D459" i="4" a="1"/>
  <c r="D459" i="4"/>
  <c r="E459" i="4" a="1"/>
  <c r="E459" i="4" s="1"/>
  <c r="F459" i="4"/>
  <c r="G459" i="4"/>
  <c r="H459" i="4"/>
  <c r="B460" i="4"/>
  <c r="C460" i="4"/>
  <c r="D460" i="4" a="1"/>
  <c r="D460" i="4" s="1"/>
  <c r="E460" i="4" a="1"/>
  <c r="E460" i="4"/>
  <c r="F460" i="4"/>
  <c r="G460" i="4"/>
  <c r="B461" i="4"/>
  <c r="C461" i="4"/>
  <c r="D461" i="4" a="1"/>
  <c r="D461" i="4" s="1"/>
  <c r="E461" i="4" a="1"/>
  <c r="E461" i="4"/>
  <c r="G461" i="4"/>
  <c r="F461" i="4" s="1"/>
  <c r="H461" i="4" s="1"/>
  <c r="B462" i="4"/>
  <c r="C462" i="4"/>
  <c r="D462" i="4" a="1"/>
  <c r="D462" i="4"/>
  <c r="E462" i="4" a="1"/>
  <c r="E462" i="4" s="1"/>
  <c r="F462" i="4"/>
  <c r="G462" i="4"/>
  <c r="H462" i="4"/>
  <c r="B463" i="4"/>
  <c r="C463" i="4"/>
  <c r="D463" i="4" a="1"/>
  <c r="D463" i="4"/>
  <c r="E463" i="4" a="1"/>
  <c r="E463" i="4" s="1"/>
  <c r="F463" i="4"/>
  <c r="G463" i="4"/>
  <c r="H463" i="4"/>
  <c r="B464" i="4"/>
  <c r="C464" i="4"/>
  <c r="D464" i="4" a="1"/>
  <c r="D464" i="4" s="1"/>
  <c r="E464" i="4" a="1"/>
  <c r="E464" i="4" s="1"/>
  <c r="G464" i="4"/>
  <c r="F464" i="4" s="1"/>
  <c r="H464" i="4" s="1"/>
  <c r="B465" i="4"/>
  <c r="C465" i="4"/>
  <c r="D465" i="4" a="1"/>
  <c r="D465" i="4"/>
  <c r="E465" i="4" a="1"/>
  <c r="E465" i="4"/>
  <c r="F465" i="4"/>
  <c r="G465" i="4"/>
  <c r="B466" i="4"/>
  <c r="C466" i="4"/>
  <c r="D466" i="4" a="1"/>
  <c r="D466" i="4" s="1"/>
  <c r="E466" i="4" a="1"/>
  <c r="E466" i="4"/>
  <c r="F466" i="4"/>
  <c r="G466" i="4"/>
  <c r="B467" i="4"/>
  <c r="C467" i="4"/>
  <c r="D467" i="4" a="1"/>
  <c r="D467" i="4" s="1"/>
  <c r="E467" i="4" a="1"/>
  <c r="E467" i="4" s="1"/>
  <c r="G467" i="4"/>
  <c r="F467" i="4" s="1"/>
  <c r="B468" i="4"/>
  <c r="C468" i="4"/>
  <c r="D468" i="4" a="1"/>
  <c r="D468" i="4"/>
  <c r="E468" i="4" a="1"/>
  <c r="E468" i="4" s="1"/>
  <c r="G468" i="4"/>
  <c r="F468" i="4" s="1"/>
  <c r="H468" i="4" s="1"/>
  <c r="B469" i="4"/>
  <c r="C469" i="4"/>
  <c r="D469" i="4" a="1"/>
  <c r="D469" i="4"/>
  <c r="E469" i="4" a="1"/>
  <c r="E469" i="4"/>
  <c r="G469" i="4"/>
  <c r="F469" i="4" s="1"/>
  <c r="B470" i="4"/>
  <c r="C470" i="4"/>
  <c r="D470" i="4" a="1"/>
  <c r="D470" i="4" s="1"/>
  <c r="E470" i="4" a="1"/>
  <c r="E470" i="4"/>
  <c r="G470" i="4"/>
  <c r="F470" i="4" s="1"/>
  <c r="H470" i="4" s="1"/>
  <c r="B471" i="4"/>
  <c r="C471" i="4"/>
  <c r="D471" i="4" a="1"/>
  <c r="D471" i="4"/>
  <c r="E471" i="4" a="1"/>
  <c r="E471" i="4"/>
  <c r="F471" i="4"/>
  <c r="G471" i="4"/>
  <c r="H471" i="4"/>
  <c r="B472" i="4"/>
  <c r="C472" i="4"/>
  <c r="D472" i="4" a="1"/>
  <c r="D472" i="4"/>
  <c r="E472" i="4" a="1"/>
  <c r="E472" i="4"/>
  <c r="G472" i="4"/>
  <c r="F472" i="4" s="1"/>
  <c r="B473" i="4"/>
  <c r="C473" i="4"/>
  <c r="D473" i="4" a="1"/>
  <c r="D473" i="4"/>
  <c r="E473" i="4" a="1"/>
  <c r="E473" i="4" s="1"/>
  <c r="G473" i="4"/>
  <c r="F473" i="4" s="1"/>
  <c r="H473" i="4" s="1"/>
  <c r="B474" i="4"/>
  <c r="C474" i="4"/>
  <c r="D474" i="4" a="1"/>
  <c r="D474" i="4" s="1"/>
  <c r="E474" i="4" a="1"/>
  <c r="E474" i="4" s="1"/>
  <c r="F474" i="4"/>
  <c r="G474" i="4"/>
  <c r="B475" i="4"/>
  <c r="C475" i="4"/>
  <c r="D475" i="4" a="1"/>
  <c r="D475" i="4" s="1"/>
  <c r="E475" i="4" a="1"/>
  <c r="E475" i="4"/>
  <c r="F475" i="4"/>
  <c r="G475" i="4"/>
  <c r="B476" i="4"/>
  <c r="C476" i="4"/>
  <c r="D476" i="4" a="1"/>
  <c r="D476" i="4" s="1"/>
  <c r="E476" i="4" a="1"/>
  <c r="E476" i="4" s="1"/>
  <c r="G476" i="4"/>
  <c r="F476" i="4" s="1"/>
  <c r="B477" i="4"/>
  <c r="C477" i="4"/>
  <c r="D477" i="4" a="1"/>
  <c r="D477" i="4"/>
  <c r="E477" i="4" a="1"/>
  <c r="E477" i="4" s="1"/>
  <c r="G477" i="4"/>
  <c r="F477" i="4" s="1"/>
  <c r="H477" i="4" s="1"/>
  <c r="B478" i="4"/>
  <c r="C478" i="4"/>
  <c r="D478" i="4" a="1"/>
  <c r="D478" i="4" s="1"/>
  <c r="E478" i="4" a="1"/>
  <c r="E478" i="4"/>
  <c r="G478" i="4"/>
  <c r="F478" i="4" s="1"/>
  <c r="B479" i="4"/>
  <c r="C479" i="4"/>
  <c r="D479" i="4" a="1"/>
  <c r="D479" i="4" s="1"/>
  <c r="E479" i="4" a="1"/>
  <c r="E479" i="4" s="1"/>
  <c r="G479" i="4"/>
  <c r="F479" i="4" s="1"/>
  <c r="B480" i="4"/>
  <c r="C480" i="4"/>
  <c r="D480" i="4" a="1"/>
  <c r="D480" i="4"/>
  <c r="E480" i="4" a="1"/>
  <c r="E480" i="4" s="1"/>
  <c r="G480" i="4"/>
  <c r="F480" i="4" s="1"/>
  <c r="H480" i="4" s="1"/>
  <c r="B481" i="4"/>
  <c r="C481" i="4"/>
  <c r="D481" i="4" a="1"/>
  <c r="D481" i="4" s="1"/>
  <c r="E481" i="4" a="1"/>
  <c r="E481" i="4"/>
  <c r="F481" i="4"/>
  <c r="G481" i="4"/>
  <c r="B482" i="4"/>
  <c r="C482" i="4"/>
  <c r="D482" i="4" a="1"/>
  <c r="D482" i="4" s="1"/>
  <c r="E482" i="4" a="1"/>
  <c r="E482" i="4"/>
  <c r="F482" i="4"/>
  <c r="G482" i="4"/>
  <c r="B483" i="4"/>
  <c r="C483" i="4"/>
  <c r="D483" i="4" a="1"/>
  <c r="D483" i="4"/>
  <c r="E483" i="4" a="1"/>
  <c r="E483" i="4"/>
  <c r="G483" i="4"/>
  <c r="F483" i="4" s="1"/>
  <c r="B484" i="4"/>
  <c r="C484" i="4"/>
  <c r="D484" i="4" a="1"/>
  <c r="D484" i="4"/>
  <c r="E484" i="4" a="1"/>
  <c r="E484" i="4" s="1"/>
  <c r="G484" i="4"/>
  <c r="F484" i="4" s="1"/>
  <c r="H484" i="4" s="1"/>
  <c r="B485" i="4"/>
  <c r="C485" i="4"/>
  <c r="D485" i="4" a="1"/>
  <c r="D485" i="4"/>
  <c r="H485" i="4" s="1"/>
  <c r="E485" i="4" a="1"/>
  <c r="E485" i="4"/>
  <c r="G485" i="4"/>
  <c r="F485" i="4" s="1"/>
  <c r="B486" i="4"/>
  <c r="C486" i="4"/>
  <c r="D486" i="4" a="1"/>
  <c r="D486" i="4" s="1"/>
  <c r="E486" i="4" a="1"/>
  <c r="E486" i="4"/>
  <c r="G486" i="4"/>
  <c r="F486" i="4" s="1"/>
  <c r="B487" i="4"/>
  <c r="C487" i="4"/>
  <c r="D487" i="4" a="1"/>
  <c r="D487" i="4"/>
  <c r="E487" i="4" a="1"/>
  <c r="E487" i="4"/>
  <c r="F487" i="4"/>
  <c r="H487" i="4" s="1"/>
  <c r="G487" i="4"/>
  <c r="B488" i="4"/>
  <c r="C488" i="4"/>
  <c r="D488" i="4" a="1"/>
  <c r="D488" i="4"/>
  <c r="E488" i="4" a="1"/>
  <c r="E488" i="4"/>
  <c r="F488" i="4"/>
  <c r="G488" i="4"/>
  <c r="B489" i="4"/>
  <c r="C489" i="4"/>
  <c r="D489" i="4" a="1"/>
  <c r="D489" i="4"/>
  <c r="E489" i="4" a="1"/>
  <c r="E489" i="4" s="1"/>
  <c r="G489" i="4"/>
  <c r="F489" i="4" s="1"/>
  <c r="H489" i="4" s="1"/>
  <c r="B490" i="4"/>
  <c r="C490" i="4"/>
  <c r="D490" i="4" a="1"/>
  <c r="D490" i="4"/>
  <c r="E490" i="4" a="1"/>
  <c r="E490" i="4" s="1"/>
  <c r="F490" i="4"/>
  <c r="G490" i="4"/>
  <c r="B491" i="4"/>
  <c r="C491" i="4"/>
  <c r="D491" i="4" a="1"/>
  <c r="D491" i="4" s="1"/>
  <c r="E491" i="4" a="1"/>
  <c r="E491" i="4"/>
  <c r="F491" i="4"/>
  <c r="G491" i="4"/>
  <c r="H491" i="4"/>
  <c r="B492" i="4"/>
  <c r="C492" i="4"/>
  <c r="D492" i="4" a="1"/>
  <c r="D492" i="4" s="1"/>
  <c r="E492" i="4" a="1"/>
  <c r="E492" i="4" s="1"/>
  <c r="G492" i="4"/>
  <c r="F492" i="4" s="1"/>
  <c r="B493" i="4"/>
  <c r="C493" i="4"/>
  <c r="D493" i="4" a="1"/>
  <c r="D493" i="4"/>
  <c r="E493" i="4" a="1"/>
  <c r="E493" i="4" s="1"/>
  <c r="G493" i="4"/>
  <c r="F493" i="4" s="1"/>
  <c r="H493" i="4" s="1"/>
  <c r="B494" i="4"/>
  <c r="C494" i="4"/>
  <c r="D494" i="4" a="1"/>
  <c r="D494" i="4" s="1"/>
  <c r="H494" i="4" s="1"/>
  <c r="E494" i="4" a="1"/>
  <c r="E494" i="4"/>
  <c r="G494" i="4"/>
  <c r="F494" i="4" s="1"/>
  <c r="B495" i="4"/>
  <c r="C495" i="4"/>
  <c r="D495" i="4" a="1"/>
  <c r="D495" i="4" s="1"/>
  <c r="E495" i="4" a="1"/>
  <c r="E495" i="4" s="1"/>
  <c r="F495" i="4"/>
  <c r="G495" i="4"/>
  <c r="B496" i="4"/>
  <c r="C496" i="4"/>
  <c r="D496" i="4" a="1"/>
  <c r="D496" i="4"/>
  <c r="E496" i="4" a="1"/>
  <c r="E496" i="4" s="1"/>
  <c r="G496" i="4"/>
  <c r="F496" i="4" s="1"/>
  <c r="H496" i="4" s="1"/>
  <c r="B497" i="4"/>
  <c r="C497" i="4"/>
  <c r="D497" i="4" a="1"/>
  <c r="D497" i="4" s="1"/>
  <c r="H497" i="4" s="1"/>
  <c r="E497" i="4" a="1"/>
  <c r="E497" i="4" s="1"/>
  <c r="G497" i="4"/>
  <c r="F497" i="4" s="1"/>
  <c r="B498" i="4"/>
  <c r="C498" i="4"/>
  <c r="D498" i="4" a="1"/>
  <c r="D498" i="4" s="1"/>
  <c r="E498" i="4" a="1"/>
  <c r="E498" i="4"/>
  <c r="F498" i="4"/>
  <c r="G498" i="4"/>
  <c r="B499" i="4"/>
  <c r="C499" i="4"/>
  <c r="D499" i="4" a="1"/>
  <c r="D499" i="4" s="1"/>
  <c r="E499" i="4" a="1"/>
  <c r="E499" i="4" s="1"/>
  <c r="G499" i="4"/>
  <c r="F499" i="4" s="1"/>
  <c r="B500" i="4"/>
  <c r="C500" i="4"/>
  <c r="D500" i="4" a="1"/>
  <c r="D500" i="4"/>
  <c r="E500" i="4" a="1"/>
  <c r="E500" i="4" s="1"/>
  <c r="G500" i="4"/>
  <c r="F500" i="4" s="1"/>
  <c r="H500" i="4" s="1"/>
  <c r="B501" i="4"/>
  <c r="C501" i="4"/>
  <c r="D501" i="4" a="1"/>
  <c r="D501" i="4"/>
  <c r="E501" i="4" a="1"/>
  <c r="E501" i="4"/>
  <c r="G501" i="4"/>
  <c r="F501" i="4" s="1"/>
  <c r="B502" i="4"/>
  <c r="C502" i="4"/>
  <c r="D502" i="4" a="1"/>
  <c r="D502" i="4" s="1"/>
  <c r="E502" i="4" a="1"/>
  <c r="E502" i="4"/>
  <c r="G502" i="4"/>
  <c r="F502" i="4" s="1"/>
  <c r="H502" i="4" s="1"/>
  <c r="B503" i="4"/>
  <c r="C503" i="4"/>
  <c r="D503" i="4" a="1"/>
  <c r="D503" i="4"/>
  <c r="E503" i="4" a="1"/>
  <c r="E503" i="4"/>
  <c r="F503" i="4"/>
  <c r="G503" i="4"/>
  <c r="H503" i="4"/>
  <c r="B504" i="4"/>
  <c r="C504" i="4"/>
  <c r="D504" i="4" a="1"/>
  <c r="D504" i="4"/>
  <c r="E504" i="4" a="1"/>
  <c r="E504" i="4"/>
  <c r="G504" i="4"/>
  <c r="F504" i="4" s="1"/>
  <c r="H504" i="4" s="1"/>
  <c r="B505" i="4"/>
  <c r="C505" i="4"/>
  <c r="D505" i="4" a="1"/>
  <c r="D505" i="4"/>
  <c r="E505" i="4" a="1"/>
  <c r="E505" i="4" s="1"/>
  <c r="G505" i="4"/>
  <c r="F505" i="4" s="1"/>
  <c r="H505" i="4" s="1"/>
  <c r="B506" i="4"/>
  <c r="C506" i="4"/>
  <c r="D506" i="4" a="1"/>
  <c r="D506" i="4"/>
  <c r="E506" i="4" a="1"/>
  <c r="E506" i="4"/>
  <c r="F506" i="4"/>
  <c r="G506" i="4"/>
  <c r="B507" i="4"/>
  <c r="C507" i="4"/>
  <c r="D507" i="4" a="1"/>
  <c r="D507" i="4" s="1"/>
  <c r="E507" i="4" a="1"/>
  <c r="E507" i="4"/>
  <c r="F507" i="4"/>
  <c r="G507" i="4"/>
  <c r="H507" i="4"/>
  <c r="B508" i="4"/>
  <c r="C508" i="4"/>
  <c r="D508" i="4" a="1"/>
  <c r="D508" i="4"/>
  <c r="E508" i="4" a="1"/>
  <c r="E508" i="4" s="1"/>
  <c r="G508" i="4"/>
  <c r="F508" i="4" s="1"/>
  <c r="B509" i="4"/>
  <c r="C509" i="4"/>
  <c r="D509" i="4" a="1"/>
  <c r="D509" i="4"/>
  <c r="E509" i="4" a="1"/>
  <c r="E509" i="4" s="1"/>
  <c r="G509" i="4"/>
  <c r="F509" i="4" s="1"/>
  <c r="H509" i="4" s="1"/>
  <c r="B510" i="4"/>
  <c r="C510" i="4"/>
  <c r="D510" i="4" a="1"/>
  <c r="D510" i="4" s="1"/>
  <c r="E510" i="4" a="1"/>
  <c r="E510" i="4"/>
  <c r="G510" i="4"/>
  <c r="F510" i="4" s="1"/>
  <c r="B511" i="4"/>
  <c r="C511" i="4"/>
  <c r="D511" i="4" a="1"/>
  <c r="D511" i="4" s="1"/>
  <c r="E511" i="4" a="1"/>
  <c r="E511" i="4"/>
  <c r="G511" i="4"/>
  <c r="F511" i="4" s="1"/>
  <c r="H511" i="4" s="1"/>
  <c r="B512" i="4"/>
  <c r="C512" i="4"/>
  <c r="D512" i="4" a="1"/>
  <c r="D512" i="4"/>
  <c r="E512" i="4" a="1"/>
  <c r="E512" i="4" s="1"/>
  <c r="G512" i="4"/>
  <c r="F512" i="4" s="1"/>
  <c r="H512" i="4" s="1"/>
  <c r="B513" i="4"/>
  <c r="C513" i="4"/>
  <c r="D513" i="4" a="1"/>
  <c r="D513" i="4"/>
  <c r="E513" i="4" a="1"/>
  <c r="E513" i="4" s="1"/>
  <c r="F513" i="4"/>
  <c r="G513" i="4"/>
  <c r="B514" i="4"/>
  <c r="C514" i="4"/>
  <c r="D514" i="4" a="1"/>
  <c r="D514" i="4" s="1"/>
  <c r="E514" i="4" a="1"/>
  <c r="E514" i="4"/>
  <c r="F514" i="4"/>
  <c r="G514" i="4"/>
  <c r="B515" i="4"/>
  <c r="C515" i="4"/>
  <c r="D515" i="4" a="1"/>
  <c r="D515" i="4" s="1"/>
  <c r="E515" i="4" a="1"/>
  <c r="E515" i="4"/>
  <c r="G515" i="4"/>
  <c r="F515" i="4" s="1"/>
  <c r="B516" i="4"/>
  <c r="C516" i="4"/>
  <c r="D516" i="4" a="1"/>
  <c r="D516" i="4"/>
  <c r="E516" i="4" a="1"/>
  <c r="E516" i="4" s="1"/>
  <c r="G516" i="4"/>
  <c r="F516" i="4" s="1"/>
  <c r="H516" i="4" s="1"/>
  <c r="B517" i="4"/>
  <c r="C517" i="4"/>
  <c r="D517" i="4" a="1"/>
  <c r="D517" i="4" s="1"/>
  <c r="E517" i="4" a="1"/>
  <c r="E517" i="4"/>
  <c r="G517" i="4"/>
  <c r="F517" i="4" s="1"/>
  <c r="B518" i="4"/>
  <c r="C518" i="4"/>
  <c r="D518" i="4" a="1"/>
  <c r="D518" i="4" s="1"/>
  <c r="E518" i="4" a="1"/>
  <c r="E518" i="4"/>
  <c r="F518" i="4"/>
  <c r="G518" i="4"/>
  <c r="B519" i="4"/>
  <c r="C519" i="4"/>
  <c r="D519" i="4" a="1"/>
  <c r="D519" i="4"/>
  <c r="E519" i="4" a="1"/>
  <c r="E519" i="4"/>
  <c r="F519" i="4"/>
  <c r="G519" i="4"/>
  <c r="H519" i="4"/>
  <c r="B520" i="4"/>
  <c r="C520" i="4"/>
  <c r="D520" i="4" a="1"/>
  <c r="D520" i="4"/>
  <c r="E520" i="4" a="1"/>
  <c r="E520" i="4" s="1"/>
  <c r="G520" i="4"/>
  <c r="F520" i="4" s="1"/>
  <c r="B521" i="4"/>
  <c r="C521" i="4"/>
  <c r="D521" i="4" a="1"/>
  <c r="D521" i="4"/>
  <c r="E521" i="4" a="1"/>
  <c r="E521" i="4" s="1"/>
  <c r="G521" i="4"/>
  <c r="F521" i="4" s="1"/>
  <c r="H521" i="4" s="1"/>
  <c r="B522" i="4"/>
  <c r="C522" i="4"/>
  <c r="D522" i="4" a="1"/>
  <c r="D522" i="4" s="1"/>
  <c r="E522" i="4" a="1"/>
  <c r="E522" i="4" s="1"/>
  <c r="F522" i="4"/>
  <c r="G522" i="4"/>
  <c r="B523" i="4"/>
  <c r="C523" i="4"/>
  <c r="D523" i="4" a="1"/>
  <c r="D523" i="4" s="1"/>
  <c r="E523" i="4" a="1"/>
  <c r="E523" i="4"/>
  <c r="F523" i="4"/>
  <c r="G523" i="4"/>
  <c r="B524" i="4"/>
  <c r="C524" i="4"/>
  <c r="D524" i="4" a="1"/>
  <c r="D524" i="4" s="1"/>
  <c r="H524" i="4" s="1"/>
  <c r="E524" i="4" a="1"/>
  <c r="E524" i="4" s="1"/>
  <c r="G524" i="4"/>
  <c r="F524" i="4" s="1"/>
  <c r="B525" i="4"/>
  <c r="C525" i="4"/>
  <c r="D525" i="4" a="1"/>
  <c r="D525" i="4"/>
  <c r="E525" i="4" a="1"/>
  <c r="E525" i="4" s="1"/>
  <c r="F525" i="4"/>
  <c r="H525" i="4" s="1"/>
  <c r="G525" i="4"/>
  <c r="B526" i="4"/>
  <c r="C526" i="4"/>
  <c r="D526" i="4" a="1"/>
  <c r="D526" i="4" s="1"/>
  <c r="H526" i="4" s="1"/>
  <c r="E526" i="4" a="1"/>
  <c r="E526" i="4"/>
  <c r="G526" i="4"/>
  <c r="F526" i="4" s="1"/>
  <c r="B527" i="4"/>
  <c r="C527" i="4"/>
  <c r="D527" i="4" a="1"/>
  <c r="D527" i="4" s="1"/>
  <c r="E527" i="4" a="1"/>
  <c r="E527" i="4" s="1"/>
  <c r="F527" i="4"/>
  <c r="G527" i="4"/>
  <c r="B528" i="4"/>
  <c r="C528" i="4"/>
  <c r="D528" i="4" a="1"/>
  <c r="D528" i="4"/>
  <c r="E528" i="4" a="1"/>
  <c r="E528" i="4"/>
  <c r="G528" i="4"/>
  <c r="F528" i="4" s="1"/>
  <c r="H528" i="4" s="1"/>
  <c r="B529" i="4"/>
  <c r="C529" i="4"/>
  <c r="D529" i="4" a="1"/>
  <c r="D529" i="4"/>
  <c r="E529" i="4" a="1"/>
  <c r="E529" i="4"/>
  <c r="F529" i="4"/>
  <c r="G529" i="4"/>
  <c r="B530" i="4"/>
  <c r="C530" i="4"/>
  <c r="D530" i="4" a="1"/>
  <c r="D530" i="4"/>
  <c r="E530" i="4" a="1"/>
  <c r="E530" i="4"/>
  <c r="F530" i="4"/>
  <c r="H530" i="4" s="1"/>
  <c r="G530" i="4"/>
  <c r="B531" i="4"/>
  <c r="C531" i="4"/>
  <c r="D531" i="4" a="1"/>
  <c r="D531" i="4"/>
  <c r="E531" i="4" a="1"/>
  <c r="E531" i="4"/>
  <c r="G531" i="4"/>
  <c r="F531" i="4" s="1"/>
  <c r="B532" i="4"/>
  <c r="C532" i="4"/>
  <c r="D532" i="4" a="1"/>
  <c r="D532" i="4"/>
  <c r="E532" i="4" a="1"/>
  <c r="E532" i="4" s="1"/>
  <c r="G532" i="4"/>
  <c r="F532" i="4" s="1"/>
  <c r="H532" i="4"/>
  <c r="B533" i="4"/>
  <c r="C533" i="4"/>
  <c r="D533" i="4" a="1"/>
  <c r="D533" i="4"/>
  <c r="E533" i="4" a="1"/>
  <c r="E533" i="4" s="1"/>
  <c r="G533" i="4"/>
  <c r="F533" i="4" s="1"/>
  <c r="B534" i="4"/>
  <c r="C534" i="4"/>
  <c r="D534" i="4" a="1"/>
  <c r="D534" i="4" s="1"/>
  <c r="E534" i="4" a="1"/>
  <c r="E534" i="4"/>
  <c r="G534" i="4"/>
  <c r="F534" i="4" s="1"/>
  <c r="B535" i="4"/>
  <c r="C535" i="4"/>
  <c r="D535" i="4" a="1"/>
  <c r="D535" i="4" s="1"/>
  <c r="E535" i="4" a="1"/>
  <c r="E535" i="4"/>
  <c r="F535" i="4"/>
  <c r="G535" i="4"/>
  <c r="B536" i="4"/>
  <c r="C536" i="4"/>
  <c r="D536" i="4" a="1"/>
  <c r="D536" i="4"/>
  <c r="E536" i="4" a="1"/>
  <c r="E536" i="4" s="1"/>
  <c r="G536" i="4"/>
  <c r="F536" i="4" s="1"/>
  <c r="B537" i="4"/>
  <c r="C537" i="4"/>
  <c r="D537" i="4" a="1"/>
  <c r="D537" i="4"/>
  <c r="E537" i="4" a="1"/>
  <c r="E537" i="4" s="1"/>
  <c r="G537" i="4"/>
  <c r="F537" i="4" s="1"/>
  <c r="H537" i="4" s="1"/>
  <c r="B538" i="4"/>
  <c r="C538" i="4"/>
  <c r="D538" i="4" a="1"/>
  <c r="D538" i="4"/>
  <c r="H538" i="4" s="1"/>
  <c r="E538" i="4" a="1"/>
  <c r="E538" i="4"/>
  <c r="F538" i="4"/>
  <c r="G538" i="4"/>
  <c r="B539" i="4"/>
  <c r="C539" i="4"/>
  <c r="D539" i="4" a="1"/>
  <c r="D539" i="4" s="1"/>
  <c r="E539" i="4" a="1"/>
  <c r="E539" i="4"/>
  <c r="F539" i="4"/>
  <c r="G539" i="4"/>
  <c r="H539" i="4"/>
  <c r="B540" i="4"/>
  <c r="C540" i="4"/>
  <c r="D540" i="4" a="1"/>
  <c r="D540" i="4"/>
  <c r="E540" i="4" a="1"/>
  <c r="E540" i="4" s="1"/>
  <c r="G540" i="4"/>
  <c r="F540" i="4" s="1"/>
  <c r="B541" i="4"/>
  <c r="C541" i="4"/>
  <c r="D541" i="4" a="1"/>
  <c r="D541" i="4"/>
  <c r="E541" i="4" a="1"/>
  <c r="E541" i="4" s="1"/>
  <c r="F541" i="4"/>
  <c r="H541" i="4" s="1"/>
  <c r="G541" i="4"/>
  <c r="B542" i="4"/>
  <c r="C542" i="4"/>
  <c r="D542" i="4" a="1"/>
  <c r="D542" i="4" s="1"/>
  <c r="E542" i="4" a="1"/>
  <c r="E542" i="4" s="1"/>
  <c r="G542" i="4"/>
  <c r="F542" i="4" s="1"/>
  <c r="B543" i="4"/>
  <c r="C543" i="4"/>
  <c r="D543" i="4" a="1"/>
  <c r="D543" i="4" s="1"/>
  <c r="E543" i="4" a="1"/>
  <c r="E543" i="4" s="1"/>
  <c r="F543" i="4"/>
  <c r="G543" i="4"/>
  <c r="B544" i="4"/>
  <c r="C544" i="4"/>
  <c r="D544" i="4" a="1"/>
  <c r="D544" i="4" s="1"/>
  <c r="E544" i="4" a="1"/>
  <c r="E544" i="4"/>
  <c r="G544" i="4"/>
  <c r="F544" i="4" s="1"/>
  <c r="B545" i="4"/>
  <c r="C545" i="4"/>
  <c r="D545" i="4" a="1"/>
  <c r="D545" i="4"/>
  <c r="E545" i="4" a="1"/>
  <c r="E545" i="4"/>
  <c r="G545" i="4"/>
  <c r="F545" i="4" s="1"/>
  <c r="B546" i="4"/>
  <c r="C546" i="4"/>
  <c r="D546" i="4" a="1"/>
  <c r="D546" i="4"/>
  <c r="E546" i="4" a="1"/>
  <c r="E546" i="4"/>
  <c r="F546" i="4"/>
  <c r="H546" i="4" s="1"/>
  <c r="G546" i="4"/>
  <c r="B547" i="4"/>
  <c r="C547" i="4"/>
  <c r="D547" i="4" a="1"/>
  <c r="D547" i="4"/>
  <c r="H547" i="4" s="1"/>
  <c r="E547" i="4" a="1"/>
  <c r="E547" i="4"/>
  <c r="G547" i="4"/>
  <c r="F547" i="4" s="1"/>
  <c r="B548" i="4"/>
  <c r="C548" i="4"/>
  <c r="D548" i="4" a="1"/>
  <c r="D548" i="4"/>
  <c r="E548" i="4" a="1"/>
  <c r="E548" i="4" s="1"/>
  <c r="G548" i="4"/>
  <c r="F548" i="4" s="1"/>
  <c r="H548" i="4" s="1"/>
  <c r="B549" i="4"/>
  <c r="C549" i="4"/>
  <c r="D549" i="4" a="1"/>
  <c r="D549" i="4" s="1"/>
  <c r="E549" i="4" a="1"/>
  <c r="E549" i="4" s="1"/>
  <c r="G549" i="4"/>
  <c r="F549" i="4" s="1"/>
  <c r="B550" i="4"/>
  <c r="C550" i="4"/>
  <c r="D550" i="4" a="1"/>
  <c r="D550" i="4" s="1"/>
  <c r="E550" i="4" a="1"/>
  <c r="E550" i="4"/>
  <c r="G550" i="4"/>
  <c r="F550" i="4" s="1"/>
  <c r="H550" i="4" s="1"/>
  <c r="B551" i="4"/>
  <c r="C551" i="4"/>
  <c r="D551" i="4" a="1"/>
  <c r="D551" i="4" s="1"/>
  <c r="E551" i="4" a="1"/>
  <c r="E551" i="4" s="1"/>
  <c r="G551" i="4"/>
  <c r="F551" i="4" s="1"/>
  <c r="B552" i="4"/>
  <c r="C552" i="4"/>
  <c r="D552" i="4" a="1"/>
  <c r="D552" i="4"/>
  <c r="E552" i="4" a="1"/>
  <c r="E552" i="4" s="1"/>
  <c r="F552" i="4"/>
  <c r="G552" i="4"/>
  <c r="B553" i="4"/>
  <c r="C553" i="4"/>
  <c r="D553" i="4" a="1"/>
  <c r="D553" i="4" s="1"/>
  <c r="H553" i="4" s="1"/>
  <c r="E553" i="4" a="1"/>
  <c r="E553" i="4"/>
  <c r="G553" i="4"/>
  <c r="F553" i="4" s="1"/>
  <c r="B554" i="4"/>
  <c r="C554" i="4"/>
  <c r="D554" i="4" a="1"/>
  <c r="D554" i="4" s="1"/>
  <c r="E554" i="4" a="1"/>
  <c r="E554" i="4" s="1"/>
  <c r="F554" i="4"/>
  <c r="G554" i="4"/>
  <c r="B555" i="4"/>
  <c r="C555" i="4"/>
  <c r="D555" i="4" a="1"/>
  <c r="D555" i="4"/>
  <c r="E555" i="4" a="1"/>
  <c r="E555" i="4"/>
  <c r="F555" i="4"/>
  <c r="H555" i="4" s="1"/>
  <c r="G555" i="4"/>
  <c r="B556" i="4"/>
  <c r="C556" i="4"/>
  <c r="D556" i="4" a="1"/>
  <c r="D556" i="4"/>
  <c r="E556" i="4" a="1"/>
  <c r="E556" i="4" s="1"/>
  <c r="G556" i="4"/>
  <c r="F556" i="4" s="1"/>
  <c r="B557" i="4"/>
  <c r="C557" i="4"/>
  <c r="D557" i="4" a="1"/>
  <c r="D557" i="4"/>
  <c r="E557" i="4" a="1"/>
  <c r="E557" i="4" s="1"/>
  <c r="F557" i="4"/>
  <c r="H557" i="4" s="1"/>
  <c r="G557" i="4"/>
  <c r="B558" i="4"/>
  <c r="C558" i="4"/>
  <c r="D558" i="4" a="1"/>
  <c r="D558" i="4" s="1"/>
  <c r="E558" i="4" a="1"/>
  <c r="E558" i="4" s="1"/>
  <c r="G558" i="4"/>
  <c r="F558" i="4" s="1"/>
  <c r="B559" i="4"/>
  <c r="C559" i="4"/>
  <c r="D559" i="4" a="1"/>
  <c r="D559" i="4" s="1"/>
  <c r="E559" i="4" a="1"/>
  <c r="E559" i="4" s="1"/>
  <c r="G559" i="4"/>
  <c r="F559" i="4" s="1"/>
  <c r="H559" i="4" s="1"/>
  <c r="B560" i="4"/>
  <c r="C560" i="4"/>
  <c r="D560" i="4" a="1"/>
  <c r="D560" i="4" s="1"/>
  <c r="E560" i="4" a="1"/>
  <c r="E560" i="4"/>
  <c r="G560" i="4"/>
  <c r="F560" i="4" s="1"/>
  <c r="B561" i="4"/>
  <c r="C561" i="4"/>
  <c r="D561" i="4" a="1"/>
  <c r="D561" i="4"/>
  <c r="E561" i="4" a="1"/>
  <c r="E561" i="4"/>
  <c r="G561" i="4"/>
  <c r="F561" i="4" s="1"/>
  <c r="B562" i="4"/>
  <c r="C562" i="4"/>
  <c r="D562" i="4" a="1"/>
  <c r="D562" i="4"/>
  <c r="E562" i="4" a="1"/>
  <c r="E562" i="4"/>
  <c r="F562" i="4"/>
  <c r="H562" i="4" s="1"/>
  <c r="G562" i="4"/>
  <c r="B563" i="4"/>
  <c r="C563" i="4"/>
  <c r="D563" i="4" a="1"/>
  <c r="D563" i="4" s="1"/>
  <c r="E563" i="4" a="1"/>
  <c r="E563" i="4"/>
  <c r="G563" i="4"/>
  <c r="F563" i="4" s="1"/>
  <c r="B564" i="4"/>
  <c r="C564" i="4"/>
  <c r="D564" i="4" a="1"/>
  <c r="D564" i="4"/>
  <c r="E564" i="4" a="1"/>
  <c r="E564" i="4" s="1"/>
  <c r="G564" i="4"/>
  <c r="F564" i="4" s="1"/>
  <c r="H564" i="4"/>
  <c r="B565" i="4"/>
  <c r="C565" i="4"/>
  <c r="D565" i="4" a="1"/>
  <c r="D565" i="4"/>
  <c r="H565" i="4" s="1"/>
  <c r="E565" i="4" a="1"/>
  <c r="E565" i="4" s="1"/>
  <c r="G565" i="4"/>
  <c r="F565" i="4" s="1"/>
  <c r="B566" i="4"/>
  <c r="C566" i="4"/>
  <c r="D566" i="4" a="1"/>
  <c r="D566" i="4" s="1"/>
  <c r="E566" i="4" a="1"/>
  <c r="E566" i="4"/>
  <c r="G566" i="4"/>
  <c r="F566" i="4" s="1"/>
  <c r="H566" i="4" s="1"/>
  <c r="B567" i="4"/>
  <c r="C567" i="4"/>
  <c r="D567" i="4" a="1"/>
  <c r="D567" i="4" s="1"/>
  <c r="E567" i="4" a="1"/>
  <c r="E567" i="4" s="1"/>
  <c r="G567" i="4"/>
  <c r="F567" i="4" s="1"/>
  <c r="B568" i="4"/>
  <c r="C568" i="4"/>
  <c r="D568" i="4" a="1"/>
  <c r="D568" i="4"/>
  <c r="E568" i="4" a="1"/>
  <c r="E568" i="4" s="1"/>
  <c r="G568" i="4"/>
  <c r="F568" i="4" s="1"/>
  <c r="B569" i="4"/>
  <c r="C569" i="4"/>
  <c r="D569" i="4" a="1"/>
  <c r="D569" i="4" s="1"/>
  <c r="E569" i="4" a="1"/>
  <c r="E569" i="4"/>
  <c r="G569" i="4"/>
  <c r="F569" i="4" s="1"/>
  <c r="B570" i="4"/>
  <c r="C570" i="4"/>
  <c r="D570" i="4" a="1"/>
  <c r="D570" i="4"/>
  <c r="H570" i="4" s="1"/>
  <c r="E570" i="4" a="1"/>
  <c r="E570" i="4"/>
  <c r="F570" i="4"/>
  <c r="G570" i="4"/>
  <c r="B571" i="4"/>
  <c r="C571" i="4"/>
  <c r="D571" i="4" a="1"/>
  <c r="D571" i="4"/>
  <c r="E571" i="4" a="1"/>
  <c r="E571" i="4"/>
  <c r="F571" i="4"/>
  <c r="G571" i="4"/>
  <c r="H571" i="4"/>
  <c r="B572" i="4"/>
  <c r="C572" i="4"/>
  <c r="D572" i="4" a="1"/>
  <c r="D572" i="4" s="1"/>
  <c r="E572" i="4" a="1"/>
  <c r="E572" i="4" s="1"/>
  <c r="G572" i="4"/>
  <c r="F572" i="4" s="1"/>
  <c r="B573" i="4"/>
  <c r="C573" i="4"/>
  <c r="D573" i="4" a="1"/>
  <c r="D573" i="4"/>
  <c r="E573" i="4" a="1"/>
  <c r="E573" i="4" s="1"/>
  <c r="F573" i="4"/>
  <c r="H573" i="4" s="1"/>
  <c r="G573" i="4"/>
  <c r="B574" i="4"/>
  <c r="C574" i="4"/>
  <c r="D574" i="4" a="1"/>
  <c r="D574" i="4" s="1"/>
  <c r="E574" i="4" a="1"/>
  <c r="E574" i="4" s="1"/>
  <c r="G574" i="4"/>
  <c r="F574" i="4" s="1"/>
  <c r="B575" i="4"/>
  <c r="C575" i="4"/>
  <c r="D575" i="4" a="1"/>
  <c r="D575" i="4" s="1"/>
  <c r="E575" i="4" a="1"/>
  <c r="E575" i="4"/>
  <c r="G575" i="4"/>
  <c r="F575" i="4" s="1"/>
  <c r="H575" i="4" s="1"/>
  <c r="B576" i="4"/>
  <c r="C576" i="4"/>
  <c r="D576" i="4" a="1"/>
  <c r="D576" i="4" s="1"/>
  <c r="E576" i="4" a="1"/>
  <c r="E576" i="4" s="1"/>
  <c r="G576" i="4"/>
  <c r="F576" i="4" s="1"/>
  <c r="B577" i="4"/>
  <c r="C577" i="4"/>
  <c r="D577" i="4" a="1"/>
  <c r="D577" i="4" s="1"/>
  <c r="E577" i="4" a="1"/>
  <c r="E577" i="4" s="1"/>
  <c r="G577" i="4"/>
  <c r="F577" i="4" s="1"/>
  <c r="B578" i="4"/>
  <c r="C578" i="4"/>
  <c r="D578" i="4" a="1"/>
  <c r="D578" i="4" s="1"/>
  <c r="H578" i="4" s="1"/>
  <c r="E578" i="4" a="1"/>
  <c r="E578" i="4"/>
  <c r="F578" i="4"/>
  <c r="G578" i="4"/>
  <c r="B579" i="4"/>
  <c r="C579" i="4"/>
  <c r="D579" i="4" a="1"/>
  <c r="D579" i="4"/>
  <c r="E579" i="4" a="1"/>
  <c r="E579" i="4"/>
  <c r="G579" i="4"/>
  <c r="F579" i="4" s="1"/>
  <c r="B580" i="4"/>
  <c r="C580" i="4"/>
  <c r="D580" i="4" a="1"/>
  <c r="D580" i="4"/>
  <c r="E580" i="4" a="1"/>
  <c r="E580" i="4" s="1"/>
  <c r="G580" i="4"/>
  <c r="F580" i="4" s="1"/>
  <c r="H580" i="4" s="1"/>
  <c r="B581" i="4"/>
  <c r="C581" i="4"/>
  <c r="D581" i="4" a="1"/>
  <c r="D581" i="4"/>
  <c r="E581" i="4" a="1"/>
  <c r="E581" i="4" s="1"/>
  <c r="G581" i="4"/>
  <c r="F581" i="4" s="1"/>
  <c r="B582" i="4"/>
  <c r="C582" i="4"/>
  <c r="D582" i="4" a="1"/>
  <c r="D582" i="4" s="1"/>
  <c r="E582" i="4" a="1"/>
  <c r="E582" i="4"/>
  <c r="G582" i="4"/>
  <c r="F582" i="4" s="1"/>
  <c r="H582" i="4" s="1"/>
  <c r="B583" i="4"/>
  <c r="C583" i="4"/>
  <c r="D583" i="4" a="1"/>
  <c r="D583" i="4" s="1"/>
  <c r="H583" i="4" s="1"/>
  <c r="E583" i="4" a="1"/>
  <c r="E583" i="4" s="1"/>
  <c r="G583" i="4"/>
  <c r="F583" i="4" s="1"/>
  <c r="B584" i="4"/>
  <c r="C584" i="4"/>
  <c r="D584" i="4" a="1"/>
  <c r="D584" i="4"/>
  <c r="E584" i="4" a="1"/>
  <c r="E584" i="4" s="1"/>
  <c r="G584" i="4"/>
  <c r="F584" i="4" s="1"/>
  <c r="B585" i="4"/>
  <c r="C585" i="4"/>
  <c r="D585" i="4" a="1"/>
  <c r="D585" i="4" s="1"/>
  <c r="E585" i="4" a="1"/>
  <c r="E585" i="4"/>
  <c r="G585" i="4"/>
  <c r="F585" i="4" s="1"/>
  <c r="B586" i="4"/>
  <c r="C586" i="4"/>
  <c r="D586" i="4" a="1"/>
  <c r="D586" i="4" s="1"/>
  <c r="H586" i="4" s="1"/>
  <c r="E586" i="4" a="1"/>
  <c r="E586" i="4"/>
  <c r="F586" i="4"/>
  <c r="G586" i="4"/>
  <c r="B587" i="4"/>
  <c r="C587" i="4"/>
  <c r="D587" i="4" a="1"/>
  <c r="D587" i="4"/>
  <c r="E587" i="4" a="1"/>
  <c r="E587" i="4"/>
  <c r="F587" i="4"/>
  <c r="G587" i="4"/>
  <c r="H587" i="4"/>
  <c r="B588" i="4"/>
  <c r="C588" i="4"/>
  <c r="D588" i="4" a="1"/>
  <c r="D588" i="4" s="1"/>
  <c r="H588" i="4" s="1"/>
  <c r="E588" i="4" a="1"/>
  <c r="E588" i="4" s="1"/>
  <c r="G588" i="4"/>
  <c r="F588" i="4" s="1"/>
  <c r="B589" i="4"/>
  <c r="C589" i="4"/>
  <c r="D589" i="4" a="1"/>
  <c r="D589" i="4"/>
  <c r="E589" i="4" a="1"/>
  <c r="E589" i="4" s="1"/>
  <c r="G589" i="4"/>
  <c r="F589" i="4" s="1"/>
  <c r="H589" i="4" s="1"/>
  <c r="B590" i="4"/>
  <c r="C590" i="4"/>
  <c r="D590" i="4" a="1"/>
  <c r="D590" i="4" s="1"/>
  <c r="E590" i="4" a="1"/>
  <c r="E590" i="4" s="1"/>
  <c r="G590" i="4"/>
  <c r="F590" i="4" s="1"/>
  <c r="B591" i="4"/>
  <c r="C591" i="4"/>
  <c r="D591" i="4" a="1"/>
  <c r="D591" i="4" s="1"/>
  <c r="E591" i="4" a="1"/>
  <c r="E591" i="4"/>
  <c r="G591" i="4"/>
  <c r="F591" i="4" s="1"/>
  <c r="H591" i="4" s="1"/>
  <c r="B592" i="4"/>
  <c r="C592" i="4"/>
  <c r="D592" i="4" a="1"/>
  <c r="D592" i="4" s="1"/>
  <c r="E592" i="4" a="1"/>
  <c r="E592" i="4" s="1"/>
  <c r="G592" i="4"/>
  <c r="F592" i="4" s="1"/>
  <c r="B593" i="4"/>
  <c r="C593" i="4"/>
  <c r="D593" i="4" a="1"/>
  <c r="D593" i="4" s="1"/>
  <c r="E593" i="4" a="1"/>
  <c r="E593" i="4" s="1"/>
  <c r="G593" i="4"/>
  <c r="F593" i="4" s="1"/>
  <c r="B594" i="4"/>
  <c r="C594" i="4"/>
  <c r="D594" i="4" a="1"/>
  <c r="D594" i="4" s="1"/>
  <c r="H594" i="4" s="1"/>
  <c r="E594" i="4" a="1"/>
  <c r="E594" i="4"/>
  <c r="F594" i="4"/>
  <c r="G594" i="4"/>
  <c r="B595" i="4"/>
  <c r="C595" i="4"/>
  <c r="D595" i="4" a="1"/>
  <c r="D595" i="4" s="1"/>
  <c r="E595" i="4" a="1"/>
  <c r="E595" i="4"/>
  <c r="G595" i="4"/>
  <c r="F595" i="4" s="1"/>
  <c r="B596" i="4"/>
  <c r="C596" i="4"/>
  <c r="D596" i="4" a="1"/>
  <c r="D596" i="4"/>
  <c r="E596" i="4" a="1"/>
  <c r="E596" i="4" s="1"/>
  <c r="G596" i="4"/>
  <c r="F596" i="4" s="1"/>
  <c r="H596" i="4" s="1"/>
  <c r="B597" i="4"/>
  <c r="C597" i="4"/>
  <c r="D597" i="4" a="1"/>
  <c r="D597" i="4"/>
  <c r="E597" i="4" a="1"/>
  <c r="E597" i="4" s="1"/>
  <c r="G597" i="4"/>
  <c r="F597" i="4" s="1"/>
  <c r="B598" i="4"/>
  <c r="C598" i="4"/>
  <c r="D598" i="4" a="1"/>
  <c r="D598" i="4" s="1"/>
  <c r="E598" i="4" a="1"/>
  <c r="E598" i="4"/>
  <c r="G598" i="4"/>
  <c r="F598" i="4" s="1"/>
  <c r="H598" i="4" s="1"/>
  <c r="B599" i="4"/>
  <c r="C599" i="4"/>
  <c r="D599" i="4" a="1"/>
  <c r="D599" i="4" s="1"/>
  <c r="H599" i="4" s="1"/>
  <c r="E599" i="4" a="1"/>
  <c r="E599" i="4" s="1"/>
  <c r="G599" i="4"/>
  <c r="F599" i="4" s="1"/>
  <c r="A3" i="4"/>
  <c r="A4" i="4"/>
  <c r="K4" i="4" s="1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H467" i="4" l="1"/>
  <c r="H300" i="4"/>
  <c r="H237" i="4"/>
  <c r="H230" i="4"/>
  <c r="H460" i="4"/>
  <c r="H535" i="4"/>
  <c r="H474" i="4"/>
  <c r="H425" i="4"/>
  <c r="H381" i="4"/>
  <c r="H149" i="4"/>
  <c r="H205" i="4"/>
  <c r="H198" i="4"/>
  <c r="H549" i="4"/>
  <c r="H518" i="4"/>
  <c r="H479" i="4"/>
  <c r="H469" i="4"/>
  <c r="H416" i="4"/>
  <c r="H395" i="4"/>
  <c r="H351" i="4"/>
  <c r="H344" i="4"/>
  <c r="H320" i="4"/>
  <c r="H239" i="4"/>
  <c r="H227" i="4"/>
  <c r="H183" i="4"/>
  <c r="H134" i="4"/>
  <c r="H132" i="4"/>
  <c r="H68" i="4"/>
  <c r="H31" i="4"/>
  <c r="H14" i="4"/>
  <c r="H476" i="4"/>
  <c r="H434" i="4"/>
  <c r="H427" i="4"/>
  <c r="H358" i="4"/>
  <c r="H281" i="4"/>
  <c r="H274" i="4"/>
  <c r="H260" i="4"/>
  <c r="H255" i="4"/>
  <c r="H193" i="4"/>
  <c r="H129" i="4"/>
  <c r="H77" i="4"/>
  <c r="H38" i="4"/>
  <c r="H36" i="4"/>
  <c r="H544" i="4"/>
  <c r="H515" i="4"/>
  <c r="H413" i="4"/>
  <c r="H94" i="4"/>
  <c r="H33" i="4"/>
  <c r="H11" i="4"/>
  <c r="H88" i="4"/>
  <c r="H482" i="4"/>
  <c r="H423" i="4"/>
  <c r="H332" i="4"/>
  <c r="H63" i="4"/>
  <c r="H41" i="4"/>
  <c r="H19" i="4"/>
  <c r="H590" i="4"/>
  <c r="H217" i="4"/>
  <c r="H51" i="4"/>
  <c r="H595" i="4"/>
  <c r="H579" i="4"/>
  <c r="H556" i="4"/>
  <c r="H554" i="4"/>
  <c r="H510" i="4"/>
  <c r="H488" i="4"/>
  <c r="H466" i="4"/>
  <c r="H341" i="4"/>
  <c r="H317" i="4"/>
  <c r="H285" i="4"/>
  <c r="H271" i="4"/>
  <c r="H241" i="4"/>
  <c r="H221" i="4"/>
  <c r="H175" i="4"/>
  <c r="H141" i="4"/>
  <c r="H523" i="4"/>
  <c r="H499" i="4"/>
  <c r="H419" i="4"/>
  <c r="H191" i="4"/>
  <c r="H127" i="4"/>
  <c r="H534" i="4"/>
  <c r="H397" i="4"/>
  <c r="H353" i="4"/>
  <c r="H331" i="4"/>
  <c r="H278" i="4"/>
  <c r="H264" i="4"/>
  <c r="H160" i="4"/>
  <c r="H155" i="4"/>
  <c r="H117" i="4"/>
  <c r="H45" i="4"/>
  <c r="H576" i="4"/>
  <c r="H561" i="4"/>
  <c r="H551" i="4"/>
  <c r="H527" i="4"/>
  <c r="H498" i="4"/>
  <c r="H490" i="4"/>
  <c r="H385" i="4"/>
  <c r="H226" i="4"/>
  <c r="H195" i="4"/>
  <c r="H180" i="4"/>
  <c r="H148" i="4"/>
  <c r="H143" i="4"/>
  <c r="H112" i="4"/>
  <c r="H349" i="4"/>
  <c r="H293" i="4"/>
  <c r="H166" i="4"/>
  <c r="H137" i="4"/>
  <c r="H302" i="4"/>
  <c r="H581" i="4"/>
  <c r="H558" i="4"/>
  <c r="H536" i="4"/>
  <c r="H517" i="4"/>
  <c r="H495" i="4"/>
  <c r="H450" i="4"/>
  <c r="H445" i="4"/>
  <c r="H405" i="4"/>
  <c r="H310" i="4"/>
  <c r="H273" i="4"/>
  <c r="H231" i="4"/>
  <c r="H131" i="4"/>
  <c r="H401" i="4"/>
  <c r="H176" i="4"/>
  <c r="H66" i="4"/>
  <c r="H34" i="4"/>
  <c r="H508" i="4"/>
  <c r="H173" i="4"/>
  <c r="H104" i="4"/>
  <c r="H258" i="4"/>
  <c r="H563" i="4"/>
  <c r="H531" i="4"/>
  <c r="H529" i="4"/>
  <c r="H492" i="4"/>
  <c r="H452" i="4"/>
  <c r="H447" i="4"/>
  <c r="H394" i="4"/>
  <c r="H280" i="4"/>
  <c r="H57" i="4"/>
  <c r="H47" i="4"/>
  <c r="H35" i="4"/>
  <c r="H572" i="4"/>
  <c r="H568" i="4"/>
  <c r="H543" i="4"/>
  <c r="H475" i="4"/>
  <c r="H454" i="4"/>
  <c r="H440" i="4"/>
  <c r="H382" i="4"/>
  <c r="H333" i="4"/>
  <c r="H235" i="4"/>
  <c r="H223" i="4"/>
  <c r="H177" i="4"/>
  <c r="H157" i="4"/>
  <c r="H145" i="4"/>
  <c r="H133" i="4"/>
  <c r="H93" i="4"/>
  <c r="H84" i="4"/>
  <c r="H59" i="4"/>
  <c r="H118" i="4"/>
  <c r="H593" i="4"/>
  <c r="H552" i="4"/>
  <c r="H520" i="4"/>
  <c r="H304" i="4"/>
  <c r="H75" i="4"/>
  <c r="H514" i="4"/>
  <c r="H270" i="4"/>
  <c r="H228" i="4"/>
  <c r="H52" i="4"/>
  <c r="H49" i="4"/>
  <c r="H15" i="4"/>
  <c r="H486" i="4"/>
  <c r="H443" i="4"/>
  <c r="H481" i="4"/>
  <c r="H438" i="4"/>
  <c r="H43" i="4"/>
  <c r="H567" i="4"/>
  <c r="H483" i="4"/>
  <c r="H560" i="4"/>
  <c r="H585" i="4"/>
  <c r="H577" i="4"/>
  <c r="H574" i="4"/>
  <c r="H533" i="4"/>
  <c r="H545" i="4"/>
  <c r="H592" i="4"/>
  <c r="H472" i="4"/>
  <c r="H597" i="4"/>
  <c r="H540" i="4"/>
  <c r="H501" i="4"/>
  <c r="H449" i="4"/>
  <c r="H387" i="4"/>
  <c r="H522" i="4"/>
  <c r="H542" i="4"/>
  <c r="H406" i="4"/>
  <c r="H355" i="4"/>
  <c r="H343" i="4"/>
  <c r="H65" i="4"/>
  <c r="H153" i="4"/>
  <c r="H584" i="4"/>
  <c r="H569" i="4"/>
  <c r="H430" i="4"/>
  <c r="H412" i="4"/>
  <c r="H365" i="4"/>
  <c r="H136" i="4"/>
  <c r="H403" i="4"/>
  <c r="H295" i="4"/>
  <c r="H16" i="4"/>
  <c r="H242" i="4"/>
  <c r="H18" i="4"/>
  <c r="H345" i="4"/>
  <c r="H25" i="4"/>
  <c r="H513" i="4"/>
  <c r="H391" i="4"/>
  <c r="H367" i="4"/>
  <c r="H347" i="4"/>
  <c r="H340" i="4"/>
  <c r="H308" i="4"/>
  <c r="H244" i="4"/>
  <c r="H22" i="4"/>
  <c r="H20" i="4"/>
  <c r="H478" i="4"/>
  <c r="H393" i="4"/>
  <c r="H32" i="4"/>
  <c r="H27" i="4"/>
  <c r="H506" i="4"/>
  <c r="H465" i="4"/>
  <c r="H407" i="4"/>
  <c r="H418" i="4"/>
  <c r="H321" i="4"/>
  <c r="H371" i="4"/>
  <c r="H257" i="4"/>
  <c r="H190" i="4"/>
  <c r="H185" i="4"/>
  <c r="H161" i="4"/>
  <c r="H78" i="4"/>
  <c r="H53" i="4"/>
  <c r="H4" i="4"/>
  <c r="H297" i="4"/>
  <c r="H286" i="4"/>
  <c r="H6" i="4"/>
  <c r="H350" i="4"/>
  <c r="H290" i="4"/>
  <c r="H215" i="4"/>
  <c r="H50" i="4"/>
  <c r="H342" i="4"/>
  <c r="H229" i="4"/>
  <c r="H199" i="4"/>
  <c r="H192" i="4"/>
  <c r="H187" i="4"/>
  <c r="H110" i="4"/>
  <c r="H80" i="4"/>
  <c r="H64" i="4"/>
  <c r="H55" i="4"/>
  <c r="H292" i="4"/>
  <c r="H283" i="4"/>
  <c r="H119" i="4"/>
  <c r="H366" i="4"/>
  <c r="H305" i="4"/>
  <c r="H294" i="4"/>
  <c r="H272" i="4"/>
  <c r="H201" i="4"/>
  <c r="H147" i="4"/>
  <c r="H69" i="4"/>
  <c r="H390" i="4"/>
  <c r="H374" i="4"/>
  <c r="H356" i="4"/>
  <c r="H337" i="4"/>
  <c r="H251" i="4"/>
  <c r="H194" i="4"/>
  <c r="H121" i="4"/>
  <c r="H451" i="4"/>
  <c r="H326" i="4"/>
  <c r="H324" i="4"/>
  <c r="H253" i="4"/>
  <c r="H233" i="4"/>
  <c r="H214" i="4"/>
  <c r="H98" i="4"/>
  <c r="H91" i="4"/>
  <c r="H82" i="4"/>
  <c r="H315" i="4"/>
  <c r="H298" i="4"/>
  <c r="H196" i="4"/>
  <c r="H179" i="4"/>
  <c r="H171" i="4"/>
  <c r="H151" i="4"/>
  <c r="H139" i="4"/>
  <c r="H109" i="4"/>
  <c r="H81" i="4"/>
  <c r="H269" i="4"/>
  <c r="H267" i="4"/>
  <c r="H212" i="4"/>
  <c r="H97" i="4"/>
  <c r="H107" i="4"/>
  <c r="H54" i="4"/>
  <c r="H299" i="4"/>
  <c r="H289" i="4"/>
  <c r="H203" i="4"/>
  <c r="H113" i="4"/>
  <c r="H70" i="4"/>
  <c r="H246" i="4"/>
  <c r="H209" i="4"/>
  <c r="H219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<sst xmlns="http://schemas.openxmlformats.org/spreadsheetml/2006/main" count="5272" uniqueCount="1649">
  <si>
    <t>EmployeeCode</t>
  </si>
  <si>
    <t>FirstName</t>
  </si>
  <si>
    <t>LastName</t>
  </si>
  <si>
    <t>Japan177-3Mo</t>
  </si>
  <si>
    <t>Carl</t>
  </si>
  <si>
    <t>Rodriguez</t>
  </si>
  <si>
    <t>AUS551-2Mo</t>
  </si>
  <si>
    <t>Anne</t>
  </si>
  <si>
    <t>Wright</t>
  </si>
  <si>
    <t>AUS316-2M</t>
  </si>
  <si>
    <t>Patrick</t>
  </si>
  <si>
    <t>Rivera</t>
  </si>
  <si>
    <t>GER160-2W</t>
  </si>
  <si>
    <t>Ruby</t>
  </si>
  <si>
    <t>Walker</t>
  </si>
  <si>
    <t>GER265-1M</t>
  </si>
  <si>
    <t>Teresita</t>
  </si>
  <si>
    <t>Guillen</t>
  </si>
  <si>
    <t>ARG363-4Mo</t>
  </si>
  <si>
    <t>Earl</t>
  </si>
  <si>
    <t>Morgan</t>
  </si>
  <si>
    <t>Canada351-3W</t>
  </si>
  <si>
    <t>Joella</t>
  </si>
  <si>
    <t>Causey</t>
  </si>
  <si>
    <t>Japan195-5W</t>
  </si>
  <si>
    <t>Gregg</t>
  </si>
  <si>
    <t>Kelly</t>
  </si>
  <si>
    <t>ARG529-1W</t>
  </si>
  <si>
    <t>William</t>
  </si>
  <si>
    <t>Reed</t>
  </si>
  <si>
    <t>ENG301-6W</t>
  </si>
  <si>
    <t>Julia</t>
  </si>
  <si>
    <t>Johnson</t>
  </si>
  <si>
    <t>AUS60-2M</t>
  </si>
  <si>
    <t>Tonya</t>
  </si>
  <si>
    <t>Ruiz</t>
  </si>
  <si>
    <t>ARG102-7Mo</t>
  </si>
  <si>
    <t>Wayne</t>
  </si>
  <si>
    <t>Howard</t>
  </si>
  <si>
    <t>US219-8M</t>
  </si>
  <si>
    <t>Samuel</t>
  </si>
  <si>
    <t>Goodman</t>
  </si>
  <si>
    <t>Canada342-9W</t>
  </si>
  <si>
    <t>Sean</t>
  </si>
  <si>
    <t>US476-10W</t>
  </si>
  <si>
    <t>Julie</t>
  </si>
  <si>
    <t>MEX93-5M</t>
  </si>
  <si>
    <t>Perry</t>
  </si>
  <si>
    <t>ENG442-9Mo</t>
  </si>
  <si>
    <t>Jarrod</t>
  </si>
  <si>
    <t>Beckett</t>
  </si>
  <si>
    <t>Canada17-7W</t>
  </si>
  <si>
    <t>Lillian</t>
  </si>
  <si>
    <t>Nelson</t>
  </si>
  <si>
    <t>ARG559-10W</t>
  </si>
  <si>
    <t>Delfina</t>
  </si>
  <si>
    <t>Brandon</t>
  </si>
  <si>
    <t>ENG389-10W</t>
  </si>
  <si>
    <t>Shaun</t>
  </si>
  <si>
    <t>Jacobs</t>
  </si>
  <si>
    <t>MEX121-11W</t>
  </si>
  <si>
    <t>Theresa</t>
  </si>
  <si>
    <t>Barnes</t>
  </si>
  <si>
    <t>ENG489-12W</t>
  </si>
  <si>
    <t>Stephen</t>
  </si>
  <si>
    <t>Powell</t>
  </si>
  <si>
    <t>AUS88-10W</t>
  </si>
  <si>
    <t>Queenie</t>
  </si>
  <si>
    <t>Thibodeau</t>
  </si>
  <si>
    <t>AUS455-3W</t>
  </si>
  <si>
    <t>Juan</t>
  </si>
  <si>
    <t>King</t>
  </si>
  <si>
    <t>AUS491-13M</t>
  </si>
  <si>
    <t>Laureen</t>
  </si>
  <si>
    <t>Varney</t>
  </si>
  <si>
    <t>ENG193-10Mo</t>
  </si>
  <si>
    <t>Anthony</t>
  </si>
  <si>
    <t>Griffin</t>
  </si>
  <si>
    <t>ARG508-14W</t>
  </si>
  <si>
    <t>Olga</t>
  </si>
  <si>
    <t>Rowe</t>
  </si>
  <si>
    <t>GER345-5M</t>
  </si>
  <si>
    <t>Alyce</t>
  </si>
  <si>
    <t>Rafferty</t>
  </si>
  <si>
    <t>Japan428-2Mo</t>
  </si>
  <si>
    <t>Janella</t>
  </si>
  <si>
    <t>Lacey</t>
  </si>
  <si>
    <t>ARG116-9Mo</t>
  </si>
  <si>
    <t>Lyndsay</t>
  </si>
  <si>
    <t>Landry</t>
  </si>
  <si>
    <t>Canada213-4M</t>
  </si>
  <si>
    <t>Elvina</t>
  </si>
  <si>
    <t>Dickens</t>
  </si>
  <si>
    <t>ENG208-2W</t>
  </si>
  <si>
    <t>Lois</t>
  </si>
  <si>
    <t>Flores</t>
  </si>
  <si>
    <t>MEX7-9M</t>
  </si>
  <si>
    <t>Gonzalo</t>
  </si>
  <si>
    <t>Rigby</t>
  </si>
  <si>
    <t>ARG56-15W</t>
  </si>
  <si>
    <t>John</t>
  </si>
  <si>
    <t>Parker</t>
  </si>
  <si>
    <t>US404-6W</t>
  </si>
  <si>
    <t>Olive</t>
  </si>
  <si>
    <t>Romero</t>
  </si>
  <si>
    <t>ARG43-9Mo</t>
  </si>
  <si>
    <t>Emmitt</t>
  </si>
  <si>
    <t>Valles</t>
  </si>
  <si>
    <t>GER188-9M</t>
  </si>
  <si>
    <t>Vernia</t>
  </si>
  <si>
    <t>Mccrary</t>
  </si>
  <si>
    <t>AUS275-8W</t>
  </si>
  <si>
    <t>Michelle</t>
  </si>
  <si>
    <t>Campbell</t>
  </si>
  <si>
    <t>ENG563-9W</t>
  </si>
  <si>
    <t>Demarcus</t>
  </si>
  <si>
    <t>Mcgregor</t>
  </si>
  <si>
    <t>ENG543-14M</t>
  </si>
  <si>
    <t>Jeremy</t>
  </si>
  <si>
    <t>Rogers</t>
  </si>
  <si>
    <t>ENG23-6W</t>
  </si>
  <si>
    <t>Peters</t>
  </si>
  <si>
    <t>MEX490-7W</t>
  </si>
  <si>
    <t>Dian</t>
  </si>
  <si>
    <t>Winchester</t>
  </si>
  <si>
    <t>Japan114-1W</t>
  </si>
  <si>
    <t>Steven</t>
  </si>
  <si>
    <t>Russell</t>
  </si>
  <si>
    <t>ENG444-4Mo</t>
  </si>
  <si>
    <t>Hank</t>
  </si>
  <si>
    <t>Thorpe</t>
  </si>
  <si>
    <t>AUS331-2Mo</t>
  </si>
  <si>
    <t>Lori</t>
  </si>
  <si>
    <t>Ward</t>
  </si>
  <si>
    <t>Canada118-14M</t>
  </si>
  <si>
    <t>Price</t>
  </si>
  <si>
    <t>Japan572-15Mo</t>
  </si>
  <si>
    <t>Norma</t>
  </si>
  <si>
    <t>Steele</t>
  </si>
  <si>
    <t>Canada122-5M</t>
  </si>
  <si>
    <t>Jaye</t>
  </si>
  <si>
    <t>Wick</t>
  </si>
  <si>
    <t>US526-12Mo</t>
  </si>
  <si>
    <t>Terry</t>
  </si>
  <si>
    <t>Coleman</t>
  </si>
  <si>
    <t>Japan585-6M</t>
  </si>
  <si>
    <t>Kathleen</t>
  </si>
  <si>
    <t>Garcia</t>
  </si>
  <si>
    <t>ENG398-15M</t>
  </si>
  <si>
    <t>Raul</t>
  </si>
  <si>
    <t>Brewer</t>
  </si>
  <si>
    <t>Japan320-14Mo</t>
  </si>
  <si>
    <t>Peter</t>
  </si>
  <si>
    <t>Thompson</t>
  </si>
  <si>
    <t>US141-2W</t>
  </si>
  <si>
    <t>Theo</t>
  </si>
  <si>
    <t>Vo</t>
  </si>
  <si>
    <t>Canada329-4W</t>
  </si>
  <si>
    <t>Luanne</t>
  </si>
  <si>
    <t>Farr</t>
  </si>
  <si>
    <t>ARG421-16Mo</t>
  </si>
  <si>
    <t>Larry</t>
  </si>
  <si>
    <t>ARG427-13Mo</t>
  </si>
  <si>
    <t>Linda</t>
  </si>
  <si>
    <t>Peterson</t>
  </si>
  <si>
    <t>GER220-4M</t>
  </si>
  <si>
    <t>Titus</t>
  </si>
  <si>
    <t>Maclean</t>
  </si>
  <si>
    <t>MEX223-8M</t>
  </si>
  <si>
    <t>Norman</t>
  </si>
  <si>
    <t>Henderson</t>
  </si>
  <si>
    <t>US257-17M</t>
  </si>
  <si>
    <t>Elmira</t>
  </si>
  <si>
    <t>Sommers</t>
  </si>
  <si>
    <t>Canada289-15W</t>
  </si>
  <si>
    <t>Mitchell</t>
  </si>
  <si>
    <t>US98-6Mo</t>
  </si>
  <si>
    <t>Minnie</t>
  </si>
  <si>
    <t>Snyder</t>
  </si>
  <si>
    <t>AUS24-7W</t>
  </si>
  <si>
    <t>Selina</t>
  </si>
  <si>
    <t>Varela</t>
  </si>
  <si>
    <t>ENG557-4W</t>
  </si>
  <si>
    <t>Lelia</t>
  </si>
  <si>
    <t>Wentz</t>
  </si>
  <si>
    <t>AUS34-16Mo</t>
  </si>
  <si>
    <t>Jaunita</t>
  </si>
  <si>
    <t>Laird</t>
  </si>
  <si>
    <t>GER38-15M</t>
  </si>
  <si>
    <t>Leona</t>
  </si>
  <si>
    <t>GER79-15W</t>
  </si>
  <si>
    <t>Regina</t>
  </si>
  <si>
    <t>Hodges</t>
  </si>
  <si>
    <t>AUS385-1W</t>
  </si>
  <si>
    <t>Clarence</t>
  </si>
  <si>
    <t>Collins</t>
  </si>
  <si>
    <t>AUS581-9M</t>
  </si>
  <si>
    <t>Marie</t>
  </si>
  <si>
    <t>US349-9M</t>
  </si>
  <si>
    <t>Jennifer</t>
  </si>
  <si>
    <t>Cox</t>
  </si>
  <si>
    <t>Canada429-8Mo</t>
  </si>
  <si>
    <t>Virginia</t>
  </si>
  <si>
    <t>Brooks</t>
  </si>
  <si>
    <t>Canada99-3W</t>
  </si>
  <si>
    <t>Cecile</t>
  </si>
  <si>
    <t>Veal</t>
  </si>
  <si>
    <t>US373-14M</t>
  </si>
  <si>
    <t>Harry</t>
  </si>
  <si>
    <t>Clark</t>
  </si>
  <si>
    <t>US210-3W</t>
  </si>
  <si>
    <t>Rebecca</t>
  </si>
  <si>
    <t>Gomez</t>
  </si>
  <si>
    <t>GER366-5W</t>
  </si>
  <si>
    <t>Delilah</t>
  </si>
  <si>
    <t>Eason</t>
  </si>
  <si>
    <t>ARG30-10W</t>
  </si>
  <si>
    <t>Victor</t>
  </si>
  <si>
    <t>Smith</t>
  </si>
  <si>
    <t>Japan132-16M</t>
  </si>
  <si>
    <t>Marjory</t>
  </si>
  <si>
    <t>Lovelace</t>
  </si>
  <si>
    <t>AUS130-17M</t>
  </si>
  <si>
    <t>Matthew</t>
  </si>
  <si>
    <t>Brown</t>
  </si>
  <si>
    <t>Japan512-1W</t>
  </si>
  <si>
    <t>Audrey</t>
  </si>
  <si>
    <t>Briggs</t>
  </si>
  <si>
    <t>AUS377-11W</t>
  </si>
  <si>
    <t>Collin</t>
  </si>
  <si>
    <t>Haskins</t>
  </si>
  <si>
    <t>AUS449-13W</t>
  </si>
  <si>
    <t>Columbus</t>
  </si>
  <si>
    <t>Fuqua</t>
  </si>
  <si>
    <t>Canada158-4Mo</t>
  </si>
  <si>
    <t>Faye</t>
  </si>
  <si>
    <t>Turner</t>
  </si>
  <si>
    <t>ARG468-11M</t>
  </si>
  <si>
    <t>Tina</t>
  </si>
  <si>
    <t>Carlson</t>
  </si>
  <si>
    <t>Japan597-8Mo</t>
  </si>
  <si>
    <t>Laura</t>
  </si>
  <si>
    <t>Edwards</t>
  </si>
  <si>
    <t>GER540-7W</t>
  </si>
  <si>
    <t>Rolf</t>
  </si>
  <si>
    <t>Schrader</t>
  </si>
  <si>
    <t>GER407-4W</t>
  </si>
  <si>
    <t>Tiara</t>
  </si>
  <si>
    <t>Pridgen</t>
  </si>
  <si>
    <t>Canada423-1W</t>
  </si>
  <si>
    <t>Ed</t>
  </si>
  <si>
    <t>Pena</t>
  </si>
  <si>
    <t>MEX401-8W</t>
  </si>
  <si>
    <t>Ellan</t>
  </si>
  <si>
    <t>Braswell</t>
  </si>
  <si>
    <t>GER21-2M</t>
  </si>
  <si>
    <t>Garfield</t>
  </si>
  <si>
    <t>Bigelow</t>
  </si>
  <si>
    <t>US561-15Mo</t>
  </si>
  <si>
    <t>Horace</t>
  </si>
  <si>
    <t>Robertson</t>
  </si>
  <si>
    <t>ARG417-7W</t>
  </si>
  <si>
    <t>Shawn</t>
  </si>
  <si>
    <t>Allen</t>
  </si>
  <si>
    <t>AUS28-10W</t>
  </si>
  <si>
    <t>Beaulah</t>
  </si>
  <si>
    <t>Willard</t>
  </si>
  <si>
    <t>GER291-3M</t>
  </si>
  <si>
    <t>Jose</t>
  </si>
  <si>
    <t>Baker</t>
  </si>
  <si>
    <t>MEX452-4W</t>
  </si>
  <si>
    <t>Elizabeth</t>
  </si>
  <si>
    <t>Canada337-1M</t>
  </si>
  <si>
    <t>Carolyn</t>
  </si>
  <si>
    <t>Anderson</t>
  </si>
  <si>
    <t>AUS255-11Mo</t>
  </si>
  <si>
    <t>Edna</t>
  </si>
  <si>
    <t>Harvey</t>
  </si>
  <si>
    <t>ARG458-3W</t>
  </si>
  <si>
    <t>Jeanmarie</t>
  </si>
  <si>
    <t>Haywood</t>
  </si>
  <si>
    <t>Japan388-17Mo</t>
  </si>
  <si>
    <t>Maribeth</t>
  </si>
  <si>
    <t>Kiser</t>
  </si>
  <si>
    <t>Japan312-3M</t>
  </si>
  <si>
    <t>Elza</t>
  </si>
  <si>
    <t>Devito</t>
  </si>
  <si>
    <t>ENG438-5Mo</t>
  </si>
  <si>
    <t>Jarvis</t>
  </si>
  <si>
    <t>Lund</t>
  </si>
  <si>
    <t>Japan247-6W</t>
  </si>
  <si>
    <t>Debra</t>
  </si>
  <si>
    <t>Butler</t>
  </si>
  <si>
    <t>MEX44-17M</t>
  </si>
  <si>
    <t>Janell</t>
  </si>
  <si>
    <t>Orozco</t>
  </si>
  <si>
    <t>ARG532-14W</t>
  </si>
  <si>
    <t>Salvador</t>
  </si>
  <si>
    <t>Copeland</t>
  </si>
  <si>
    <t>MEX579-17Mo</t>
  </si>
  <si>
    <t>Dave</t>
  </si>
  <si>
    <t>Sherman</t>
  </si>
  <si>
    <t>Japan338-12W</t>
  </si>
  <si>
    <t>Philip</t>
  </si>
  <si>
    <t>Bryant</t>
  </si>
  <si>
    <t>US270-17M</t>
  </si>
  <si>
    <t>Geraldine</t>
  </si>
  <si>
    <t>US144-15W</t>
  </si>
  <si>
    <t>Madelaine</t>
  </si>
  <si>
    <t>Moriarty</t>
  </si>
  <si>
    <t>Japan139-14W</t>
  </si>
  <si>
    <t>Andrea</t>
  </si>
  <si>
    <t>Murphy</t>
  </si>
  <si>
    <t>AUS299-11M</t>
  </si>
  <si>
    <t>Sonny</t>
  </si>
  <si>
    <t>Ragland</t>
  </si>
  <si>
    <t>Canada71-15Mo</t>
  </si>
  <si>
    <t>Susan</t>
  </si>
  <si>
    <t>Long</t>
  </si>
  <si>
    <t>Japan50-17M</t>
  </si>
  <si>
    <t>Keneth</t>
  </si>
  <si>
    <t>Roper</t>
  </si>
  <si>
    <t>Canada27-3Mo</t>
  </si>
  <si>
    <t>Ronald</t>
  </si>
  <si>
    <t>Carter</t>
  </si>
  <si>
    <t>Canada566-10W</t>
  </si>
  <si>
    <t>Eric</t>
  </si>
  <si>
    <t>Cooper</t>
  </si>
  <si>
    <t>AUS194-5W</t>
  </si>
  <si>
    <t>Alethia</t>
  </si>
  <si>
    <t>Law</t>
  </si>
  <si>
    <t>Japan582-13M</t>
  </si>
  <si>
    <t>Adrian</t>
  </si>
  <si>
    <t>Hughes</t>
  </si>
  <si>
    <t>MEX496-7Mo</t>
  </si>
  <si>
    <t>Leo</t>
  </si>
  <si>
    <t>Barber</t>
  </si>
  <si>
    <t>Canada32-1Mo</t>
  </si>
  <si>
    <t>Janet</t>
  </si>
  <si>
    <t>Jones</t>
  </si>
  <si>
    <t>Canada113-8W</t>
  </si>
  <si>
    <t>Bennett</t>
  </si>
  <si>
    <t>US203-17W</t>
  </si>
  <si>
    <t>Lyle</t>
  </si>
  <si>
    <t>Cummings</t>
  </si>
  <si>
    <t>US242-7W</t>
  </si>
  <si>
    <t>Gonzalez</t>
  </si>
  <si>
    <t>ARG20-3M</t>
  </si>
  <si>
    <t>Sanchez</t>
  </si>
  <si>
    <t>ARG520-9M</t>
  </si>
  <si>
    <t>Kathy</t>
  </si>
  <si>
    <t>Green</t>
  </si>
  <si>
    <t>US292-10W</t>
  </si>
  <si>
    <t>Alayna</t>
  </si>
  <si>
    <t>Wahl</t>
  </si>
  <si>
    <t>Canada315-8M</t>
  </si>
  <si>
    <t>Henry</t>
  </si>
  <si>
    <t>Davis</t>
  </si>
  <si>
    <t>Canada269-5W</t>
  </si>
  <si>
    <t>Shelley</t>
  </si>
  <si>
    <t>US52-8Mo</t>
  </si>
  <si>
    <t>Rose</t>
  </si>
  <si>
    <t>GER14-13Mo</t>
  </si>
  <si>
    <t>Amy</t>
  </si>
  <si>
    <t>Wood</t>
  </si>
  <si>
    <t>US110-4W</t>
  </si>
  <si>
    <t>Drew</t>
  </si>
  <si>
    <t>Schofield</t>
  </si>
  <si>
    <t>Canada271-5W</t>
  </si>
  <si>
    <t>Armando</t>
  </si>
  <si>
    <t>Ballard</t>
  </si>
  <si>
    <t>Canada205-14W</t>
  </si>
  <si>
    <t>Brain</t>
  </si>
  <si>
    <t>Beckham</t>
  </si>
  <si>
    <t>Canada425-3Mo</t>
  </si>
  <si>
    <t>Margaret</t>
  </si>
  <si>
    <t>Bell</t>
  </si>
  <si>
    <t>Canada518-13Mo</t>
  </si>
  <si>
    <t>Loretta</t>
  </si>
  <si>
    <t>Daniels</t>
  </si>
  <si>
    <t>Canada568-6W</t>
  </si>
  <si>
    <t>Frank</t>
  </si>
  <si>
    <t>Gray</t>
  </si>
  <si>
    <t>ARG335-1M</t>
  </si>
  <si>
    <t>Maryann</t>
  </si>
  <si>
    <t>US392-7M</t>
  </si>
  <si>
    <t>Jan</t>
  </si>
  <si>
    <t>Canada287-1W</t>
  </si>
  <si>
    <t>Sharon</t>
  </si>
  <si>
    <t>Richardson</t>
  </si>
  <si>
    <t>AUS311-7W</t>
  </si>
  <si>
    <t>Rafael</t>
  </si>
  <si>
    <t>Simon</t>
  </si>
  <si>
    <t>Japan183-10W</t>
  </si>
  <si>
    <t>Joe</t>
  </si>
  <si>
    <t>Ramirez</t>
  </si>
  <si>
    <t>Canada77-8M</t>
  </si>
  <si>
    <t>Cornelius</t>
  </si>
  <si>
    <t>Francis</t>
  </si>
  <si>
    <t>ENG80-15W</t>
  </si>
  <si>
    <t>Crissy</t>
  </si>
  <si>
    <t>Horn</t>
  </si>
  <si>
    <t>MEX206-6M</t>
  </si>
  <si>
    <t>Dawna</t>
  </si>
  <si>
    <t>Beals</t>
  </si>
  <si>
    <t>Japan5-3W</t>
  </si>
  <si>
    <t>Wilma</t>
  </si>
  <si>
    <t>AUS450-3W</t>
  </si>
  <si>
    <t>Judy</t>
  </si>
  <si>
    <t>Norris</t>
  </si>
  <si>
    <t>Japan474-16M</t>
  </si>
  <si>
    <t>Joyce</t>
  </si>
  <si>
    <t>White</t>
  </si>
  <si>
    <t>AUS481-6Mo</t>
  </si>
  <si>
    <t>Carla</t>
  </si>
  <si>
    <t>AUS37-15M</t>
  </si>
  <si>
    <t>Karl</t>
  </si>
  <si>
    <t>Fleming</t>
  </si>
  <si>
    <t>MEX471-15W</t>
  </si>
  <si>
    <t>Evans</t>
  </si>
  <si>
    <t>US339-15W</t>
  </si>
  <si>
    <t>Dianne</t>
  </si>
  <si>
    <t>Salazar</t>
  </si>
  <si>
    <t>Japan584-5Mo</t>
  </si>
  <si>
    <t>Gaynell</t>
  </si>
  <si>
    <t>Mckeown</t>
  </si>
  <si>
    <t>GER246-7W</t>
  </si>
  <si>
    <t>Cameron</t>
  </si>
  <si>
    <t>Mccoy</t>
  </si>
  <si>
    <t>GER297-1M</t>
  </si>
  <si>
    <t>Darrin</t>
  </si>
  <si>
    <t>MEX222-17W</t>
  </si>
  <si>
    <t>Juliann</t>
  </si>
  <si>
    <t>Simonson</t>
  </si>
  <si>
    <t>ENG569-7M</t>
  </si>
  <si>
    <t>Douglas</t>
  </si>
  <si>
    <t>AUS253-7Mo</t>
  </si>
  <si>
    <t>Margot</t>
  </si>
  <si>
    <t>Olmstead</t>
  </si>
  <si>
    <t>US45-15W</t>
  </si>
  <si>
    <t>Allyson</t>
  </si>
  <si>
    <t>Marlowe</t>
  </si>
  <si>
    <t>GER248-2M</t>
  </si>
  <si>
    <t>Maria</t>
  </si>
  <si>
    <t>Cook</t>
  </si>
  <si>
    <t>US432-11Mo</t>
  </si>
  <si>
    <t>Betty</t>
  </si>
  <si>
    <t>Gonzales</t>
  </si>
  <si>
    <t>US469-2W</t>
  </si>
  <si>
    <t>Johanna</t>
  </si>
  <si>
    <t>US1-9W</t>
  </si>
  <si>
    <t>US218-10W</t>
  </si>
  <si>
    <t>Albert</t>
  </si>
  <si>
    <t>Hampton</t>
  </si>
  <si>
    <t>ARG546-1W</t>
  </si>
  <si>
    <t>Cheryl</t>
  </si>
  <si>
    <t>GER517-4M</t>
  </si>
  <si>
    <t>Scott</t>
  </si>
  <si>
    <t>Robinson</t>
  </si>
  <si>
    <t>US104-11W</t>
  </si>
  <si>
    <t>Emanuel</t>
  </si>
  <si>
    <t>Craig</t>
  </si>
  <si>
    <t>MEX13-14M</t>
  </si>
  <si>
    <t>Moss</t>
  </si>
  <si>
    <t>ENG457-2M</t>
  </si>
  <si>
    <t>Laverne</t>
  </si>
  <si>
    <t>ARG145-16M</t>
  </si>
  <si>
    <t>Doyle</t>
  </si>
  <si>
    <t>ENG243-5W</t>
  </si>
  <si>
    <t>Rea</t>
  </si>
  <si>
    <t>Irby</t>
  </si>
  <si>
    <t>GER465-8W</t>
  </si>
  <si>
    <t>Shirley</t>
  </si>
  <si>
    <t>Torres</t>
  </si>
  <si>
    <t>US73-11Mo</t>
  </si>
  <si>
    <t>Buster</t>
  </si>
  <si>
    <t>Shively</t>
  </si>
  <si>
    <t>ARG390-17W</t>
  </si>
  <si>
    <t>Deirdre</t>
  </si>
  <si>
    <t>Lentz</t>
  </si>
  <si>
    <t>Canada542-3Mo</t>
  </si>
  <si>
    <t>Lisha</t>
  </si>
  <si>
    <t>Nunn</t>
  </si>
  <si>
    <t>ENG92-15Mo</t>
  </si>
  <si>
    <t>Terica</t>
  </si>
  <si>
    <t>Mayo</t>
  </si>
  <si>
    <t>ARG101-6Mo</t>
  </si>
  <si>
    <t>Tynisha</t>
  </si>
  <si>
    <t>Mckee</t>
  </si>
  <si>
    <t>Japan430-16W</t>
  </si>
  <si>
    <t>Phil</t>
  </si>
  <si>
    <t>Guerrero</t>
  </si>
  <si>
    <t>US485-15M</t>
  </si>
  <si>
    <t>Randy</t>
  </si>
  <si>
    <t>Hall</t>
  </si>
  <si>
    <t>ARG39-14Mo</t>
  </si>
  <si>
    <t>Lorenzo</t>
  </si>
  <si>
    <t>Fowler</t>
  </si>
  <si>
    <t>AUS250-5W</t>
  </si>
  <si>
    <t>Rachel</t>
  </si>
  <si>
    <t>Canada580-5W</t>
  </si>
  <si>
    <t>Moises</t>
  </si>
  <si>
    <t>Mcbee</t>
  </si>
  <si>
    <t>GER550-10Mo</t>
  </si>
  <si>
    <t>Hill</t>
  </si>
  <si>
    <t>MEX238-15Mo</t>
  </si>
  <si>
    <t>Van</t>
  </si>
  <si>
    <t>Mcguire</t>
  </si>
  <si>
    <t>GER419-13Mo</t>
  </si>
  <si>
    <t>MEX280-15M</t>
  </si>
  <si>
    <t>Jane</t>
  </si>
  <si>
    <t>Phillips</t>
  </si>
  <si>
    <t>MEX480-8Mo</t>
  </si>
  <si>
    <t>Watson</t>
  </si>
  <si>
    <t>ARG186-4W</t>
  </si>
  <si>
    <t>Judith</t>
  </si>
  <si>
    <t>US85-15Mo</t>
  </si>
  <si>
    <t>Aaron</t>
  </si>
  <si>
    <t>Japan200-14W</t>
  </si>
  <si>
    <t>Rudy</t>
  </si>
  <si>
    <t>Alvarez</t>
  </si>
  <si>
    <t>Canada362-6W</t>
  </si>
  <si>
    <t>Sharonda</t>
  </si>
  <si>
    <t>Farley</t>
  </si>
  <si>
    <t>US477-1W</t>
  </si>
  <si>
    <t>Maisha</t>
  </si>
  <si>
    <t>Calvin</t>
  </si>
  <si>
    <t>GER531-5Mo</t>
  </si>
  <si>
    <t>Bonnie</t>
  </si>
  <si>
    <t>Abbott</t>
  </si>
  <si>
    <t>GER89-16Mo</t>
  </si>
  <si>
    <t>Miranda</t>
  </si>
  <si>
    <t>Young</t>
  </si>
  <si>
    <t>ENG235-9Mo</t>
  </si>
  <si>
    <t>Thomas</t>
  </si>
  <si>
    <t>AUS11-14W</t>
  </si>
  <si>
    <t>Lee</t>
  </si>
  <si>
    <t>ARG313-10W</t>
  </si>
  <si>
    <t>Wolfe</t>
  </si>
  <si>
    <t>US463-13W</t>
  </si>
  <si>
    <t>Dianna</t>
  </si>
  <si>
    <t>GER286-8M</t>
  </si>
  <si>
    <t>GER2-14W</t>
  </si>
  <si>
    <t>Frederick</t>
  </si>
  <si>
    <t>Morton</t>
  </si>
  <si>
    <t>US123-9M</t>
  </si>
  <si>
    <t>Cynthia</t>
  </si>
  <si>
    <t>Cole</t>
  </si>
  <si>
    <t>MEX500-4M</t>
  </si>
  <si>
    <t>Lorena</t>
  </si>
  <si>
    <t>Williams</t>
  </si>
  <si>
    <t>GER370-5Mo</t>
  </si>
  <si>
    <t>Percy</t>
  </si>
  <si>
    <t>Canada298-8Mo</t>
  </si>
  <si>
    <t>Patricia</t>
  </si>
  <si>
    <t>Perez</t>
  </si>
  <si>
    <t>Japan276-11W</t>
  </si>
  <si>
    <t>Neal</t>
  </si>
  <si>
    <t>ARG456-17M</t>
  </si>
  <si>
    <t>Stuart</t>
  </si>
  <si>
    <t>Lane</t>
  </si>
  <si>
    <t>US86-6W</t>
  </si>
  <si>
    <t>Adam</t>
  </si>
  <si>
    <t>Vasquez</t>
  </si>
  <si>
    <t>Japan327-15W</t>
  </si>
  <si>
    <t>Alisa</t>
  </si>
  <si>
    <t>Corbett</t>
  </si>
  <si>
    <t>ARG323-16Mo</t>
  </si>
  <si>
    <t>Enriqueta</t>
  </si>
  <si>
    <t>Lopes</t>
  </si>
  <si>
    <t>GER524-15Mo</t>
  </si>
  <si>
    <t>Kirk</t>
  </si>
  <si>
    <t>Reese</t>
  </si>
  <si>
    <t>MEX394-13Mo</t>
  </si>
  <si>
    <t>AUS587-4Mo</t>
  </si>
  <si>
    <t>Rex</t>
  </si>
  <si>
    <t>Canada76-4M</t>
  </si>
  <si>
    <t>AUS576-6W</t>
  </si>
  <si>
    <t>Johnny</t>
  </si>
  <si>
    <t>Simmons</t>
  </si>
  <si>
    <t>GER567-17W</t>
  </si>
  <si>
    <t>Alessandra</t>
  </si>
  <si>
    <t>Vogt</t>
  </si>
  <si>
    <t>ENG593-13W</t>
  </si>
  <si>
    <t>Foster</t>
  </si>
  <si>
    <t>GER368-9W</t>
  </si>
  <si>
    <t>Stephaine</t>
  </si>
  <si>
    <t>Pacheco</t>
  </si>
  <si>
    <t>US112-14M</t>
  </si>
  <si>
    <t>Lory</t>
  </si>
  <si>
    <t>Herrmann</t>
  </si>
  <si>
    <t>Canada108-3Mo</t>
  </si>
  <si>
    <t>Simonne</t>
  </si>
  <si>
    <t>Kemp</t>
  </si>
  <si>
    <t>ARG48-14W</t>
  </si>
  <si>
    <t>Mui</t>
  </si>
  <si>
    <t>Mcewen</t>
  </si>
  <si>
    <t>GER254-15W</t>
  </si>
  <si>
    <t>Bobby</t>
  </si>
  <si>
    <t>Stephens</t>
  </si>
  <si>
    <t>GER504-12W</t>
  </si>
  <si>
    <t>Madalene</t>
  </si>
  <si>
    <t>Moreland</t>
  </si>
  <si>
    <t>ENG137-6W</t>
  </si>
  <si>
    <t>Heidi</t>
  </si>
  <si>
    <t>GER55-1W</t>
  </si>
  <si>
    <t>Inez</t>
  </si>
  <si>
    <t>Mcbride</t>
  </si>
  <si>
    <t>GER396-10W</t>
  </si>
  <si>
    <t>GER514-9Mo</t>
  </si>
  <si>
    <t>Yvonne</t>
  </si>
  <si>
    <t>Canada386-9W</t>
  </si>
  <si>
    <t>Billy</t>
  </si>
  <si>
    <t>US260-4W</t>
  </si>
  <si>
    <t>Jeffrey</t>
  </si>
  <si>
    <t>Canada284-4Mo</t>
  </si>
  <si>
    <t>Cora</t>
  </si>
  <si>
    <t>Fletcher</t>
  </si>
  <si>
    <t>ARG259-11W</t>
  </si>
  <si>
    <t>US574-4Mo</t>
  </si>
  <si>
    <t>Wanda</t>
  </si>
  <si>
    <t>Japan424-6W</t>
  </si>
  <si>
    <t>Chantell</t>
  </si>
  <si>
    <t>Forrest</t>
  </si>
  <si>
    <t>US533-7Mo</t>
  </si>
  <si>
    <t>Lavada</t>
  </si>
  <si>
    <t>Satterfield</t>
  </si>
  <si>
    <t>GER143-5M</t>
  </si>
  <si>
    <t>Christeen</t>
  </si>
  <si>
    <t>Hardwick</t>
  </si>
  <si>
    <t>Canada466-1M</t>
  </si>
  <si>
    <t>Dorla</t>
  </si>
  <si>
    <t>Dupuis</t>
  </si>
  <si>
    <t>MEX590-8M</t>
  </si>
  <si>
    <t>Lisabeth</t>
  </si>
  <si>
    <t>Everett</t>
  </si>
  <si>
    <t>Japan237-9M</t>
  </si>
  <si>
    <t>Patience</t>
  </si>
  <si>
    <t>Lindsay</t>
  </si>
  <si>
    <t>Japan182-3Mo</t>
  </si>
  <si>
    <t>Jennette</t>
  </si>
  <si>
    <t>Mcnamara</t>
  </si>
  <si>
    <t>Japan454-5Mo</t>
  </si>
  <si>
    <t>Tanya</t>
  </si>
  <si>
    <t>US41-1W</t>
  </si>
  <si>
    <t>Alan</t>
  </si>
  <si>
    <t>Patterson</t>
  </si>
  <si>
    <t>Japan211-12Mo</t>
  </si>
  <si>
    <t>Venessa</t>
  </si>
  <si>
    <t>Bean</t>
  </si>
  <si>
    <t>US409-7M</t>
  </si>
  <si>
    <t>Jessie</t>
  </si>
  <si>
    <t>Spencer</t>
  </si>
  <si>
    <t>MEX91-17Mo</t>
  </si>
  <si>
    <t>Sung</t>
  </si>
  <si>
    <t>Pippin</t>
  </si>
  <si>
    <t>ENG332-5Mo</t>
  </si>
  <si>
    <t>AUS231-17W</t>
  </si>
  <si>
    <t>Charles</t>
  </si>
  <si>
    <t>MEX555-7W</t>
  </si>
  <si>
    <t>Waldo</t>
  </si>
  <si>
    <t>Dempsey</t>
  </si>
  <si>
    <t>GER63-12W</t>
  </si>
  <si>
    <t>Wong</t>
  </si>
  <si>
    <t>US198-15Mo</t>
  </si>
  <si>
    <t>George</t>
  </si>
  <si>
    <t>US134-2Mo</t>
  </si>
  <si>
    <t>Martin</t>
  </si>
  <si>
    <t>Sanders</t>
  </si>
  <si>
    <t>MEX138-17Mo</t>
  </si>
  <si>
    <t>Vincent</t>
  </si>
  <si>
    <t>Harris</t>
  </si>
  <si>
    <t>US527-9Mo</t>
  </si>
  <si>
    <t>Tawnya</t>
  </si>
  <si>
    <t>Goodrich</t>
  </si>
  <si>
    <t>MEX22-15Mo</t>
  </si>
  <si>
    <t>Marcella</t>
  </si>
  <si>
    <t>West</t>
  </si>
  <si>
    <t>ENG165-5W</t>
  </si>
  <si>
    <t>Brian</t>
  </si>
  <si>
    <t>AUS545-7W</t>
  </si>
  <si>
    <t>Hicks</t>
  </si>
  <si>
    <t>US306-5M</t>
  </si>
  <si>
    <t>Antonetta</t>
  </si>
  <si>
    <t>Gilchrist</t>
  </si>
  <si>
    <t>AUS369-13W</t>
  </si>
  <si>
    <t>Luciana</t>
  </si>
  <si>
    <t>Andrus</t>
  </si>
  <si>
    <t>Canada40-2W</t>
  </si>
  <si>
    <t>Eula</t>
  </si>
  <si>
    <t>Jensen</t>
  </si>
  <si>
    <t>GER217-5W</t>
  </si>
  <si>
    <t>Svetlana</t>
  </si>
  <si>
    <t>Manuel</t>
  </si>
  <si>
    <t>ARG309-3Mo</t>
  </si>
  <si>
    <t>Domenic</t>
  </si>
  <si>
    <t>AUS169-16Mo</t>
  </si>
  <si>
    <t>Teresa</t>
  </si>
  <si>
    <t>GER336-2M</t>
  </si>
  <si>
    <t>Jon</t>
  </si>
  <si>
    <t>AUS324-5M</t>
  </si>
  <si>
    <t>Derick</t>
  </si>
  <si>
    <t>AUS181-14W</t>
  </si>
  <si>
    <t>Ashley</t>
  </si>
  <si>
    <t>Alexander</t>
  </si>
  <si>
    <t>ENG295-10M</t>
  </si>
  <si>
    <t>Janise</t>
  </si>
  <si>
    <t>Denning</t>
  </si>
  <si>
    <t>AUS305-2M</t>
  </si>
  <si>
    <t>GER371-1W</t>
  </si>
  <si>
    <t>Joanne</t>
  </si>
  <si>
    <t>Stevens</t>
  </si>
  <si>
    <t>US462-4W</t>
  </si>
  <si>
    <t>Deandre</t>
  </si>
  <si>
    <t>Conaway</t>
  </si>
  <si>
    <t>US197-3W</t>
  </si>
  <si>
    <t>Angela</t>
  </si>
  <si>
    <t>ENG406-11M</t>
  </si>
  <si>
    <t>Latina</t>
  </si>
  <si>
    <t>Hyman</t>
  </si>
  <si>
    <t>Japan399-14M</t>
  </si>
  <si>
    <t>Venus</t>
  </si>
  <si>
    <t>Ripley</t>
  </si>
  <si>
    <t>Japan505-2Mo</t>
  </si>
  <si>
    <t>Katrina</t>
  </si>
  <si>
    <t>AUS215-16Mo</t>
  </si>
  <si>
    <t>Carmine</t>
  </si>
  <si>
    <t>Toler</t>
  </si>
  <si>
    <t>ARG67-14M</t>
  </si>
  <si>
    <t>Lindsy</t>
  </si>
  <si>
    <t>ENG565-9W</t>
  </si>
  <si>
    <t>MEX330-1M</t>
  </si>
  <si>
    <t>ENG107-2Mo</t>
  </si>
  <si>
    <t>Maxima</t>
  </si>
  <si>
    <t>Oneil</t>
  </si>
  <si>
    <t>MEX58-10Mo</t>
  </si>
  <si>
    <t>Jimmy</t>
  </si>
  <si>
    <t>US161-11Mo</t>
  </si>
  <si>
    <t>Washington</t>
  </si>
  <si>
    <t>MEX156-9Mo</t>
  </si>
  <si>
    <t>Paula</t>
  </si>
  <si>
    <t>Delgado</t>
  </si>
  <si>
    <t>Japan497-4W</t>
  </si>
  <si>
    <t>Morris</t>
  </si>
  <si>
    <t>ARG201-16M</t>
  </si>
  <si>
    <t>Warren</t>
  </si>
  <si>
    <t>US111-5Mo</t>
  </si>
  <si>
    <t>Virgil</t>
  </si>
  <si>
    <t>Shinn</t>
  </si>
  <si>
    <t>Japan147-9Mo</t>
  </si>
  <si>
    <t>Winifred</t>
  </si>
  <si>
    <t>Cross</t>
  </si>
  <si>
    <t>GER272-2W</t>
  </si>
  <si>
    <t>Zelma</t>
  </si>
  <si>
    <t>Humes</t>
  </si>
  <si>
    <t>ENG592-13Mo</t>
  </si>
  <si>
    <t>Terrence</t>
  </si>
  <si>
    <t>ARG241-14W</t>
  </si>
  <si>
    <t>Chanda</t>
  </si>
  <si>
    <t>Nickel</t>
  </si>
  <si>
    <t>ENG503-14W</t>
  </si>
  <si>
    <t>Amelia</t>
  </si>
  <si>
    <t>Santos</t>
  </si>
  <si>
    <t>GER125-7W</t>
  </si>
  <si>
    <t>Trinidad</t>
  </si>
  <si>
    <t>Egan</t>
  </si>
  <si>
    <t>US249-1M</t>
  </si>
  <si>
    <t>Essie</t>
  </si>
  <si>
    <t>Lawrence</t>
  </si>
  <si>
    <t>US278-6W</t>
  </si>
  <si>
    <t>Ryan</t>
  </si>
  <si>
    <t>MEX534-16Mo</t>
  </si>
  <si>
    <t>Genaro</t>
  </si>
  <si>
    <t>Sales</t>
  </si>
  <si>
    <t>Japan426-5Mo</t>
  </si>
  <si>
    <t>Thornton</t>
  </si>
  <si>
    <t>AUS356-6W</t>
  </si>
  <si>
    <t>Ezekiel</t>
  </si>
  <si>
    <t>Banda</t>
  </si>
  <si>
    <t>GER277-1W</t>
  </si>
  <si>
    <t>Luis</t>
  </si>
  <si>
    <t>ENG440-17W</t>
  </si>
  <si>
    <t>Miller</t>
  </si>
  <si>
    <t>US367-11M</t>
  </si>
  <si>
    <t>Maxine</t>
  </si>
  <si>
    <t>Hamilton</t>
  </si>
  <si>
    <t>ENG155-9M</t>
  </si>
  <si>
    <t>Candace</t>
  </si>
  <si>
    <t>Weaver</t>
  </si>
  <si>
    <t>ENG562-7W</t>
  </si>
  <si>
    <t>ARG142-15Mo</t>
  </si>
  <si>
    <t>Dominque</t>
  </si>
  <si>
    <t>Packer</t>
  </si>
  <si>
    <t>ENG83-7W</t>
  </si>
  <si>
    <t>Alice</t>
  </si>
  <si>
    <t>AUS553-11Mo</t>
  </si>
  <si>
    <t>Erma</t>
  </si>
  <si>
    <t>Porter</t>
  </si>
  <si>
    <t>ARG588-7Mo</t>
  </si>
  <si>
    <t>Martha</t>
  </si>
  <si>
    <t>AUS100-8M</t>
  </si>
  <si>
    <t>Agnes</t>
  </si>
  <si>
    <t>MEX355-6M</t>
  </si>
  <si>
    <t>Margie</t>
  </si>
  <si>
    <t>Robbins</t>
  </si>
  <si>
    <t>ARG240-6Mo</t>
  </si>
  <si>
    <t>Mazie</t>
  </si>
  <si>
    <t>Whittle</t>
  </si>
  <si>
    <t>MEX26-7Mo</t>
  </si>
  <si>
    <t>Chris</t>
  </si>
  <si>
    <t>Mathis</t>
  </si>
  <si>
    <t>ARG319-17W</t>
  </si>
  <si>
    <t>Modesto</t>
  </si>
  <si>
    <t>Centeno</t>
  </si>
  <si>
    <t>ARG446-2W</t>
  </si>
  <si>
    <t>Hye</t>
  </si>
  <si>
    <t>Fenton</t>
  </si>
  <si>
    <t>GER558-8W</t>
  </si>
  <si>
    <t>Kaci</t>
  </si>
  <si>
    <t>Naquin</t>
  </si>
  <si>
    <t>MEX87-10Mo</t>
  </si>
  <si>
    <t>ENG445-2Mo</t>
  </si>
  <si>
    <t>Kimberly</t>
  </si>
  <si>
    <t>MEX75-11Mo</t>
  </si>
  <si>
    <t>Karla</t>
  </si>
  <si>
    <t>Cunningham</t>
  </si>
  <si>
    <t>ARG162-7Mo</t>
  </si>
  <si>
    <t>Bessie</t>
  </si>
  <si>
    <t>Mccormick</t>
  </si>
  <si>
    <t>Japan397-3Mo</t>
  </si>
  <si>
    <t>Nancy</t>
  </si>
  <si>
    <t>Japan36-13W</t>
  </si>
  <si>
    <t>AUS290-3W</t>
  </si>
  <si>
    <t>Nikole</t>
  </si>
  <si>
    <t>Mancini</t>
  </si>
  <si>
    <t>US322-16W</t>
  </si>
  <si>
    <t>Keith</t>
  </si>
  <si>
    <t>AUS135-14M</t>
  </si>
  <si>
    <t>Joshua</t>
  </si>
  <si>
    <t>Bailey</t>
  </si>
  <si>
    <t>US229-8M</t>
  </si>
  <si>
    <t>Wen</t>
  </si>
  <si>
    <t>Huynh</t>
  </si>
  <si>
    <t>Japan69-17M</t>
  </si>
  <si>
    <t>Leonora</t>
  </si>
  <si>
    <t>Florence</t>
  </si>
  <si>
    <t>ARG513-12W</t>
  </si>
  <si>
    <t>Adaline</t>
  </si>
  <si>
    <t>Cochrane</t>
  </si>
  <si>
    <t>US538-1Mo</t>
  </si>
  <si>
    <t>Tami</t>
  </si>
  <si>
    <t>Cobb</t>
  </si>
  <si>
    <t>MEX274-1M</t>
  </si>
  <si>
    <t>Etsuko</t>
  </si>
  <si>
    <t>Battles</t>
  </si>
  <si>
    <t>US90-4W</t>
  </si>
  <si>
    <t>Sheri</t>
  </si>
  <si>
    <t>Clayton</t>
  </si>
  <si>
    <t>Canada226-4M</t>
  </si>
  <si>
    <t>Mimi</t>
  </si>
  <si>
    <t>Tidwell</t>
  </si>
  <si>
    <t>US314-1M</t>
  </si>
  <si>
    <t>Larita</t>
  </si>
  <si>
    <t>Messina</t>
  </si>
  <si>
    <t>US441-7M</t>
  </si>
  <si>
    <t>Trula</t>
  </si>
  <si>
    <t>Back</t>
  </si>
  <si>
    <t>GER146-12Mo</t>
  </si>
  <si>
    <t>Dominique</t>
  </si>
  <si>
    <t>Beaty</t>
  </si>
  <si>
    <t>US19-4Mo</t>
  </si>
  <si>
    <t>Martinez</t>
  </si>
  <si>
    <t>ARG379-17Mo</t>
  </si>
  <si>
    <t>Louis</t>
  </si>
  <si>
    <t>Canada57-9Mo</t>
  </si>
  <si>
    <t>Len</t>
  </si>
  <si>
    <t>Otto</t>
  </si>
  <si>
    <t>ENG473-16W</t>
  </si>
  <si>
    <t>Brandy</t>
  </si>
  <si>
    <t>Buchanan</t>
  </si>
  <si>
    <t>ARG387-10W</t>
  </si>
  <si>
    <t>Clinton</t>
  </si>
  <si>
    <t>ENG152-11W</t>
  </si>
  <si>
    <t>US174-12M</t>
  </si>
  <si>
    <t>Carman</t>
  </si>
  <si>
    <t>Baylor</t>
  </si>
  <si>
    <t>GER346-13M</t>
  </si>
  <si>
    <t>Eunice</t>
  </si>
  <si>
    <t>Mcdonald</t>
  </si>
  <si>
    <t>GER129-15W</t>
  </si>
  <si>
    <t>Gretchen</t>
  </si>
  <si>
    <t>Hale</t>
  </si>
  <si>
    <t>Japan207-12M</t>
  </si>
  <si>
    <t>Catherine</t>
  </si>
  <si>
    <t>Stewart</t>
  </si>
  <si>
    <t>GER261-6Mo</t>
  </si>
  <si>
    <t>Hazel</t>
  </si>
  <si>
    <t>Walsh</t>
  </si>
  <si>
    <t>Canada541-16M</t>
  </si>
  <si>
    <t>Bruce</t>
  </si>
  <si>
    <t>MEX583-7Mo</t>
  </si>
  <si>
    <t>Laticia</t>
  </si>
  <si>
    <t>Sands</t>
  </si>
  <si>
    <t>Japan49-7W</t>
  </si>
  <si>
    <t>Evelyn</t>
  </si>
  <si>
    <t>Canada570-11W</t>
  </si>
  <si>
    <t>Canada175-11W</t>
  </si>
  <si>
    <t>Regan</t>
  </si>
  <si>
    <t>Key</t>
  </si>
  <si>
    <t>US106-6W</t>
  </si>
  <si>
    <t>Diane</t>
  </si>
  <si>
    <t>Japan511-6Mo</t>
  </si>
  <si>
    <t>Cindi</t>
  </si>
  <si>
    <t>Mcclanahan</t>
  </si>
  <si>
    <t>ENG537-12W</t>
  </si>
  <si>
    <t>Keeley</t>
  </si>
  <si>
    <t>Correia</t>
  </si>
  <si>
    <t>ARG484-5W</t>
  </si>
  <si>
    <t>Andrew</t>
  </si>
  <si>
    <t>ARG435-17M</t>
  </si>
  <si>
    <t>Wynona</t>
  </si>
  <si>
    <t>Neville</t>
  </si>
  <si>
    <t>AUS391-6M</t>
  </si>
  <si>
    <t>Mark</t>
  </si>
  <si>
    <t>GER251-14Mo</t>
  </si>
  <si>
    <t>Japan176-10Mo</t>
  </si>
  <si>
    <t>Lynn</t>
  </si>
  <si>
    <t>Brady</t>
  </si>
  <si>
    <t>Japan61-11W</t>
  </si>
  <si>
    <t>Kristi</t>
  </si>
  <si>
    <t>Wilkerson</t>
  </si>
  <si>
    <t>AUS410-15W</t>
  </si>
  <si>
    <t>Jean</t>
  </si>
  <si>
    <t>Japan596-10M</t>
  </si>
  <si>
    <t>Hernandez</t>
  </si>
  <si>
    <t>MEX353-4M</t>
  </si>
  <si>
    <t>Geneva</t>
  </si>
  <si>
    <t>ENG46-16M</t>
  </si>
  <si>
    <t>Caroyln</t>
  </si>
  <si>
    <t>Kerr</t>
  </si>
  <si>
    <t>GER202-10M</t>
  </si>
  <si>
    <t>Lizabeth</t>
  </si>
  <si>
    <t>Perron</t>
  </si>
  <si>
    <t>MEX224-16Mo</t>
  </si>
  <si>
    <t>US281-3Mo</t>
  </si>
  <si>
    <t>Sarah</t>
  </si>
  <si>
    <t>MEX549-9M</t>
  </si>
  <si>
    <t>Donnie</t>
  </si>
  <si>
    <t>AUS62-1Mo</t>
  </si>
  <si>
    <t>Randall</t>
  </si>
  <si>
    <t>Osborne</t>
  </si>
  <si>
    <t>Canada66-16W</t>
  </si>
  <si>
    <t>Ilda</t>
  </si>
  <si>
    <t>Mcadams</t>
  </si>
  <si>
    <t>ARG393-6Mo</t>
  </si>
  <si>
    <t>Katherine</t>
  </si>
  <si>
    <t>ENG153-8W</t>
  </si>
  <si>
    <t>Yvette</t>
  </si>
  <si>
    <t>ENG380-14W</t>
  </si>
  <si>
    <t>Heather</t>
  </si>
  <si>
    <t>ENG318-9Mo</t>
  </si>
  <si>
    <t>Christine</t>
  </si>
  <si>
    <t>Bishop</t>
  </si>
  <si>
    <t>AUS472-2W</t>
  </si>
  <si>
    <t>Jeanette</t>
  </si>
  <si>
    <t>Knight</t>
  </si>
  <si>
    <t>ENG460-5W</t>
  </si>
  <si>
    <t>Fred</t>
  </si>
  <si>
    <t>Japan420-11M</t>
  </si>
  <si>
    <t>Garrett</t>
  </si>
  <si>
    <t>Canada189-14Mo</t>
  </si>
  <si>
    <t>ENG54-4W</t>
  </si>
  <si>
    <t>Orlando</t>
  </si>
  <si>
    <t>Montgomery</t>
  </si>
  <si>
    <t>ARG383-5M</t>
  </si>
  <si>
    <t>Marylin</t>
  </si>
  <si>
    <t>Burch</t>
  </si>
  <si>
    <t>Japan515-5W</t>
  </si>
  <si>
    <t>Bradford</t>
  </si>
  <si>
    <t>Jackson</t>
  </si>
  <si>
    <t>GER433-13W</t>
  </si>
  <si>
    <t>Hoyle</t>
  </si>
  <si>
    <t>ARG252-12W</t>
  </si>
  <si>
    <t>Lucas</t>
  </si>
  <si>
    <t>AUS478-1M</t>
  </si>
  <si>
    <t>Herlinda</t>
  </si>
  <si>
    <t>Millard</t>
  </si>
  <si>
    <t>MEX556-17W</t>
  </si>
  <si>
    <t>Lucilla</t>
  </si>
  <si>
    <t>Japan264-1M</t>
  </si>
  <si>
    <t>Marilyn</t>
  </si>
  <si>
    <t>Horton</t>
  </si>
  <si>
    <t>ARG244-8W</t>
  </si>
  <si>
    <t>Adelia</t>
  </si>
  <si>
    <t>Bachman</t>
  </si>
  <si>
    <t>Canada321-12M</t>
  </si>
  <si>
    <t>Joseph</t>
  </si>
  <si>
    <t>ARG343-15W</t>
  </si>
  <si>
    <t>Alexis</t>
  </si>
  <si>
    <t>Hayes</t>
  </si>
  <si>
    <t>ENG109-8W</t>
  </si>
  <si>
    <t>Bass</t>
  </si>
  <si>
    <t>GER35-1M</t>
  </si>
  <si>
    <t>Janice</t>
  </si>
  <si>
    <t>ARG347-17W</t>
  </si>
  <si>
    <t>ARG506-8W</t>
  </si>
  <si>
    <t>ARG279-6Mo</t>
  </si>
  <si>
    <t>AUS42-12M</t>
  </si>
  <si>
    <t>Ruth</t>
  </si>
  <si>
    <t>MEX115-11M</t>
  </si>
  <si>
    <t>Waters</t>
  </si>
  <si>
    <t>Japan65-2W</t>
  </si>
  <si>
    <t>Tiera</t>
  </si>
  <si>
    <t>Jolley</t>
  </si>
  <si>
    <t>US530-17M</t>
  </si>
  <si>
    <t>Marilynn</t>
  </si>
  <si>
    <t>Pyle</t>
  </si>
  <si>
    <t>ENG578-17M</t>
  </si>
  <si>
    <t>Elvira</t>
  </si>
  <si>
    <t>Reynolds</t>
  </si>
  <si>
    <t>US126-4M</t>
  </si>
  <si>
    <t>Lizeth</t>
  </si>
  <si>
    <t>Adame</t>
  </si>
  <si>
    <t>AUS482-12W</t>
  </si>
  <si>
    <t>ENG120-11W</t>
  </si>
  <si>
    <t>Japan448-3Mo</t>
  </si>
  <si>
    <t>Azzie</t>
  </si>
  <si>
    <t>Boston</t>
  </si>
  <si>
    <t>ENG350-2W</t>
  </si>
  <si>
    <t>Frederica</t>
  </si>
  <si>
    <t>House</t>
  </si>
  <si>
    <t>US595-2W</t>
  </si>
  <si>
    <t>Nicole</t>
  </si>
  <si>
    <t>Diaz</t>
  </si>
  <si>
    <t>AUS225-10Mo</t>
  </si>
  <si>
    <t>Edmundo</t>
  </si>
  <si>
    <t>ARG375-13Mo</t>
  </si>
  <si>
    <t>Gena</t>
  </si>
  <si>
    <t>Barajas</t>
  </si>
  <si>
    <t>MEX415-8W</t>
  </si>
  <si>
    <t>Alma</t>
  </si>
  <si>
    <t>MEX443-12Mo</t>
  </si>
  <si>
    <t>ENG3-2W</t>
  </si>
  <si>
    <t>ENG483-6Mo</t>
  </si>
  <si>
    <t>Meredith</t>
  </si>
  <si>
    <t>Estrada</t>
  </si>
  <si>
    <t>Canada344-11Mo</t>
  </si>
  <si>
    <t>Kurtis</t>
  </si>
  <si>
    <t>Farris</t>
  </si>
  <si>
    <t>ARG136-1W</t>
  </si>
  <si>
    <t>Todd</t>
  </si>
  <si>
    <t>Canada357-14M</t>
  </si>
  <si>
    <t>Jonathon</t>
  </si>
  <si>
    <t>Dunn</t>
  </si>
  <si>
    <t>US15-13W</t>
  </si>
  <si>
    <t>Shery</t>
  </si>
  <si>
    <t>Ludwig</t>
  </si>
  <si>
    <t>Japan216-5M</t>
  </si>
  <si>
    <t>Scotty</t>
  </si>
  <si>
    <t>Lerma</t>
  </si>
  <si>
    <t>ARG400-10M</t>
  </si>
  <si>
    <t>Isreal</t>
  </si>
  <si>
    <t>Childress</t>
  </si>
  <si>
    <t>Canada411-7W</t>
  </si>
  <si>
    <t>Alethea</t>
  </si>
  <si>
    <t>Humphreys</t>
  </si>
  <si>
    <t>Canada307-5W</t>
  </si>
  <si>
    <t>Caleb</t>
  </si>
  <si>
    <t>Mendez</t>
  </si>
  <si>
    <t>US340-15Mo</t>
  </si>
  <si>
    <t>Kevin</t>
  </si>
  <si>
    <t>Jenkins</t>
  </si>
  <si>
    <t>ARG416-17W</t>
  </si>
  <si>
    <t>Noel</t>
  </si>
  <si>
    <t>Caldwell</t>
  </si>
  <si>
    <t>AUS487-8Mo</t>
  </si>
  <si>
    <t>Jermaine</t>
  </si>
  <si>
    <t>Rodriquez</t>
  </si>
  <si>
    <t>Japan486-14W</t>
  </si>
  <si>
    <t>Tabitha</t>
  </si>
  <si>
    <t>Sullivan</t>
  </si>
  <si>
    <t>AUS84-2Mo</t>
  </si>
  <si>
    <t>Tamara</t>
  </si>
  <si>
    <t>Sims</t>
  </si>
  <si>
    <t>Canada300-7Mo</t>
  </si>
  <si>
    <t>Chrissy</t>
  </si>
  <si>
    <t>Hadden</t>
  </si>
  <si>
    <t>Japan317-9M</t>
  </si>
  <si>
    <t>Wilson</t>
  </si>
  <si>
    <t>Japan372-2W</t>
  </si>
  <si>
    <t>Brianna</t>
  </si>
  <si>
    <t>Seitz</t>
  </si>
  <si>
    <t>Japan522-13M</t>
  </si>
  <si>
    <t>Kenia</t>
  </si>
  <si>
    <t>Craft</t>
  </si>
  <si>
    <t>ARG173-12M</t>
  </si>
  <si>
    <t>Schafer</t>
  </si>
  <si>
    <t>Japan170-17W</t>
  </si>
  <si>
    <t>Irene</t>
  </si>
  <si>
    <t>MEX180-16W</t>
  </si>
  <si>
    <t>AUS589-8Mo</t>
  </si>
  <si>
    <t>Lana</t>
  </si>
  <si>
    <t>AUS82-1W</t>
  </si>
  <si>
    <t>Nieves</t>
  </si>
  <si>
    <t>Dew</t>
  </si>
  <si>
    <t>ENG285-5W</t>
  </si>
  <si>
    <t>Stacey</t>
  </si>
  <si>
    <t>AUS140-13Mo</t>
  </si>
  <si>
    <t>Kenneth</t>
  </si>
  <si>
    <t>Taylor</t>
  </si>
  <si>
    <t>MEX467-2W</t>
  </si>
  <si>
    <t>Diana</t>
  </si>
  <si>
    <t>MEX461-15W</t>
  </si>
  <si>
    <t>Shirl</t>
  </si>
  <si>
    <t>Whitt</t>
  </si>
  <si>
    <t>GER434-1Mo</t>
  </si>
  <si>
    <t>Roberts</t>
  </si>
  <si>
    <t>US151-15Mo</t>
  </si>
  <si>
    <t>US519-3Mo</t>
  </si>
  <si>
    <t>Remona</t>
  </si>
  <si>
    <t>Jarrett</t>
  </si>
  <si>
    <t>MEX374-10W</t>
  </si>
  <si>
    <t>Dede</t>
  </si>
  <si>
    <t>Potts</t>
  </si>
  <si>
    <t>GER381-4W</t>
  </si>
  <si>
    <t>Shelia</t>
  </si>
  <si>
    <t>Owens</t>
  </si>
  <si>
    <t>US348-14W</t>
  </si>
  <si>
    <t>Canada268-15M</t>
  </si>
  <si>
    <t>Carpenter</t>
  </si>
  <si>
    <t>MEX304-4M</t>
  </si>
  <si>
    <t>Roy</t>
  </si>
  <si>
    <t>MEX547-3W</t>
  </si>
  <si>
    <t>Amanda</t>
  </si>
  <si>
    <t>AUS178-5W</t>
  </si>
  <si>
    <t>Allison</t>
  </si>
  <si>
    <t>Canada96-16W</t>
  </si>
  <si>
    <t>Sabrina</t>
  </si>
  <si>
    <t>Japan365-13M</t>
  </si>
  <si>
    <t>Laurie</t>
  </si>
  <si>
    <t>Bowman</t>
  </si>
  <si>
    <t>ARG499-13M</t>
  </si>
  <si>
    <t>Nettie</t>
  </si>
  <si>
    <t>ARG148-2M</t>
  </si>
  <si>
    <t>Leroy</t>
  </si>
  <si>
    <t>Mclaughlin</t>
  </si>
  <si>
    <t>ARG239-17M</t>
  </si>
  <si>
    <t>Gloria</t>
  </si>
  <si>
    <t>Japan25-17Mo</t>
  </si>
  <si>
    <t>Kayla</t>
  </si>
  <si>
    <t>Ingram</t>
  </si>
  <si>
    <t>GER191-15W</t>
  </si>
  <si>
    <t>Kelvin</t>
  </si>
  <si>
    <t>Jordan</t>
  </si>
  <si>
    <t>ARG9-9Mo</t>
  </si>
  <si>
    <t>ENG334-7Mo</t>
  </si>
  <si>
    <t>Lopez</t>
  </si>
  <si>
    <t>ENG4-5M</t>
  </si>
  <si>
    <t>Myra</t>
  </si>
  <si>
    <t>MEX212-6Mo</t>
  </si>
  <si>
    <t>Kari</t>
  </si>
  <si>
    <t>Nichols</t>
  </si>
  <si>
    <t>AUS78-7W</t>
  </si>
  <si>
    <t>Lewis</t>
  </si>
  <si>
    <t>MEX402-10W</t>
  </si>
  <si>
    <t>Glenda</t>
  </si>
  <si>
    <t>MEX507-17W</t>
  </si>
  <si>
    <t>Opal</t>
  </si>
  <si>
    <t>Malone</t>
  </si>
  <si>
    <t>Japan59-11W</t>
  </si>
  <si>
    <t>Lillie</t>
  </si>
  <si>
    <t>May</t>
  </si>
  <si>
    <t>Canada128-14W</t>
  </si>
  <si>
    <t>Canada262-15Mo</t>
  </si>
  <si>
    <t>Jason</t>
  </si>
  <si>
    <t>Pearson</t>
  </si>
  <si>
    <t>AUS214-11Mo</t>
  </si>
  <si>
    <t>Toni</t>
  </si>
  <si>
    <t>Quinn</t>
  </si>
  <si>
    <t>GER479-10W</t>
  </si>
  <si>
    <t>Ross</t>
  </si>
  <si>
    <t>MEX422-1Mo</t>
  </si>
  <si>
    <t>Byron</t>
  </si>
  <si>
    <t>Canada296-7W</t>
  </si>
  <si>
    <t>Vargas</t>
  </si>
  <si>
    <t>Japan273-11M</t>
  </si>
  <si>
    <t>Denise</t>
  </si>
  <si>
    <t>US521-15Mo</t>
  </si>
  <si>
    <t>Jamie</t>
  </si>
  <si>
    <t>Welch</t>
  </si>
  <si>
    <t>Canada192-5M</t>
  </si>
  <si>
    <t>Arthur</t>
  </si>
  <si>
    <t>ARG325-17W</t>
  </si>
  <si>
    <t>James</t>
  </si>
  <si>
    <t>AUS352-6Mo</t>
  </si>
  <si>
    <t>Donald</t>
  </si>
  <si>
    <t>Japan256-2W</t>
  </si>
  <si>
    <t>Beatrice</t>
  </si>
  <si>
    <t>Alvarado</t>
  </si>
  <si>
    <t>ARG157-1W</t>
  </si>
  <si>
    <t>Emily</t>
  </si>
  <si>
    <t>Nash</t>
  </si>
  <si>
    <t>GER267-5W</t>
  </si>
  <si>
    <t>Joline</t>
  </si>
  <si>
    <t>Chin</t>
  </si>
  <si>
    <t>MEX47-2W</t>
  </si>
  <si>
    <t>Cleora</t>
  </si>
  <si>
    <t>Concepcion</t>
  </si>
  <si>
    <t>AUS437-7M</t>
  </si>
  <si>
    <t>Donetta</t>
  </si>
  <si>
    <t>Walls</t>
  </si>
  <si>
    <t>US149-2W</t>
  </si>
  <si>
    <t>Trent</t>
  </si>
  <si>
    <t>US185-16W</t>
  </si>
  <si>
    <t>Nicholas</t>
  </si>
  <si>
    <t>ENG288-14M</t>
  </si>
  <si>
    <t>Boyce</t>
  </si>
  <si>
    <t>Carlisle</t>
  </si>
  <si>
    <t>GER190-3W</t>
  </si>
  <si>
    <t>Jody</t>
  </si>
  <si>
    <t>MEX591-7Mo</t>
  </si>
  <si>
    <t>Lynne</t>
  </si>
  <si>
    <t>Japan172-13M</t>
  </si>
  <si>
    <t>Phyllis</t>
  </si>
  <si>
    <t>ARG234-17W</t>
  </si>
  <si>
    <t>US310-4Mo</t>
  </si>
  <si>
    <t>Caroline</t>
  </si>
  <si>
    <t>Sharp</t>
  </si>
  <si>
    <t>Canada575-11W</t>
  </si>
  <si>
    <t>Tijuana</t>
  </si>
  <si>
    <t>Leblanc</t>
  </si>
  <si>
    <t>ARG544-4W</t>
  </si>
  <si>
    <t>Jeanna</t>
  </si>
  <si>
    <t>Sawyers</t>
  </si>
  <si>
    <t>ARG124-13W</t>
  </si>
  <si>
    <t>Chauncey</t>
  </si>
  <si>
    <t>Bottoms</t>
  </si>
  <si>
    <t>MEX376-12W</t>
  </si>
  <si>
    <t>Kelley</t>
  </si>
  <si>
    <t>Palmer</t>
  </si>
  <si>
    <t>GER164-5Mo</t>
  </si>
  <si>
    <t>Moore</t>
  </si>
  <si>
    <t>AUS384-3W</t>
  </si>
  <si>
    <t>Potter</t>
  </si>
  <si>
    <t>US523-7M</t>
  </si>
  <si>
    <t>Kathryn</t>
  </si>
  <si>
    <t>ENG53-2M</t>
  </si>
  <si>
    <t>ENG560-15W</t>
  </si>
  <si>
    <t>Melissa</t>
  </si>
  <si>
    <t>US133-1M</t>
  </si>
  <si>
    <t>Genevive</t>
  </si>
  <si>
    <t>Mejia</t>
  </si>
  <si>
    <t>ENG232-11W</t>
  </si>
  <si>
    <t>ARG283-9M</t>
  </si>
  <si>
    <t>Patty</t>
  </si>
  <si>
    <t>Jimenez</t>
  </si>
  <si>
    <t>US228-16Mo</t>
  </si>
  <si>
    <t>Lindsey</t>
  </si>
  <si>
    <t>MEX577-15M</t>
  </si>
  <si>
    <t>US74-13M</t>
  </si>
  <si>
    <t>Kayleigh</t>
  </si>
  <si>
    <t>Goss</t>
  </si>
  <si>
    <t>Japan436-16W</t>
  </si>
  <si>
    <t>Priscilla</t>
  </si>
  <si>
    <t>Chavez</t>
  </si>
  <si>
    <t>ARG548-10W</t>
  </si>
  <si>
    <t>Mabel</t>
  </si>
  <si>
    <t>Schwartz</t>
  </si>
  <si>
    <t>ENG293-9Mo</t>
  </si>
  <si>
    <t>Zona</t>
  </si>
  <si>
    <t>Sykes</t>
  </si>
  <si>
    <t>ENG263-7W</t>
  </si>
  <si>
    <t>Angelena</t>
  </si>
  <si>
    <t>Loftis</t>
  </si>
  <si>
    <t>Japan364-3W</t>
  </si>
  <si>
    <t>Michael</t>
  </si>
  <si>
    <t>MEX72-12Mo</t>
  </si>
  <si>
    <t>Kurt</t>
  </si>
  <si>
    <t>Dennis</t>
  </si>
  <si>
    <t>Canada488-4M</t>
  </si>
  <si>
    <t>Mercedes</t>
  </si>
  <si>
    <t>Herrera</t>
  </si>
  <si>
    <t>Japan395-5W</t>
  </si>
  <si>
    <t>Adella</t>
  </si>
  <si>
    <t>Hargis</t>
  </si>
  <si>
    <t>Canada564-13W</t>
  </si>
  <si>
    <t>Valeri</t>
  </si>
  <si>
    <t>Kimball</t>
  </si>
  <si>
    <t>AUS29-3Mo</t>
  </si>
  <si>
    <t>Israel</t>
  </si>
  <si>
    <t>Canada510-6M</t>
  </si>
  <si>
    <t>Japan470-11M</t>
  </si>
  <si>
    <t>Maryanna</t>
  </si>
  <si>
    <t>Schroeder</t>
  </si>
  <si>
    <t>GER95-9W</t>
  </si>
  <si>
    <t>Elbert</t>
  </si>
  <si>
    <t>Paul</t>
  </si>
  <si>
    <t>ARG354-2M</t>
  </si>
  <si>
    <t>Issac</t>
  </si>
  <si>
    <t>Nagy</t>
  </si>
  <si>
    <t>AUS70-9Mo</t>
  </si>
  <si>
    <t>Trudie</t>
  </si>
  <si>
    <t>Waite</t>
  </si>
  <si>
    <t>Japan361-16Mo</t>
  </si>
  <si>
    <t>Jerrod</t>
  </si>
  <si>
    <t>Easter</t>
  </si>
  <si>
    <t>ARG266-13W</t>
  </si>
  <si>
    <t>ARG413-8M</t>
  </si>
  <si>
    <t>AUS245-10M</t>
  </si>
  <si>
    <t>Gerald</t>
  </si>
  <si>
    <t>Canada31-11Mo</t>
  </si>
  <si>
    <t>Terri</t>
  </si>
  <si>
    <t>Higgins</t>
  </si>
  <si>
    <t>Japan412-10Mo</t>
  </si>
  <si>
    <t>Mercy</t>
  </si>
  <si>
    <t>Solano</t>
  </si>
  <si>
    <t>Japan382-9Mo</t>
  </si>
  <si>
    <t>Devora</t>
  </si>
  <si>
    <t>Braxton</t>
  </si>
  <si>
    <t>Canada403-13W</t>
  </si>
  <si>
    <t>Lakiesha</t>
  </si>
  <si>
    <t>Lange</t>
  </si>
  <si>
    <t>MEX68-13M</t>
  </si>
  <si>
    <t>Kasandra</t>
  </si>
  <si>
    <t>Strange</t>
  </si>
  <si>
    <t>ARG414-12W</t>
  </si>
  <si>
    <t>Caitlin</t>
  </si>
  <si>
    <t>Utley</t>
  </si>
  <si>
    <t>ARG451-1Mo</t>
  </si>
  <si>
    <t>ENG51-6W</t>
  </si>
  <si>
    <t>Catalano</t>
  </si>
  <si>
    <t>Japan10-13Mo</t>
  </si>
  <si>
    <t>Anna</t>
  </si>
  <si>
    <t>ARG536-17M</t>
  </si>
  <si>
    <t>Kamala</t>
  </si>
  <si>
    <t>Hallman</t>
  </si>
  <si>
    <t>US204-3M</t>
  </si>
  <si>
    <t>Janett</t>
  </si>
  <si>
    <t>Watt</t>
  </si>
  <si>
    <t>MEX105-6W</t>
  </si>
  <si>
    <t>Abel</t>
  </si>
  <si>
    <t>Erickson</t>
  </si>
  <si>
    <t>AUS154-2W</t>
  </si>
  <si>
    <t>Augusta</t>
  </si>
  <si>
    <t>Hiatt</t>
  </si>
  <si>
    <t>ARG131-11Mo</t>
  </si>
  <si>
    <t>Barker</t>
  </si>
  <si>
    <t>AUS502-1W</t>
  </si>
  <si>
    <t>Stella</t>
  </si>
  <si>
    <t>Elliott</t>
  </si>
  <si>
    <t>ENG16-9W</t>
  </si>
  <si>
    <t>Keila</t>
  </si>
  <si>
    <t>Seifert</t>
  </si>
  <si>
    <t>GER179-11Mo</t>
  </si>
  <si>
    <t>Danita</t>
  </si>
  <si>
    <t>Jude</t>
  </si>
  <si>
    <t>AUS159-14M</t>
  </si>
  <si>
    <t>Krystyna</t>
  </si>
  <si>
    <t>Ferry</t>
  </si>
  <si>
    <t>MEX573-8W</t>
  </si>
  <si>
    <t>Arletha</t>
  </si>
  <si>
    <t>Smothers</t>
  </si>
  <si>
    <t>GER554-4Mo</t>
  </si>
  <si>
    <t>Canada166-4Mo</t>
  </si>
  <si>
    <t>ARG525-15Mo</t>
  </si>
  <si>
    <t>Annett</t>
  </si>
  <si>
    <t>Braun</t>
  </si>
  <si>
    <t>US33-5W</t>
  </si>
  <si>
    <t>Leonard</t>
  </si>
  <si>
    <t>MEX236-5W</t>
  </si>
  <si>
    <t>AUS464-10W</t>
  </si>
  <si>
    <t>Bryan</t>
  </si>
  <si>
    <t>US359-12W</t>
  </si>
  <si>
    <t>Ricky</t>
  </si>
  <si>
    <t>Cohen</t>
  </si>
  <si>
    <t>AUS167-2W</t>
  </si>
  <si>
    <t>Johnna</t>
  </si>
  <si>
    <t>Silver</t>
  </si>
  <si>
    <t>ARG18-3W</t>
  </si>
  <si>
    <t>Jo</t>
  </si>
  <si>
    <t>AUS94-6Mo</t>
  </si>
  <si>
    <t>US308-16M</t>
  </si>
  <si>
    <t>Tyree</t>
  </si>
  <si>
    <t>Dubose</t>
  </si>
  <si>
    <t>ENG360-4M</t>
  </si>
  <si>
    <t>Cythia</t>
  </si>
  <si>
    <t>MEX8-3M</t>
  </si>
  <si>
    <t>ARG150-16Mo</t>
  </si>
  <si>
    <t>Dominick</t>
  </si>
  <si>
    <t>Holloway</t>
  </si>
  <si>
    <t>AUS168-3W</t>
  </si>
  <si>
    <t>Jack</t>
  </si>
  <si>
    <t>US509-12W</t>
  </si>
  <si>
    <t>Yuette</t>
  </si>
  <si>
    <t>Reddick</t>
  </si>
  <si>
    <t>MEX535-11Mo</t>
  </si>
  <si>
    <t>Benny</t>
  </si>
  <si>
    <t>Marsh</t>
  </si>
  <si>
    <t>US119-2W</t>
  </si>
  <si>
    <t>Canada552-9Mo</t>
  </si>
  <si>
    <t>Canada103-2M</t>
  </si>
  <si>
    <t>Rice</t>
  </si>
  <si>
    <t>GER302-5M</t>
  </si>
  <si>
    <t>Liza</t>
  </si>
  <si>
    <t>Benefield</t>
  </si>
  <si>
    <t>ARG516-16W</t>
  </si>
  <si>
    <t>Jeannie</t>
  </si>
  <si>
    <t>ARG439-10W</t>
  </si>
  <si>
    <t>Eugene</t>
  </si>
  <si>
    <t>Japan495-8M</t>
  </si>
  <si>
    <t>Shona</t>
  </si>
  <si>
    <t>Tillery</t>
  </si>
  <si>
    <t>ENG187-14Mo</t>
  </si>
  <si>
    <t>Baldwin</t>
  </si>
  <si>
    <t>Canada528-4M</t>
  </si>
  <si>
    <t>Jesse</t>
  </si>
  <si>
    <t>ARG408-8Mo</t>
  </si>
  <si>
    <t>Burke</t>
  </si>
  <si>
    <t>ENG333-16Mo</t>
  </si>
  <si>
    <t>Tameika</t>
  </si>
  <si>
    <t>Nance</t>
  </si>
  <si>
    <t>Canada127-9M</t>
  </si>
  <si>
    <t>Donette</t>
  </si>
  <si>
    <t>Mccarty</t>
  </si>
  <si>
    <t>Japan328-8Mo</t>
  </si>
  <si>
    <t>Porsche</t>
  </si>
  <si>
    <t>Greiner</t>
  </si>
  <si>
    <t>ARG498-8M</t>
  </si>
  <si>
    <t>Carol</t>
  </si>
  <si>
    <t>GER6-1M</t>
  </si>
  <si>
    <t>Ann</t>
  </si>
  <si>
    <t>Japan199-10Mo</t>
  </si>
  <si>
    <t>Ortiz</t>
  </si>
  <si>
    <t>ARG493-6Mo</t>
  </si>
  <si>
    <t>ENG303-14Mo</t>
  </si>
  <si>
    <t>Misti</t>
  </si>
  <si>
    <t>Humphrey</t>
  </si>
  <si>
    <t>ARG494-1Mo</t>
  </si>
  <si>
    <t>Gary</t>
  </si>
  <si>
    <t>AUS453-7Mo</t>
  </si>
  <si>
    <t>Timothy</t>
  </si>
  <si>
    <t>Bolt</t>
  </si>
  <si>
    <t>GER594-5M</t>
  </si>
  <si>
    <t>Mitsue</t>
  </si>
  <si>
    <t>Klinger</t>
  </si>
  <si>
    <t>US447-4W</t>
  </si>
  <si>
    <t>Olimpia</t>
  </si>
  <si>
    <t>Rapp</t>
  </si>
  <si>
    <t>AUS492-9W</t>
  </si>
  <si>
    <t>Isaias</t>
  </si>
  <si>
    <t>Lehman</t>
  </si>
  <si>
    <t>ENG171-7Mo</t>
  </si>
  <si>
    <t>Pittman</t>
  </si>
  <si>
    <t>Japan571-16M</t>
  </si>
  <si>
    <t>Terence</t>
  </si>
  <si>
    <t>Japan12-6Mo</t>
  </si>
  <si>
    <t>Canada64-13Mo</t>
  </si>
  <si>
    <t>Tammy</t>
  </si>
  <si>
    <t>AUS405-16Mo</t>
  </si>
  <si>
    <t>Japan163-12W</t>
  </si>
  <si>
    <t>Gregory</t>
  </si>
  <si>
    <t>US117-11M</t>
  </si>
  <si>
    <t>US341-16Mo</t>
  </si>
  <si>
    <t>Boone</t>
  </si>
  <si>
    <t>ARG209-6Mo</t>
  </si>
  <si>
    <t>Kathe</t>
  </si>
  <si>
    <t>Meier</t>
  </si>
  <si>
    <t>GER378-11Mo</t>
  </si>
  <si>
    <t>Pasquale</t>
  </si>
  <si>
    <t>Dortch</t>
  </si>
  <si>
    <t>GER258-7M</t>
  </si>
  <si>
    <t>Raymond</t>
  </si>
  <si>
    <t>Canada501-12W</t>
  </si>
  <si>
    <t>MEX586-10W</t>
  </si>
  <si>
    <t>ENG418-15Mo</t>
  </si>
  <si>
    <t>Darrell</t>
  </si>
  <si>
    <t>Obrien</t>
  </si>
  <si>
    <t>MEX294-5Mo</t>
  </si>
  <si>
    <t>Beverly</t>
  </si>
  <si>
    <t>Adams</t>
  </si>
  <si>
    <t>Japan227-4M</t>
  </si>
  <si>
    <t>MEX184-11W</t>
  </si>
  <si>
    <t>Salome</t>
  </si>
  <si>
    <t>Dolan</t>
  </si>
  <si>
    <t>Japan81-12W</t>
  </si>
  <si>
    <t>ENG539-15Mo</t>
  </si>
  <si>
    <t>Vania</t>
  </si>
  <si>
    <t>Nadeau</t>
  </si>
  <si>
    <t>Japan233-14Mo</t>
  </si>
  <si>
    <t>Samantha</t>
  </si>
  <si>
    <t>MEX358-6W</t>
  </si>
  <si>
    <t>Rolando</t>
  </si>
  <si>
    <t>Hanson</t>
  </si>
  <si>
    <t>MEX221-16W</t>
  </si>
  <si>
    <t>Sadie</t>
  </si>
  <si>
    <t>Reyes</t>
  </si>
  <si>
    <t>ENG475-17W</t>
  </si>
  <si>
    <t>Tricia</t>
  </si>
  <si>
    <t>Barrett</t>
  </si>
  <si>
    <t>Canada97-7W</t>
  </si>
  <si>
    <t>Joan</t>
  </si>
  <si>
    <t>Japan196-2Mo</t>
  </si>
  <si>
    <t>Lloyd</t>
  </si>
  <si>
    <t>Christensen</t>
  </si>
  <si>
    <t>GER230-10M</t>
  </si>
  <si>
    <t>Carmelia</t>
  </si>
  <si>
    <t>Aguilera</t>
  </si>
  <si>
    <t>Canada459-11Mo</t>
  </si>
  <si>
    <t>Barbara</t>
  </si>
  <si>
    <t>US431-3W</t>
  </si>
  <si>
    <t>Japan282-11W</t>
  </si>
  <si>
    <t>Aleta</t>
  </si>
  <si>
    <t>Foss</t>
  </si>
  <si>
    <t>Japan326-11M</t>
  </si>
  <si>
    <t>Mary</t>
  </si>
  <si>
    <t>Solution using formulas</t>
  </si>
  <si>
    <t>Location</t>
  </si>
  <si>
    <t>EmpID</t>
  </si>
  <si>
    <t>Plant ID</t>
  </si>
  <si>
    <t>Pay Period</t>
  </si>
  <si>
    <t>LocationPlantID</t>
  </si>
  <si>
    <t>Japan</t>
  </si>
  <si>
    <t>AUS</t>
  </si>
  <si>
    <t>GER</t>
  </si>
  <si>
    <t>Solution using FlashFill, TYPE MANUALLY FOR THE FIRST 2 SAMPLES , CTRL+E</t>
  </si>
  <si>
    <t>ARG</t>
  </si>
  <si>
    <t>Canada</t>
  </si>
  <si>
    <t>ENG</t>
  </si>
  <si>
    <t>US</t>
  </si>
  <si>
    <t>MEX</t>
  </si>
  <si>
    <t>Mo</t>
  </si>
  <si>
    <t>M</t>
  </si>
  <si>
    <t>W</t>
  </si>
  <si>
    <t>Japan-3</t>
  </si>
  <si>
    <t>AUS-2</t>
  </si>
  <si>
    <t>GER-2</t>
  </si>
  <si>
    <t>GER-1</t>
  </si>
  <si>
    <t>Japan-4</t>
  </si>
  <si>
    <t>Can-3</t>
  </si>
  <si>
    <t>AUS-5</t>
  </si>
  <si>
    <t>GER-6</t>
  </si>
  <si>
    <t>Japan-2</t>
  </si>
  <si>
    <t>ARG-7</t>
  </si>
  <si>
    <t>AUS-8</t>
  </si>
  <si>
    <t>GER-9</t>
  </si>
  <si>
    <t>GER-10</t>
  </si>
  <si>
    <t>Japan-5</t>
  </si>
  <si>
    <t>ENG-9</t>
  </si>
  <si>
    <t>AUS-7</t>
  </si>
  <si>
    <t>Japan-11</t>
  </si>
  <si>
    <t>ENG-12</t>
  </si>
  <si>
    <t>AUS-10</t>
  </si>
  <si>
    <t>GER-3</t>
  </si>
  <si>
    <t>GER-13</t>
  </si>
  <si>
    <t>Japan-10</t>
  </si>
  <si>
    <t>ARG-14</t>
  </si>
  <si>
    <t>ENG-2</t>
  </si>
  <si>
    <t>AUS-9</t>
  </si>
  <si>
    <t>GER-15</t>
  </si>
  <si>
    <t>Japan-9</t>
  </si>
  <si>
    <t>GER-14</t>
  </si>
  <si>
    <t>Japan-6</t>
  </si>
  <si>
    <t>MEX-7</t>
  </si>
  <si>
    <t>AUS-1</t>
  </si>
  <si>
    <t>GER-4</t>
  </si>
  <si>
    <t>Japan-14</t>
  </si>
  <si>
    <t>Jap-15</t>
  </si>
  <si>
    <t>GER-12</t>
  </si>
  <si>
    <t>Japan-15</t>
  </si>
  <si>
    <t>Jap-14</t>
  </si>
  <si>
    <t>GER-16</t>
  </si>
  <si>
    <t>Japan-13</t>
  </si>
  <si>
    <t>GER-17</t>
  </si>
  <si>
    <t>AUS-4</t>
  </si>
  <si>
    <t>GER-8</t>
  </si>
  <si>
    <t>US3-14</t>
  </si>
  <si>
    <t>AUS-3</t>
  </si>
  <si>
    <t>GER-5</t>
  </si>
  <si>
    <t>Japan-16</t>
  </si>
  <si>
    <t>AUS-17</t>
  </si>
  <si>
    <t>GER-11</t>
  </si>
  <si>
    <t>ARG-11</t>
  </si>
  <si>
    <t>GER-7</t>
  </si>
  <si>
    <t>Japan-1</t>
  </si>
  <si>
    <t>MEX-8</t>
  </si>
  <si>
    <t>Jap-17</t>
  </si>
  <si>
    <t>Japan-17</t>
  </si>
  <si>
    <t>AUS-11</t>
  </si>
  <si>
    <t>Can-10</t>
  </si>
  <si>
    <t>Can-8</t>
  </si>
  <si>
    <t>US2-10</t>
  </si>
  <si>
    <t>US1-4</t>
  </si>
  <si>
    <t>Can-6</t>
  </si>
  <si>
    <t>Japan-7</t>
  </si>
  <si>
    <t>Jap-10</t>
  </si>
  <si>
    <t>AUS-16</t>
  </si>
  <si>
    <t>US3-15</t>
  </si>
  <si>
    <t>ENG-7</t>
  </si>
  <si>
    <t>US4-2</t>
  </si>
  <si>
    <t>US1-11</t>
  </si>
  <si>
    <t>AUS-14</t>
  </si>
  <si>
    <t>ARG-6</t>
  </si>
  <si>
    <t>Can-5</t>
  </si>
  <si>
    <t>US4-1</t>
  </si>
  <si>
    <t>ARG-10</t>
  </si>
  <si>
    <t>AUS-13</t>
  </si>
  <si>
    <t>MEX-4</t>
  </si>
  <si>
    <t>US8-6</t>
  </si>
  <si>
    <t>AUS-15</t>
  </si>
  <si>
    <t>AUS-6</t>
  </si>
  <si>
    <t>Can-9</t>
  </si>
  <si>
    <t>Jap-6</t>
  </si>
  <si>
    <t>Japan-8</t>
  </si>
  <si>
    <t>Jap-9</t>
  </si>
  <si>
    <t>Japan-12</t>
  </si>
  <si>
    <t>US4-7</t>
  </si>
  <si>
    <t>MEX-15</t>
  </si>
  <si>
    <t>Can-2</t>
  </si>
  <si>
    <t>US4-4</t>
  </si>
  <si>
    <t>MEX-10</t>
  </si>
  <si>
    <t>US1-5</t>
  </si>
  <si>
    <t>ENG-14</t>
  </si>
  <si>
    <t>Jap-5</t>
  </si>
  <si>
    <t>ARG-17</t>
  </si>
  <si>
    <t>MEX-11</t>
  </si>
  <si>
    <t>US3-16</t>
  </si>
  <si>
    <t>US5-1</t>
  </si>
  <si>
    <t>AUS-12</t>
  </si>
  <si>
    <t>ENG-16</t>
  </si>
  <si>
    <t>Jap-7</t>
  </si>
  <si>
    <t>ENG-4</t>
  </si>
  <si>
    <t>ARG-15</t>
  </si>
  <si>
    <t>ENG-17</t>
  </si>
  <si>
    <t>MEX-12</t>
  </si>
  <si>
    <t>Can-14</t>
  </si>
  <si>
    <t>ARG-12</t>
  </si>
  <si>
    <t>ENG-5</t>
  </si>
  <si>
    <t>US1-15</t>
  </si>
  <si>
    <t>Can-15</t>
  </si>
  <si>
    <t>Jap-13</t>
  </si>
  <si>
    <t>Jap-11</t>
  </si>
  <si>
    <t>Jap-2</t>
  </si>
  <si>
    <t>US1-2</t>
  </si>
  <si>
    <t>ARG-13</t>
  </si>
  <si>
    <t>US2-16</t>
  </si>
  <si>
    <t>ARG-8</t>
  </si>
  <si>
    <t>Can-13</t>
  </si>
  <si>
    <t>MEX-5</t>
  </si>
  <si>
    <t>Jap-8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</si>
</sst>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2" xfId="0" applyFont="1" applyBorder="1" applyAlignment="1">
      <alignment horizontal="left"/>
    </xf>
    <xf numFmtId="0" fontId="1" fillId="0" borderId="2" xfId="0" applyFont="1" applyBorder="1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93E4D99-8E39-4E04-87D2-A9A94CC6C9D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99"/>
  <sheetViews>
    <sheetView tabSelected="1" workbookViewId="0">
      <selection activeCell="F27" sqref="F27"/>
    </sheetView>
  </sheetViews>
  <sheetFormatPr defaultRowHeight="14.4" x14ac:dyDescent="0.3"/>
  <cols>
    <col min="1" max="1" width="15.88671875" bestFit="1" customWidth="1"/>
    <col min="2" max="3" width="9.44140625" bestFit="1" customWidth="1"/>
    <col min="4" max="4" width="8.109375" bestFit="1" customWidth="1"/>
    <col min="5" max="5" width="6.109375" bestFit="1" customWidth="1"/>
    <col min="6" max="6" width="12.109375" customWidth="1"/>
    <col min="7" max="7" width="9.44140625" bestFit="1" customWidth="1"/>
    <col min="8" max="8" width="13.5546875" bestFit="1" customWidth="1"/>
    <col min="9" max="9" width="13.5546875" customWidth="1"/>
    <col min="10" max="10" width="17.77734375" customWidth="1"/>
  </cols>
  <sheetData>
    <row r="1" spans="1:15" x14ac:dyDescent="0.3">
      <c r="D1" s="1" t="s">
        <v>1515</v>
      </c>
      <c r="E1" s="1"/>
      <c r="F1" s="1"/>
      <c r="G1" s="1"/>
      <c r="H1" s="1"/>
      <c r="I1" s="4"/>
      <c r="K1" s="1" t="s">
        <v>1524</v>
      </c>
      <c r="L1" s="1"/>
      <c r="M1" s="1"/>
      <c r="N1" s="1"/>
      <c r="O1" s="1"/>
    </row>
    <row r="2" spans="1:15" x14ac:dyDescent="0.3">
      <c r="A2" s="1" t="s">
        <v>0</v>
      </c>
      <c r="B2" s="1" t="s">
        <v>1</v>
      </c>
      <c r="C2" s="1" t="s">
        <v>2</v>
      </c>
      <c r="D2" s="3" t="s">
        <v>1516</v>
      </c>
      <c r="E2" s="2" t="s">
        <v>1517</v>
      </c>
      <c r="F2" s="3" t="s">
        <v>1518</v>
      </c>
      <c r="G2" s="3" t="s">
        <v>1519</v>
      </c>
      <c r="H2" s="3" t="s">
        <v>1520</v>
      </c>
      <c r="I2" s="1"/>
      <c r="J2" s="1" t="s">
        <v>0</v>
      </c>
      <c r="K2" s="3" t="s">
        <v>1516</v>
      </c>
      <c r="L2" s="2" t="s">
        <v>1517</v>
      </c>
      <c r="M2" s="3" t="s">
        <v>1518</v>
      </c>
      <c r="N2" s="3" t="s">
        <v>1519</v>
      </c>
      <c r="O2" s="3" t="s">
        <v>1520</v>
      </c>
    </row>
    <row r="3" spans="1:15" x14ac:dyDescent="0.3">
      <c r="A3" t="str">
        <f>'Case 3 data'!A2</f>
        <v>Japan177-3Mo</v>
      </c>
      <c r="B3" t="str">
        <f>'Case 3 data'!B2</f>
        <v>Carl</v>
      </c>
      <c r="C3" t="str">
        <f>'Case 3 data'!C2</f>
        <v>Rodriguez</v>
      </c>
      <c r="D3" t="str" cm="1">
        <f t="array" ref="D3">LEFT($A3,MIN(FIND({0;1;2;3;4;5;6;7;8;9},$A3&amp;"0123456789"))-1)</f>
        <v>Japan</v>
      </c>
      <c r="E3" t="str" cm="1">
        <f t="array" ref="E3">MID($A3,MIN(FIND({0;1;2;3;4;5;6;7;8;9},$A3&amp;"0123456789")),FIND("-",$A3)-MIN(FIND({0;1;2;3;4;5;6;7;8;9},$A3&amp;"0123456789")))</f>
        <v>177</v>
      </c>
      <c r="F3" t="str">
        <f>MID($A3,FIND("-",$A3)+1,LEN($A3)-FIND("-",$A3)-LEN($G3))</f>
        <v>3</v>
      </c>
      <c r="G3" t="str">
        <f>IF(RIGHT($A3,2)="Mo","Mo",RIGHT($A3,1))</f>
        <v>Mo</v>
      </c>
      <c r="H3" t="str">
        <f>D3&amp;"-"&amp;F3</f>
        <v>Japan-3</v>
      </c>
      <c r="J3" t="s">
        <v>3</v>
      </c>
      <c r="K3" t="s">
        <v>1521</v>
      </c>
      <c r="L3">
        <v>177</v>
      </c>
      <c r="M3">
        <v>3</v>
      </c>
      <c r="N3" t="s">
        <v>1530</v>
      </c>
      <c r="O3" t="s">
        <v>1533</v>
      </c>
    </row>
    <row r="4" spans="1:15" x14ac:dyDescent="0.3">
      <c r="A4" t="str">
        <f>'Case 3 data'!A3</f>
        <v>AUS551-2Mo</v>
      </c>
      <c r="B4" t="str">
        <f>'Case 3 data'!B3</f>
        <v>Anne</v>
      </c>
      <c r="C4" t="str">
        <f>'Case 3 data'!C3</f>
        <v>Wright</v>
      </c>
      <c r="D4" t="str" cm="1">
        <f t="array" ref="D4">LEFT($A4,MIN(FIND({0;1;2;3;4;5;6;7;8;9},$A4&amp;"0123456789"))-1)</f>
        <v>AUS</v>
      </c>
      <c r="E4" t="str" cm="1">
        <f t="array" ref="E4">MID($A4,MIN(FIND({0;1;2;3;4;5;6;7;8;9},$A4&amp;"0123456789")),FIND("-",$A4)-MIN(FIND({0;1;2;3;4;5;6;7;8;9},$A4&amp;"0123456789")))</f>
        <v>551</v>
      </c>
      <c r="F4" t="str">
        <f t="shared" ref="F4:F67" si="0">MID($A4,FIND("-",$A4)+1,LEN($A4)-FIND("-",$A4)-LEN($G4))</f>
        <v>2</v>
      </c>
      <c r="G4" t="str">
        <f t="shared" ref="G4:G67" si="1">IF(RIGHT($A4,2)="Mo","Mo",RIGHT($A4,1))</f>
        <v>Mo</v>
      </c>
      <c r="H4" t="str">
        <f t="shared" ref="H4:H67" si="2">D4&amp;"-"&amp;F4</f>
        <v>AUS-2</v>
      </c>
      <c r="J4" t="s">
        <v>6</v>
      </c>
      <c r="K4" t="str">
        <f>LEFT(A4,3)</f>
        <v>AUS</v>
      </c>
      <c r="L4">
        <v>551</v>
      </c>
      <c r="M4">
        <v>2</v>
      </c>
      <c r="N4" t="s">
        <v>1530</v>
      </c>
      <c r="O4" t="s">
        <v>1534</v>
      </c>
    </row>
    <row r="5" spans="1:15" x14ac:dyDescent="0.3">
      <c r="A5" t="str">
        <f>'Case 3 data'!A4</f>
        <v>AUS316-2M</v>
      </c>
      <c r="B5" t="str">
        <f>'Case 3 data'!B4</f>
        <v>Patrick</v>
      </c>
      <c r="C5" t="str">
        <f>'Case 3 data'!C4</f>
        <v>Rivera</v>
      </c>
      <c r="D5" t="str" cm="1">
        <f t="array" ref="D5">LEFT($A5,MIN(FIND({0;1;2;3;4;5;6;7;8;9},$A5&amp;"0123456789"))-1)</f>
        <v>AUS</v>
      </c>
      <c r="E5" t="str" cm="1">
        <f t="array" ref="E5">MID($A5,MIN(FIND({0;1;2;3;4;5;6;7;8;9},$A5&amp;"0123456789")),FIND("-",$A5)-MIN(FIND({0;1;2;3;4;5;6;7;8;9},$A5&amp;"0123456789")))</f>
        <v>316</v>
      </c>
      <c r="F5" t="str">
        <f t="shared" si="0"/>
        <v>2</v>
      </c>
      <c r="G5" t="str">
        <f t="shared" si="1"/>
        <v>M</v>
      </c>
      <c r="H5" t="str">
        <f t="shared" si="2"/>
        <v>AUS-2</v>
      </c>
      <c r="J5" t="s">
        <v>9</v>
      </c>
      <c r="K5" t="s">
        <v>1522</v>
      </c>
      <c r="L5">
        <v>316</v>
      </c>
      <c r="M5">
        <v>2</v>
      </c>
      <c r="N5" t="s">
        <v>1531</v>
      </c>
      <c r="O5" t="s">
        <v>1534</v>
      </c>
    </row>
    <row r="6" spans="1:15" x14ac:dyDescent="0.3">
      <c r="A6" t="str">
        <f>'Case 3 data'!A5</f>
        <v>GER160-2W</v>
      </c>
      <c r="B6" t="str">
        <f>'Case 3 data'!B5</f>
        <v>Ruby</v>
      </c>
      <c r="C6" t="str">
        <f>'Case 3 data'!C5</f>
        <v>Walker</v>
      </c>
      <c r="D6" t="str" cm="1">
        <f t="array" ref="D6">LEFT($A6,MIN(FIND({0;1;2;3;4;5;6;7;8;9},$A6&amp;"0123456789"))-1)</f>
        <v>GER</v>
      </c>
      <c r="E6" t="str" cm="1">
        <f t="array" ref="E6">MID($A6,MIN(FIND({0;1;2;3;4;5;6;7;8;9},$A6&amp;"0123456789")),FIND("-",$A6)-MIN(FIND({0;1;2;3;4;5;6;7;8;9},$A6&amp;"0123456789")))</f>
        <v>160</v>
      </c>
      <c r="F6" t="str">
        <f t="shared" si="0"/>
        <v>2</v>
      </c>
      <c r="G6" t="str">
        <f t="shared" si="1"/>
        <v>W</v>
      </c>
      <c r="H6" t="str">
        <f t="shared" si="2"/>
        <v>GER-2</v>
      </c>
      <c r="J6" t="s">
        <v>12</v>
      </c>
      <c r="K6" t="s">
        <v>1523</v>
      </c>
      <c r="L6">
        <v>160</v>
      </c>
      <c r="M6">
        <v>2</v>
      </c>
      <c r="N6" t="s">
        <v>1532</v>
      </c>
      <c r="O6" t="s">
        <v>1535</v>
      </c>
    </row>
    <row r="7" spans="1:15" x14ac:dyDescent="0.3">
      <c r="A7" t="str">
        <f>'Case 3 data'!A6</f>
        <v>GER265-1M</v>
      </c>
      <c r="B7" t="str">
        <f>'Case 3 data'!B6</f>
        <v>Teresita</v>
      </c>
      <c r="C7" t="str">
        <f>'Case 3 data'!C6</f>
        <v>Guillen</v>
      </c>
      <c r="D7" t="str" cm="1">
        <f t="array" ref="D7">LEFT($A7,MIN(FIND({0;1;2;3;4;5;6;7;8;9},$A7&amp;"0123456789"))-1)</f>
        <v>GER</v>
      </c>
      <c r="E7" t="str" cm="1">
        <f t="array" ref="E7">MID($A7,MIN(FIND({0;1;2;3;4;5;6;7;8;9},$A7&amp;"0123456789")),FIND("-",$A7)-MIN(FIND({0;1;2;3;4;5;6;7;8;9},$A7&amp;"0123456789")))</f>
        <v>265</v>
      </c>
      <c r="F7" t="str">
        <f t="shared" si="0"/>
        <v>1</v>
      </c>
      <c r="G7" t="str">
        <f t="shared" si="1"/>
        <v>M</v>
      </c>
      <c r="H7" t="str">
        <f t="shared" si="2"/>
        <v>GER-1</v>
      </c>
      <c r="J7" t="s">
        <v>15</v>
      </c>
      <c r="K7" t="s">
        <v>1523</v>
      </c>
      <c r="L7">
        <v>265</v>
      </c>
      <c r="M7">
        <v>1</v>
      </c>
      <c r="N7" t="s">
        <v>1531</v>
      </c>
      <c r="O7" t="s">
        <v>1536</v>
      </c>
    </row>
    <row r="8" spans="1:15" x14ac:dyDescent="0.3">
      <c r="A8" t="str">
        <f>'Case 3 data'!A7</f>
        <v>ARG363-4Mo</v>
      </c>
      <c r="B8" t="str">
        <f>'Case 3 data'!B7</f>
        <v>Earl</v>
      </c>
      <c r="C8" t="str">
        <f>'Case 3 data'!C7</f>
        <v>Morgan</v>
      </c>
      <c r="D8" t="str" cm="1">
        <f t="array" ref="D8">LEFT($A8,MIN(FIND({0;1;2;3;4;5;6;7;8;9},$A8&amp;"0123456789"))-1)</f>
        <v>ARG</v>
      </c>
      <c r="E8" t="str" cm="1">
        <f t="array" ref="E8">MID($A8,MIN(FIND({0;1;2;3;4;5;6;7;8;9},$A8&amp;"0123456789")),FIND("-",$A8)-MIN(FIND({0;1;2;3;4;5;6;7;8;9},$A8&amp;"0123456789")))</f>
        <v>363</v>
      </c>
      <c r="F8" t="str">
        <f t="shared" si="0"/>
        <v>4</v>
      </c>
      <c r="G8" t="str">
        <f t="shared" si="1"/>
        <v>Mo</v>
      </c>
      <c r="H8" t="str">
        <f t="shared" si="2"/>
        <v>ARG-4</v>
      </c>
      <c r="J8" t="s">
        <v>18</v>
      </c>
      <c r="K8" t="s">
        <v>1521</v>
      </c>
      <c r="L8">
        <v>363</v>
      </c>
      <c r="M8">
        <v>4</v>
      </c>
      <c r="N8" t="s">
        <v>1530</v>
      </c>
      <c r="O8" t="s">
        <v>1537</v>
      </c>
    </row>
    <row r="9" spans="1:15" x14ac:dyDescent="0.3">
      <c r="A9" t="str">
        <f>'Case 3 data'!A8</f>
        <v>Canada351-3W</v>
      </c>
      <c r="B9" t="str">
        <f>'Case 3 data'!B8</f>
        <v>Joella</v>
      </c>
      <c r="C9" t="str">
        <f>'Case 3 data'!C8</f>
        <v>Causey</v>
      </c>
      <c r="D9" t="str" cm="1">
        <f t="array" ref="D9">LEFT($A9,MIN(FIND({0;1;2;3;4;5;6;7;8;9},$A9&amp;"0123456789"))-1)</f>
        <v>Canada</v>
      </c>
      <c r="E9" t="str" cm="1">
        <f t="array" ref="E9">MID($A9,MIN(FIND({0;1;2;3;4;5;6;7;8;9},$A9&amp;"0123456789")),FIND("-",$A9)-MIN(FIND({0;1;2;3;4;5;6;7;8;9},$A9&amp;"0123456789")))</f>
        <v>351</v>
      </c>
      <c r="F9" t="str">
        <f t="shared" si="0"/>
        <v>3</v>
      </c>
      <c r="G9" t="str">
        <f t="shared" si="1"/>
        <v>W</v>
      </c>
      <c r="H9" t="str">
        <f t="shared" si="2"/>
        <v>Canada-3</v>
      </c>
      <c r="J9" t="s">
        <v>21</v>
      </c>
      <c r="K9" t="str">
        <f t="shared" ref="K9:K72" si="3">LEFT(A9,3)</f>
        <v>Can</v>
      </c>
      <c r="L9">
        <v>351</v>
      </c>
      <c r="M9">
        <v>3</v>
      </c>
      <c r="N9" t="s">
        <v>1532</v>
      </c>
      <c r="O9" t="s">
        <v>1538</v>
      </c>
    </row>
    <row r="10" spans="1:15" x14ac:dyDescent="0.3">
      <c r="A10" t="str">
        <f>'Case 3 data'!A9</f>
        <v>Japan195-5W</v>
      </c>
      <c r="B10" t="str">
        <f>'Case 3 data'!B9</f>
        <v>Gregg</v>
      </c>
      <c r="C10" t="str">
        <f>'Case 3 data'!C9</f>
        <v>Kelly</v>
      </c>
      <c r="D10" t="str" cm="1">
        <f t="array" ref="D10">LEFT($A10,MIN(FIND({0;1;2;3;4;5;6;7;8;9},$A10&amp;"0123456789"))-1)</f>
        <v>Japan</v>
      </c>
      <c r="E10" t="str" cm="1">
        <f t="array" ref="E10">MID($A10,MIN(FIND({0;1;2;3;4;5;6;7;8;9},$A10&amp;"0123456789")),FIND("-",$A10)-MIN(FIND({0;1;2;3;4;5;6;7;8;9},$A10&amp;"0123456789")))</f>
        <v>195</v>
      </c>
      <c r="F10" t="str">
        <f t="shared" si="0"/>
        <v>5</v>
      </c>
      <c r="G10" t="str">
        <f t="shared" si="1"/>
        <v>W</v>
      </c>
      <c r="H10" t="str">
        <f t="shared" si="2"/>
        <v>Japan-5</v>
      </c>
      <c r="J10" t="s">
        <v>24</v>
      </c>
      <c r="K10" t="s">
        <v>1522</v>
      </c>
      <c r="L10">
        <v>195</v>
      </c>
      <c r="M10">
        <v>5</v>
      </c>
      <c r="N10" t="s">
        <v>1532</v>
      </c>
      <c r="O10" t="s">
        <v>1539</v>
      </c>
    </row>
    <row r="11" spans="1:15" x14ac:dyDescent="0.3">
      <c r="A11" t="str">
        <f>'Case 3 data'!A10</f>
        <v>ARG529-1W</v>
      </c>
      <c r="B11" t="str">
        <f>'Case 3 data'!B10</f>
        <v>William</v>
      </c>
      <c r="C11" t="str">
        <f>'Case 3 data'!C10</f>
        <v>Reed</v>
      </c>
      <c r="D11" t="str" cm="1">
        <f t="array" ref="D11">LEFT($A11,MIN(FIND({0;1;2;3;4;5;6;7;8;9},$A11&amp;"0123456789"))-1)</f>
        <v>ARG</v>
      </c>
      <c r="E11" t="str" cm="1">
        <f t="array" ref="E11">MID($A11,MIN(FIND({0;1;2;3;4;5;6;7;8;9},$A11&amp;"0123456789")),FIND("-",$A11)-MIN(FIND({0;1;2;3;4;5;6;7;8;9},$A11&amp;"0123456789")))</f>
        <v>529</v>
      </c>
      <c r="F11" t="str">
        <f t="shared" si="0"/>
        <v>1</v>
      </c>
      <c r="G11" t="str">
        <f t="shared" si="1"/>
        <v>W</v>
      </c>
      <c r="H11" t="str">
        <f t="shared" si="2"/>
        <v>ARG-1</v>
      </c>
      <c r="J11" t="s">
        <v>27</v>
      </c>
      <c r="K11" t="s">
        <v>1523</v>
      </c>
      <c r="L11">
        <v>529</v>
      </c>
      <c r="M11">
        <v>1</v>
      </c>
      <c r="N11" t="s">
        <v>1532</v>
      </c>
      <c r="O11" t="s">
        <v>1536</v>
      </c>
    </row>
    <row r="12" spans="1:15" x14ac:dyDescent="0.3">
      <c r="A12" t="str">
        <f>'Case 3 data'!A11</f>
        <v>ENG301-6W</v>
      </c>
      <c r="B12" t="str">
        <f>'Case 3 data'!B11</f>
        <v>Julia</v>
      </c>
      <c r="C12" t="str">
        <f>'Case 3 data'!C11</f>
        <v>Johnson</v>
      </c>
      <c r="D12" t="str" cm="1">
        <f t="array" ref="D12">LEFT($A12,MIN(FIND({0;1;2;3;4;5;6;7;8;9},$A12&amp;"0123456789"))-1)</f>
        <v>ENG</v>
      </c>
      <c r="E12" t="str" cm="1">
        <f t="array" ref="E12">MID($A12,MIN(FIND({0;1;2;3;4;5;6;7;8;9},$A12&amp;"0123456789")),FIND("-",$A12)-MIN(FIND({0;1;2;3;4;5;6;7;8;9},$A12&amp;"0123456789")))</f>
        <v>301</v>
      </c>
      <c r="F12" t="str">
        <f t="shared" si="0"/>
        <v>6</v>
      </c>
      <c r="G12" t="str">
        <f t="shared" si="1"/>
        <v>W</v>
      </c>
      <c r="H12" t="str">
        <f t="shared" si="2"/>
        <v>ENG-6</v>
      </c>
      <c r="J12" t="s">
        <v>30</v>
      </c>
      <c r="K12" t="s">
        <v>1523</v>
      </c>
      <c r="L12">
        <v>301</v>
      </c>
      <c r="M12">
        <v>6</v>
      </c>
      <c r="N12" t="s">
        <v>1532</v>
      </c>
      <c r="O12" t="s">
        <v>1540</v>
      </c>
    </row>
    <row r="13" spans="1:15" x14ac:dyDescent="0.3">
      <c r="A13" t="str">
        <f>'Case 3 data'!A12</f>
        <v>AUS60-2M</v>
      </c>
      <c r="B13" t="str">
        <f>'Case 3 data'!B12</f>
        <v>Tonya</v>
      </c>
      <c r="C13" t="str">
        <f>'Case 3 data'!C12</f>
        <v>Ruiz</v>
      </c>
      <c r="D13" t="str" cm="1">
        <f t="array" ref="D13">LEFT($A13,MIN(FIND({0;1;2;3;4;5;6;7;8;9},$A13&amp;"0123456789"))-1)</f>
        <v>AUS</v>
      </c>
      <c r="E13" t="str" cm="1">
        <f t="array" ref="E13">MID($A13,MIN(FIND({0;1;2;3;4;5;6;7;8;9},$A13&amp;"0123456789")),FIND("-",$A13)-MIN(FIND({0;1;2;3;4;5;6;7;8;9},$A13&amp;"0123456789")))</f>
        <v>60</v>
      </c>
      <c r="F13" t="str">
        <f t="shared" si="0"/>
        <v>2</v>
      </c>
      <c r="G13" t="str">
        <f t="shared" si="1"/>
        <v>M</v>
      </c>
      <c r="H13" t="str">
        <f t="shared" si="2"/>
        <v>AUS-2</v>
      </c>
      <c r="J13" t="s">
        <v>33</v>
      </c>
      <c r="K13" t="s">
        <v>1521</v>
      </c>
      <c r="L13">
        <v>60</v>
      </c>
      <c r="M13">
        <v>2</v>
      </c>
      <c r="N13" t="s">
        <v>1531</v>
      </c>
      <c r="O13" t="s">
        <v>1541</v>
      </c>
    </row>
    <row r="14" spans="1:15" x14ac:dyDescent="0.3">
      <c r="A14" t="str">
        <f>'Case 3 data'!A13</f>
        <v>ARG102-7Mo</v>
      </c>
      <c r="B14" t="str">
        <f>'Case 3 data'!B13</f>
        <v>Wayne</v>
      </c>
      <c r="C14" t="str">
        <f>'Case 3 data'!C13</f>
        <v>Howard</v>
      </c>
      <c r="D14" t="str" cm="1">
        <f t="array" ref="D14">LEFT($A14,MIN(FIND({0;1;2;3;4;5;6;7;8;9},$A14&amp;"0123456789"))-1)</f>
        <v>ARG</v>
      </c>
      <c r="E14" t="str" cm="1">
        <f t="array" ref="E14">MID($A14,MIN(FIND({0;1;2;3;4;5;6;7;8;9},$A14&amp;"0123456789")),FIND("-",$A14)-MIN(FIND({0;1;2;3;4;5;6;7;8;9},$A14&amp;"0123456789")))</f>
        <v>102</v>
      </c>
      <c r="F14" t="str">
        <f t="shared" si="0"/>
        <v>7</v>
      </c>
      <c r="G14" t="str">
        <f t="shared" si="1"/>
        <v>Mo</v>
      </c>
      <c r="H14" t="str">
        <f t="shared" si="2"/>
        <v>ARG-7</v>
      </c>
      <c r="J14" t="s">
        <v>36</v>
      </c>
      <c r="K14" t="str">
        <f t="shared" ref="K14:K77" si="4">LEFT(A14,3)</f>
        <v>ARG</v>
      </c>
      <c r="L14">
        <v>102</v>
      </c>
      <c r="M14">
        <v>7</v>
      </c>
      <c r="N14" t="s">
        <v>1530</v>
      </c>
      <c r="O14" t="s">
        <v>1542</v>
      </c>
    </row>
    <row r="15" spans="1:15" x14ac:dyDescent="0.3">
      <c r="A15" t="str">
        <f>'Case 3 data'!A14</f>
        <v>US219-8M</v>
      </c>
      <c r="B15" t="str">
        <f>'Case 3 data'!B14</f>
        <v>Samuel</v>
      </c>
      <c r="C15" t="str">
        <f>'Case 3 data'!C14</f>
        <v>Goodman</v>
      </c>
      <c r="D15" t="str" cm="1">
        <f t="array" ref="D15">LEFT($A15,MIN(FIND({0;1;2;3;4;5;6;7;8;9},$A15&amp;"0123456789"))-1)</f>
        <v>US</v>
      </c>
      <c r="E15" t="str" cm="1">
        <f t="array" ref="E15">MID($A15,MIN(FIND({0;1;2;3;4;5;6;7;8;9},$A15&amp;"0123456789")),FIND("-",$A15)-MIN(FIND({0;1;2;3;4;5;6;7;8;9},$A15&amp;"0123456789")))</f>
        <v>219</v>
      </c>
      <c r="F15" t="str">
        <f t="shared" si="0"/>
        <v>8</v>
      </c>
      <c r="G15" t="str">
        <f t="shared" si="1"/>
        <v>M</v>
      </c>
      <c r="H15" t="str">
        <f t="shared" si="2"/>
        <v>US-8</v>
      </c>
      <c r="J15" t="s">
        <v>39</v>
      </c>
      <c r="K15" t="s">
        <v>1522</v>
      </c>
      <c r="L15">
        <v>219</v>
      </c>
      <c r="M15">
        <v>8</v>
      </c>
      <c r="N15" t="s">
        <v>1531</v>
      </c>
      <c r="O15" t="s">
        <v>1543</v>
      </c>
    </row>
    <row r="16" spans="1:15" x14ac:dyDescent="0.3">
      <c r="A16" t="str">
        <f>'Case 3 data'!A15</f>
        <v>Canada342-9W</v>
      </c>
      <c r="B16" t="str">
        <f>'Case 3 data'!B15</f>
        <v>Sean</v>
      </c>
      <c r="C16" t="str">
        <f>'Case 3 data'!C15</f>
        <v>Morgan</v>
      </c>
      <c r="D16" t="str" cm="1">
        <f t="array" ref="D16">LEFT($A16,MIN(FIND({0;1;2;3;4;5;6;7;8;9},$A16&amp;"0123456789"))-1)</f>
        <v>Canada</v>
      </c>
      <c r="E16" t="str" cm="1">
        <f t="array" ref="E16">MID($A16,MIN(FIND({0;1;2;3;4;5;6;7;8;9},$A16&amp;"0123456789")),FIND("-",$A16)-MIN(FIND({0;1;2;3;4;5;6;7;8;9},$A16&amp;"0123456789")))</f>
        <v>342</v>
      </c>
      <c r="F16" t="str">
        <f t="shared" si="0"/>
        <v>9</v>
      </c>
      <c r="G16" t="str">
        <f t="shared" si="1"/>
        <v>W</v>
      </c>
      <c r="H16" t="str">
        <f t="shared" si="2"/>
        <v>Canada-9</v>
      </c>
      <c r="J16" t="s">
        <v>42</v>
      </c>
      <c r="K16" t="s">
        <v>1523</v>
      </c>
      <c r="L16">
        <v>342</v>
      </c>
      <c r="M16">
        <v>9</v>
      </c>
      <c r="N16" t="s">
        <v>1532</v>
      </c>
      <c r="O16" t="s">
        <v>1544</v>
      </c>
    </row>
    <row r="17" spans="1:15" x14ac:dyDescent="0.3">
      <c r="A17" t="str">
        <f>'Case 3 data'!A16</f>
        <v>US476-10W</v>
      </c>
      <c r="B17" t="str">
        <f>'Case 3 data'!B16</f>
        <v>Julie</v>
      </c>
      <c r="C17" t="str">
        <f>'Case 3 data'!C16</f>
        <v>Johnson</v>
      </c>
      <c r="D17" t="str" cm="1">
        <f t="array" ref="D17">LEFT($A17,MIN(FIND({0;1;2;3;4;5;6;7;8;9},$A17&amp;"0123456789"))-1)</f>
        <v>US</v>
      </c>
      <c r="E17" t="str" cm="1">
        <f t="array" ref="E17">MID($A17,MIN(FIND({0;1;2;3;4;5;6;7;8;9},$A17&amp;"0123456789")),FIND("-",$A17)-MIN(FIND({0;1;2;3;4;5;6;7;8;9},$A17&amp;"0123456789")))</f>
        <v>476</v>
      </c>
      <c r="F17" t="str">
        <f t="shared" si="0"/>
        <v>10</v>
      </c>
      <c r="G17" t="str">
        <f t="shared" si="1"/>
        <v>W</v>
      </c>
      <c r="H17" t="str">
        <f t="shared" si="2"/>
        <v>US-10</v>
      </c>
      <c r="J17" t="s">
        <v>44</v>
      </c>
      <c r="K17" t="s">
        <v>1523</v>
      </c>
      <c r="L17">
        <v>476</v>
      </c>
      <c r="M17">
        <v>10</v>
      </c>
      <c r="N17" t="s">
        <v>1532</v>
      </c>
      <c r="O17" t="s">
        <v>1545</v>
      </c>
    </row>
    <row r="18" spans="1:15" x14ac:dyDescent="0.3">
      <c r="A18" t="str">
        <f>'Case 3 data'!A17</f>
        <v>MEX93-5M</v>
      </c>
      <c r="B18" t="str">
        <f>'Case 3 data'!B17</f>
        <v>Samuel</v>
      </c>
      <c r="C18" t="str">
        <f>'Case 3 data'!C17</f>
        <v>Perry</v>
      </c>
      <c r="D18" t="str" cm="1">
        <f t="array" ref="D18">LEFT($A18,MIN(FIND({0;1;2;3;4;5;6;7;8;9},$A18&amp;"0123456789"))-1)</f>
        <v>MEX</v>
      </c>
      <c r="E18" t="str" cm="1">
        <f t="array" ref="E18">MID($A18,MIN(FIND({0;1;2;3;4;5;6;7;8;9},$A18&amp;"0123456789")),FIND("-",$A18)-MIN(FIND({0;1;2;3;4;5;6;7;8;9},$A18&amp;"0123456789")))</f>
        <v>93</v>
      </c>
      <c r="F18" t="str">
        <f t="shared" si="0"/>
        <v>5</v>
      </c>
      <c r="G18" t="str">
        <f t="shared" si="1"/>
        <v>M</v>
      </c>
      <c r="H18" t="str">
        <f t="shared" si="2"/>
        <v>MEX-5</v>
      </c>
      <c r="J18" t="s">
        <v>46</v>
      </c>
      <c r="K18" t="s">
        <v>1521</v>
      </c>
      <c r="L18">
        <v>93</v>
      </c>
      <c r="M18">
        <v>5</v>
      </c>
      <c r="N18" t="s">
        <v>1531</v>
      </c>
      <c r="O18" t="s">
        <v>1546</v>
      </c>
    </row>
    <row r="19" spans="1:15" x14ac:dyDescent="0.3">
      <c r="A19" t="str">
        <f>'Case 3 data'!A18</f>
        <v>ENG442-9Mo</v>
      </c>
      <c r="B19" t="str">
        <f>'Case 3 data'!B18</f>
        <v>Jarrod</v>
      </c>
      <c r="C19" t="str">
        <f>'Case 3 data'!C18</f>
        <v>Beckett</v>
      </c>
      <c r="D19" t="str" cm="1">
        <f t="array" ref="D19">LEFT($A19,MIN(FIND({0;1;2;3;4;5;6;7;8;9},$A19&amp;"0123456789"))-1)</f>
        <v>ENG</v>
      </c>
      <c r="E19" t="str" cm="1">
        <f t="array" ref="E19">MID($A19,MIN(FIND({0;1;2;3;4;5;6;7;8;9},$A19&amp;"0123456789")),FIND("-",$A19)-MIN(FIND({0;1;2;3;4;5;6;7;8;9},$A19&amp;"0123456789")))</f>
        <v>442</v>
      </c>
      <c r="F19" t="str">
        <f t="shared" si="0"/>
        <v>9</v>
      </c>
      <c r="G19" t="str">
        <f t="shared" si="1"/>
        <v>Mo</v>
      </c>
      <c r="H19" t="str">
        <f t="shared" si="2"/>
        <v>ENG-9</v>
      </c>
      <c r="J19" t="s">
        <v>48</v>
      </c>
      <c r="K19" t="str">
        <f t="shared" ref="K19:K82" si="5">LEFT(A19,3)</f>
        <v>ENG</v>
      </c>
      <c r="L19">
        <v>442</v>
      </c>
      <c r="M19">
        <v>9</v>
      </c>
      <c r="N19" t="s">
        <v>1530</v>
      </c>
      <c r="O19" t="s">
        <v>1547</v>
      </c>
    </row>
    <row r="20" spans="1:15" x14ac:dyDescent="0.3">
      <c r="A20" t="str">
        <f>'Case 3 data'!A19</f>
        <v>Canada17-7W</v>
      </c>
      <c r="B20" t="str">
        <f>'Case 3 data'!B19</f>
        <v>Lillian</v>
      </c>
      <c r="C20" t="str">
        <f>'Case 3 data'!C19</f>
        <v>Nelson</v>
      </c>
      <c r="D20" t="str" cm="1">
        <f t="array" ref="D20">LEFT($A20,MIN(FIND({0;1;2;3;4;5;6;7;8;9},$A20&amp;"0123456789"))-1)</f>
        <v>Canada</v>
      </c>
      <c r="E20" t="str" cm="1">
        <f t="array" ref="E20">MID($A20,MIN(FIND({0;1;2;3;4;5;6;7;8;9},$A20&amp;"0123456789")),FIND("-",$A20)-MIN(FIND({0;1;2;3;4;5;6;7;8;9},$A20&amp;"0123456789")))</f>
        <v>17</v>
      </c>
      <c r="F20" t="str">
        <f t="shared" si="0"/>
        <v>7</v>
      </c>
      <c r="G20" t="str">
        <f t="shared" si="1"/>
        <v>W</v>
      </c>
      <c r="H20" t="str">
        <f t="shared" si="2"/>
        <v>Canada-7</v>
      </c>
      <c r="J20" t="s">
        <v>51</v>
      </c>
      <c r="K20" t="s">
        <v>1522</v>
      </c>
      <c r="L20">
        <v>17</v>
      </c>
      <c r="M20">
        <v>7</v>
      </c>
      <c r="N20" t="s">
        <v>1532</v>
      </c>
      <c r="O20" t="s">
        <v>1548</v>
      </c>
    </row>
    <row r="21" spans="1:15" x14ac:dyDescent="0.3">
      <c r="A21" t="str">
        <f>'Case 3 data'!A20</f>
        <v>ARG559-10W</v>
      </c>
      <c r="B21" t="str">
        <f>'Case 3 data'!B20</f>
        <v>Delfina</v>
      </c>
      <c r="C21" t="str">
        <f>'Case 3 data'!C20</f>
        <v>Brandon</v>
      </c>
      <c r="D21" t="str" cm="1">
        <f t="array" ref="D21">LEFT($A21,MIN(FIND({0;1;2;3;4;5;6;7;8;9},$A21&amp;"0123456789"))-1)</f>
        <v>ARG</v>
      </c>
      <c r="E21" t="str" cm="1">
        <f t="array" ref="E21">MID($A21,MIN(FIND({0;1;2;3;4;5;6;7;8;9},$A21&amp;"0123456789")),FIND("-",$A21)-MIN(FIND({0;1;2;3;4;5;6;7;8;9},$A21&amp;"0123456789")))</f>
        <v>559</v>
      </c>
      <c r="F21" t="str">
        <f t="shared" si="0"/>
        <v>10</v>
      </c>
      <c r="G21" t="str">
        <f t="shared" si="1"/>
        <v>W</v>
      </c>
      <c r="H21" t="str">
        <f t="shared" si="2"/>
        <v>ARG-10</v>
      </c>
      <c r="J21" t="s">
        <v>54</v>
      </c>
      <c r="K21" t="s">
        <v>1523</v>
      </c>
      <c r="L21">
        <v>559</v>
      </c>
      <c r="M21">
        <v>10</v>
      </c>
      <c r="N21" t="s">
        <v>1532</v>
      </c>
      <c r="O21" t="s">
        <v>1545</v>
      </c>
    </row>
    <row r="22" spans="1:15" x14ac:dyDescent="0.3">
      <c r="A22" t="str">
        <f>'Case 3 data'!A21</f>
        <v>ENG389-10W</v>
      </c>
      <c r="B22" t="str">
        <f>'Case 3 data'!B21</f>
        <v>Shaun</v>
      </c>
      <c r="C22" t="str">
        <f>'Case 3 data'!C21</f>
        <v>Jacobs</v>
      </c>
      <c r="D22" t="str" cm="1">
        <f t="array" ref="D22">LEFT($A22,MIN(FIND({0;1;2;3;4;5;6;7;8;9},$A22&amp;"0123456789"))-1)</f>
        <v>ENG</v>
      </c>
      <c r="E22" t="str" cm="1">
        <f t="array" ref="E22">MID($A22,MIN(FIND({0;1;2;3;4;5;6;7;8;9},$A22&amp;"0123456789")),FIND("-",$A22)-MIN(FIND({0;1;2;3;4;5;6;7;8;9},$A22&amp;"0123456789")))</f>
        <v>389</v>
      </c>
      <c r="F22" t="str">
        <f t="shared" si="0"/>
        <v>10</v>
      </c>
      <c r="G22" t="str">
        <f t="shared" si="1"/>
        <v>W</v>
      </c>
      <c r="H22" t="str">
        <f t="shared" si="2"/>
        <v>ENG-10</v>
      </c>
      <c r="J22" t="s">
        <v>57</v>
      </c>
      <c r="K22" t="s">
        <v>1523</v>
      </c>
      <c r="L22">
        <v>389</v>
      </c>
      <c r="M22">
        <v>10</v>
      </c>
      <c r="N22" t="s">
        <v>1532</v>
      </c>
      <c r="O22" t="s">
        <v>1545</v>
      </c>
    </row>
    <row r="23" spans="1:15" x14ac:dyDescent="0.3">
      <c r="A23" t="str">
        <f>'Case 3 data'!A22</f>
        <v>MEX121-11W</v>
      </c>
      <c r="B23" t="str">
        <f>'Case 3 data'!B22</f>
        <v>Theresa</v>
      </c>
      <c r="C23" t="str">
        <f>'Case 3 data'!C22</f>
        <v>Barnes</v>
      </c>
      <c r="D23" t="str" cm="1">
        <f t="array" ref="D23">LEFT($A23,MIN(FIND({0;1;2;3;4;5;6;7;8;9},$A23&amp;"0123456789"))-1)</f>
        <v>MEX</v>
      </c>
      <c r="E23" t="str" cm="1">
        <f t="array" ref="E23">MID($A23,MIN(FIND({0;1;2;3;4;5;6;7;8;9},$A23&amp;"0123456789")),FIND("-",$A23)-MIN(FIND({0;1;2;3;4;5;6;7;8;9},$A23&amp;"0123456789")))</f>
        <v>121</v>
      </c>
      <c r="F23" t="str">
        <f t="shared" si="0"/>
        <v>11</v>
      </c>
      <c r="G23" t="str">
        <f t="shared" si="1"/>
        <v>W</v>
      </c>
      <c r="H23" t="str">
        <f t="shared" si="2"/>
        <v>MEX-11</v>
      </c>
      <c r="J23" t="s">
        <v>60</v>
      </c>
      <c r="K23" t="s">
        <v>1521</v>
      </c>
      <c r="L23">
        <v>121</v>
      </c>
      <c r="M23">
        <v>11</v>
      </c>
      <c r="N23" t="s">
        <v>1532</v>
      </c>
      <c r="O23" t="s">
        <v>1549</v>
      </c>
    </row>
    <row r="24" spans="1:15" x14ac:dyDescent="0.3">
      <c r="A24" t="str">
        <f>'Case 3 data'!A23</f>
        <v>ENG489-12W</v>
      </c>
      <c r="B24" t="str">
        <f>'Case 3 data'!B23</f>
        <v>Stephen</v>
      </c>
      <c r="C24" t="str">
        <f>'Case 3 data'!C23</f>
        <v>Powell</v>
      </c>
      <c r="D24" t="str" cm="1">
        <f t="array" ref="D24">LEFT($A24,MIN(FIND({0;1;2;3;4;5;6;7;8;9},$A24&amp;"0123456789"))-1)</f>
        <v>ENG</v>
      </c>
      <c r="E24" t="str" cm="1">
        <f t="array" ref="E24">MID($A24,MIN(FIND({0;1;2;3;4;5;6;7;8;9},$A24&amp;"0123456789")),FIND("-",$A24)-MIN(FIND({0;1;2;3;4;5;6;7;8;9},$A24&amp;"0123456789")))</f>
        <v>489</v>
      </c>
      <c r="F24" t="str">
        <f t="shared" si="0"/>
        <v>12</v>
      </c>
      <c r="G24" t="str">
        <f t="shared" si="1"/>
        <v>W</v>
      </c>
      <c r="H24" t="str">
        <f t="shared" si="2"/>
        <v>ENG-12</v>
      </c>
      <c r="J24" t="s">
        <v>63</v>
      </c>
      <c r="K24" t="str">
        <f t="shared" ref="K24:K87" si="6">LEFT(A24,3)</f>
        <v>ENG</v>
      </c>
      <c r="L24">
        <v>489</v>
      </c>
      <c r="M24">
        <v>12</v>
      </c>
      <c r="N24" t="s">
        <v>1532</v>
      </c>
      <c r="O24" t="s">
        <v>1550</v>
      </c>
    </row>
    <row r="25" spans="1:15" x14ac:dyDescent="0.3">
      <c r="A25" t="str">
        <f>'Case 3 data'!A24</f>
        <v>AUS88-10W</v>
      </c>
      <c r="B25" t="str">
        <f>'Case 3 data'!B24</f>
        <v>Queenie</v>
      </c>
      <c r="C25" t="str">
        <f>'Case 3 data'!C24</f>
        <v>Thibodeau</v>
      </c>
      <c r="D25" t="str" cm="1">
        <f t="array" ref="D25">LEFT($A25,MIN(FIND({0;1;2;3;4;5;6;7;8;9},$A25&amp;"0123456789"))-1)</f>
        <v>AUS</v>
      </c>
      <c r="E25" t="str" cm="1">
        <f t="array" ref="E25">MID($A25,MIN(FIND({0;1;2;3;4;5;6;7;8;9},$A25&amp;"0123456789")),FIND("-",$A25)-MIN(FIND({0;1;2;3;4;5;6;7;8;9},$A25&amp;"0123456789")))</f>
        <v>88</v>
      </c>
      <c r="F25" t="str">
        <f t="shared" si="0"/>
        <v>10</v>
      </c>
      <c r="G25" t="str">
        <f t="shared" si="1"/>
        <v>W</v>
      </c>
      <c r="H25" t="str">
        <f t="shared" si="2"/>
        <v>AUS-10</v>
      </c>
      <c r="J25" t="s">
        <v>66</v>
      </c>
      <c r="K25" t="s">
        <v>1522</v>
      </c>
      <c r="L25">
        <v>88</v>
      </c>
      <c r="M25">
        <v>10</v>
      </c>
      <c r="N25" t="s">
        <v>1532</v>
      </c>
      <c r="O25" t="s">
        <v>1551</v>
      </c>
    </row>
    <row r="26" spans="1:15" x14ac:dyDescent="0.3">
      <c r="A26" t="str">
        <f>'Case 3 data'!A25</f>
        <v>AUS455-3W</v>
      </c>
      <c r="B26" t="str">
        <f>'Case 3 data'!B25</f>
        <v>Juan</v>
      </c>
      <c r="C26" t="str">
        <f>'Case 3 data'!C25</f>
        <v>King</v>
      </c>
      <c r="D26" t="str" cm="1">
        <f t="array" ref="D26">LEFT($A26,MIN(FIND({0;1;2;3;4;5;6;7;8;9},$A26&amp;"0123456789"))-1)</f>
        <v>AUS</v>
      </c>
      <c r="E26" t="str" cm="1">
        <f t="array" ref="E26">MID($A26,MIN(FIND({0;1;2;3;4;5;6;7;8;9},$A26&amp;"0123456789")),FIND("-",$A26)-MIN(FIND({0;1;2;3;4;5;6;7;8;9},$A26&amp;"0123456789")))</f>
        <v>455</v>
      </c>
      <c r="F26" t="str">
        <f t="shared" si="0"/>
        <v>3</v>
      </c>
      <c r="G26" t="str">
        <f t="shared" si="1"/>
        <v>W</v>
      </c>
      <c r="H26" t="str">
        <f t="shared" si="2"/>
        <v>AUS-3</v>
      </c>
      <c r="J26" t="s">
        <v>69</v>
      </c>
      <c r="K26" t="s">
        <v>1523</v>
      </c>
      <c r="L26">
        <v>455</v>
      </c>
      <c r="M26">
        <v>3</v>
      </c>
      <c r="N26" t="s">
        <v>1532</v>
      </c>
      <c r="O26" t="s">
        <v>1552</v>
      </c>
    </row>
    <row r="27" spans="1:15" x14ac:dyDescent="0.3">
      <c r="A27" t="str">
        <f>'Case 3 data'!A26</f>
        <v>AUS491-13M</v>
      </c>
      <c r="B27" t="str">
        <f>'Case 3 data'!B26</f>
        <v>Laureen</v>
      </c>
      <c r="C27" t="str">
        <f>'Case 3 data'!C26</f>
        <v>Varney</v>
      </c>
      <c r="D27" t="str" cm="1">
        <f t="array" ref="D27">LEFT($A27,MIN(FIND({0;1;2;3;4;5;6;7;8;9},$A27&amp;"0123456789"))-1)</f>
        <v>AUS</v>
      </c>
      <c r="E27" t="str" cm="1">
        <f t="array" ref="E27">MID($A27,MIN(FIND({0;1;2;3;4;5;6;7;8;9},$A27&amp;"0123456789")),FIND("-",$A27)-MIN(FIND({0;1;2;3;4;5;6;7;8;9},$A27&amp;"0123456789")))</f>
        <v>491</v>
      </c>
      <c r="F27" t="str">
        <f t="shared" si="0"/>
        <v>13</v>
      </c>
      <c r="G27" t="str">
        <f t="shared" si="1"/>
        <v>M</v>
      </c>
      <c r="H27" t="str">
        <f t="shared" si="2"/>
        <v>AUS-13</v>
      </c>
      <c r="J27" t="s">
        <v>72</v>
      </c>
      <c r="K27" t="s">
        <v>1523</v>
      </c>
      <c r="L27">
        <v>491</v>
      </c>
      <c r="M27">
        <v>13</v>
      </c>
      <c r="N27" t="s">
        <v>1531</v>
      </c>
      <c r="O27" t="s">
        <v>1553</v>
      </c>
    </row>
    <row r="28" spans="1:15" x14ac:dyDescent="0.3">
      <c r="A28" t="str">
        <f>'Case 3 data'!A27</f>
        <v>ENG193-10Mo</v>
      </c>
      <c r="B28" t="str">
        <f>'Case 3 data'!B27</f>
        <v>Anthony</v>
      </c>
      <c r="C28" t="str">
        <f>'Case 3 data'!C27</f>
        <v>Griffin</v>
      </c>
      <c r="D28" t="str" cm="1">
        <f t="array" ref="D28">LEFT($A28,MIN(FIND({0;1;2;3;4;5;6;7;8;9},$A28&amp;"0123456789"))-1)</f>
        <v>ENG</v>
      </c>
      <c r="E28" t="str" cm="1">
        <f t="array" ref="E28">MID($A28,MIN(FIND({0;1;2;3;4;5;6;7;8;9},$A28&amp;"0123456789")),FIND("-",$A28)-MIN(FIND({0;1;2;3;4;5;6;7;8;9},$A28&amp;"0123456789")))</f>
        <v>193</v>
      </c>
      <c r="F28" t="str">
        <f t="shared" si="0"/>
        <v>10</v>
      </c>
      <c r="G28" t="str">
        <f t="shared" si="1"/>
        <v>Mo</v>
      </c>
      <c r="H28" t="str">
        <f t="shared" si="2"/>
        <v>ENG-10</v>
      </c>
      <c r="J28" t="s">
        <v>75</v>
      </c>
      <c r="K28" t="s">
        <v>1521</v>
      </c>
      <c r="L28">
        <v>193</v>
      </c>
      <c r="M28">
        <v>10</v>
      </c>
      <c r="N28" t="s">
        <v>1530</v>
      </c>
      <c r="O28" t="s">
        <v>1554</v>
      </c>
    </row>
    <row r="29" spans="1:15" x14ac:dyDescent="0.3">
      <c r="A29" t="str">
        <f>'Case 3 data'!A28</f>
        <v>ARG508-14W</v>
      </c>
      <c r="B29" t="str">
        <f>'Case 3 data'!B28</f>
        <v>Olga</v>
      </c>
      <c r="C29" t="str">
        <f>'Case 3 data'!C28</f>
        <v>Rowe</v>
      </c>
      <c r="D29" t="str" cm="1">
        <f t="array" ref="D29">LEFT($A29,MIN(FIND({0;1;2;3;4;5;6;7;8;9},$A29&amp;"0123456789"))-1)</f>
        <v>ARG</v>
      </c>
      <c r="E29" t="str" cm="1">
        <f t="array" ref="E29">MID($A29,MIN(FIND({0;1;2;3;4;5;6;7;8;9},$A29&amp;"0123456789")),FIND("-",$A29)-MIN(FIND({0;1;2;3;4;5;6;7;8;9},$A29&amp;"0123456789")))</f>
        <v>508</v>
      </c>
      <c r="F29" t="str">
        <f t="shared" si="0"/>
        <v>14</v>
      </c>
      <c r="G29" t="str">
        <f t="shared" si="1"/>
        <v>W</v>
      </c>
      <c r="H29" t="str">
        <f t="shared" si="2"/>
        <v>ARG-14</v>
      </c>
      <c r="J29" t="s">
        <v>78</v>
      </c>
      <c r="K29" t="str">
        <f t="shared" ref="K29:K92" si="7">LEFT(A29,3)</f>
        <v>ARG</v>
      </c>
      <c r="L29">
        <v>508</v>
      </c>
      <c r="M29">
        <v>14</v>
      </c>
      <c r="N29" t="s">
        <v>1532</v>
      </c>
      <c r="O29" t="s">
        <v>1555</v>
      </c>
    </row>
    <row r="30" spans="1:15" x14ac:dyDescent="0.3">
      <c r="A30" t="str">
        <f>'Case 3 data'!A29</f>
        <v>GER345-5M</v>
      </c>
      <c r="B30" t="str">
        <f>'Case 3 data'!B29</f>
        <v>Alyce</v>
      </c>
      <c r="C30" t="str">
        <f>'Case 3 data'!C29</f>
        <v>Rafferty</v>
      </c>
      <c r="D30" t="str" cm="1">
        <f t="array" ref="D30">LEFT($A30,MIN(FIND({0;1;2;3;4;5;6;7;8;9},$A30&amp;"0123456789"))-1)</f>
        <v>GER</v>
      </c>
      <c r="E30" t="str" cm="1">
        <f t="array" ref="E30">MID($A30,MIN(FIND({0;1;2;3;4;5;6;7;8;9},$A30&amp;"0123456789")),FIND("-",$A30)-MIN(FIND({0;1;2;3;4;5;6;7;8;9},$A30&amp;"0123456789")))</f>
        <v>345</v>
      </c>
      <c r="F30" t="str">
        <f t="shared" si="0"/>
        <v>5</v>
      </c>
      <c r="G30" t="str">
        <f t="shared" si="1"/>
        <v>M</v>
      </c>
      <c r="H30" t="str">
        <f t="shared" si="2"/>
        <v>GER-5</v>
      </c>
      <c r="J30" t="s">
        <v>81</v>
      </c>
      <c r="K30" t="s">
        <v>1522</v>
      </c>
      <c r="L30">
        <v>345</v>
      </c>
      <c r="M30">
        <v>5</v>
      </c>
      <c r="N30" t="s">
        <v>1531</v>
      </c>
      <c r="O30" t="s">
        <v>1539</v>
      </c>
    </row>
    <row r="31" spans="1:15" x14ac:dyDescent="0.3">
      <c r="A31" t="str">
        <f>'Case 3 data'!A30</f>
        <v>Japan428-2Mo</v>
      </c>
      <c r="B31" t="str">
        <f>'Case 3 data'!B30</f>
        <v>Janella</v>
      </c>
      <c r="C31" t="str">
        <f>'Case 3 data'!C30</f>
        <v>Lacey</v>
      </c>
      <c r="D31" t="str" cm="1">
        <f t="array" ref="D31">LEFT($A31,MIN(FIND({0;1;2;3;4;5;6;7;8;9},$A31&amp;"0123456789"))-1)</f>
        <v>Japan</v>
      </c>
      <c r="E31" t="str" cm="1">
        <f t="array" ref="E31">MID($A31,MIN(FIND({0;1;2;3;4;5;6;7;8;9},$A31&amp;"0123456789")),FIND("-",$A31)-MIN(FIND({0;1;2;3;4;5;6;7;8;9},$A31&amp;"0123456789")))</f>
        <v>428</v>
      </c>
      <c r="F31" t="str">
        <f t="shared" si="0"/>
        <v>2</v>
      </c>
      <c r="G31" t="str">
        <f t="shared" si="1"/>
        <v>Mo</v>
      </c>
      <c r="H31" t="str">
        <f t="shared" si="2"/>
        <v>Japan-2</v>
      </c>
      <c r="J31" t="s">
        <v>84</v>
      </c>
      <c r="K31" t="s">
        <v>1523</v>
      </c>
      <c r="L31">
        <v>428</v>
      </c>
      <c r="M31">
        <v>2</v>
      </c>
      <c r="N31" t="s">
        <v>1530</v>
      </c>
      <c r="O31" t="s">
        <v>1535</v>
      </c>
    </row>
    <row r="32" spans="1:15" x14ac:dyDescent="0.3">
      <c r="A32" t="str">
        <f>'Case 3 data'!A31</f>
        <v>ARG116-9Mo</v>
      </c>
      <c r="B32" t="str">
        <f>'Case 3 data'!B31</f>
        <v>Lyndsay</v>
      </c>
      <c r="C32" t="str">
        <f>'Case 3 data'!C31</f>
        <v>Landry</v>
      </c>
      <c r="D32" t="str" cm="1">
        <f t="array" ref="D32">LEFT($A32,MIN(FIND({0;1;2;3;4;5;6;7;8;9},$A32&amp;"0123456789"))-1)</f>
        <v>ARG</v>
      </c>
      <c r="E32" t="str" cm="1">
        <f t="array" ref="E32">MID($A32,MIN(FIND({0;1;2;3;4;5;6;7;8;9},$A32&amp;"0123456789")),FIND("-",$A32)-MIN(FIND({0;1;2;3;4;5;6;7;8;9},$A32&amp;"0123456789")))</f>
        <v>116</v>
      </c>
      <c r="F32" t="str">
        <f t="shared" si="0"/>
        <v>9</v>
      </c>
      <c r="G32" t="str">
        <f t="shared" si="1"/>
        <v>Mo</v>
      </c>
      <c r="H32" t="str">
        <f t="shared" si="2"/>
        <v>ARG-9</v>
      </c>
      <c r="J32" t="s">
        <v>87</v>
      </c>
      <c r="K32" t="s">
        <v>1523</v>
      </c>
      <c r="L32">
        <v>116</v>
      </c>
      <c r="M32">
        <v>9</v>
      </c>
      <c r="N32" t="s">
        <v>1530</v>
      </c>
      <c r="O32" t="s">
        <v>1544</v>
      </c>
    </row>
    <row r="33" spans="1:15" x14ac:dyDescent="0.3">
      <c r="A33" t="str">
        <f>'Case 3 data'!A32</f>
        <v>Canada213-4M</v>
      </c>
      <c r="B33" t="str">
        <f>'Case 3 data'!B32</f>
        <v>Elvina</v>
      </c>
      <c r="C33" t="str">
        <f>'Case 3 data'!C32</f>
        <v>Dickens</v>
      </c>
      <c r="D33" t="str" cm="1">
        <f t="array" ref="D33">LEFT($A33,MIN(FIND({0;1;2;3;4;5;6;7;8;9},$A33&amp;"0123456789"))-1)</f>
        <v>Canada</v>
      </c>
      <c r="E33" t="str" cm="1">
        <f t="array" ref="E33">MID($A33,MIN(FIND({0;1;2;3;4;5;6;7;8;9},$A33&amp;"0123456789")),FIND("-",$A33)-MIN(FIND({0;1;2;3;4;5;6;7;8;9},$A33&amp;"0123456789")))</f>
        <v>213</v>
      </c>
      <c r="F33" t="str">
        <f t="shared" si="0"/>
        <v>4</v>
      </c>
      <c r="G33" t="str">
        <f t="shared" si="1"/>
        <v>M</v>
      </c>
      <c r="H33" t="str">
        <f t="shared" si="2"/>
        <v>Canada-4</v>
      </c>
      <c r="J33" t="s">
        <v>90</v>
      </c>
      <c r="K33" t="s">
        <v>1521</v>
      </c>
      <c r="L33">
        <v>213</v>
      </c>
      <c r="M33">
        <v>4</v>
      </c>
      <c r="N33" t="s">
        <v>1531</v>
      </c>
      <c r="O33" t="s">
        <v>1537</v>
      </c>
    </row>
    <row r="34" spans="1:15" x14ac:dyDescent="0.3">
      <c r="A34" t="str">
        <f>'Case 3 data'!A33</f>
        <v>ENG208-2W</v>
      </c>
      <c r="B34" t="str">
        <f>'Case 3 data'!B33</f>
        <v>Lois</v>
      </c>
      <c r="C34" t="str">
        <f>'Case 3 data'!C33</f>
        <v>Flores</v>
      </c>
      <c r="D34" t="str" cm="1">
        <f t="array" ref="D34">LEFT($A34,MIN(FIND({0;1;2;3;4;5;6;7;8;9},$A34&amp;"0123456789"))-1)</f>
        <v>ENG</v>
      </c>
      <c r="E34" t="str" cm="1">
        <f t="array" ref="E34">MID($A34,MIN(FIND({0;1;2;3;4;5;6;7;8;9},$A34&amp;"0123456789")),FIND("-",$A34)-MIN(FIND({0;1;2;3;4;5;6;7;8;9},$A34&amp;"0123456789")))</f>
        <v>208</v>
      </c>
      <c r="F34" t="str">
        <f t="shared" si="0"/>
        <v>2</v>
      </c>
      <c r="G34" t="str">
        <f t="shared" si="1"/>
        <v>W</v>
      </c>
      <c r="H34" t="str">
        <f t="shared" si="2"/>
        <v>ENG-2</v>
      </c>
      <c r="J34" t="s">
        <v>93</v>
      </c>
      <c r="K34" t="str">
        <f t="shared" ref="K34:K97" si="8">LEFT(A34,3)</f>
        <v>ENG</v>
      </c>
      <c r="L34">
        <v>208</v>
      </c>
      <c r="M34">
        <v>2</v>
      </c>
      <c r="N34" t="s">
        <v>1532</v>
      </c>
      <c r="O34" t="s">
        <v>1556</v>
      </c>
    </row>
    <row r="35" spans="1:15" x14ac:dyDescent="0.3">
      <c r="A35" t="str">
        <f>'Case 3 data'!A34</f>
        <v>MEX7-9M</v>
      </c>
      <c r="B35" t="str">
        <f>'Case 3 data'!B34</f>
        <v>Gonzalo</v>
      </c>
      <c r="C35" t="str">
        <f>'Case 3 data'!C34</f>
        <v>Rigby</v>
      </c>
      <c r="D35" t="str" cm="1">
        <f t="array" ref="D35">LEFT($A35,MIN(FIND({0;1;2;3;4;5;6;7;8;9},$A35&amp;"0123456789"))-1)</f>
        <v>MEX</v>
      </c>
      <c r="E35" t="str" cm="1">
        <f t="array" ref="E35">MID($A35,MIN(FIND({0;1;2;3;4;5;6;7;8;9},$A35&amp;"0123456789")),FIND("-",$A35)-MIN(FIND({0;1;2;3;4;5;6;7;8;9},$A35&amp;"0123456789")))</f>
        <v>7</v>
      </c>
      <c r="F35" t="str">
        <f t="shared" si="0"/>
        <v>9</v>
      </c>
      <c r="G35" t="str">
        <f t="shared" si="1"/>
        <v>M</v>
      </c>
      <c r="H35" t="str">
        <f t="shared" si="2"/>
        <v>MEX-9</v>
      </c>
      <c r="J35" t="s">
        <v>96</v>
      </c>
      <c r="K35" t="s">
        <v>1522</v>
      </c>
      <c r="L35">
        <v>7</v>
      </c>
      <c r="M35">
        <v>9</v>
      </c>
      <c r="N35" t="s">
        <v>1531</v>
      </c>
      <c r="O35" t="s">
        <v>1557</v>
      </c>
    </row>
    <row r="36" spans="1:15" x14ac:dyDescent="0.3">
      <c r="A36" t="str">
        <f>'Case 3 data'!A35</f>
        <v>ARG56-15W</v>
      </c>
      <c r="B36" t="str">
        <f>'Case 3 data'!B35</f>
        <v>John</v>
      </c>
      <c r="C36" t="str">
        <f>'Case 3 data'!C35</f>
        <v>Parker</v>
      </c>
      <c r="D36" t="str" cm="1">
        <f t="array" ref="D36">LEFT($A36,MIN(FIND({0;1;2;3;4;5;6;7;8;9},$A36&amp;"0123456789"))-1)</f>
        <v>ARG</v>
      </c>
      <c r="E36" t="str" cm="1">
        <f t="array" ref="E36">MID($A36,MIN(FIND({0;1;2;3;4;5;6;7;8;9},$A36&amp;"0123456789")),FIND("-",$A36)-MIN(FIND({0;1;2;3;4;5;6;7;8;9},$A36&amp;"0123456789")))</f>
        <v>56</v>
      </c>
      <c r="F36" t="str">
        <f t="shared" si="0"/>
        <v>15</v>
      </c>
      <c r="G36" t="str">
        <f t="shared" si="1"/>
        <v>W</v>
      </c>
      <c r="H36" t="str">
        <f t="shared" si="2"/>
        <v>ARG-15</v>
      </c>
      <c r="J36" t="s">
        <v>99</v>
      </c>
      <c r="K36" t="s">
        <v>1523</v>
      </c>
      <c r="L36">
        <v>56</v>
      </c>
      <c r="M36">
        <v>15</v>
      </c>
      <c r="N36" t="s">
        <v>1532</v>
      </c>
      <c r="O36" t="s">
        <v>1558</v>
      </c>
    </row>
    <row r="37" spans="1:15" x14ac:dyDescent="0.3">
      <c r="A37" t="str">
        <f>'Case 3 data'!A36</f>
        <v>US404-6W</v>
      </c>
      <c r="B37" t="str">
        <f>'Case 3 data'!B36</f>
        <v>Olive</v>
      </c>
      <c r="C37" t="str">
        <f>'Case 3 data'!C36</f>
        <v>Romero</v>
      </c>
      <c r="D37" t="str" cm="1">
        <f t="array" ref="D37">LEFT($A37,MIN(FIND({0;1;2;3;4;5;6;7;8;9},$A37&amp;"0123456789"))-1)</f>
        <v>US</v>
      </c>
      <c r="E37" t="str" cm="1">
        <f t="array" ref="E37">MID($A37,MIN(FIND({0;1;2;3;4;5;6;7;8;9},$A37&amp;"0123456789")),FIND("-",$A37)-MIN(FIND({0;1;2;3;4;5;6;7;8;9},$A37&amp;"0123456789")))</f>
        <v>404</v>
      </c>
      <c r="F37" t="str">
        <f t="shared" si="0"/>
        <v>6</v>
      </c>
      <c r="G37" t="str">
        <f t="shared" si="1"/>
        <v>W</v>
      </c>
      <c r="H37" t="str">
        <f t="shared" si="2"/>
        <v>US-6</v>
      </c>
      <c r="J37" t="s">
        <v>102</v>
      </c>
      <c r="K37" t="s">
        <v>1523</v>
      </c>
      <c r="L37">
        <v>404</v>
      </c>
      <c r="M37">
        <v>6</v>
      </c>
      <c r="N37" t="s">
        <v>1532</v>
      </c>
      <c r="O37" t="s">
        <v>1540</v>
      </c>
    </row>
    <row r="38" spans="1:15" x14ac:dyDescent="0.3">
      <c r="A38" t="str">
        <f>'Case 3 data'!A37</f>
        <v>ARG43-9Mo</v>
      </c>
      <c r="B38" t="str">
        <f>'Case 3 data'!B37</f>
        <v>Emmitt</v>
      </c>
      <c r="C38" t="str">
        <f>'Case 3 data'!C37</f>
        <v>Valles</v>
      </c>
      <c r="D38" t="str" cm="1">
        <f t="array" ref="D38">LEFT($A38,MIN(FIND({0;1;2;3;4;5;6;7;8;9},$A38&amp;"0123456789"))-1)</f>
        <v>ARG</v>
      </c>
      <c r="E38" t="str" cm="1">
        <f t="array" ref="E38">MID($A38,MIN(FIND({0;1;2;3;4;5;6;7;8;9},$A38&amp;"0123456789")),FIND("-",$A38)-MIN(FIND({0;1;2;3;4;5;6;7;8;9},$A38&amp;"0123456789")))</f>
        <v>43</v>
      </c>
      <c r="F38" t="str">
        <f t="shared" si="0"/>
        <v>9</v>
      </c>
      <c r="G38" t="str">
        <f t="shared" si="1"/>
        <v>Mo</v>
      </c>
      <c r="H38" t="str">
        <f t="shared" si="2"/>
        <v>ARG-9</v>
      </c>
      <c r="J38" t="s">
        <v>105</v>
      </c>
      <c r="K38" t="s">
        <v>1521</v>
      </c>
      <c r="L38">
        <v>43</v>
      </c>
      <c r="M38">
        <v>9</v>
      </c>
      <c r="N38" t="s">
        <v>1530</v>
      </c>
      <c r="O38" t="s">
        <v>1559</v>
      </c>
    </row>
    <row r="39" spans="1:15" x14ac:dyDescent="0.3">
      <c r="A39" t="str">
        <f>'Case 3 data'!A38</f>
        <v>GER188-9M</v>
      </c>
      <c r="B39" t="str">
        <f>'Case 3 data'!B38</f>
        <v>Vernia</v>
      </c>
      <c r="C39" t="str">
        <f>'Case 3 data'!C38</f>
        <v>Mccrary</v>
      </c>
      <c r="D39" t="str" cm="1">
        <f t="array" ref="D39">LEFT($A39,MIN(FIND({0;1;2;3;4;5;6;7;8;9},$A39&amp;"0123456789"))-1)</f>
        <v>GER</v>
      </c>
      <c r="E39" t="str" cm="1">
        <f t="array" ref="E39">MID($A39,MIN(FIND({0;1;2;3;4;5;6;7;8;9},$A39&amp;"0123456789")),FIND("-",$A39)-MIN(FIND({0;1;2;3;4;5;6;7;8;9},$A39&amp;"0123456789")))</f>
        <v>188</v>
      </c>
      <c r="F39" t="str">
        <f t="shared" si="0"/>
        <v>9</v>
      </c>
      <c r="G39" t="str">
        <f t="shared" si="1"/>
        <v>M</v>
      </c>
      <c r="H39" t="str">
        <f t="shared" si="2"/>
        <v>GER-9</v>
      </c>
      <c r="J39" t="s">
        <v>108</v>
      </c>
      <c r="K39" t="str">
        <f t="shared" ref="K39:K102" si="9">LEFT(A39,3)</f>
        <v>GER</v>
      </c>
      <c r="L39">
        <v>188</v>
      </c>
      <c r="M39">
        <v>9</v>
      </c>
      <c r="N39" t="s">
        <v>1531</v>
      </c>
      <c r="O39" t="s">
        <v>1544</v>
      </c>
    </row>
    <row r="40" spans="1:15" x14ac:dyDescent="0.3">
      <c r="A40" t="str">
        <f>'Case 3 data'!A39</f>
        <v>AUS275-8W</v>
      </c>
      <c r="B40" t="str">
        <f>'Case 3 data'!B39</f>
        <v>Michelle</v>
      </c>
      <c r="C40" t="str">
        <f>'Case 3 data'!C39</f>
        <v>Campbell</v>
      </c>
      <c r="D40" t="str" cm="1">
        <f t="array" ref="D40">LEFT($A40,MIN(FIND({0;1;2;3;4;5;6;7;8;9},$A40&amp;"0123456789"))-1)</f>
        <v>AUS</v>
      </c>
      <c r="E40" t="str" cm="1">
        <f t="array" ref="E40">MID($A40,MIN(FIND({0;1;2;3;4;5;6;7;8;9},$A40&amp;"0123456789")),FIND("-",$A40)-MIN(FIND({0;1;2;3;4;5;6;7;8;9},$A40&amp;"0123456789")))</f>
        <v>275</v>
      </c>
      <c r="F40" t="str">
        <f t="shared" si="0"/>
        <v>8</v>
      </c>
      <c r="G40" t="str">
        <f t="shared" si="1"/>
        <v>W</v>
      </c>
      <c r="H40" t="str">
        <f t="shared" si="2"/>
        <v>AUS-8</v>
      </c>
      <c r="J40" t="s">
        <v>111</v>
      </c>
      <c r="K40" t="s">
        <v>1522</v>
      </c>
      <c r="L40">
        <v>275</v>
      </c>
      <c r="M40">
        <v>8</v>
      </c>
      <c r="N40" t="s">
        <v>1532</v>
      </c>
      <c r="O40" t="s">
        <v>1543</v>
      </c>
    </row>
    <row r="41" spans="1:15" x14ac:dyDescent="0.3">
      <c r="A41" t="str">
        <f>'Case 3 data'!A40</f>
        <v>ENG563-9W</v>
      </c>
      <c r="B41" t="str">
        <f>'Case 3 data'!B40</f>
        <v>Demarcus</v>
      </c>
      <c r="C41" t="str">
        <f>'Case 3 data'!C40</f>
        <v>Mcgregor</v>
      </c>
      <c r="D41" t="str" cm="1">
        <f t="array" ref="D41">LEFT($A41,MIN(FIND({0;1;2;3;4;5;6;7;8;9},$A41&amp;"0123456789"))-1)</f>
        <v>ENG</v>
      </c>
      <c r="E41" t="str" cm="1">
        <f t="array" ref="E41">MID($A41,MIN(FIND({0;1;2;3;4;5;6;7;8;9},$A41&amp;"0123456789")),FIND("-",$A41)-MIN(FIND({0;1;2;3;4;5;6;7;8;9},$A41&amp;"0123456789")))</f>
        <v>563</v>
      </c>
      <c r="F41" t="str">
        <f t="shared" si="0"/>
        <v>9</v>
      </c>
      <c r="G41" t="str">
        <f t="shared" si="1"/>
        <v>W</v>
      </c>
      <c r="H41" t="str">
        <f t="shared" si="2"/>
        <v>ENG-9</v>
      </c>
      <c r="J41" t="s">
        <v>114</v>
      </c>
      <c r="K41" t="s">
        <v>1523</v>
      </c>
      <c r="L41">
        <v>563</v>
      </c>
      <c r="M41">
        <v>9</v>
      </c>
      <c r="N41" t="s">
        <v>1532</v>
      </c>
      <c r="O41" t="s">
        <v>1544</v>
      </c>
    </row>
    <row r="42" spans="1:15" x14ac:dyDescent="0.3">
      <c r="A42" t="str">
        <f>'Case 3 data'!A41</f>
        <v>ENG543-14M</v>
      </c>
      <c r="B42" t="str">
        <f>'Case 3 data'!B41</f>
        <v>Jeremy</v>
      </c>
      <c r="C42" t="str">
        <f>'Case 3 data'!C41</f>
        <v>Rogers</v>
      </c>
      <c r="D42" t="str" cm="1">
        <f t="array" ref="D42">LEFT($A42,MIN(FIND({0;1;2;3;4;5;6;7;8;9},$A42&amp;"0123456789"))-1)</f>
        <v>ENG</v>
      </c>
      <c r="E42" t="str" cm="1">
        <f t="array" ref="E42">MID($A42,MIN(FIND({0;1;2;3;4;5;6;7;8;9},$A42&amp;"0123456789")),FIND("-",$A42)-MIN(FIND({0;1;2;3;4;5;6;7;8;9},$A42&amp;"0123456789")))</f>
        <v>543</v>
      </c>
      <c r="F42" t="str">
        <f t="shared" si="0"/>
        <v>14</v>
      </c>
      <c r="G42" t="str">
        <f t="shared" si="1"/>
        <v>M</v>
      </c>
      <c r="H42" t="str">
        <f t="shared" si="2"/>
        <v>ENG-14</v>
      </c>
      <c r="J42" t="s">
        <v>117</v>
      </c>
      <c r="K42" t="s">
        <v>1523</v>
      </c>
      <c r="L42">
        <v>543</v>
      </c>
      <c r="M42">
        <v>14</v>
      </c>
      <c r="N42" t="s">
        <v>1531</v>
      </c>
      <c r="O42" t="s">
        <v>1560</v>
      </c>
    </row>
    <row r="43" spans="1:15" x14ac:dyDescent="0.3">
      <c r="A43" t="str">
        <f>'Case 3 data'!A42</f>
        <v>ENG23-6W</v>
      </c>
      <c r="B43" t="str">
        <f>'Case 3 data'!B42</f>
        <v>Michelle</v>
      </c>
      <c r="C43" t="str">
        <f>'Case 3 data'!C42</f>
        <v>Peters</v>
      </c>
      <c r="D43" t="str" cm="1">
        <f t="array" ref="D43">LEFT($A43,MIN(FIND({0;1;2;3;4;5;6;7;8;9},$A43&amp;"0123456789"))-1)</f>
        <v>ENG</v>
      </c>
      <c r="E43" t="str" cm="1">
        <f t="array" ref="E43">MID($A43,MIN(FIND({0;1;2;3;4;5;6;7;8;9},$A43&amp;"0123456789")),FIND("-",$A43)-MIN(FIND({0;1;2;3;4;5;6;7;8;9},$A43&amp;"0123456789")))</f>
        <v>23</v>
      </c>
      <c r="F43" t="str">
        <f t="shared" si="0"/>
        <v>6</v>
      </c>
      <c r="G43" t="str">
        <f t="shared" si="1"/>
        <v>W</v>
      </c>
      <c r="H43" t="str">
        <f t="shared" si="2"/>
        <v>ENG-6</v>
      </c>
      <c r="J43" t="s">
        <v>120</v>
      </c>
      <c r="K43" t="s">
        <v>1521</v>
      </c>
      <c r="L43">
        <v>23</v>
      </c>
      <c r="M43">
        <v>6</v>
      </c>
      <c r="N43" t="s">
        <v>1532</v>
      </c>
      <c r="O43" t="s">
        <v>1561</v>
      </c>
    </row>
    <row r="44" spans="1:15" x14ac:dyDescent="0.3">
      <c r="A44" t="str">
        <f>'Case 3 data'!A43</f>
        <v>MEX490-7W</v>
      </c>
      <c r="B44" t="str">
        <f>'Case 3 data'!B43</f>
        <v>Dian</v>
      </c>
      <c r="C44" t="str">
        <f>'Case 3 data'!C43</f>
        <v>Winchester</v>
      </c>
      <c r="D44" t="str" cm="1">
        <f t="array" ref="D44">LEFT($A44,MIN(FIND({0;1;2;3;4;5;6;7;8;9},$A44&amp;"0123456789"))-1)</f>
        <v>MEX</v>
      </c>
      <c r="E44" t="str" cm="1">
        <f t="array" ref="E44">MID($A44,MIN(FIND({0;1;2;3;4;5;6;7;8;9},$A44&amp;"0123456789")),FIND("-",$A44)-MIN(FIND({0;1;2;3;4;5;6;7;8;9},$A44&amp;"0123456789")))</f>
        <v>490</v>
      </c>
      <c r="F44" t="str">
        <f t="shared" si="0"/>
        <v>7</v>
      </c>
      <c r="G44" t="str">
        <f t="shared" si="1"/>
        <v>W</v>
      </c>
      <c r="H44" t="str">
        <f t="shared" si="2"/>
        <v>MEX-7</v>
      </c>
      <c r="J44" t="s">
        <v>122</v>
      </c>
      <c r="K44" t="str">
        <f t="shared" ref="K44:K107" si="10">LEFT(A44,3)</f>
        <v>MEX</v>
      </c>
      <c r="L44">
        <v>490</v>
      </c>
      <c r="M44">
        <v>7</v>
      </c>
      <c r="N44" t="s">
        <v>1532</v>
      </c>
      <c r="O44" t="s">
        <v>1562</v>
      </c>
    </row>
    <row r="45" spans="1:15" x14ac:dyDescent="0.3">
      <c r="A45" t="str">
        <f>'Case 3 data'!A44</f>
        <v>Japan114-1W</v>
      </c>
      <c r="B45" t="str">
        <f>'Case 3 data'!B44</f>
        <v>Steven</v>
      </c>
      <c r="C45" t="str">
        <f>'Case 3 data'!C44</f>
        <v>Russell</v>
      </c>
      <c r="D45" t="str" cm="1">
        <f t="array" ref="D45">LEFT($A45,MIN(FIND({0;1;2;3;4;5;6;7;8;9},$A45&amp;"0123456789"))-1)</f>
        <v>Japan</v>
      </c>
      <c r="E45" t="str" cm="1">
        <f t="array" ref="E45">MID($A45,MIN(FIND({0;1;2;3;4;5;6;7;8;9},$A45&amp;"0123456789")),FIND("-",$A45)-MIN(FIND({0;1;2;3;4;5;6;7;8;9},$A45&amp;"0123456789")))</f>
        <v>114</v>
      </c>
      <c r="F45" t="str">
        <f t="shared" si="0"/>
        <v>1</v>
      </c>
      <c r="G45" t="str">
        <f t="shared" si="1"/>
        <v>W</v>
      </c>
      <c r="H45" t="str">
        <f t="shared" si="2"/>
        <v>Japan-1</v>
      </c>
      <c r="J45" t="s">
        <v>125</v>
      </c>
      <c r="K45" t="s">
        <v>1522</v>
      </c>
      <c r="L45">
        <v>114</v>
      </c>
      <c r="M45">
        <v>1</v>
      </c>
      <c r="N45" t="s">
        <v>1532</v>
      </c>
      <c r="O45" t="s">
        <v>1563</v>
      </c>
    </row>
    <row r="46" spans="1:15" x14ac:dyDescent="0.3">
      <c r="A46" t="str">
        <f>'Case 3 data'!A45</f>
        <v>ENG444-4Mo</v>
      </c>
      <c r="B46" t="str">
        <f>'Case 3 data'!B45</f>
        <v>Hank</v>
      </c>
      <c r="C46" t="str">
        <f>'Case 3 data'!C45</f>
        <v>Thorpe</v>
      </c>
      <c r="D46" t="str" cm="1">
        <f t="array" ref="D46">LEFT($A46,MIN(FIND({0;1;2;3;4;5;6;7;8;9},$A46&amp;"0123456789"))-1)</f>
        <v>ENG</v>
      </c>
      <c r="E46" t="str" cm="1">
        <f t="array" ref="E46">MID($A46,MIN(FIND({0;1;2;3;4;5;6;7;8;9},$A46&amp;"0123456789")),FIND("-",$A46)-MIN(FIND({0;1;2;3;4;5;6;7;8;9},$A46&amp;"0123456789")))</f>
        <v>444</v>
      </c>
      <c r="F46" t="str">
        <f t="shared" si="0"/>
        <v>4</v>
      </c>
      <c r="G46" t="str">
        <f t="shared" si="1"/>
        <v>Mo</v>
      </c>
      <c r="H46" t="str">
        <f t="shared" si="2"/>
        <v>ENG-4</v>
      </c>
      <c r="J46" t="s">
        <v>128</v>
      </c>
      <c r="K46" t="s">
        <v>1523</v>
      </c>
      <c r="L46">
        <v>444</v>
      </c>
      <c r="M46">
        <v>4</v>
      </c>
      <c r="N46" t="s">
        <v>1530</v>
      </c>
      <c r="O46" t="s">
        <v>1564</v>
      </c>
    </row>
    <row r="47" spans="1:15" x14ac:dyDescent="0.3">
      <c r="A47" t="str">
        <f>'Case 3 data'!A46</f>
        <v>AUS331-2Mo</v>
      </c>
      <c r="B47" t="str">
        <f>'Case 3 data'!B46</f>
        <v>Lori</v>
      </c>
      <c r="C47" t="str">
        <f>'Case 3 data'!C46</f>
        <v>Ward</v>
      </c>
      <c r="D47" t="str" cm="1">
        <f t="array" ref="D47">LEFT($A47,MIN(FIND({0;1;2;3;4;5;6;7;8;9},$A47&amp;"0123456789"))-1)</f>
        <v>AUS</v>
      </c>
      <c r="E47" t="str" cm="1">
        <f t="array" ref="E47">MID($A47,MIN(FIND({0;1;2;3;4;5;6;7;8;9},$A47&amp;"0123456789")),FIND("-",$A47)-MIN(FIND({0;1;2;3;4;5;6;7;8;9},$A47&amp;"0123456789")))</f>
        <v>331</v>
      </c>
      <c r="F47" t="str">
        <f t="shared" si="0"/>
        <v>2</v>
      </c>
      <c r="G47" t="str">
        <f t="shared" si="1"/>
        <v>Mo</v>
      </c>
      <c r="H47" t="str">
        <f t="shared" si="2"/>
        <v>AUS-2</v>
      </c>
      <c r="J47" t="s">
        <v>131</v>
      </c>
      <c r="K47" t="s">
        <v>1523</v>
      </c>
      <c r="L47">
        <v>331</v>
      </c>
      <c r="M47">
        <v>2</v>
      </c>
      <c r="N47" t="s">
        <v>1530</v>
      </c>
      <c r="O47" t="s">
        <v>1535</v>
      </c>
    </row>
    <row r="48" spans="1:15" x14ac:dyDescent="0.3">
      <c r="A48" t="str">
        <f>'Case 3 data'!A47</f>
        <v>Canada118-14M</v>
      </c>
      <c r="B48" t="str">
        <f>'Case 3 data'!B47</f>
        <v>Lori</v>
      </c>
      <c r="C48" t="str">
        <f>'Case 3 data'!C47</f>
        <v>Price</v>
      </c>
      <c r="D48" t="str" cm="1">
        <f t="array" ref="D48">LEFT($A48,MIN(FIND({0;1;2;3;4;5;6;7;8;9},$A48&amp;"0123456789"))-1)</f>
        <v>Canada</v>
      </c>
      <c r="E48" t="str" cm="1">
        <f t="array" ref="E48">MID($A48,MIN(FIND({0;1;2;3;4;5;6;7;8;9},$A48&amp;"0123456789")),FIND("-",$A48)-MIN(FIND({0;1;2;3;4;5;6;7;8;9},$A48&amp;"0123456789")))</f>
        <v>118</v>
      </c>
      <c r="F48" t="str">
        <f t="shared" si="0"/>
        <v>14</v>
      </c>
      <c r="G48" t="str">
        <f t="shared" si="1"/>
        <v>M</v>
      </c>
      <c r="H48" t="str">
        <f t="shared" si="2"/>
        <v>Canada-14</v>
      </c>
      <c r="J48" t="s">
        <v>134</v>
      </c>
      <c r="K48" t="s">
        <v>1521</v>
      </c>
      <c r="L48">
        <v>118</v>
      </c>
      <c r="M48">
        <v>14</v>
      </c>
      <c r="N48" t="s">
        <v>1531</v>
      </c>
      <c r="O48" t="s">
        <v>1565</v>
      </c>
    </row>
    <row r="49" spans="1:15" x14ac:dyDescent="0.3">
      <c r="A49" t="str">
        <f>'Case 3 data'!A48</f>
        <v>Japan572-15Mo</v>
      </c>
      <c r="B49" t="str">
        <f>'Case 3 data'!B48</f>
        <v>Norma</v>
      </c>
      <c r="C49" t="str">
        <f>'Case 3 data'!C48</f>
        <v>Steele</v>
      </c>
      <c r="D49" t="str" cm="1">
        <f t="array" ref="D49">LEFT($A49,MIN(FIND({0;1;2;3;4;5;6;7;8;9},$A49&amp;"0123456789"))-1)</f>
        <v>Japan</v>
      </c>
      <c r="E49" t="str" cm="1">
        <f t="array" ref="E49">MID($A49,MIN(FIND({0;1;2;3;4;5;6;7;8;9},$A49&amp;"0123456789")),FIND("-",$A49)-MIN(FIND({0;1;2;3;4;5;6;7;8;9},$A49&amp;"0123456789")))</f>
        <v>572</v>
      </c>
      <c r="F49" t="str">
        <f t="shared" si="0"/>
        <v>15</v>
      </c>
      <c r="G49" t="str">
        <f t="shared" si="1"/>
        <v>Mo</v>
      </c>
      <c r="H49" t="str">
        <f t="shared" si="2"/>
        <v>Japan-15</v>
      </c>
      <c r="J49" t="s">
        <v>136</v>
      </c>
      <c r="K49" t="str">
        <f t="shared" ref="K49:K112" si="11">LEFT(A49,3)</f>
        <v>Jap</v>
      </c>
      <c r="L49">
        <v>572</v>
      </c>
      <c r="M49">
        <v>15</v>
      </c>
      <c r="N49" t="s">
        <v>1530</v>
      </c>
      <c r="O49" t="s">
        <v>1566</v>
      </c>
    </row>
    <row r="50" spans="1:15" x14ac:dyDescent="0.3">
      <c r="A50" t="str">
        <f>'Case 3 data'!A49</f>
        <v>Canada122-5M</v>
      </c>
      <c r="B50" t="str">
        <f>'Case 3 data'!B49</f>
        <v>Jaye</v>
      </c>
      <c r="C50" t="str">
        <f>'Case 3 data'!C49</f>
        <v>Wick</v>
      </c>
      <c r="D50" t="str" cm="1">
        <f t="array" ref="D50">LEFT($A50,MIN(FIND({0;1;2;3;4;5;6;7;8;9},$A50&amp;"0123456789"))-1)</f>
        <v>Canada</v>
      </c>
      <c r="E50" t="str" cm="1">
        <f t="array" ref="E50">MID($A50,MIN(FIND({0;1;2;3;4;5;6;7;8;9},$A50&amp;"0123456789")),FIND("-",$A50)-MIN(FIND({0;1;2;3;4;5;6;7;8;9},$A50&amp;"0123456789")))</f>
        <v>122</v>
      </c>
      <c r="F50" t="str">
        <f t="shared" si="0"/>
        <v>5</v>
      </c>
      <c r="G50" t="str">
        <f t="shared" si="1"/>
        <v>M</v>
      </c>
      <c r="H50" t="str">
        <f t="shared" si="2"/>
        <v>Canada-5</v>
      </c>
      <c r="J50" t="s">
        <v>139</v>
      </c>
      <c r="K50" t="s">
        <v>1522</v>
      </c>
      <c r="L50">
        <v>122</v>
      </c>
      <c r="M50">
        <v>5</v>
      </c>
      <c r="N50" t="s">
        <v>1531</v>
      </c>
      <c r="O50" t="s">
        <v>1539</v>
      </c>
    </row>
    <row r="51" spans="1:15" x14ac:dyDescent="0.3">
      <c r="A51" t="str">
        <f>'Case 3 data'!A50</f>
        <v>US526-12Mo</v>
      </c>
      <c r="B51" t="str">
        <f>'Case 3 data'!B50</f>
        <v>Terry</v>
      </c>
      <c r="C51" t="str">
        <f>'Case 3 data'!C50</f>
        <v>Coleman</v>
      </c>
      <c r="D51" t="str" cm="1">
        <f t="array" ref="D51">LEFT($A51,MIN(FIND({0;1;2;3;4;5;6;7;8;9},$A51&amp;"0123456789"))-1)</f>
        <v>US</v>
      </c>
      <c r="E51" t="str" cm="1">
        <f t="array" ref="E51">MID($A51,MIN(FIND({0;1;2;3;4;5;6;7;8;9},$A51&amp;"0123456789")),FIND("-",$A51)-MIN(FIND({0;1;2;3;4;5;6;7;8;9},$A51&amp;"0123456789")))</f>
        <v>526</v>
      </c>
      <c r="F51" t="str">
        <f t="shared" si="0"/>
        <v>12</v>
      </c>
      <c r="G51" t="str">
        <f t="shared" si="1"/>
        <v>Mo</v>
      </c>
      <c r="H51" t="str">
        <f t="shared" si="2"/>
        <v>US-12</v>
      </c>
      <c r="J51" t="s">
        <v>142</v>
      </c>
      <c r="K51" t="s">
        <v>1523</v>
      </c>
      <c r="L51">
        <v>526</v>
      </c>
      <c r="M51">
        <v>12</v>
      </c>
      <c r="N51" t="s">
        <v>1530</v>
      </c>
      <c r="O51" t="s">
        <v>1567</v>
      </c>
    </row>
    <row r="52" spans="1:15" x14ac:dyDescent="0.3">
      <c r="A52" t="str">
        <f>'Case 3 data'!A51</f>
        <v>Japan585-6M</v>
      </c>
      <c r="B52" t="str">
        <f>'Case 3 data'!B51</f>
        <v>Kathleen</v>
      </c>
      <c r="C52" t="str">
        <f>'Case 3 data'!C51</f>
        <v>Garcia</v>
      </c>
      <c r="D52" t="str" cm="1">
        <f t="array" ref="D52">LEFT($A52,MIN(FIND({0;1;2;3;4;5;6;7;8;9},$A52&amp;"0123456789"))-1)</f>
        <v>Japan</v>
      </c>
      <c r="E52" t="str" cm="1">
        <f t="array" ref="E52">MID($A52,MIN(FIND({0;1;2;3;4;5;6;7;8;9},$A52&amp;"0123456789")),FIND("-",$A52)-MIN(FIND({0;1;2;3;4;5;6;7;8;9},$A52&amp;"0123456789")))</f>
        <v>585</v>
      </c>
      <c r="F52" t="str">
        <f t="shared" si="0"/>
        <v>6</v>
      </c>
      <c r="G52" t="str">
        <f t="shared" si="1"/>
        <v>M</v>
      </c>
      <c r="H52" t="str">
        <f t="shared" si="2"/>
        <v>Japan-6</v>
      </c>
      <c r="J52" t="s">
        <v>145</v>
      </c>
      <c r="K52" t="s">
        <v>1523</v>
      </c>
      <c r="L52">
        <v>585</v>
      </c>
      <c r="M52">
        <v>6</v>
      </c>
      <c r="N52" t="s">
        <v>1531</v>
      </c>
      <c r="O52" t="s">
        <v>1540</v>
      </c>
    </row>
    <row r="53" spans="1:15" x14ac:dyDescent="0.3">
      <c r="A53" t="str">
        <f>'Case 3 data'!A52</f>
        <v>ENG398-15M</v>
      </c>
      <c r="B53" t="str">
        <f>'Case 3 data'!B52</f>
        <v>Raul</v>
      </c>
      <c r="C53" t="str">
        <f>'Case 3 data'!C52</f>
        <v>Brewer</v>
      </c>
      <c r="D53" t="str" cm="1">
        <f t="array" ref="D53">LEFT($A53,MIN(FIND({0;1;2;3;4;5;6;7;8;9},$A53&amp;"0123456789"))-1)</f>
        <v>ENG</v>
      </c>
      <c r="E53" t="str" cm="1">
        <f t="array" ref="E53">MID($A53,MIN(FIND({0;1;2;3;4;5;6;7;8;9},$A53&amp;"0123456789")),FIND("-",$A53)-MIN(FIND({0;1;2;3;4;5;6;7;8;9},$A53&amp;"0123456789")))</f>
        <v>398</v>
      </c>
      <c r="F53" t="str">
        <f t="shared" si="0"/>
        <v>15</v>
      </c>
      <c r="G53" t="str">
        <f t="shared" si="1"/>
        <v>M</v>
      </c>
      <c r="H53" t="str">
        <f t="shared" si="2"/>
        <v>ENG-15</v>
      </c>
      <c r="J53" t="s">
        <v>148</v>
      </c>
      <c r="K53" t="s">
        <v>1521</v>
      </c>
      <c r="L53">
        <v>398</v>
      </c>
      <c r="M53">
        <v>15</v>
      </c>
      <c r="N53" t="s">
        <v>1531</v>
      </c>
      <c r="O53" t="s">
        <v>1568</v>
      </c>
    </row>
    <row r="54" spans="1:15" x14ac:dyDescent="0.3">
      <c r="A54" t="str">
        <f>'Case 3 data'!A53</f>
        <v>Japan320-14Mo</v>
      </c>
      <c r="B54" t="str">
        <f>'Case 3 data'!B53</f>
        <v>Peter</v>
      </c>
      <c r="C54" t="str">
        <f>'Case 3 data'!C53</f>
        <v>Thompson</v>
      </c>
      <c r="D54" t="str" cm="1">
        <f t="array" ref="D54">LEFT($A54,MIN(FIND({0;1;2;3;4;5;6;7;8;9},$A54&amp;"0123456789"))-1)</f>
        <v>Japan</v>
      </c>
      <c r="E54" t="str" cm="1">
        <f t="array" ref="E54">MID($A54,MIN(FIND({0;1;2;3;4;5;6;7;8;9},$A54&amp;"0123456789")),FIND("-",$A54)-MIN(FIND({0;1;2;3;4;5;6;7;8;9},$A54&amp;"0123456789")))</f>
        <v>320</v>
      </c>
      <c r="F54" t="str">
        <f t="shared" si="0"/>
        <v>14</v>
      </c>
      <c r="G54" t="str">
        <f t="shared" si="1"/>
        <v>Mo</v>
      </c>
      <c r="H54" t="str">
        <f t="shared" si="2"/>
        <v>Japan-14</v>
      </c>
      <c r="J54" t="s">
        <v>151</v>
      </c>
      <c r="K54" t="str">
        <f t="shared" ref="K54:K117" si="12">LEFT(A54,3)</f>
        <v>Jap</v>
      </c>
      <c r="L54">
        <v>320</v>
      </c>
      <c r="M54">
        <v>14</v>
      </c>
      <c r="N54" t="s">
        <v>1530</v>
      </c>
      <c r="O54" t="s">
        <v>1569</v>
      </c>
    </row>
    <row r="55" spans="1:15" x14ac:dyDescent="0.3">
      <c r="A55" t="str">
        <f>'Case 3 data'!A54</f>
        <v>US141-2W</v>
      </c>
      <c r="B55" t="str">
        <f>'Case 3 data'!B54</f>
        <v>Theo</v>
      </c>
      <c r="C55" t="str">
        <f>'Case 3 data'!C54</f>
        <v>Vo</v>
      </c>
      <c r="D55" t="str" cm="1">
        <f t="array" ref="D55">LEFT($A55,MIN(FIND({0;1;2;3;4;5;6;7;8;9},$A55&amp;"0123456789"))-1)</f>
        <v>US</v>
      </c>
      <c r="E55" t="str" cm="1">
        <f t="array" ref="E55">MID($A55,MIN(FIND({0;1;2;3;4;5;6;7;8;9},$A55&amp;"0123456789")),FIND("-",$A55)-MIN(FIND({0;1;2;3;4;5;6;7;8;9},$A55&amp;"0123456789")))</f>
        <v>141</v>
      </c>
      <c r="F55" t="str">
        <f t="shared" si="0"/>
        <v>2</v>
      </c>
      <c r="G55" t="str">
        <f t="shared" si="1"/>
        <v>W</v>
      </c>
      <c r="H55" t="str">
        <f t="shared" si="2"/>
        <v>US-2</v>
      </c>
      <c r="J55" t="s">
        <v>154</v>
      </c>
      <c r="K55" t="s">
        <v>1522</v>
      </c>
      <c r="L55">
        <v>141</v>
      </c>
      <c r="M55">
        <v>2</v>
      </c>
      <c r="N55" t="s">
        <v>1532</v>
      </c>
      <c r="O55" t="s">
        <v>1534</v>
      </c>
    </row>
    <row r="56" spans="1:15" x14ac:dyDescent="0.3">
      <c r="A56" t="str">
        <f>'Case 3 data'!A55</f>
        <v>Canada329-4W</v>
      </c>
      <c r="B56" t="str">
        <f>'Case 3 data'!B55</f>
        <v>Luanne</v>
      </c>
      <c r="C56" t="str">
        <f>'Case 3 data'!C55</f>
        <v>Farr</v>
      </c>
      <c r="D56" t="str" cm="1">
        <f t="array" ref="D56">LEFT($A56,MIN(FIND({0;1;2;3;4;5;6;7;8;9},$A56&amp;"0123456789"))-1)</f>
        <v>Canada</v>
      </c>
      <c r="E56" t="str" cm="1">
        <f t="array" ref="E56">MID($A56,MIN(FIND({0;1;2;3;4;5;6;7;8;9},$A56&amp;"0123456789")),FIND("-",$A56)-MIN(FIND({0;1;2;3;4;5;6;7;8;9},$A56&amp;"0123456789")))</f>
        <v>329</v>
      </c>
      <c r="F56" t="str">
        <f t="shared" si="0"/>
        <v>4</v>
      </c>
      <c r="G56" t="str">
        <f t="shared" si="1"/>
        <v>W</v>
      </c>
      <c r="H56" t="str">
        <f t="shared" si="2"/>
        <v>Canada-4</v>
      </c>
      <c r="J56" t="s">
        <v>157</v>
      </c>
      <c r="K56" t="s">
        <v>1523</v>
      </c>
      <c r="L56">
        <v>329</v>
      </c>
      <c r="M56">
        <v>4</v>
      </c>
      <c r="N56" t="s">
        <v>1532</v>
      </c>
      <c r="O56" t="s">
        <v>1564</v>
      </c>
    </row>
    <row r="57" spans="1:15" x14ac:dyDescent="0.3">
      <c r="A57" t="str">
        <f>'Case 3 data'!A56</f>
        <v>ARG421-16Mo</v>
      </c>
      <c r="B57" t="str">
        <f>'Case 3 data'!B56</f>
        <v>Larry</v>
      </c>
      <c r="C57" t="str">
        <f>'Case 3 data'!C56</f>
        <v>Ward</v>
      </c>
      <c r="D57" t="str" cm="1">
        <f t="array" ref="D57">LEFT($A57,MIN(FIND({0;1;2;3;4;5;6;7;8;9},$A57&amp;"0123456789"))-1)</f>
        <v>ARG</v>
      </c>
      <c r="E57" t="str" cm="1">
        <f t="array" ref="E57">MID($A57,MIN(FIND({0;1;2;3;4;5;6;7;8;9},$A57&amp;"0123456789")),FIND("-",$A57)-MIN(FIND({0;1;2;3;4;5;6;7;8;9},$A57&amp;"0123456789")))</f>
        <v>421</v>
      </c>
      <c r="F57" t="str">
        <f t="shared" si="0"/>
        <v>16</v>
      </c>
      <c r="G57" t="str">
        <f t="shared" si="1"/>
        <v>Mo</v>
      </c>
      <c r="H57" t="str">
        <f t="shared" si="2"/>
        <v>ARG-16</v>
      </c>
      <c r="J57" t="s">
        <v>160</v>
      </c>
      <c r="K57" t="s">
        <v>1523</v>
      </c>
      <c r="L57">
        <v>421</v>
      </c>
      <c r="M57">
        <v>16</v>
      </c>
      <c r="N57" t="s">
        <v>1530</v>
      </c>
      <c r="O57" t="s">
        <v>1570</v>
      </c>
    </row>
    <row r="58" spans="1:15" x14ac:dyDescent="0.3">
      <c r="A58" t="str">
        <f>'Case 3 data'!A57</f>
        <v>ARG427-13Mo</v>
      </c>
      <c r="B58" t="str">
        <f>'Case 3 data'!B57</f>
        <v>Linda</v>
      </c>
      <c r="C58" t="str">
        <f>'Case 3 data'!C57</f>
        <v>Peterson</v>
      </c>
      <c r="D58" t="str" cm="1">
        <f t="array" ref="D58">LEFT($A58,MIN(FIND({0;1;2;3;4;5;6;7;8;9},$A58&amp;"0123456789"))-1)</f>
        <v>ARG</v>
      </c>
      <c r="E58" t="str" cm="1">
        <f t="array" ref="E58">MID($A58,MIN(FIND({0;1;2;3;4;5;6;7;8;9},$A58&amp;"0123456789")),FIND("-",$A58)-MIN(FIND({0;1;2;3;4;5;6;7;8;9},$A58&amp;"0123456789")))</f>
        <v>427</v>
      </c>
      <c r="F58" t="str">
        <f t="shared" si="0"/>
        <v>13</v>
      </c>
      <c r="G58" t="str">
        <f t="shared" si="1"/>
        <v>Mo</v>
      </c>
      <c r="H58" t="str">
        <f t="shared" si="2"/>
        <v>ARG-13</v>
      </c>
      <c r="J58" t="s">
        <v>162</v>
      </c>
      <c r="K58" t="s">
        <v>1521</v>
      </c>
      <c r="L58">
        <v>427</v>
      </c>
      <c r="M58">
        <v>13</v>
      </c>
      <c r="N58" t="s">
        <v>1530</v>
      </c>
      <c r="O58" t="s">
        <v>1571</v>
      </c>
    </row>
    <row r="59" spans="1:15" x14ac:dyDescent="0.3">
      <c r="A59" t="str">
        <f>'Case 3 data'!A58</f>
        <v>GER220-4M</v>
      </c>
      <c r="B59" t="str">
        <f>'Case 3 data'!B58</f>
        <v>Titus</v>
      </c>
      <c r="C59" t="str">
        <f>'Case 3 data'!C58</f>
        <v>Maclean</v>
      </c>
      <c r="D59" t="str" cm="1">
        <f t="array" ref="D59">LEFT($A59,MIN(FIND({0;1;2;3;4;5;6;7;8;9},$A59&amp;"0123456789"))-1)</f>
        <v>GER</v>
      </c>
      <c r="E59" t="str" cm="1">
        <f t="array" ref="E59">MID($A59,MIN(FIND({0;1;2;3;4;5;6;7;8;9},$A59&amp;"0123456789")),FIND("-",$A59)-MIN(FIND({0;1;2;3;4;5;6;7;8;9},$A59&amp;"0123456789")))</f>
        <v>220</v>
      </c>
      <c r="F59" t="str">
        <f t="shared" si="0"/>
        <v>4</v>
      </c>
      <c r="G59" t="str">
        <f t="shared" si="1"/>
        <v>M</v>
      </c>
      <c r="H59" t="str">
        <f t="shared" si="2"/>
        <v>GER-4</v>
      </c>
      <c r="J59" t="s">
        <v>165</v>
      </c>
      <c r="K59" t="str">
        <f t="shared" ref="K59:K122" si="13">LEFT(A59,3)</f>
        <v>GER</v>
      </c>
      <c r="L59">
        <v>220</v>
      </c>
      <c r="M59">
        <v>4</v>
      </c>
      <c r="N59" t="s">
        <v>1531</v>
      </c>
      <c r="O59" t="s">
        <v>1564</v>
      </c>
    </row>
    <row r="60" spans="1:15" x14ac:dyDescent="0.3">
      <c r="A60" t="str">
        <f>'Case 3 data'!A59</f>
        <v>MEX223-8M</v>
      </c>
      <c r="B60" t="str">
        <f>'Case 3 data'!B59</f>
        <v>Norman</v>
      </c>
      <c r="C60" t="str">
        <f>'Case 3 data'!C59</f>
        <v>Henderson</v>
      </c>
      <c r="D60" t="str" cm="1">
        <f t="array" ref="D60">LEFT($A60,MIN(FIND({0;1;2;3;4;5;6;7;8;9},$A60&amp;"0123456789"))-1)</f>
        <v>MEX</v>
      </c>
      <c r="E60" t="str" cm="1">
        <f t="array" ref="E60">MID($A60,MIN(FIND({0;1;2;3;4;5;6;7;8;9},$A60&amp;"0123456789")),FIND("-",$A60)-MIN(FIND({0;1;2;3;4;5;6;7;8;9},$A60&amp;"0123456789")))</f>
        <v>223</v>
      </c>
      <c r="F60" t="str">
        <f t="shared" si="0"/>
        <v>8</v>
      </c>
      <c r="G60" t="str">
        <f t="shared" si="1"/>
        <v>M</v>
      </c>
      <c r="H60" t="str">
        <f t="shared" si="2"/>
        <v>MEX-8</v>
      </c>
      <c r="J60" t="s">
        <v>168</v>
      </c>
      <c r="K60" t="s">
        <v>1522</v>
      </c>
      <c r="L60">
        <v>223</v>
      </c>
      <c r="M60">
        <v>8</v>
      </c>
      <c r="N60" t="s">
        <v>1531</v>
      </c>
      <c r="O60" t="s">
        <v>1543</v>
      </c>
    </row>
    <row r="61" spans="1:15" x14ac:dyDescent="0.3">
      <c r="A61" t="str">
        <f>'Case 3 data'!A60</f>
        <v>US257-17M</v>
      </c>
      <c r="B61" t="str">
        <f>'Case 3 data'!B60</f>
        <v>Elmira</v>
      </c>
      <c r="C61" t="str">
        <f>'Case 3 data'!C60</f>
        <v>Sommers</v>
      </c>
      <c r="D61" t="str" cm="1">
        <f t="array" ref="D61">LEFT($A61,MIN(FIND({0;1;2;3;4;5;6;7;8;9},$A61&amp;"0123456789"))-1)</f>
        <v>US</v>
      </c>
      <c r="E61" t="str" cm="1">
        <f t="array" ref="E61">MID($A61,MIN(FIND({0;1;2;3;4;5;6;7;8;9},$A61&amp;"0123456789")),FIND("-",$A61)-MIN(FIND({0;1;2;3;4;5;6;7;8;9},$A61&amp;"0123456789")))</f>
        <v>257</v>
      </c>
      <c r="F61" t="str">
        <f t="shared" si="0"/>
        <v>17</v>
      </c>
      <c r="G61" t="str">
        <f t="shared" si="1"/>
        <v>M</v>
      </c>
      <c r="H61" t="str">
        <f t="shared" si="2"/>
        <v>US-17</v>
      </c>
      <c r="J61" t="s">
        <v>171</v>
      </c>
      <c r="K61" t="s">
        <v>1523</v>
      </c>
      <c r="L61">
        <v>257</v>
      </c>
      <c r="M61">
        <v>17</v>
      </c>
      <c r="N61" t="s">
        <v>1531</v>
      </c>
      <c r="O61" t="s">
        <v>1572</v>
      </c>
    </row>
    <row r="62" spans="1:15" x14ac:dyDescent="0.3">
      <c r="A62" t="str">
        <f>'Case 3 data'!A61</f>
        <v>Canada289-15W</v>
      </c>
      <c r="B62" t="str">
        <f>'Case 3 data'!B61</f>
        <v>Kelly</v>
      </c>
      <c r="C62" t="str">
        <f>'Case 3 data'!C61</f>
        <v>Mitchell</v>
      </c>
      <c r="D62" t="str" cm="1">
        <f t="array" ref="D62">LEFT($A62,MIN(FIND({0;1;2;3;4;5;6;7;8;9},$A62&amp;"0123456789"))-1)</f>
        <v>Canada</v>
      </c>
      <c r="E62" t="str" cm="1">
        <f t="array" ref="E62">MID($A62,MIN(FIND({0;1;2;3;4;5;6;7;8;9},$A62&amp;"0123456789")),FIND("-",$A62)-MIN(FIND({0;1;2;3;4;5;6;7;8;9},$A62&amp;"0123456789")))</f>
        <v>289</v>
      </c>
      <c r="F62" t="str">
        <f t="shared" si="0"/>
        <v>15</v>
      </c>
      <c r="G62" t="str">
        <f t="shared" si="1"/>
        <v>W</v>
      </c>
      <c r="H62" t="str">
        <f t="shared" si="2"/>
        <v>Canada-15</v>
      </c>
      <c r="J62" t="s">
        <v>174</v>
      </c>
      <c r="K62" t="s">
        <v>1523</v>
      </c>
      <c r="L62">
        <v>289</v>
      </c>
      <c r="M62">
        <v>15</v>
      </c>
      <c r="N62" t="s">
        <v>1532</v>
      </c>
      <c r="O62" t="s">
        <v>1558</v>
      </c>
    </row>
    <row r="63" spans="1:15" x14ac:dyDescent="0.3">
      <c r="A63" t="str">
        <f>'Case 3 data'!A62</f>
        <v>US98-6Mo</v>
      </c>
      <c r="B63" t="str">
        <f>'Case 3 data'!B62</f>
        <v>Minnie</v>
      </c>
      <c r="C63" t="str">
        <f>'Case 3 data'!C62</f>
        <v>Snyder</v>
      </c>
      <c r="D63" t="str" cm="1">
        <f t="array" ref="D63">LEFT($A63,MIN(FIND({0;1;2;3;4;5;6;7;8;9},$A63&amp;"0123456789"))-1)</f>
        <v>US</v>
      </c>
      <c r="E63" t="str" cm="1">
        <f t="array" ref="E63">MID($A63,MIN(FIND({0;1;2;3;4;5;6;7;8;9},$A63&amp;"0123456789")),FIND("-",$A63)-MIN(FIND({0;1;2;3;4;5;6;7;8;9},$A63&amp;"0123456789")))</f>
        <v>98</v>
      </c>
      <c r="F63" t="str">
        <f t="shared" si="0"/>
        <v>6</v>
      </c>
      <c r="G63" t="str">
        <f t="shared" si="1"/>
        <v>Mo</v>
      </c>
      <c r="H63" t="str">
        <f t="shared" si="2"/>
        <v>US-6</v>
      </c>
      <c r="J63" t="s">
        <v>176</v>
      </c>
      <c r="K63" t="s">
        <v>1521</v>
      </c>
      <c r="L63">
        <v>98</v>
      </c>
      <c r="M63">
        <v>6</v>
      </c>
      <c r="N63" t="s">
        <v>1530</v>
      </c>
      <c r="O63" t="s">
        <v>1561</v>
      </c>
    </row>
    <row r="64" spans="1:15" x14ac:dyDescent="0.3">
      <c r="A64" t="str">
        <f>'Case 3 data'!A63</f>
        <v>AUS24-7W</v>
      </c>
      <c r="B64" t="str">
        <f>'Case 3 data'!B63</f>
        <v>Selina</v>
      </c>
      <c r="C64" t="str">
        <f>'Case 3 data'!C63</f>
        <v>Varela</v>
      </c>
      <c r="D64" t="str" cm="1">
        <f t="array" ref="D64">LEFT($A64,MIN(FIND({0;1;2;3;4;5;6;7;8;9},$A64&amp;"0123456789"))-1)</f>
        <v>AUS</v>
      </c>
      <c r="E64" t="str" cm="1">
        <f t="array" ref="E64">MID($A64,MIN(FIND({0;1;2;3;4;5;6;7;8;9},$A64&amp;"0123456789")),FIND("-",$A64)-MIN(FIND({0;1;2;3;4;5;6;7;8;9},$A64&amp;"0123456789")))</f>
        <v>24</v>
      </c>
      <c r="F64" t="str">
        <f t="shared" si="0"/>
        <v>7</v>
      </c>
      <c r="G64" t="str">
        <f t="shared" si="1"/>
        <v>W</v>
      </c>
      <c r="H64" t="str">
        <f t="shared" si="2"/>
        <v>AUS-7</v>
      </c>
      <c r="J64" t="s">
        <v>179</v>
      </c>
      <c r="K64" t="str">
        <f t="shared" ref="K64:K127" si="14">LEFT(A64,3)</f>
        <v>AUS</v>
      </c>
      <c r="L64">
        <v>24</v>
      </c>
      <c r="M64">
        <v>7</v>
      </c>
      <c r="N64" t="s">
        <v>1532</v>
      </c>
      <c r="O64" t="s">
        <v>1548</v>
      </c>
    </row>
    <row r="65" spans="1:15" x14ac:dyDescent="0.3">
      <c r="A65" t="str">
        <f>'Case 3 data'!A64</f>
        <v>ENG557-4W</v>
      </c>
      <c r="B65" t="str">
        <f>'Case 3 data'!B64</f>
        <v>Lelia</v>
      </c>
      <c r="C65" t="str">
        <f>'Case 3 data'!C64</f>
        <v>Wentz</v>
      </c>
      <c r="D65" t="str" cm="1">
        <f t="array" ref="D65">LEFT($A65,MIN(FIND({0;1;2;3;4;5;6;7;8;9},$A65&amp;"0123456789"))-1)</f>
        <v>ENG</v>
      </c>
      <c r="E65" t="str" cm="1">
        <f t="array" ref="E65">MID($A65,MIN(FIND({0;1;2;3;4;5;6;7;8;9},$A65&amp;"0123456789")),FIND("-",$A65)-MIN(FIND({0;1;2;3;4;5;6;7;8;9},$A65&amp;"0123456789")))</f>
        <v>557</v>
      </c>
      <c r="F65" t="str">
        <f t="shared" si="0"/>
        <v>4</v>
      </c>
      <c r="G65" t="str">
        <f t="shared" si="1"/>
        <v>W</v>
      </c>
      <c r="H65" t="str">
        <f t="shared" si="2"/>
        <v>ENG-4</v>
      </c>
      <c r="J65" t="s">
        <v>182</v>
      </c>
      <c r="K65" t="s">
        <v>1522</v>
      </c>
      <c r="L65">
        <v>557</v>
      </c>
      <c r="M65">
        <v>4</v>
      </c>
      <c r="N65" t="s">
        <v>1532</v>
      </c>
      <c r="O65" t="s">
        <v>1573</v>
      </c>
    </row>
    <row r="66" spans="1:15" x14ac:dyDescent="0.3">
      <c r="A66" t="str">
        <f>'Case 3 data'!A65</f>
        <v>AUS34-16Mo</v>
      </c>
      <c r="B66" t="str">
        <f>'Case 3 data'!B65</f>
        <v>Jaunita</v>
      </c>
      <c r="C66" t="str">
        <f>'Case 3 data'!C65</f>
        <v>Laird</v>
      </c>
      <c r="D66" t="str" cm="1">
        <f t="array" ref="D66">LEFT($A66,MIN(FIND({0;1;2;3;4;5;6;7;8;9},$A66&amp;"0123456789"))-1)</f>
        <v>AUS</v>
      </c>
      <c r="E66" t="str" cm="1">
        <f t="array" ref="E66">MID($A66,MIN(FIND({0;1;2;3;4;5;6;7;8;9},$A66&amp;"0123456789")),FIND("-",$A66)-MIN(FIND({0;1;2;3;4;5;6;7;8;9},$A66&amp;"0123456789")))</f>
        <v>34</v>
      </c>
      <c r="F66" t="str">
        <f t="shared" si="0"/>
        <v>16</v>
      </c>
      <c r="G66" t="str">
        <f t="shared" si="1"/>
        <v>Mo</v>
      </c>
      <c r="H66" t="str">
        <f t="shared" si="2"/>
        <v>AUS-16</v>
      </c>
      <c r="J66" t="s">
        <v>185</v>
      </c>
      <c r="K66" t="s">
        <v>1523</v>
      </c>
      <c r="L66">
        <v>34</v>
      </c>
      <c r="M66">
        <v>16</v>
      </c>
      <c r="N66" t="s">
        <v>1530</v>
      </c>
      <c r="O66" t="s">
        <v>1570</v>
      </c>
    </row>
    <row r="67" spans="1:15" x14ac:dyDescent="0.3">
      <c r="A67" t="str">
        <f>'Case 3 data'!A66</f>
        <v>GER38-15M</v>
      </c>
      <c r="B67" t="str">
        <f>'Case 3 data'!B66</f>
        <v>Leona</v>
      </c>
      <c r="C67" t="str">
        <f>'Case 3 data'!C66</f>
        <v>Thompson</v>
      </c>
      <c r="D67" t="str" cm="1">
        <f t="array" ref="D67">LEFT($A67,MIN(FIND({0;1;2;3;4;5;6;7;8;9},$A67&amp;"0123456789"))-1)</f>
        <v>GER</v>
      </c>
      <c r="E67" t="str" cm="1">
        <f t="array" ref="E67">MID($A67,MIN(FIND({0;1;2;3;4;5;6;7;8;9},$A67&amp;"0123456789")),FIND("-",$A67)-MIN(FIND({0;1;2;3;4;5;6;7;8;9},$A67&amp;"0123456789")))</f>
        <v>38</v>
      </c>
      <c r="F67" t="str">
        <f t="shared" si="0"/>
        <v>15</v>
      </c>
      <c r="G67" t="str">
        <f t="shared" si="1"/>
        <v>M</v>
      </c>
      <c r="H67" t="str">
        <f t="shared" si="2"/>
        <v>GER-15</v>
      </c>
      <c r="J67" t="s">
        <v>188</v>
      </c>
      <c r="K67" t="s">
        <v>1523</v>
      </c>
      <c r="L67">
        <v>38</v>
      </c>
      <c r="M67">
        <v>15</v>
      </c>
      <c r="N67" t="s">
        <v>1531</v>
      </c>
      <c r="O67" t="s">
        <v>1558</v>
      </c>
    </row>
    <row r="68" spans="1:15" x14ac:dyDescent="0.3">
      <c r="A68" t="str">
        <f>'Case 3 data'!A67</f>
        <v>GER79-15W</v>
      </c>
      <c r="B68" t="str">
        <f>'Case 3 data'!B67</f>
        <v>Regina</v>
      </c>
      <c r="C68" t="str">
        <f>'Case 3 data'!C67</f>
        <v>Hodges</v>
      </c>
      <c r="D68" t="str" cm="1">
        <f t="array" ref="D68">LEFT($A68,MIN(FIND({0;1;2;3;4;5;6;7;8;9},$A68&amp;"0123456789"))-1)</f>
        <v>GER</v>
      </c>
      <c r="E68" t="str" cm="1">
        <f t="array" ref="E68">MID($A68,MIN(FIND({0;1;2;3;4;5;6;7;8;9},$A68&amp;"0123456789")),FIND("-",$A68)-MIN(FIND({0;1;2;3;4;5;6;7;8;9},$A68&amp;"0123456789")))</f>
        <v>79</v>
      </c>
      <c r="F68" t="str">
        <f t="shared" ref="F68:F131" si="15">MID($A68,FIND("-",$A68)+1,LEN($A68)-FIND("-",$A68)-LEN($G68))</f>
        <v>15</v>
      </c>
      <c r="G68" t="str">
        <f t="shared" ref="G68:G131" si="16">IF(RIGHT($A68,2)="Mo","Mo",RIGHT($A68,1))</f>
        <v>W</v>
      </c>
      <c r="H68" t="str">
        <f t="shared" ref="H68:H131" si="17">D68&amp;"-"&amp;F68</f>
        <v>GER-15</v>
      </c>
      <c r="J68" t="s">
        <v>190</v>
      </c>
      <c r="K68" t="s">
        <v>1521</v>
      </c>
      <c r="L68">
        <v>79</v>
      </c>
      <c r="M68">
        <v>15</v>
      </c>
      <c r="N68" t="s">
        <v>1532</v>
      </c>
      <c r="O68" t="s">
        <v>1568</v>
      </c>
    </row>
    <row r="69" spans="1:15" x14ac:dyDescent="0.3">
      <c r="A69" t="str">
        <f>'Case 3 data'!A68</f>
        <v>AUS385-1W</v>
      </c>
      <c r="B69" t="str">
        <f>'Case 3 data'!B68</f>
        <v>Clarence</v>
      </c>
      <c r="C69" t="str">
        <f>'Case 3 data'!C68</f>
        <v>Collins</v>
      </c>
      <c r="D69" t="str" cm="1">
        <f t="array" ref="D69">LEFT($A69,MIN(FIND({0;1;2;3;4;5;6;7;8;9},$A69&amp;"0123456789"))-1)</f>
        <v>AUS</v>
      </c>
      <c r="E69" t="str" cm="1">
        <f t="array" ref="E69">MID($A69,MIN(FIND({0;1;2;3;4;5;6;7;8;9},$A69&amp;"0123456789")),FIND("-",$A69)-MIN(FIND({0;1;2;3;4;5;6;7;8;9},$A69&amp;"0123456789")))</f>
        <v>385</v>
      </c>
      <c r="F69" t="str">
        <f t="shared" si="15"/>
        <v>1</v>
      </c>
      <c r="G69" t="str">
        <f t="shared" si="16"/>
        <v>W</v>
      </c>
      <c r="H69" t="str">
        <f t="shared" si="17"/>
        <v>AUS-1</v>
      </c>
      <c r="J69" t="s">
        <v>193</v>
      </c>
      <c r="K69" t="str">
        <f t="shared" ref="K69:K132" si="18">LEFT(A69,3)</f>
        <v>AUS</v>
      </c>
      <c r="L69">
        <v>385</v>
      </c>
      <c r="M69">
        <v>1</v>
      </c>
      <c r="N69" t="s">
        <v>1532</v>
      </c>
      <c r="O69" t="s">
        <v>1563</v>
      </c>
    </row>
    <row r="70" spans="1:15" x14ac:dyDescent="0.3">
      <c r="A70" t="str">
        <f>'Case 3 data'!A69</f>
        <v>AUS581-9M</v>
      </c>
      <c r="B70" t="str">
        <f>'Case 3 data'!B69</f>
        <v>Marie</v>
      </c>
      <c r="C70" t="str">
        <f>'Case 3 data'!C69</f>
        <v>Barnes</v>
      </c>
      <c r="D70" t="str" cm="1">
        <f t="array" ref="D70">LEFT($A70,MIN(FIND({0;1;2;3;4;5;6;7;8;9},$A70&amp;"0123456789"))-1)</f>
        <v>AUS</v>
      </c>
      <c r="E70" t="str" cm="1">
        <f t="array" ref="E70">MID($A70,MIN(FIND({0;1;2;3;4;5;6;7;8;9},$A70&amp;"0123456789")),FIND("-",$A70)-MIN(FIND({0;1;2;3;4;5;6;7;8;9},$A70&amp;"0123456789")))</f>
        <v>581</v>
      </c>
      <c r="F70" t="str">
        <f t="shared" si="15"/>
        <v>9</v>
      </c>
      <c r="G70" t="str">
        <f t="shared" si="16"/>
        <v>M</v>
      </c>
      <c r="H70" t="str">
        <f t="shared" si="17"/>
        <v>AUS-9</v>
      </c>
      <c r="J70" t="s">
        <v>196</v>
      </c>
      <c r="K70" t="s">
        <v>1522</v>
      </c>
      <c r="L70">
        <v>581</v>
      </c>
      <c r="M70">
        <v>9</v>
      </c>
      <c r="N70" t="s">
        <v>1531</v>
      </c>
      <c r="O70" t="s">
        <v>1557</v>
      </c>
    </row>
    <row r="71" spans="1:15" x14ac:dyDescent="0.3">
      <c r="A71" t="str">
        <f>'Case 3 data'!A70</f>
        <v>US349-9M</v>
      </c>
      <c r="B71" t="str">
        <f>'Case 3 data'!B70</f>
        <v>Jennifer</v>
      </c>
      <c r="C71" t="str">
        <f>'Case 3 data'!C70</f>
        <v>Cox</v>
      </c>
      <c r="D71" t="str" cm="1">
        <f t="array" ref="D71">LEFT($A71,MIN(FIND({0;1;2;3;4;5;6;7;8;9},$A71&amp;"0123456789"))-1)</f>
        <v>US</v>
      </c>
      <c r="E71" t="str" cm="1">
        <f t="array" ref="E71">MID($A71,MIN(FIND({0;1;2;3;4;5;6;7;8;9},$A71&amp;"0123456789")),FIND("-",$A71)-MIN(FIND({0;1;2;3;4;5;6;7;8;9},$A71&amp;"0123456789")))</f>
        <v>349</v>
      </c>
      <c r="F71" t="str">
        <f t="shared" si="15"/>
        <v>9</v>
      </c>
      <c r="G71" t="str">
        <f t="shared" si="16"/>
        <v>M</v>
      </c>
      <c r="H71" t="str">
        <f t="shared" si="17"/>
        <v>US-9</v>
      </c>
      <c r="J71" t="s">
        <v>198</v>
      </c>
      <c r="K71" t="s">
        <v>1523</v>
      </c>
      <c r="L71">
        <v>349</v>
      </c>
      <c r="M71">
        <v>9</v>
      </c>
      <c r="N71" t="s">
        <v>1531</v>
      </c>
      <c r="O71" t="s">
        <v>1544</v>
      </c>
    </row>
    <row r="72" spans="1:15" x14ac:dyDescent="0.3">
      <c r="A72" t="str">
        <f>'Case 3 data'!A71</f>
        <v>Canada429-8Mo</v>
      </c>
      <c r="B72" t="str">
        <f>'Case 3 data'!B71</f>
        <v>Virginia</v>
      </c>
      <c r="C72" t="str">
        <f>'Case 3 data'!C71</f>
        <v>Brooks</v>
      </c>
      <c r="D72" t="str" cm="1">
        <f t="array" ref="D72">LEFT($A72,MIN(FIND({0;1;2;3;4;5;6;7;8;9},$A72&amp;"0123456789"))-1)</f>
        <v>Canada</v>
      </c>
      <c r="E72" t="str" cm="1">
        <f t="array" ref="E72">MID($A72,MIN(FIND({0;1;2;3;4;5;6;7;8;9},$A72&amp;"0123456789")),FIND("-",$A72)-MIN(FIND({0;1;2;3;4;5;6;7;8;9},$A72&amp;"0123456789")))</f>
        <v>429</v>
      </c>
      <c r="F72" t="str">
        <f t="shared" si="15"/>
        <v>8</v>
      </c>
      <c r="G72" t="str">
        <f t="shared" si="16"/>
        <v>Mo</v>
      </c>
      <c r="H72" t="str">
        <f t="shared" si="17"/>
        <v>Canada-8</v>
      </c>
      <c r="J72" t="s">
        <v>201</v>
      </c>
      <c r="K72" t="s">
        <v>1523</v>
      </c>
      <c r="L72">
        <v>429</v>
      </c>
      <c r="M72">
        <v>8</v>
      </c>
      <c r="N72" t="s">
        <v>1530</v>
      </c>
      <c r="O72" t="s">
        <v>1574</v>
      </c>
    </row>
    <row r="73" spans="1:15" x14ac:dyDescent="0.3">
      <c r="A73" t="str">
        <f>'Case 3 data'!A72</f>
        <v>Canada99-3W</v>
      </c>
      <c r="B73" t="str">
        <f>'Case 3 data'!B72</f>
        <v>Cecile</v>
      </c>
      <c r="C73" t="str">
        <f>'Case 3 data'!C72</f>
        <v>Veal</v>
      </c>
      <c r="D73" t="str" cm="1">
        <f t="array" ref="D73">LEFT($A73,MIN(FIND({0;1;2;3;4;5;6;7;8;9},$A73&amp;"0123456789"))-1)</f>
        <v>Canada</v>
      </c>
      <c r="E73" t="str" cm="1">
        <f t="array" ref="E73">MID($A73,MIN(FIND({0;1;2;3;4;5;6;7;8;9},$A73&amp;"0123456789")),FIND("-",$A73)-MIN(FIND({0;1;2;3;4;5;6;7;8;9},$A73&amp;"0123456789")))</f>
        <v>99</v>
      </c>
      <c r="F73" t="str">
        <f t="shared" si="15"/>
        <v>3</v>
      </c>
      <c r="G73" t="str">
        <f t="shared" si="16"/>
        <v>W</v>
      </c>
      <c r="H73" t="str">
        <f t="shared" si="17"/>
        <v>Canada-3</v>
      </c>
      <c r="J73" t="s">
        <v>204</v>
      </c>
      <c r="K73" t="s">
        <v>1521</v>
      </c>
      <c r="L73">
        <v>99</v>
      </c>
      <c r="M73">
        <v>3</v>
      </c>
      <c r="N73" t="s">
        <v>1532</v>
      </c>
      <c r="O73" t="s">
        <v>1533</v>
      </c>
    </row>
    <row r="74" spans="1:15" x14ac:dyDescent="0.3">
      <c r="A74" t="str">
        <f>'Case 3 data'!A73</f>
        <v>US373-14M</v>
      </c>
      <c r="B74" t="str">
        <f>'Case 3 data'!B73</f>
        <v>Harry</v>
      </c>
      <c r="C74" t="str">
        <f>'Case 3 data'!C73</f>
        <v>Clark</v>
      </c>
      <c r="D74" t="str" cm="1">
        <f t="array" ref="D74">LEFT($A74,MIN(FIND({0;1;2;3;4;5;6;7;8;9},$A74&amp;"0123456789"))-1)</f>
        <v>US</v>
      </c>
      <c r="E74" t="str" cm="1">
        <f t="array" ref="E74">MID($A74,MIN(FIND({0;1;2;3;4;5;6;7;8;9},$A74&amp;"0123456789")),FIND("-",$A74)-MIN(FIND({0;1;2;3;4;5;6;7;8;9},$A74&amp;"0123456789")))</f>
        <v>373</v>
      </c>
      <c r="F74" t="str">
        <f t="shared" si="15"/>
        <v>14</v>
      </c>
      <c r="G74" t="str">
        <f t="shared" si="16"/>
        <v>M</v>
      </c>
      <c r="H74" t="str">
        <f t="shared" si="17"/>
        <v>US-14</v>
      </c>
      <c r="J74" t="s">
        <v>207</v>
      </c>
      <c r="K74" t="str">
        <f t="shared" ref="K74:K137" si="19">LEFT(A74,3)</f>
        <v>US3</v>
      </c>
      <c r="L74">
        <v>373</v>
      </c>
      <c r="M74">
        <v>14</v>
      </c>
      <c r="N74" t="s">
        <v>1531</v>
      </c>
      <c r="O74" t="s">
        <v>1575</v>
      </c>
    </row>
    <row r="75" spans="1:15" x14ac:dyDescent="0.3">
      <c r="A75" t="str">
        <f>'Case 3 data'!A74</f>
        <v>US210-3W</v>
      </c>
      <c r="B75" t="str">
        <f>'Case 3 data'!B74</f>
        <v>Rebecca</v>
      </c>
      <c r="C75" t="str">
        <f>'Case 3 data'!C74</f>
        <v>Gomez</v>
      </c>
      <c r="D75" t="str" cm="1">
        <f t="array" ref="D75">LEFT($A75,MIN(FIND({0;1;2;3;4;5;6;7;8;9},$A75&amp;"0123456789"))-1)</f>
        <v>US</v>
      </c>
      <c r="E75" t="str" cm="1">
        <f t="array" ref="E75">MID($A75,MIN(FIND({0;1;2;3;4;5;6;7;8;9},$A75&amp;"0123456789")),FIND("-",$A75)-MIN(FIND({0;1;2;3;4;5;6;7;8;9},$A75&amp;"0123456789")))</f>
        <v>210</v>
      </c>
      <c r="F75" t="str">
        <f t="shared" si="15"/>
        <v>3</v>
      </c>
      <c r="G75" t="str">
        <f t="shared" si="16"/>
        <v>W</v>
      </c>
      <c r="H75" t="str">
        <f t="shared" si="17"/>
        <v>US-3</v>
      </c>
      <c r="J75" t="s">
        <v>210</v>
      </c>
      <c r="K75" t="s">
        <v>1522</v>
      </c>
      <c r="L75">
        <v>210</v>
      </c>
      <c r="M75">
        <v>3</v>
      </c>
      <c r="N75" t="s">
        <v>1532</v>
      </c>
      <c r="O75" t="s">
        <v>1576</v>
      </c>
    </row>
    <row r="76" spans="1:15" x14ac:dyDescent="0.3">
      <c r="A76" t="str">
        <f>'Case 3 data'!A75</f>
        <v>GER366-5W</v>
      </c>
      <c r="B76" t="str">
        <f>'Case 3 data'!B75</f>
        <v>Delilah</v>
      </c>
      <c r="C76" t="str">
        <f>'Case 3 data'!C75</f>
        <v>Eason</v>
      </c>
      <c r="D76" t="str" cm="1">
        <f t="array" ref="D76">LEFT($A76,MIN(FIND({0;1;2;3;4;5;6;7;8;9},$A76&amp;"0123456789"))-1)</f>
        <v>GER</v>
      </c>
      <c r="E76" t="str" cm="1">
        <f t="array" ref="E76">MID($A76,MIN(FIND({0;1;2;3;4;5;6;7;8;9},$A76&amp;"0123456789")),FIND("-",$A76)-MIN(FIND({0;1;2;3;4;5;6;7;8;9},$A76&amp;"0123456789")))</f>
        <v>366</v>
      </c>
      <c r="F76" t="str">
        <f t="shared" si="15"/>
        <v>5</v>
      </c>
      <c r="G76" t="str">
        <f t="shared" si="16"/>
        <v>W</v>
      </c>
      <c r="H76" t="str">
        <f t="shared" si="17"/>
        <v>GER-5</v>
      </c>
      <c r="J76" t="s">
        <v>213</v>
      </c>
      <c r="K76" t="s">
        <v>1523</v>
      </c>
      <c r="L76">
        <v>366</v>
      </c>
      <c r="M76">
        <v>5</v>
      </c>
      <c r="N76" t="s">
        <v>1532</v>
      </c>
      <c r="O76" t="s">
        <v>1577</v>
      </c>
    </row>
    <row r="77" spans="1:15" x14ac:dyDescent="0.3">
      <c r="A77" t="str">
        <f>'Case 3 data'!A76</f>
        <v>ARG30-10W</v>
      </c>
      <c r="B77" t="str">
        <f>'Case 3 data'!B76</f>
        <v>Victor</v>
      </c>
      <c r="C77" t="str">
        <f>'Case 3 data'!C76</f>
        <v>Smith</v>
      </c>
      <c r="D77" t="str" cm="1">
        <f t="array" ref="D77">LEFT($A77,MIN(FIND({0;1;2;3;4;5;6;7;8;9},$A77&amp;"0123456789"))-1)</f>
        <v>ARG</v>
      </c>
      <c r="E77" t="str" cm="1">
        <f t="array" ref="E77">MID($A77,MIN(FIND({0;1;2;3;4;5;6;7;8;9},$A77&amp;"0123456789")),FIND("-",$A77)-MIN(FIND({0;1;2;3;4;5;6;7;8;9},$A77&amp;"0123456789")))</f>
        <v>30</v>
      </c>
      <c r="F77" t="str">
        <f t="shared" si="15"/>
        <v>10</v>
      </c>
      <c r="G77" t="str">
        <f t="shared" si="16"/>
        <v>W</v>
      </c>
      <c r="H77" t="str">
        <f t="shared" si="17"/>
        <v>ARG-10</v>
      </c>
      <c r="J77" t="s">
        <v>216</v>
      </c>
      <c r="K77" t="s">
        <v>1523</v>
      </c>
      <c r="L77">
        <v>30</v>
      </c>
      <c r="M77">
        <v>10</v>
      </c>
      <c r="N77" t="s">
        <v>1532</v>
      </c>
      <c r="O77" t="s">
        <v>1545</v>
      </c>
    </row>
    <row r="78" spans="1:15" x14ac:dyDescent="0.3">
      <c r="A78" t="str">
        <f>'Case 3 data'!A77</f>
        <v>Japan132-16M</v>
      </c>
      <c r="B78" t="str">
        <f>'Case 3 data'!B77</f>
        <v>Marjory</v>
      </c>
      <c r="C78" t="str">
        <f>'Case 3 data'!C77</f>
        <v>Lovelace</v>
      </c>
      <c r="D78" t="str" cm="1">
        <f t="array" ref="D78">LEFT($A78,MIN(FIND({0;1;2;3;4;5;6;7;8;9},$A78&amp;"0123456789"))-1)</f>
        <v>Japan</v>
      </c>
      <c r="E78" t="str" cm="1">
        <f t="array" ref="E78">MID($A78,MIN(FIND({0;1;2;3;4;5;6;7;8;9},$A78&amp;"0123456789")),FIND("-",$A78)-MIN(FIND({0;1;2;3;4;5;6;7;8;9},$A78&amp;"0123456789")))</f>
        <v>132</v>
      </c>
      <c r="F78" t="str">
        <f t="shared" si="15"/>
        <v>16</v>
      </c>
      <c r="G78" t="str">
        <f t="shared" si="16"/>
        <v>M</v>
      </c>
      <c r="H78" t="str">
        <f t="shared" si="17"/>
        <v>Japan-16</v>
      </c>
      <c r="J78" t="s">
        <v>219</v>
      </c>
      <c r="K78" t="s">
        <v>1521</v>
      </c>
      <c r="L78">
        <v>132</v>
      </c>
      <c r="M78">
        <v>16</v>
      </c>
      <c r="N78" t="s">
        <v>1531</v>
      </c>
      <c r="O78" t="s">
        <v>1578</v>
      </c>
    </row>
    <row r="79" spans="1:15" x14ac:dyDescent="0.3">
      <c r="A79" t="str">
        <f>'Case 3 data'!A78</f>
        <v>AUS130-17M</v>
      </c>
      <c r="B79" t="str">
        <f>'Case 3 data'!B78</f>
        <v>Matthew</v>
      </c>
      <c r="C79" t="str">
        <f>'Case 3 data'!C78</f>
        <v>Brown</v>
      </c>
      <c r="D79" t="str" cm="1">
        <f t="array" ref="D79">LEFT($A79,MIN(FIND({0;1;2;3;4;5;6;7;8;9},$A79&amp;"0123456789"))-1)</f>
        <v>AUS</v>
      </c>
      <c r="E79" t="str" cm="1">
        <f t="array" ref="E79">MID($A79,MIN(FIND({0;1;2;3;4;5;6;7;8;9},$A79&amp;"0123456789")),FIND("-",$A79)-MIN(FIND({0;1;2;3;4;5;6;7;8;9},$A79&amp;"0123456789")))</f>
        <v>130</v>
      </c>
      <c r="F79" t="str">
        <f t="shared" si="15"/>
        <v>17</v>
      </c>
      <c r="G79" t="str">
        <f t="shared" si="16"/>
        <v>M</v>
      </c>
      <c r="H79" t="str">
        <f t="shared" si="17"/>
        <v>AUS-17</v>
      </c>
      <c r="J79" t="s">
        <v>222</v>
      </c>
      <c r="K79" t="str">
        <f t="shared" ref="K79:K142" si="20">LEFT(A79,3)</f>
        <v>AUS</v>
      </c>
      <c r="L79">
        <v>130</v>
      </c>
      <c r="M79">
        <v>17</v>
      </c>
      <c r="N79" t="s">
        <v>1531</v>
      </c>
      <c r="O79" t="s">
        <v>1579</v>
      </c>
    </row>
    <row r="80" spans="1:15" x14ac:dyDescent="0.3">
      <c r="A80" t="str">
        <f>'Case 3 data'!A79</f>
        <v>Japan512-1W</v>
      </c>
      <c r="B80" t="str">
        <f>'Case 3 data'!B79</f>
        <v>Audrey</v>
      </c>
      <c r="C80" t="str">
        <f>'Case 3 data'!C79</f>
        <v>Briggs</v>
      </c>
      <c r="D80" t="str" cm="1">
        <f t="array" ref="D80">LEFT($A80,MIN(FIND({0;1;2;3;4;5;6;7;8;9},$A80&amp;"0123456789"))-1)</f>
        <v>Japan</v>
      </c>
      <c r="E80" t="str" cm="1">
        <f t="array" ref="E80">MID($A80,MIN(FIND({0;1;2;3;4;5;6;7;8;9},$A80&amp;"0123456789")),FIND("-",$A80)-MIN(FIND({0;1;2;3;4;5;6;7;8;9},$A80&amp;"0123456789")))</f>
        <v>512</v>
      </c>
      <c r="F80" t="str">
        <f t="shared" si="15"/>
        <v>1</v>
      </c>
      <c r="G80" t="str">
        <f t="shared" si="16"/>
        <v>W</v>
      </c>
      <c r="H80" t="str">
        <f t="shared" si="17"/>
        <v>Japan-1</v>
      </c>
      <c r="J80" t="s">
        <v>225</v>
      </c>
      <c r="K80" t="s">
        <v>1522</v>
      </c>
      <c r="L80">
        <v>512</v>
      </c>
      <c r="M80">
        <v>1</v>
      </c>
      <c r="N80" t="s">
        <v>1532</v>
      </c>
      <c r="O80" t="s">
        <v>1563</v>
      </c>
    </row>
    <row r="81" spans="1:15" x14ac:dyDescent="0.3">
      <c r="A81" t="str">
        <f>'Case 3 data'!A80</f>
        <v>AUS377-11W</v>
      </c>
      <c r="B81" t="str">
        <f>'Case 3 data'!B80</f>
        <v>Collin</v>
      </c>
      <c r="C81" t="str">
        <f>'Case 3 data'!C80</f>
        <v>Haskins</v>
      </c>
      <c r="D81" t="str" cm="1">
        <f t="array" ref="D81">LEFT($A81,MIN(FIND({0;1;2;3;4;5;6;7;8;9},$A81&amp;"0123456789"))-1)</f>
        <v>AUS</v>
      </c>
      <c r="E81" t="str" cm="1">
        <f t="array" ref="E81">MID($A81,MIN(FIND({0;1;2;3;4;5;6;7;8;9},$A81&amp;"0123456789")),FIND("-",$A81)-MIN(FIND({0;1;2;3;4;5;6;7;8;9},$A81&amp;"0123456789")))</f>
        <v>377</v>
      </c>
      <c r="F81" t="str">
        <f t="shared" si="15"/>
        <v>11</v>
      </c>
      <c r="G81" t="str">
        <f t="shared" si="16"/>
        <v>W</v>
      </c>
      <c r="H81" t="str">
        <f t="shared" si="17"/>
        <v>AUS-11</v>
      </c>
      <c r="J81" t="s">
        <v>228</v>
      </c>
      <c r="K81" t="s">
        <v>1523</v>
      </c>
      <c r="L81">
        <v>377</v>
      </c>
      <c r="M81">
        <v>11</v>
      </c>
      <c r="N81" t="s">
        <v>1532</v>
      </c>
      <c r="O81" t="s">
        <v>1580</v>
      </c>
    </row>
    <row r="82" spans="1:15" x14ac:dyDescent="0.3">
      <c r="A82" t="str">
        <f>'Case 3 data'!A81</f>
        <v>AUS449-13W</v>
      </c>
      <c r="B82" t="str">
        <f>'Case 3 data'!B81</f>
        <v>Columbus</v>
      </c>
      <c r="C82" t="str">
        <f>'Case 3 data'!C81</f>
        <v>Fuqua</v>
      </c>
      <c r="D82" t="str" cm="1">
        <f t="array" ref="D82">LEFT($A82,MIN(FIND({0;1;2;3;4;5;6;7;8;9},$A82&amp;"0123456789"))-1)</f>
        <v>AUS</v>
      </c>
      <c r="E82" t="str" cm="1">
        <f t="array" ref="E82">MID($A82,MIN(FIND({0;1;2;3;4;5;6;7;8;9},$A82&amp;"0123456789")),FIND("-",$A82)-MIN(FIND({0;1;2;3;4;5;6;7;8;9},$A82&amp;"0123456789")))</f>
        <v>449</v>
      </c>
      <c r="F82" t="str">
        <f t="shared" si="15"/>
        <v>13</v>
      </c>
      <c r="G82" t="str">
        <f t="shared" si="16"/>
        <v>W</v>
      </c>
      <c r="H82" t="str">
        <f t="shared" si="17"/>
        <v>AUS-13</v>
      </c>
      <c r="J82" t="s">
        <v>231</v>
      </c>
      <c r="K82" t="s">
        <v>1523</v>
      </c>
      <c r="L82">
        <v>449</v>
      </c>
      <c r="M82">
        <v>13</v>
      </c>
      <c r="N82" t="s">
        <v>1532</v>
      </c>
      <c r="O82" t="s">
        <v>1553</v>
      </c>
    </row>
    <row r="83" spans="1:15" x14ac:dyDescent="0.3">
      <c r="A83" t="str">
        <f>'Case 3 data'!A82</f>
        <v>Canada158-4Mo</v>
      </c>
      <c r="B83" t="str">
        <f>'Case 3 data'!B82</f>
        <v>Faye</v>
      </c>
      <c r="C83" t="str">
        <f>'Case 3 data'!C82</f>
        <v>Turner</v>
      </c>
      <c r="D83" t="str" cm="1">
        <f t="array" ref="D83">LEFT($A83,MIN(FIND({0;1;2;3;4;5;6;7;8;9},$A83&amp;"0123456789"))-1)</f>
        <v>Canada</v>
      </c>
      <c r="E83" t="str" cm="1">
        <f t="array" ref="E83">MID($A83,MIN(FIND({0;1;2;3;4;5;6;7;8;9},$A83&amp;"0123456789")),FIND("-",$A83)-MIN(FIND({0;1;2;3;4;5;6;7;8;9},$A83&amp;"0123456789")))</f>
        <v>158</v>
      </c>
      <c r="F83" t="str">
        <f t="shared" si="15"/>
        <v>4</v>
      </c>
      <c r="G83" t="str">
        <f t="shared" si="16"/>
        <v>Mo</v>
      </c>
      <c r="H83" t="str">
        <f t="shared" si="17"/>
        <v>Canada-4</v>
      </c>
      <c r="J83" t="s">
        <v>234</v>
      </c>
      <c r="K83" t="s">
        <v>1521</v>
      </c>
      <c r="L83">
        <v>158</v>
      </c>
      <c r="M83">
        <v>4</v>
      </c>
      <c r="N83" t="s">
        <v>1530</v>
      </c>
      <c r="O83" t="s">
        <v>1537</v>
      </c>
    </row>
    <row r="84" spans="1:15" x14ac:dyDescent="0.3">
      <c r="A84" t="str">
        <f>'Case 3 data'!A83</f>
        <v>ARG468-11M</v>
      </c>
      <c r="B84" t="str">
        <f>'Case 3 data'!B83</f>
        <v>Tina</v>
      </c>
      <c r="C84" t="str">
        <f>'Case 3 data'!C83</f>
        <v>Carlson</v>
      </c>
      <c r="D84" t="str" cm="1">
        <f t="array" ref="D84">LEFT($A84,MIN(FIND({0;1;2;3;4;5;6;7;8;9},$A84&amp;"0123456789"))-1)</f>
        <v>ARG</v>
      </c>
      <c r="E84" t="str" cm="1">
        <f t="array" ref="E84">MID($A84,MIN(FIND({0;1;2;3;4;5;6;7;8;9},$A84&amp;"0123456789")),FIND("-",$A84)-MIN(FIND({0;1;2;3;4;5;6;7;8;9},$A84&amp;"0123456789")))</f>
        <v>468</v>
      </c>
      <c r="F84" t="str">
        <f t="shared" si="15"/>
        <v>11</v>
      </c>
      <c r="G84" t="str">
        <f t="shared" si="16"/>
        <v>M</v>
      </c>
      <c r="H84" t="str">
        <f t="shared" si="17"/>
        <v>ARG-11</v>
      </c>
      <c r="J84" t="s">
        <v>237</v>
      </c>
      <c r="K84" t="str">
        <f t="shared" ref="K84:K147" si="21">LEFT(A84,3)</f>
        <v>ARG</v>
      </c>
      <c r="L84">
        <v>468</v>
      </c>
      <c r="M84">
        <v>11</v>
      </c>
      <c r="N84" t="s">
        <v>1531</v>
      </c>
      <c r="O84" t="s">
        <v>1581</v>
      </c>
    </row>
    <row r="85" spans="1:15" x14ac:dyDescent="0.3">
      <c r="A85" t="str">
        <f>'Case 3 data'!A84</f>
        <v>Japan597-8Mo</v>
      </c>
      <c r="B85" t="str">
        <f>'Case 3 data'!B84</f>
        <v>Laura</v>
      </c>
      <c r="C85" t="str">
        <f>'Case 3 data'!C84</f>
        <v>Edwards</v>
      </c>
      <c r="D85" t="str" cm="1">
        <f t="array" ref="D85">LEFT($A85,MIN(FIND({0;1;2;3;4;5;6;7;8;9},$A85&amp;"0123456789"))-1)</f>
        <v>Japan</v>
      </c>
      <c r="E85" t="str" cm="1">
        <f t="array" ref="E85">MID($A85,MIN(FIND({0;1;2;3;4;5;6;7;8;9},$A85&amp;"0123456789")),FIND("-",$A85)-MIN(FIND({0;1;2;3;4;5;6;7;8;9},$A85&amp;"0123456789")))</f>
        <v>597</v>
      </c>
      <c r="F85" t="str">
        <f t="shared" si="15"/>
        <v>8</v>
      </c>
      <c r="G85" t="str">
        <f t="shared" si="16"/>
        <v>Mo</v>
      </c>
      <c r="H85" t="str">
        <f t="shared" si="17"/>
        <v>Japan-8</v>
      </c>
      <c r="J85" t="s">
        <v>240</v>
      </c>
      <c r="K85" t="s">
        <v>1522</v>
      </c>
      <c r="L85">
        <v>597</v>
      </c>
      <c r="M85">
        <v>8</v>
      </c>
      <c r="N85" t="s">
        <v>1530</v>
      </c>
      <c r="O85" t="s">
        <v>1543</v>
      </c>
    </row>
    <row r="86" spans="1:15" x14ac:dyDescent="0.3">
      <c r="A86" t="str">
        <f>'Case 3 data'!A85</f>
        <v>GER540-7W</v>
      </c>
      <c r="B86" t="str">
        <f>'Case 3 data'!B85</f>
        <v>Rolf</v>
      </c>
      <c r="C86" t="str">
        <f>'Case 3 data'!C85</f>
        <v>Schrader</v>
      </c>
      <c r="D86" t="str" cm="1">
        <f t="array" ref="D86">LEFT($A86,MIN(FIND({0;1;2;3;4;5;6;7;8;9},$A86&amp;"0123456789"))-1)</f>
        <v>GER</v>
      </c>
      <c r="E86" t="str" cm="1">
        <f t="array" ref="E86">MID($A86,MIN(FIND({0;1;2;3;4;5;6;7;8;9},$A86&amp;"0123456789")),FIND("-",$A86)-MIN(FIND({0;1;2;3;4;5;6;7;8;9},$A86&amp;"0123456789")))</f>
        <v>540</v>
      </c>
      <c r="F86" t="str">
        <f t="shared" si="15"/>
        <v>7</v>
      </c>
      <c r="G86" t="str">
        <f t="shared" si="16"/>
        <v>W</v>
      </c>
      <c r="H86" t="str">
        <f t="shared" si="17"/>
        <v>GER-7</v>
      </c>
      <c r="J86" t="s">
        <v>243</v>
      </c>
      <c r="K86" t="s">
        <v>1523</v>
      </c>
      <c r="L86">
        <v>540</v>
      </c>
      <c r="M86">
        <v>7</v>
      </c>
      <c r="N86" t="s">
        <v>1532</v>
      </c>
      <c r="O86" t="s">
        <v>1582</v>
      </c>
    </row>
    <row r="87" spans="1:15" x14ac:dyDescent="0.3">
      <c r="A87" t="str">
        <f>'Case 3 data'!A86</f>
        <v>GER407-4W</v>
      </c>
      <c r="B87" t="str">
        <f>'Case 3 data'!B86</f>
        <v>Tiara</v>
      </c>
      <c r="C87" t="str">
        <f>'Case 3 data'!C86</f>
        <v>Pridgen</v>
      </c>
      <c r="D87" t="str" cm="1">
        <f t="array" ref="D87">LEFT($A87,MIN(FIND({0;1;2;3;4;5;6;7;8;9},$A87&amp;"0123456789"))-1)</f>
        <v>GER</v>
      </c>
      <c r="E87" t="str" cm="1">
        <f t="array" ref="E87">MID($A87,MIN(FIND({0;1;2;3;4;5;6;7;8;9},$A87&amp;"0123456789")),FIND("-",$A87)-MIN(FIND({0;1;2;3;4;5;6;7;8;9},$A87&amp;"0123456789")))</f>
        <v>407</v>
      </c>
      <c r="F87" t="str">
        <f t="shared" si="15"/>
        <v>4</v>
      </c>
      <c r="G87" t="str">
        <f t="shared" si="16"/>
        <v>W</v>
      </c>
      <c r="H87" t="str">
        <f t="shared" si="17"/>
        <v>GER-4</v>
      </c>
      <c r="J87" t="s">
        <v>246</v>
      </c>
      <c r="K87" t="s">
        <v>1523</v>
      </c>
      <c r="L87">
        <v>407</v>
      </c>
      <c r="M87">
        <v>4</v>
      </c>
      <c r="N87" t="s">
        <v>1532</v>
      </c>
      <c r="O87" t="s">
        <v>1564</v>
      </c>
    </row>
    <row r="88" spans="1:15" x14ac:dyDescent="0.3">
      <c r="A88" t="str">
        <f>'Case 3 data'!A87</f>
        <v>Canada423-1W</v>
      </c>
      <c r="B88" t="str">
        <f>'Case 3 data'!B87</f>
        <v>Ed</v>
      </c>
      <c r="C88" t="str">
        <f>'Case 3 data'!C87</f>
        <v>Pena</v>
      </c>
      <c r="D88" t="str" cm="1">
        <f t="array" ref="D88">LEFT($A88,MIN(FIND({0;1;2;3;4;5;6;7;8;9},$A88&amp;"0123456789"))-1)</f>
        <v>Canada</v>
      </c>
      <c r="E88" t="str" cm="1">
        <f t="array" ref="E88">MID($A88,MIN(FIND({0;1;2;3;4;5;6;7;8;9},$A88&amp;"0123456789")),FIND("-",$A88)-MIN(FIND({0;1;2;3;4;5;6;7;8;9},$A88&amp;"0123456789")))</f>
        <v>423</v>
      </c>
      <c r="F88" t="str">
        <f t="shared" si="15"/>
        <v>1</v>
      </c>
      <c r="G88" t="str">
        <f t="shared" si="16"/>
        <v>W</v>
      </c>
      <c r="H88" t="str">
        <f t="shared" si="17"/>
        <v>Canada-1</v>
      </c>
      <c r="J88" t="s">
        <v>249</v>
      </c>
      <c r="K88" t="s">
        <v>1521</v>
      </c>
      <c r="L88">
        <v>423</v>
      </c>
      <c r="M88">
        <v>1</v>
      </c>
      <c r="N88" t="s">
        <v>1532</v>
      </c>
      <c r="O88" t="s">
        <v>1583</v>
      </c>
    </row>
    <row r="89" spans="1:15" x14ac:dyDescent="0.3">
      <c r="A89" t="str">
        <f>'Case 3 data'!A88</f>
        <v>MEX401-8W</v>
      </c>
      <c r="B89" t="str">
        <f>'Case 3 data'!B88</f>
        <v>Ellan</v>
      </c>
      <c r="C89" t="str">
        <f>'Case 3 data'!C88</f>
        <v>Braswell</v>
      </c>
      <c r="D89" t="str" cm="1">
        <f t="array" ref="D89">LEFT($A89,MIN(FIND({0;1;2;3;4;5;6;7;8;9},$A89&amp;"0123456789"))-1)</f>
        <v>MEX</v>
      </c>
      <c r="E89" t="str" cm="1">
        <f t="array" ref="E89">MID($A89,MIN(FIND({0;1;2;3;4;5;6;7;8;9},$A89&amp;"0123456789")),FIND("-",$A89)-MIN(FIND({0;1;2;3;4;5;6;7;8;9},$A89&amp;"0123456789")))</f>
        <v>401</v>
      </c>
      <c r="F89" t="str">
        <f t="shared" si="15"/>
        <v>8</v>
      </c>
      <c r="G89" t="str">
        <f t="shared" si="16"/>
        <v>W</v>
      </c>
      <c r="H89" t="str">
        <f t="shared" si="17"/>
        <v>MEX-8</v>
      </c>
      <c r="J89" t="s">
        <v>252</v>
      </c>
      <c r="K89" t="str">
        <f t="shared" ref="K89:K152" si="22">LEFT(A89,3)</f>
        <v>MEX</v>
      </c>
      <c r="L89">
        <v>401</v>
      </c>
      <c r="M89">
        <v>8</v>
      </c>
      <c r="N89" t="s">
        <v>1532</v>
      </c>
      <c r="O89" t="s">
        <v>1584</v>
      </c>
    </row>
    <row r="90" spans="1:15" x14ac:dyDescent="0.3">
      <c r="A90" t="str">
        <f>'Case 3 data'!A89</f>
        <v>GER21-2M</v>
      </c>
      <c r="B90" t="str">
        <f>'Case 3 data'!B89</f>
        <v>Garfield</v>
      </c>
      <c r="C90" t="str">
        <f>'Case 3 data'!C89</f>
        <v>Bigelow</v>
      </c>
      <c r="D90" t="str" cm="1">
        <f t="array" ref="D90">LEFT($A90,MIN(FIND({0;1;2;3;4;5;6;7;8;9},$A90&amp;"0123456789"))-1)</f>
        <v>GER</v>
      </c>
      <c r="E90" t="str" cm="1">
        <f t="array" ref="E90">MID($A90,MIN(FIND({0;1;2;3;4;5;6;7;8;9},$A90&amp;"0123456789")),FIND("-",$A90)-MIN(FIND({0;1;2;3;4;5;6;7;8;9},$A90&amp;"0123456789")))</f>
        <v>21</v>
      </c>
      <c r="F90" t="str">
        <f t="shared" si="15"/>
        <v>2</v>
      </c>
      <c r="G90" t="str">
        <f t="shared" si="16"/>
        <v>M</v>
      </c>
      <c r="H90" t="str">
        <f t="shared" si="17"/>
        <v>GER-2</v>
      </c>
      <c r="J90" t="s">
        <v>255</v>
      </c>
      <c r="K90" t="s">
        <v>1522</v>
      </c>
      <c r="L90">
        <v>21</v>
      </c>
      <c r="M90">
        <v>2</v>
      </c>
      <c r="N90" t="s">
        <v>1531</v>
      </c>
      <c r="O90" t="s">
        <v>1534</v>
      </c>
    </row>
    <row r="91" spans="1:15" x14ac:dyDescent="0.3">
      <c r="A91" t="str">
        <f>'Case 3 data'!A90</f>
        <v>US561-15Mo</v>
      </c>
      <c r="B91" t="str">
        <f>'Case 3 data'!B90</f>
        <v>Horace</v>
      </c>
      <c r="C91" t="str">
        <f>'Case 3 data'!C90</f>
        <v>Robertson</v>
      </c>
      <c r="D91" t="str" cm="1">
        <f t="array" ref="D91">LEFT($A91,MIN(FIND({0;1;2;3;4;5;6;7;8;9},$A91&amp;"0123456789"))-1)</f>
        <v>US</v>
      </c>
      <c r="E91" t="str" cm="1">
        <f t="array" ref="E91">MID($A91,MIN(FIND({0;1;2;3;4;5;6;7;8;9},$A91&amp;"0123456789")),FIND("-",$A91)-MIN(FIND({0;1;2;3;4;5;6;7;8;9},$A91&amp;"0123456789")))</f>
        <v>561</v>
      </c>
      <c r="F91" t="str">
        <f t="shared" si="15"/>
        <v>15</v>
      </c>
      <c r="G91" t="str">
        <f t="shared" si="16"/>
        <v>Mo</v>
      </c>
      <c r="H91" t="str">
        <f t="shared" si="17"/>
        <v>US-15</v>
      </c>
      <c r="J91" t="s">
        <v>258</v>
      </c>
      <c r="K91" t="s">
        <v>1523</v>
      </c>
      <c r="L91">
        <v>561</v>
      </c>
      <c r="M91">
        <v>15</v>
      </c>
      <c r="N91" t="s">
        <v>1530</v>
      </c>
      <c r="O91" t="s">
        <v>1558</v>
      </c>
    </row>
    <row r="92" spans="1:15" x14ac:dyDescent="0.3">
      <c r="A92" t="str">
        <f>'Case 3 data'!A91</f>
        <v>ARG417-7W</v>
      </c>
      <c r="B92" t="str">
        <f>'Case 3 data'!B91</f>
        <v>Shawn</v>
      </c>
      <c r="C92" t="str">
        <f>'Case 3 data'!C91</f>
        <v>Allen</v>
      </c>
      <c r="D92" t="str" cm="1">
        <f t="array" ref="D92">LEFT($A92,MIN(FIND({0;1;2;3;4;5;6;7;8;9},$A92&amp;"0123456789"))-1)</f>
        <v>ARG</v>
      </c>
      <c r="E92" t="str" cm="1">
        <f t="array" ref="E92">MID($A92,MIN(FIND({0;1;2;3;4;5;6;7;8;9},$A92&amp;"0123456789")),FIND("-",$A92)-MIN(FIND({0;1;2;3;4;5;6;7;8;9},$A92&amp;"0123456789")))</f>
        <v>417</v>
      </c>
      <c r="F92" t="str">
        <f t="shared" si="15"/>
        <v>7</v>
      </c>
      <c r="G92" t="str">
        <f t="shared" si="16"/>
        <v>W</v>
      </c>
      <c r="H92" t="str">
        <f t="shared" si="17"/>
        <v>ARG-7</v>
      </c>
      <c r="J92" t="s">
        <v>261</v>
      </c>
      <c r="K92" t="s">
        <v>1523</v>
      </c>
      <c r="L92">
        <v>417</v>
      </c>
      <c r="M92">
        <v>7</v>
      </c>
      <c r="N92" t="s">
        <v>1532</v>
      </c>
      <c r="O92" t="s">
        <v>1582</v>
      </c>
    </row>
    <row r="93" spans="1:15" x14ac:dyDescent="0.3">
      <c r="A93" t="str">
        <f>'Case 3 data'!A92</f>
        <v>AUS28-10W</v>
      </c>
      <c r="B93" t="str">
        <f>'Case 3 data'!B92</f>
        <v>Beaulah</v>
      </c>
      <c r="C93" t="str">
        <f>'Case 3 data'!C92</f>
        <v>Willard</v>
      </c>
      <c r="D93" t="str" cm="1">
        <f t="array" ref="D93">LEFT($A93,MIN(FIND({0;1;2;3;4;5;6;7;8;9},$A93&amp;"0123456789"))-1)</f>
        <v>AUS</v>
      </c>
      <c r="E93" t="str" cm="1">
        <f t="array" ref="E93">MID($A93,MIN(FIND({0;1;2;3;4;5;6;7;8;9},$A93&amp;"0123456789")),FIND("-",$A93)-MIN(FIND({0;1;2;3;4;5;6;7;8;9},$A93&amp;"0123456789")))</f>
        <v>28</v>
      </c>
      <c r="F93" t="str">
        <f t="shared" si="15"/>
        <v>10</v>
      </c>
      <c r="G93" t="str">
        <f t="shared" si="16"/>
        <v>W</v>
      </c>
      <c r="H93" t="str">
        <f t="shared" si="17"/>
        <v>AUS-10</v>
      </c>
      <c r="J93" t="s">
        <v>264</v>
      </c>
      <c r="K93" t="s">
        <v>1521</v>
      </c>
      <c r="L93">
        <v>28</v>
      </c>
      <c r="M93">
        <v>10</v>
      </c>
      <c r="N93" t="s">
        <v>1532</v>
      </c>
      <c r="O93" t="s">
        <v>1554</v>
      </c>
    </row>
    <row r="94" spans="1:15" x14ac:dyDescent="0.3">
      <c r="A94" t="str">
        <f>'Case 3 data'!A93</f>
        <v>GER291-3M</v>
      </c>
      <c r="B94" t="str">
        <f>'Case 3 data'!B93</f>
        <v>Jose</v>
      </c>
      <c r="C94" t="str">
        <f>'Case 3 data'!C93</f>
        <v>Baker</v>
      </c>
      <c r="D94" t="str" cm="1">
        <f t="array" ref="D94">LEFT($A94,MIN(FIND({0;1;2;3;4;5;6;7;8;9},$A94&amp;"0123456789"))-1)</f>
        <v>GER</v>
      </c>
      <c r="E94" t="str" cm="1">
        <f t="array" ref="E94">MID($A94,MIN(FIND({0;1;2;3;4;5;6;7;8;9},$A94&amp;"0123456789")),FIND("-",$A94)-MIN(FIND({0;1;2;3;4;5;6;7;8;9},$A94&amp;"0123456789")))</f>
        <v>291</v>
      </c>
      <c r="F94" t="str">
        <f t="shared" si="15"/>
        <v>3</v>
      </c>
      <c r="G94" t="str">
        <f t="shared" si="16"/>
        <v>M</v>
      </c>
      <c r="H94" t="str">
        <f t="shared" si="17"/>
        <v>GER-3</v>
      </c>
      <c r="J94" t="s">
        <v>267</v>
      </c>
      <c r="K94" t="str">
        <f t="shared" ref="K94:K157" si="23">LEFT(A94,3)</f>
        <v>GER</v>
      </c>
      <c r="L94">
        <v>291</v>
      </c>
      <c r="M94">
        <v>3</v>
      </c>
      <c r="N94" t="s">
        <v>1531</v>
      </c>
      <c r="O94" t="s">
        <v>1552</v>
      </c>
    </row>
    <row r="95" spans="1:15" x14ac:dyDescent="0.3">
      <c r="A95" t="str">
        <f>'Case 3 data'!A94</f>
        <v>MEX452-4W</v>
      </c>
      <c r="B95" t="str">
        <f>'Case 3 data'!B94</f>
        <v>Elizabeth</v>
      </c>
      <c r="C95" t="str">
        <f>'Case 3 data'!C94</f>
        <v>Parker</v>
      </c>
      <c r="D95" t="str" cm="1">
        <f t="array" ref="D95">LEFT($A95,MIN(FIND({0;1;2;3;4;5;6;7;8;9},$A95&amp;"0123456789"))-1)</f>
        <v>MEX</v>
      </c>
      <c r="E95" t="str" cm="1">
        <f t="array" ref="E95">MID($A95,MIN(FIND({0;1;2;3;4;5;6;7;8;9},$A95&amp;"0123456789")),FIND("-",$A95)-MIN(FIND({0;1;2;3;4;5;6;7;8;9},$A95&amp;"0123456789")))</f>
        <v>452</v>
      </c>
      <c r="F95" t="str">
        <f t="shared" si="15"/>
        <v>4</v>
      </c>
      <c r="G95" t="str">
        <f t="shared" si="16"/>
        <v>W</v>
      </c>
      <c r="H95" t="str">
        <f t="shared" si="17"/>
        <v>MEX-4</v>
      </c>
      <c r="J95" t="s">
        <v>270</v>
      </c>
      <c r="K95" t="s">
        <v>1522</v>
      </c>
      <c r="L95">
        <v>452</v>
      </c>
      <c r="M95">
        <v>4</v>
      </c>
      <c r="N95" t="s">
        <v>1532</v>
      </c>
      <c r="O95" t="s">
        <v>1573</v>
      </c>
    </row>
    <row r="96" spans="1:15" x14ac:dyDescent="0.3">
      <c r="A96" t="str">
        <f>'Case 3 data'!A95</f>
        <v>Canada337-1M</v>
      </c>
      <c r="B96" t="str">
        <f>'Case 3 data'!B95</f>
        <v>Carolyn</v>
      </c>
      <c r="C96" t="str">
        <f>'Case 3 data'!C95</f>
        <v>Anderson</v>
      </c>
      <c r="D96" t="str" cm="1">
        <f t="array" ref="D96">LEFT($A96,MIN(FIND({0;1;2;3;4;5;6;7;8;9},$A96&amp;"0123456789"))-1)</f>
        <v>Canada</v>
      </c>
      <c r="E96" t="str" cm="1">
        <f t="array" ref="E96">MID($A96,MIN(FIND({0;1;2;3;4;5;6;7;8;9},$A96&amp;"0123456789")),FIND("-",$A96)-MIN(FIND({0;1;2;3;4;5;6;7;8;9},$A96&amp;"0123456789")))</f>
        <v>337</v>
      </c>
      <c r="F96" t="str">
        <f t="shared" si="15"/>
        <v>1</v>
      </c>
      <c r="G96" t="str">
        <f t="shared" si="16"/>
        <v>M</v>
      </c>
      <c r="H96" t="str">
        <f t="shared" si="17"/>
        <v>Canada-1</v>
      </c>
      <c r="J96" t="s">
        <v>272</v>
      </c>
      <c r="K96" t="s">
        <v>1523</v>
      </c>
      <c r="L96">
        <v>337</v>
      </c>
      <c r="M96">
        <v>1</v>
      </c>
      <c r="N96" t="s">
        <v>1531</v>
      </c>
      <c r="O96" t="s">
        <v>1536</v>
      </c>
    </row>
    <row r="97" spans="1:15" x14ac:dyDescent="0.3">
      <c r="A97" t="str">
        <f>'Case 3 data'!A96</f>
        <v>AUS255-11Mo</v>
      </c>
      <c r="B97" t="str">
        <f>'Case 3 data'!B96</f>
        <v>Edna</v>
      </c>
      <c r="C97" t="str">
        <f>'Case 3 data'!C96</f>
        <v>Harvey</v>
      </c>
      <c r="D97" t="str" cm="1">
        <f t="array" ref="D97">LEFT($A97,MIN(FIND({0;1;2;3;4;5;6;7;8;9},$A97&amp;"0123456789"))-1)</f>
        <v>AUS</v>
      </c>
      <c r="E97" t="str" cm="1">
        <f t="array" ref="E97">MID($A97,MIN(FIND({0;1;2;3;4;5;6;7;8;9},$A97&amp;"0123456789")),FIND("-",$A97)-MIN(FIND({0;1;2;3;4;5;6;7;8;9},$A97&amp;"0123456789")))</f>
        <v>255</v>
      </c>
      <c r="F97" t="str">
        <f t="shared" si="15"/>
        <v>11</v>
      </c>
      <c r="G97" t="str">
        <f t="shared" si="16"/>
        <v>Mo</v>
      </c>
      <c r="H97" t="str">
        <f t="shared" si="17"/>
        <v>AUS-11</v>
      </c>
      <c r="J97" t="s">
        <v>275</v>
      </c>
      <c r="K97" t="s">
        <v>1523</v>
      </c>
      <c r="L97">
        <v>255</v>
      </c>
      <c r="M97">
        <v>11</v>
      </c>
      <c r="N97" t="s">
        <v>1530</v>
      </c>
      <c r="O97" t="s">
        <v>1580</v>
      </c>
    </row>
    <row r="98" spans="1:15" x14ac:dyDescent="0.3">
      <c r="A98" t="str">
        <f>'Case 3 data'!A97</f>
        <v>ARG458-3W</v>
      </c>
      <c r="B98" t="str">
        <f>'Case 3 data'!B97</f>
        <v>Jeanmarie</v>
      </c>
      <c r="C98" t="str">
        <f>'Case 3 data'!C97</f>
        <v>Haywood</v>
      </c>
      <c r="D98" t="str" cm="1">
        <f t="array" ref="D98">LEFT($A98,MIN(FIND({0;1;2;3;4;5;6;7;8;9},$A98&amp;"0123456789"))-1)</f>
        <v>ARG</v>
      </c>
      <c r="E98" t="str" cm="1">
        <f t="array" ref="E98">MID($A98,MIN(FIND({0;1;2;3;4;5;6;7;8;9},$A98&amp;"0123456789")),FIND("-",$A98)-MIN(FIND({0;1;2;3;4;5;6;7;8;9},$A98&amp;"0123456789")))</f>
        <v>458</v>
      </c>
      <c r="F98" t="str">
        <f t="shared" si="15"/>
        <v>3</v>
      </c>
      <c r="G98" t="str">
        <f t="shared" si="16"/>
        <v>W</v>
      </c>
      <c r="H98" t="str">
        <f t="shared" si="17"/>
        <v>ARG-3</v>
      </c>
      <c r="J98" t="s">
        <v>278</v>
      </c>
      <c r="K98" t="s">
        <v>1521</v>
      </c>
      <c r="L98">
        <v>458</v>
      </c>
      <c r="M98">
        <v>3</v>
      </c>
      <c r="N98" t="s">
        <v>1532</v>
      </c>
      <c r="O98" t="s">
        <v>1533</v>
      </c>
    </row>
    <row r="99" spans="1:15" x14ac:dyDescent="0.3">
      <c r="A99" t="str">
        <f>'Case 3 data'!A98</f>
        <v>Japan388-17Mo</v>
      </c>
      <c r="B99" t="str">
        <f>'Case 3 data'!B98</f>
        <v>Maribeth</v>
      </c>
      <c r="C99" t="str">
        <f>'Case 3 data'!C98</f>
        <v>Kiser</v>
      </c>
      <c r="D99" t="str" cm="1">
        <f t="array" ref="D99">LEFT($A99,MIN(FIND({0;1;2;3;4;5;6;7;8;9},$A99&amp;"0123456789"))-1)</f>
        <v>Japan</v>
      </c>
      <c r="E99" t="str" cm="1">
        <f t="array" ref="E99">MID($A99,MIN(FIND({0;1;2;3;4;5;6;7;8;9},$A99&amp;"0123456789")),FIND("-",$A99)-MIN(FIND({0;1;2;3;4;5;6;7;8;9},$A99&amp;"0123456789")))</f>
        <v>388</v>
      </c>
      <c r="F99" t="str">
        <f t="shared" si="15"/>
        <v>17</v>
      </c>
      <c r="G99" t="str">
        <f t="shared" si="16"/>
        <v>Mo</v>
      </c>
      <c r="H99" t="str">
        <f t="shared" si="17"/>
        <v>Japan-17</v>
      </c>
      <c r="J99" t="s">
        <v>281</v>
      </c>
      <c r="K99" t="str">
        <f t="shared" ref="K99:K162" si="24">LEFT(A99,3)</f>
        <v>Jap</v>
      </c>
      <c r="L99">
        <v>388</v>
      </c>
      <c r="M99">
        <v>17</v>
      </c>
      <c r="N99" t="s">
        <v>1530</v>
      </c>
      <c r="O99" t="s">
        <v>1585</v>
      </c>
    </row>
    <row r="100" spans="1:15" x14ac:dyDescent="0.3">
      <c r="A100" t="str">
        <f>'Case 3 data'!A99</f>
        <v>Japan312-3M</v>
      </c>
      <c r="B100" t="str">
        <f>'Case 3 data'!B99</f>
        <v>Elza</v>
      </c>
      <c r="C100" t="str">
        <f>'Case 3 data'!C99</f>
        <v>Devito</v>
      </c>
      <c r="D100" t="str" cm="1">
        <f t="array" ref="D100">LEFT($A100,MIN(FIND({0;1;2;3;4;5;6;7;8;9},$A100&amp;"0123456789"))-1)</f>
        <v>Japan</v>
      </c>
      <c r="E100" t="str" cm="1">
        <f t="array" ref="E100">MID($A100,MIN(FIND({0;1;2;3;4;5;6;7;8;9},$A100&amp;"0123456789")),FIND("-",$A100)-MIN(FIND({0;1;2;3;4;5;6;7;8;9},$A100&amp;"0123456789")))</f>
        <v>312</v>
      </c>
      <c r="F100" t="str">
        <f t="shared" si="15"/>
        <v>3</v>
      </c>
      <c r="G100" t="str">
        <f t="shared" si="16"/>
        <v>M</v>
      </c>
      <c r="H100" t="str">
        <f t="shared" si="17"/>
        <v>Japan-3</v>
      </c>
      <c r="J100" t="s">
        <v>284</v>
      </c>
      <c r="K100" t="s">
        <v>1522</v>
      </c>
      <c r="L100">
        <v>312</v>
      </c>
      <c r="M100">
        <v>3</v>
      </c>
      <c r="N100" t="s">
        <v>1531</v>
      </c>
      <c r="O100" t="s">
        <v>1576</v>
      </c>
    </row>
    <row r="101" spans="1:15" x14ac:dyDescent="0.3">
      <c r="A101" t="str">
        <f>'Case 3 data'!A100</f>
        <v>ENG438-5Mo</v>
      </c>
      <c r="B101" t="str">
        <f>'Case 3 data'!B100</f>
        <v>Jarvis</v>
      </c>
      <c r="C101" t="str">
        <f>'Case 3 data'!C100</f>
        <v>Lund</v>
      </c>
      <c r="D101" t="str" cm="1">
        <f t="array" ref="D101">LEFT($A101,MIN(FIND({0;1;2;3;4;5;6;7;8;9},$A101&amp;"0123456789"))-1)</f>
        <v>ENG</v>
      </c>
      <c r="E101" t="str" cm="1">
        <f t="array" ref="E101">MID($A101,MIN(FIND({0;1;2;3;4;5;6;7;8;9},$A101&amp;"0123456789")),FIND("-",$A101)-MIN(FIND({0;1;2;3;4;5;6;7;8;9},$A101&amp;"0123456789")))</f>
        <v>438</v>
      </c>
      <c r="F101" t="str">
        <f t="shared" si="15"/>
        <v>5</v>
      </c>
      <c r="G101" t="str">
        <f t="shared" si="16"/>
        <v>Mo</v>
      </c>
      <c r="H101" t="str">
        <f t="shared" si="17"/>
        <v>ENG-5</v>
      </c>
      <c r="J101" t="s">
        <v>287</v>
      </c>
      <c r="K101" t="s">
        <v>1523</v>
      </c>
      <c r="L101">
        <v>438</v>
      </c>
      <c r="M101">
        <v>5</v>
      </c>
      <c r="N101" t="s">
        <v>1530</v>
      </c>
      <c r="O101" t="s">
        <v>1577</v>
      </c>
    </row>
    <row r="102" spans="1:15" x14ac:dyDescent="0.3">
      <c r="A102" t="str">
        <f>'Case 3 data'!A101</f>
        <v>Japan247-6W</v>
      </c>
      <c r="B102" t="str">
        <f>'Case 3 data'!B101</f>
        <v>Debra</v>
      </c>
      <c r="C102" t="str">
        <f>'Case 3 data'!C101</f>
        <v>Butler</v>
      </c>
      <c r="D102" t="str" cm="1">
        <f t="array" ref="D102">LEFT($A102,MIN(FIND({0;1;2;3;4;5;6;7;8;9},$A102&amp;"0123456789"))-1)</f>
        <v>Japan</v>
      </c>
      <c r="E102" t="str" cm="1">
        <f t="array" ref="E102">MID($A102,MIN(FIND({0;1;2;3;4;5;6;7;8;9},$A102&amp;"0123456789")),FIND("-",$A102)-MIN(FIND({0;1;2;3;4;5;6;7;8;9},$A102&amp;"0123456789")))</f>
        <v>247</v>
      </c>
      <c r="F102" t="str">
        <f t="shared" si="15"/>
        <v>6</v>
      </c>
      <c r="G102" t="str">
        <f t="shared" si="16"/>
        <v>W</v>
      </c>
      <c r="H102" t="str">
        <f t="shared" si="17"/>
        <v>Japan-6</v>
      </c>
      <c r="J102" t="s">
        <v>290</v>
      </c>
      <c r="K102" t="s">
        <v>1523</v>
      </c>
      <c r="L102">
        <v>247</v>
      </c>
      <c r="M102">
        <v>6</v>
      </c>
      <c r="N102" t="s">
        <v>1532</v>
      </c>
      <c r="O102" t="s">
        <v>1540</v>
      </c>
    </row>
    <row r="103" spans="1:15" x14ac:dyDescent="0.3">
      <c r="A103" t="str">
        <f>'Case 3 data'!A102</f>
        <v>MEX44-17M</v>
      </c>
      <c r="B103" t="str">
        <f>'Case 3 data'!B102</f>
        <v>Janell</v>
      </c>
      <c r="C103" t="str">
        <f>'Case 3 data'!C102</f>
        <v>Orozco</v>
      </c>
      <c r="D103" t="str" cm="1">
        <f t="array" ref="D103">LEFT($A103,MIN(FIND({0;1;2;3;4;5;6;7;8;9},$A103&amp;"0123456789"))-1)</f>
        <v>MEX</v>
      </c>
      <c r="E103" t="str" cm="1">
        <f t="array" ref="E103">MID($A103,MIN(FIND({0;1;2;3;4;5;6;7;8;9},$A103&amp;"0123456789")),FIND("-",$A103)-MIN(FIND({0;1;2;3;4;5;6;7;8;9},$A103&amp;"0123456789")))</f>
        <v>44</v>
      </c>
      <c r="F103" t="str">
        <f t="shared" si="15"/>
        <v>17</v>
      </c>
      <c r="G103" t="str">
        <f t="shared" si="16"/>
        <v>M</v>
      </c>
      <c r="H103" t="str">
        <f t="shared" si="17"/>
        <v>MEX-17</v>
      </c>
      <c r="J103" t="s">
        <v>293</v>
      </c>
      <c r="K103" t="s">
        <v>1521</v>
      </c>
      <c r="L103">
        <v>44</v>
      </c>
      <c r="M103">
        <v>17</v>
      </c>
      <c r="N103" t="s">
        <v>1531</v>
      </c>
      <c r="O103" t="s">
        <v>1586</v>
      </c>
    </row>
    <row r="104" spans="1:15" x14ac:dyDescent="0.3">
      <c r="A104" t="str">
        <f>'Case 3 data'!A103</f>
        <v>ARG532-14W</v>
      </c>
      <c r="B104" t="str">
        <f>'Case 3 data'!B103</f>
        <v>Salvador</v>
      </c>
      <c r="C104" t="str">
        <f>'Case 3 data'!C103</f>
        <v>Copeland</v>
      </c>
      <c r="D104" t="str" cm="1">
        <f t="array" ref="D104">LEFT($A104,MIN(FIND({0;1;2;3;4;5;6;7;8;9},$A104&amp;"0123456789"))-1)</f>
        <v>ARG</v>
      </c>
      <c r="E104" t="str" cm="1">
        <f t="array" ref="E104">MID($A104,MIN(FIND({0;1;2;3;4;5;6;7;8;9},$A104&amp;"0123456789")),FIND("-",$A104)-MIN(FIND({0;1;2;3;4;5;6;7;8;9},$A104&amp;"0123456789")))</f>
        <v>532</v>
      </c>
      <c r="F104" t="str">
        <f t="shared" si="15"/>
        <v>14</v>
      </c>
      <c r="G104" t="str">
        <f t="shared" si="16"/>
        <v>W</v>
      </c>
      <c r="H104" t="str">
        <f t="shared" si="17"/>
        <v>ARG-14</v>
      </c>
      <c r="J104" t="s">
        <v>296</v>
      </c>
      <c r="K104" t="str">
        <f t="shared" ref="K104:K167" si="25">LEFT(A104,3)</f>
        <v>ARG</v>
      </c>
      <c r="L104">
        <v>532</v>
      </c>
      <c r="M104">
        <v>14</v>
      </c>
      <c r="N104" t="s">
        <v>1532</v>
      </c>
      <c r="O104" t="s">
        <v>1555</v>
      </c>
    </row>
    <row r="105" spans="1:15" x14ac:dyDescent="0.3">
      <c r="A105" t="str">
        <f>'Case 3 data'!A104</f>
        <v>MEX579-17Mo</v>
      </c>
      <c r="B105" t="str">
        <f>'Case 3 data'!B104</f>
        <v>Dave</v>
      </c>
      <c r="C105" t="str">
        <f>'Case 3 data'!C104</f>
        <v>Sherman</v>
      </c>
      <c r="D105" t="str" cm="1">
        <f t="array" ref="D105">LEFT($A105,MIN(FIND({0;1;2;3;4;5;6;7;8;9},$A105&amp;"0123456789"))-1)</f>
        <v>MEX</v>
      </c>
      <c r="E105" t="str" cm="1">
        <f t="array" ref="E105">MID($A105,MIN(FIND({0;1;2;3;4;5;6;7;8;9},$A105&amp;"0123456789")),FIND("-",$A105)-MIN(FIND({0;1;2;3;4;5;6;7;8;9},$A105&amp;"0123456789")))</f>
        <v>579</v>
      </c>
      <c r="F105" t="str">
        <f t="shared" si="15"/>
        <v>17</v>
      </c>
      <c r="G105" t="str">
        <f t="shared" si="16"/>
        <v>Mo</v>
      </c>
      <c r="H105" t="str">
        <f t="shared" si="17"/>
        <v>MEX-17</v>
      </c>
      <c r="J105" t="s">
        <v>299</v>
      </c>
      <c r="K105" t="s">
        <v>1522</v>
      </c>
      <c r="L105">
        <v>579</v>
      </c>
      <c r="M105">
        <v>17</v>
      </c>
      <c r="N105" t="s">
        <v>1530</v>
      </c>
      <c r="O105" t="s">
        <v>1579</v>
      </c>
    </row>
    <row r="106" spans="1:15" x14ac:dyDescent="0.3">
      <c r="A106" t="str">
        <f>'Case 3 data'!A105</f>
        <v>Japan338-12W</v>
      </c>
      <c r="B106" t="str">
        <f>'Case 3 data'!B105</f>
        <v>Philip</v>
      </c>
      <c r="C106" t="str">
        <f>'Case 3 data'!C105</f>
        <v>Bryant</v>
      </c>
      <c r="D106" t="str" cm="1">
        <f t="array" ref="D106">LEFT($A106,MIN(FIND({0;1;2;3;4;5;6;7;8;9},$A106&amp;"0123456789"))-1)</f>
        <v>Japan</v>
      </c>
      <c r="E106" t="str" cm="1">
        <f t="array" ref="E106">MID($A106,MIN(FIND({0;1;2;3;4;5;6;7;8;9},$A106&amp;"0123456789")),FIND("-",$A106)-MIN(FIND({0;1;2;3;4;5;6;7;8;9},$A106&amp;"0123456789")))</f>
        <v>338</v>
      </c>
      <c r="F106" t="str">
        <f t="shared" si="15"/>
        <v>12</v>
      </c>
      <c r="G106" t="str">
        <f t="shared" si="16"/>
        <v>W</v>
      </c>
      <c r="H106" t="str">
        <f t="shared" si="17"/>
        <v>Japan-12</v>
      </c>
      <c r="J106" t="s">
        <v>302</v>
      </c>
      <c r="K106" t="s">
        <v>1523</v>
      </c>
      <c r="L106">
        <v>338</v>
      </c>
      <c r="M106">
        <v>12</v>
      </c>
      <c r="N106" t="s">
        <v>1532</v>
      </c>
      <c r="O106" t="s">
        <v>1567</v>
      </c>
    </row>
    <row r="107" spans="1:15" x14ac:dyDescent="0.3">
      <c r="A107" t="str">
        <f>'Case 3 data'!A106</f>
        <v>US270-17M</v>
      </c>
      <c r="B107" t="str">
        <f>'Case 3 data'!B106</f>
        <v>Geraldine</v>
      </c>
      <c r="C107" t="str">
        <f>'Case 3 data'!C106</f>
        <v>Kelly</v>
      </c>
      <c r="D107" t="str" cm="1">
        <f t="array" ref="D107">LEFT($A107,MIN(FIND({0;1;2;3;4;5;6;7;8;9},$A107&amp;"0123456789"))-1)</f>
        <v>US</v>
      </c>
      <c r="E107" t="str" cm="1">
        <f t="array" ref="E107">MID($A107,MIN(FIND({0;1;2;3;4;5;6;7;8;9},$A107&amp;"0123456789")),FIND("-",$A107)-MIN(FIND({0;1;2;3;4;5;6;7;8;9},$A107&amp;"0123456789")))</f>
        <v>270</v>
      </c>
      <c r="F107" t="str">
        <f t="shared" si="15"/>
        <v>17</v>
      </c>
      <c r="G107" t="str">
        <f t="shared" si="16"/>
        <v>M</v>
      </c>
      <c r="H107" t="str">
        <f t="shared" si="17"/>
        <v>US-17</v>
      </c>
      <c r="J107" t="s">
        <v>305</v>
      </c>
      <c r="K107" t="s">
        <v>1523</v>
      </c>
      <c r="L107">
        <v>270</v>
      </c>
      <c r="M107">
        <v>17</v>
      </c>
      <c r="N107" t="s">
        <v>1531</v>
      </c>
      <c r="O107" t="s">
        <v>1572</v>
      </c>
    </row>
    <row r="108" spans="1:15" x14ac:dyDescent="0.3">
      <c r="A108" t="str">
        <f>'Case 3 data'!A107</f>
        <v>US144-15W</v>
      </c>
      <c r="B108" t="str">
        <f>'Case 3 data'!B107</f>
        <v>Madelaine</v>
      </c>
      <c r="C108" t="str">
        <f>'Case 3 data'!C107</f>
        <v>Moriarty</v>
      </c>
      <c r="D108" t="str" cm="1">
        <f t="array" ref="D108">LEFT($A108,MIN(FIND({0;1;2;3;4;5;6;7;8;9},$A108&amp;"0123456789"))-1)</f>
        <v>US</v>
      </c>
      <c r="E108" t="str" cm="1">
        <f t="array" ref="E108">MID($A108,MIN(FIND({0;1;2;3;4;5;6;7;8;9},$A108&amp;"0123456789")),FIND("-",$A108)-MIN(FIND({0;1;2;3;4;5;6;7;8;9},$A108&amp;"0123456789")))</f>
        <v>144</v>
      </c>
      <c r="F108" t="str">
        <f t="shared" si="15"/>
        <v>15</v>
      </c>
      <c r="G108" t="str">
        <f t="shared" si="16"/>
        <v>W</v>
      </c>
      <c r="H108" t="str">
        <f t="shared" si="17"/>
        <v>US-15</v>
      </c>
      <c r="J108" t="s">
        <v>307</v>
      </c>
      <c r="K108" t="s">
        <v>1521</v>
      </c>
      <c r="L108">
        <v>144</v>
      </c>
      <c r="M108">
        <v>15</v>
      </c>
      <c r="N108" t="s">
        <v>1532</v>
      </c>
      <c r="O108" t="s">
        <v>1568</v>
      </c>
    </row>
    <row r="109" spans="1:15" x14ac:dyDescent="0.3">
      <c r="A109" t="str">
        <f>'Case 3 data'!A108</f>
        <v>Japan139-14W</v>
      </c>
      <c r="B109" t="str">
        <f>'Case 3 data'!B108</f>
        <v>Andrea</v>
      </c>
      <c r="C109" t="str">
        <f>'Case 3 data'!C108</f>
        <v>Murphy</v>
      </c>
      <c r="D109" t="str" cm="1">
        <f t="array" ref="D109">LEFT($A109,MIN(FIND({0;1;2;3;4;5;6;7;8;9},$A109&amp;"0123456789"))-1)</f>
        <v>Japan</v>
      </c>
      <c r="E109" t="str" cm="1">
        <f t="array" ref="E109">MID($A109,MIN(FIND({0;1;2;3;4;5;6;7;8;9},$A109&amp;"0123456789")),FIND("-",$A109)-MIN(FIND({0;1;2;3;4;5;6;7;8;9},$A109&amp;"0123456789")))</f>
        <v>139</v>
      </c>
      <c r="F109" t="str">
        <f t="shared" si="15"/>
        <v>14</v>
      </c>
      <c r="G109" t="str">
        <f t="shared" si="16"/>
        <v>W</v>
      </c>
      <c r="H109" t="str">
        <f t="shared" si="17"/>
        <v>Japan-14</v>
      </c>
      <c r="J109" t="s">
        <v>310</v>
      </c>
      <c r="K109" t="str">
        <f t="shared" ref="K109:K172" si="26">LEFT(A109,3)</f>
        <v>Jap</v>
      </c>
      <c r="L109">
        <v>139</v>
      </c>
      <c r="M109">
        <v>14</v>
      </c>
      <c r="N109" t="s">
        <v>1532</v>
      </c>
      <c r="O109" t="s">
        <v>1569</v>
      </c>
    </row>
    <row r="110" spans="1:15" x14ac:dyDescent="0.3">
      <c r="A110" t="str">
        <f>'Case 3 data'!A109</f>
        <v>AUS299-11M</v>
      </c>
      <c r="B110" t="str">
        <f>'Case 3 data'!B109</f>
        <v>Sonny</v>
      </c>
      <c r="C110" t="str">
        <f>'Case 3 data'!C109</f>
        <v>Ragland</v>
      </c>
      <c r="D110" t="str" cm="1">
        <f t="array" ref="D110">LEFT($A110,MIN(FIND({0;1;2;3;4;5;6;7;8;9},$A110&amp;"0123456789"))-1)</f>
        <v>AUS</v>
      </c>
      <c r="E110" t="str" cm="1">
        <f t="array" ref="E110">MID($A110,MIN(FIND({0;1;2;3;4;5;6;7;8;9},$A110&amp;"0123456789")),FIND("-",$A110)-MIN(FIND({0;1;2;3;4;5;6;7;8;9},$A110&amp;"0123456789")))</f>
        <v>299</v>
      </c>
      <c r="F110" t="str">
        <f t="shared" si="15"/>
        <v>11</v>
      </c>
      <c r="G110" t="str">
        <f t="shared" si="16"/>
        <v>M</v>
      </c>
      <c r="H110" t="str">
        <f t="shared" si="17"/>
        <v>AUS-11</v>
      </c>
      <c r="J110" t="s">
        <v>313</v>
      </c>
      <c r="K110" t="s">
        <v>1522</v>
      </c>
      <c r="L110">
        <v>299</v>
      </c>
      <c r="M110">
        <v>11</v>
      </c>
      <c r="N110" t="s">
        <v>1531</v>
      </c>
      <c r="O110" t="s">
        <v>1587</v>
      </c>
    </row>
    <row r="111" spans="1:15" x14ac:dyDescent="0.3">
      <c r="A111" t="str">
        <f>'Case 3 data'!A110</f>
        <v>Canada71-15Mo</v>
      </c>
      <c r="B111" t="str">
        <f>'Case 3 data'!B110</f>
        <v>Susan</v>
      </c>
      <c r="C111" t="str">
        <f>'Case 3 data'!C110</f>
        <v>Long</v>
      </c>
      <c r="D111" t="str" cm="1">
        <f t="array" ref="D111">LEFT($A111,MIN(FIND({0;1;2;3;4;5;6;7;8;9},$A111&amp;"0123456789"))-1)</f>
        <v>Canada</v>
      </c>
      <c r="E111" t="str" cm="1">
        <f t="array" ref="E111">MID($A111,MIN(FIND({0;1;2;3;4;5;6;7;8;9},$A111&amp;"0123456789")),FIND("-",$A111)-MIN(FIND({0;1;2;3;4;5;6;7;8;9},$A111&amp;"0123456789")))</f>
        <v>71</v>
      </c>
      <c r="F111" t="str">
        <f t="shared" si="15"/>
        <v>15</v>
      </c>
      <c r="G111" t="str">
        <f t="shared" si="16"/>
        <v>Mo</v>
      </c>
      <c r="H111" t="str">
        <f t="shared" si="17"/>
        <v>Canada-15</v>
      </c>
      <c r="J111" t="s">
        <v>316</v>
      </c>
      <c r="K111" t="s">
        <v>1523</v>
      </c>
      <c r="L111">
        <v>71</v>
      </c>
      <c r="M111">
        <v>15</v>
      </c>
      <c r="N111" t="s">
        <v>1530</v>
      </c>
      <c r="O111" t="s">
        <v>1558</v>
      </c>
    </row>
    <row r="112" spans="1:15" x14ac:dyDescent="0.3">
      <c r="A112" t="str">
        <f>'Case 3 data'!A111</f>
        <v>Japan50-17M</v>
      </c>
      <c r="B112" t="str">
        <f>'Case 3 data'!B111</f>
        <v>Keneth</v>
      </c>
      <c r="C112" t="str">
        <f>'Case 3 data'!C111</f>
        <v>Roper</v>
      </c>
      <c r="D112" t="str" cm="1">
        <f t="array" ref="D112">LEFT($A112,MIN(FIND({0;1;2;3;4;5;6;7;8;9},$A112&amp;"0123456789"))-1)</f>
        <v>Japan</v>
      </c>
      <c r="E112" t="str" cm="1">
        <f t="array" ref="E112">MID($A112,MIN(FIND({0;1;2;3;4;5;6;7;8;9},$A112&amp;"0123456789")),FIND("-",$A112)-MIN(FIND({0;1;2;3;4;5;6;7;8;9},$A112&amp;"0123456789")))</f>
        <v>50</v>
      </c>
      <c r="F112" t="str">
        <f t="shared" si="15"/>
        <v>17</v>
      </c>
      <c r="G112" t="str">
        <f t="shared" si="16"/>
        <v>M</v>
      </c>
      <c r="H112" t="str">
        <f t="shared" si="17"/>
        <v>Japan-17</v>
      </c>
      <c r="J112" t="s">
        <v>319</v>
      </c>
      <c r="K112" t="s">
        <v>1523</v>
      </c>
      <c r="L112">
        <v>50</v>
      </c>
      <c r="M112">
        <v>17</v>
      </c>
      <c r="N112" t="s">
        <v>1531</v>
      </c>
      <c r="O112" t="s">
        <v>1572</v>
      </c>
    </row>
    <row r="113" spans="1:15" x14ac:dyDescent="0.3">
      <c r="A113" t="str">
        <f>'Case 3 data'!A112</f>
        <v>Canada27-3Mo</v>
      </c>
      <c r="B113" t="str">
        <f>'Case 3 data'!B112</f>
        <v>Ronald</v>
      </c>
      <c r="C113" t="str">
        <f>'Case 3 data'!C112</f>
        <v>Carter</v>
      </c>
      <c r="D113" t="str" cm="1">
        <f t="array" ref="D113">LEFT($A113,MIN(FIND({0;1;2;3;4;5;6;7;8;9},$A113&amp;"0123456789"))-1)</f>
        <v>Canada</v>
      </c>
      <c r="E113" t="str" cm="1">
        <f t="array" ref="E113">MID($A113,MIN(FIND({0;1;2;3;4;5;6;7;8;9},$A113&amp;"0123456789")),FIND("-",$A113)-MIN(FIND({0;1;2;3;4;5;6;7;8;9},$A113&amp;"0123456789")))</f>
        <v>27</v>
      </c>
      <c r="F113" t="str">
        <f t="shared" si="15"/>
        <v>3</v>
      </c>
      <c r="G113" t="str">
        <f t="shared" si="16"/>
        <v>Mo</v>
      </c>
      <c r="H113" t="str">
        <f t="shared" si="17"/>
        <v>Canada-3</v>
      </c>
      <c r="J113" t="s">
        <v>322</v>
      </c>
      <c r="K113" t="s">
        <v>1521</v>
      </c>
      <c r="L113">
        <v>27</v>
      </c>
      <c r="M113">
        <v>3</v>
      </c>
      <c r="N113" t="s">
        <v>1530</v>
      </c>
      <c r="O113" t="s">
        <v>1533</v>
      </c>
    </row>
    <row r="114" spans="1:15" x14ac:dyDescent="0.3">
      <c r="A114" t="str">
        <f>'Case 3 data'!A113</f>
        <v>Canada566-10W</v>
      </c>
      <c r="B114" t="str">
        <f>'Case 3 data'!B113</f>
        <v>Eric</v>
      </c>
      <c r="C114" t="str">
        <f>'Case 3 data'!C113</f>
        <v>Cooper</v>
      </c>
      <c r="D114" t="str" cm="1">
        <f t="array" ref="D114">LEFT($A114,MIN(FIND({0;1;2;3;4;5;6;7;8;9},$A114&amp;"0123456789"))-1)</f>
        <v>Canada</v>
      </c>
      <c r="E114" t="str" cm="1">
        <f t="array" ref="E114">MID($A114,MIN(FIND({0;1;2;3;4;5;6;7;8;9},$A114&amp;"0123456789")),FIND("-",$A114)-MIN(FIND({0;1;2;3;4;5;6;7;8;9},$A114&amp;"0123456789")))</f>
        <v>566</v>
      </c>
      <c r="F114" t="str">
        <f t="shared" si="15"/>
        <v>10</v>
      </c>
      <c r="G114" t="str">
        <f t="shared" si="16"/>
        <v>W</v>
      </c>
      <c r="H114" t="str">
        <f t="shared" si="17"/>
        <v>Canada-10</v>
      </c>
      <c r="J114" t="s">
        <v>325</v>
      </c>
      <c r="K114" t="str">
        <f t="shared" ref="K114:K177" si="27">LEFT(A114,3)</f>
        <v>Can</v>
      </c>
      <c r="L114">
        <v>566</v>
      </c>
      <c r="M114">
        <v>10</v>
      </c>
      <c r="N114" t="s">
        <v>1532</v>
      </c>
      <c r="O114" t="s">
        <v>1588</v>
      </c>
    </row>
    <row r="115" spans="1:15" x14ac:dyDescent="0.3">
      <c r="A115" t="str">
        <f>'Case 3 data'!A114</f>
        <v>AUS194-5W</v>
      </c>
      <c r="B115" t="str">
        <f>'Case 3 data'!B114</f>
        <v>Alethia</v>
      </c>
      <c r="C115" t="str">
        <f>'Case 3 data'!C114</f>
        <v>Law</v>
      </c>
      <c r="D115" t="str" cm="1">
        <f t="array" ref="D115">LEFT($A115,MIN(FIND({0;1;2;3;4;5;6;7;8;9},$A115&amp;"0123456789"))-1)</f>
        <v>AUS</v>
      </c>
      <c r="E115" t="str" cm="1">
        <f t="array" ref="E115">MID($A115,MIN(FIND({0;1;2;3;4;5;6;7;8;9},$A115&amp;"0123456789")),FIND("-",$A115)-MIN(FIND({0;1;2;3;4;5;6;7;8;9},$A115&amp;"0123456789")))</f>
        <v>194</v>
      </c>
      <c r="F115" t="str">
        <f t="shared" si="15"/>
        <v>5</v>
      </c>
      <c r="G115" t="str">
        <f t="shared" si="16"/>
        <v>W</v>
      </c>
      <c r="H115" t="str">
        <f t="shared" si="17"/>
        <v>AUS-5</v>
      </c>
      <c r="J115" t="s">
        <v>328</v>
      </c>
      <c r="K115" t="s">
        <v>1522</v>
      </c>
      <c r="L115">
        <v>194</v>
      </c>
      <c r="M115">
        <v>5</v>
      </c>
      <c r="N115" t="s">
        <v>1532</v>
      </c>
      <c r="O115" t="s">
        <v>1539</v>
      </c>
    </row>
    <row r="116" spans="1:15" x14ac:dyDescent="0.3">
      <c r="A116" t="str">
        <f>'Case 3 data'!A115</f>
        <v>Japan582-13M</v>
      </c>
      <c r="B116" t="str">
        <f>'Case 3 data'!B115</f>
        <v>Adrian</v>
      </c>
      <c r="C116" t="str">
        <f>'Case 3 data'!C115</f>
        <v>Hughes</v>
      </c>
      <c r="D116" t="str" cm="1">
        <f t="array" ref="D116">LEFT($A116,MIN(FIND({0;1;2;3;4;5;6;7;8;9},$A116&amp;"0123456789"))-1)</f>
        <v>Japan</v>
      </c>
      <c r="E116" t="str" cm="1">
        <f t="array" ref="E116">MID($A116,MIN(FIND({0;1;2;3;4;5;6;7;8;9},$A116&amp;"0123456789")),FIND("-",$A116)-MIN(FIND({0;1;2;3;4;5;6;7;8;9},$A116&amp;"0123456789")))</f>
        <v>582</v>
      </c>
      <c r="F116" t="str">
        <f t="shared" si="15"/>
        <v>13</v>
      </c>
      <c r="G116" t="str">
        <f t="shared" si="16"/>
        <v>M</v>
      </c>
      <c r="H116" t="str">
        <f t="shared" si="17"/>
        <v>Japan-13</v>
      </c>
      <c r="J116" t="s">
        <v>331</v>
      </c>
      <c r="K116" t="s">
        <v>1523</v>
      </c>
      <c r="L116">
        <v>582</v>
      </c>
      <c r="M116">
        <v>13</v>
      </c>
      <c r="N116" t="s">
        <v>1531</v>
      </c>
      <c r="O116" t="s">
        <v>1553</v>
      </c>
    </row>
    <row r="117" spans="1:15" x14ac:dyDescent="0.3">
      <c r="A117" t="str">
        <f>'Case 3 data'!A116</f>
        <v>MEX496-7Mo</v>
      </c>
      <c r="B117" t="str">
        <f>'Case 3 data'!B116</f>
        <v>Leo</v>
      </c>
      <c r="C117" t="str">
        <f>'Case 3 data'!C116</f>
        <v>Barber</v>
      </c>
      <c r="D117" t="str" cm="1">
        <f t="array" ref="D117">LEFT($A117,MIN(FIND({0;1;2;3;4;5;6;7;8;9},$A117&amp;"0123456789"))-1)</f>
        <v>MEX</v>
      </c>
      <c r="E117" t="str" cm="1">
        <f t="array" ref="E117">MID($A117,MIN(FIND({0;1;2;3;4;5;6;7;8;9},$A117&amp;"0123456789")),FIND("-",$A117)-MIN(FIND({0;1;2;3;4;5;6;7;8;9},$A117&amp;"0123456789")))</f>
        <v>496</v>
      </c>
      <c r="F117" t="str">
        <f t="shared" si="15"/>
        <v>7</v>
      </c>
      <c r="G117" t="str">
        <f t="shared" si="16"/>
        <v>Mo</v>
      </c>
      <c r="H117" t="str">
        <f t="shared" si="17"/>
        <v>MEX-7</v>
      </c>
      <c r="J117" t="s">
        <v>334</v>
      </c>
      <c r="K117" t="s">
        <v>1523</v>
      </c>
      <c r="L117">
        <v>496</v>
      </c>
      <c r="M117">
        <v>7</v>
      </c>
      <c r="N117" t="s">
        <v>1530</v>
      </c>
      <c r="O117" t="s">
        <v>1582</v>
      </c>
    </row>
    <row r="118" spans="1:15" x14ac:dyDescent="0.3">
      <c r="A118" t="str">
        <f>'Case 3 data'!A117</f>
        <v>Canada32-1Mo</v>
      </c>
      <c r="B118" t="str">
        <f>'Case 3 data'!B117</f>
        <v>Janet</v>
      </c>
      <c r="C118" t="str">
        <f>'Case 3 data'!C117</f>
        <v>Jones</v>
      </c>
      <c r="D118" t="str" cm="1">
        <f t="array" ref="D118">LEFT($A118,MIN(FIND({0;1;2;3;4;5;6;7;8;9},$A118&amp;"0123456789"))-1)</f>
        <v>Canada</v>
      </c>
      <c r="E118" t="str" cm="1">
        <f t="array" ref="E118">MID($A118,MIN(FIND({0;1;2;3;4;5;6;7;8;9},$A118&amp;"0123456789")),FIND("-",$A118)-MIN(FIND({0;1;2;3;4;5;6;7;8;9},$A118&amp;"0123456789")))</f>
        <v>32</v>
      </c>
      <c r="F118" t="str">
        <f t="shared" si="15"/>
        <v>1</v>
      </c>
      <c r="G118" t="str">
        <f t="shared" si="16"/>
        <v>Mo</v>
      </c>
      <c r="H118" t="str">
        <f t="shared" si="17"/>
        <v>Canada-1</v>
      </c>
      <c r="J118" t="s">
        <v>337</v>
      </c>
      <c r="K118" t="s">
        <v>1521</v>
      </c>
      <c r="L118">
        <v>32</v>
      </c>
      <c r="M118">
        <v>1</v>
      </c>
      <c r="N118" t="s">
        <v>1530</v>
      </c>
      <c r="O118" t="s">
        <v>1583</v>
      </c>
    </row>
    <row r="119" spans="1:15" x14ac:dyDescent="0.3">
      <c r="A119" t="str">
        <f>'Case 3 data'!A118</f>
        <v>Canada113-8W</v>
      </c>
      <c r="B119" t="str">
        <f>'Case 3 data'!B118</f>
        <v>Julie</v>
      </c>
      <c r="C119" t="str">
        <f>'Case 3 data'!C118</f>
        <v>Bennett</v>
      </c>
      <c r="D119" t="str" cm="1">
        <f t="array" ref="D119">LEFT($A119,MIN(FIND({0;1;2;3;4;5;6;7;8;9},$A119&amp;"0123456789"))-1)</f>
        <v>Canada</v>
      </c>
      <c r="E119" t="str" cm="1">
        <f t="array" ref="E119">MID($A119,MIN(FIND({0;1;2;3;4;5;6;7;8;9},$A119&amp;"0123456789")),FIND("-",$A119)-MIN(FIND({0;1;2;3;4;5;6;7;8;9},$A119&amp;"0123456789")))</f>
        <v>113</v>
      </c>
      <c r="F119" t="str">
        <f t="shared" si="15"/>
        <v>8</v>
      </c>
      <c r="G119" t="str">
        <f t="shared" si="16"/>
        <v>W</v>
      </c>
      <c r="H119" t="str">
        <f t="shared" si="17"/>
        <v>Canada-8</v>
      </c>
      <c r="J119" t="s">
        <v>340</v>
      </c>
      <c r="K119" t="str">
        <f t="shared" ref="K119:K182" si="28">LEFT(A119,3)</f>
        <v>Can</v>
      </c>
      <c r="L119">
        <v>113</v>
      </c>
      <c r="M119">
        <v>8</v>
      </c>
      <c r="N119" t="s">
        <v>1532</v>
      </c>
      <c r="O119" t="s">
        <v>1589</v>
      </c>
    </row>
    <row r="120" spans="1:15" x14ac:dyDescent="0.3">
      <c r="A120" t="str">
        <f>'Case 3 data'!A119</f>
        <v>US203-17W</v>
      </c>
      <c r="B120" t="str">
        <f>'Case 3 data'!B119</f>
        <v>Lyle</v>
      </c>
      <c r="C120" t="str">
        <f>'Case 3 data'!C119</f>
        <v>Cummings</v>
      </c>
      <c r="D120" t="str" cm="1">
        <f t="array" ref="D120">LEFT($A120,MIN(FIND({0;1;2;3;4;5;6;7;8;9},$A120&amp;"0123456789"))-1)</f>
        <v>US</v>
      </c>
      <c r="E120" t="str" cm="1">
        <f t="array" ref="E120">MID($A120,MIN(FIND({0;1;2;3;4;5;6;7;8;9},$A120&amp;"0123456789")),FIND("-",$A120)-MIN(FIND({0;1;2;3;4;5;6;7;8;9},$A120&amp;"0123456789")))</f>
        <v>203</v>
      </c>
      <c r="F120" t="str">
        <f t="shared" si="15"/>
        <v>17</v>
      </c>
      <c r="G120" t="str">
        <f t="shared" si="16"/>
        <v>W</v>
      </c>
      <c r="H120" t="str">
        <f t="shared" si="17"/>
        <v>US-17</v>
      </c>
      <c r="J120" t="s">
        <v>342</v>
      </c>
      <c r="K120" t="s">
        <v>1522</v>
      </c>
      <c r="L120">
        <v>203</v>
      </c>
      <c r="M120">
        <v>17</v>
      </c>
      <c r="N120" t="s">
        <v>1532</v>
      </c>
      <c r="O120" t="s">
        <v>1579</v>
      </c>
    </row>
    <row r="121" spans="1:15" x14ac:dyDescent="0.3">
      <c r="A121" t="str">
        <f>'Case 3 data'!A120</f>
        <v>US242-7W</v>
      </c>
      <c r="B121" t="str">
        <f>'Case 3 data'!B120</f>
        <v>William</v>
      </c>
      <c r="C121" t="str">
        <f>'Case 3 data'!C120</f>
        <v>Gonzalez</v>
      </c>
      <c r="D121" t="str" cm="1">
        <f t="array" ref="D121">LEFT($A121,MIN(FIND({0;1;2;3;4;5;6;7;8;9},$A121&amp;"0123456789"))-1)</f>
        <v>US</v>
      </c>
      <c r="E121" t="str" cm="1">
        <f t="array" ref="E121">MID($A121,MIN(FIND({0;1;2;3;4;5;6;7;8;9},$A121&amp;"0123456789")),FIND("-",$A121)-MIN(FIND({0;1;2;3;4;5;6;7;8;9},$A121&amp;"0123456789")))</f>
        <v>242</v>
      </c>
      <c r="F121" t="str">
        <f t="shared" si="15"/>
        <v>7</v>
      </c>
      <c r="G121" t="str">
        <f t="shared" si="16"/>
        <v>W</v>
      </c>
      <c r="H121" t="str">
        <f t="shared" si="17"/>
        <v>US-7</v>
      </c>
      <c r="J121" t="s">
        <v>345</v>
      </c>
      <c r="K121" t="s">
        <v>1523</v>
      </c>
      <c r="L121">
        <v>242</v>
      </c>
      <c r="M121">
        <v>7</v>
      </c>
      <c r="N121" t="s">
        <v>1532</v>
      </c>
      <c r="O121" t="s">
        <v>1582</v>
      </c>
    </row>
    <row r="122" spans="1:15" x14ac:dyDescent="0.3">
      <c r="A122" t="str">
        <f>'Case 3 data'!A121</f>
        <v>ARG20-3M</v>
      </c>
      <c r="B122" t="str">
        <f>'Case 3 data'!B121</f>
        <v>Harry</v>
      </c>
      <c r="C122" t="str">
        <f>'Case 3 data'!C121</f>
        <v>Sanchez</v>
      </c>
      <c r="D122" t="str" cm="1">
        <f t="array" ref="D122">LEFT($A122,MIN(FIND({0;1;2;3;4;5;6;7;8;9},$A122&amp;"0123456789"))-1)</f>
        <v>ARG</v>
      </c>
      <c r="E122" t="str" cm="1">
        <f t="array" ref="E122">MID($A122,MIN(FIND({0;1;2;3;4;5;6;7;8;9},$A122&amp;"0123456789")),FIND("-",$A122)-MIN(FIND({0;1;2;3;4;5;6;7;8;9},$A122&amp;"0123456789")))</f>
        <v>20</v>
      </c>
      <c r="F122" t="str">
        <f t="shared" si="15"/>
        <v>3</v>
      </c>
      <c r="G122" t="str">
        <f t="shared" si="16"/>
        <v>M</v>
      </c>
      <c r="H122" t="str">
        <f t="shared" si="17"/>
        <v>ARG-3</v>
      </c>
      <c r="J122" t="s">
        <v>347</v>
      </c>
      <c r="K122" t="s">
        <v>1523</v>
      </c>
      <c r="L122">
        <v>20</v>
      </c>
      <c r="M122">
        <v>3</v>
      </c>
      <c r="N122" t="s">
        <v>1531</v>
      </c>
      <c r="O122" t="s">
        <v>1552</v>
      </c>
    </row>
    <row r="123" spans="1:15" x14ac:dyDescent="0.3">
      <c r="A123" t="str">
        <f>'Case 3 data'!A122</f>
        <v>ARG520-9M</v>
      </c>
      <c r="B123" t="str">
        <f>'Case 3 data'!B122</f>
        <v>Kathy</v>
      </c>
      <c r="C123" t="str">
        <f>'Case 3 data'!C122</f>
        <v>Green</v>
      </c>
      <c r="D123" t="str" cm="1">
        <f t="array" ref="D123">LEFT($A123,MIN(FIND({0;1;2;3;4;5;6;7;8;9},$A123&amp;"0123456789"))-1)</f>
        <v>ARG</v>
      </c>
      <c r="E123" t="str" cm="1">
        <f t="array" ref="E123">MID($A123,MIN(FIND({0;1;2;3;4;5;6;7;8;9},$A123&amp;"0123456789")),FIND("-",$A123)-MIN(FIND({0;1;2;3;4;5;6;7;8;9},$A123&amp;"0123456789")))</f>
        <v>520</v>
      </c>
      <c r="F123" t="str">
        <f t="shared" si="15"/>
        <v>9</v>
      </c>
      <c r="G123" t="str">
        <f t="shared" si="16"/>
        <v>M</v>
      </c>
      <c r="H123" t="str">
        <f t="shared" si="17"/>
        <v>ARG-9</v>
      </c>
      <c r="J123" t="s">
        <v>349</v>
      </c>
      <c r="K123" t="s">
        <v>1521</v>
      </c>
      <c r="L123">
        <v>520</v>
      </c>
      <c r="M123">
        <v>9</v>
      </c>
      <c r="N123" t="s">
        <v>1531</v>
      </c>
      <c r="O123" t="s">
        <v>1559</v>
      </c>
    </row>
    <row r="124" spans="1:15" x14ac:dyDescent="0.3">
      <c r="A124" t="str">
        <f>'Case 3 data'!A123</f>
        <v>US292-10W</v>
      </c>
      <c r="B124" t="str">
        <f>'Case 3 data'!B123</f>
        <v>Alayna</v>
      </c>
      <c r="C124" t="str">
        <f>'Case 3 data'!C123</f>
        <v>Wahl</v>
      </c>
      <c r="D124" t="str" cm="1">
        <f t="array" ref="D124">LEFT($A124,MIN(FIND({0;1;2;3;4;5;6;7;8;9},$A124&amp;"0123456789"))-1)</f>
        <v>US</v>
      </c>
      <c r="E124" t="str" cm="1">
        <f t="array" ref="E124">MID($A124,MIN(FIND({0;1;2;3;4;5;6;7;8;9},$A124&amp;"0123456789")),FIND("-",$A124)-MIN(FIND({0;1;2;3;4;5;6;7;8;9},$A124&amp;"0123456789")))</f>
        <v>292</v>
      </c>
      <c r="F124" t="str">
        <f t="shared" si="15"/>
        <v>10</v>
      </c>
      <c r="G124" t="str">
        <f t="shared" si="16"/>
        <v>W</v>
      </c>
      <c r="H124" t="str">
        <f t="shared" si="17"/>
        <v>US-10</v>
      </c>
      <c r="J124" t="s">
        <v>352</v>
      </c>
      <c r="K124" t="str">
        <f t="shared" ref="K124:K187" si="29">LEFT(A124,3)</f>
        <v>US2</v>
      </c>
      <c r="L124">
        <v>292</v>
      </c>
      <c r="M124">
        <v>10</v>
      </c>
      <c r="N124" t="s">
        <v>1532</v>
      </c>
      <c r="O124" t="s">
        <v>1590</v>
      </c>
    </row>
    <row r="125" spans="1:15" x14ac:dyDescent="0.3">
      <c r="A125" t="str">
        <f>'Case 3 data'!A124</f>
        <v>Canada315-8M</v>
      </c>
      <c r="B125" t="str">
        <f>'Case 3 data'!B124</f>
        <v>Henry</v>
      </c>
      <c r="C125" t="str">
        <f>'Case 3 data'!C124</f>
        <v>Davis</v>
      </c>
      <c r="D125" t="str" cm="1">
        <f t="array" ref="D125">LEFT($A125,MIN(FIND({0;1;2;3;4;5;6;7;8;9},$A125&amp;"0123456789"))-1)</f>
        <v>Canada</v>
      </c>
      <c r="E125" t="str" cm="1">
        <f t="array" ref="E125">MID($A125,MIN(FIND({0;1;2;3;4;5;6;7;8;9},$A125&amp;"0123456789")),FIND("-",$A125)-MIN(FIND({0;1;2;3;4;5;6;7;8;9},$A125&amp;"0123456789")))</f>
        <v>315</v>
      </c>
      <c r="F125" t="str">
        <f t="shared" si="15"/>
        <v>8</v>
      </c>
      <c r="G125" t="str">
        <f t="shared" si="16"/>
        <v>M</v>
      </c>
      <c r="H125" t="str">
        <f t="shared" si="17"/>
        <v>Canada-8</v>
      </c>
      <c r="J125" t="s">
        <v>355</v>
      </c>
      <c r="K125" t="s">
        <v>1522</v>
      </c>
      <c r="L125">
        <v>315</v>
      </c>
      <c r="M125">
        <v>8</v>
      </c>
      <c r="N125" t="s">
        <v>1531</v>
      </c>
      <c r="O125" t="s">
        <v>1543</v>
      </c>
    </row>
    <row r="126" spans="1:15" x14ac:dyDescent="0.3">
      <c r="A126" t="str">
        <f>'Case 3 data'!A125</f>
        <v>Canada269-5W</v>
      </c>
      <c r="B126" t="str">
        <f>'Case 3 data'!B125</f>
        <v>Shelley</v>
      </c>
      <c r="C126" t="str">
        <f>'Case 3 data'!C125</f>
        <v>Price</v>
      </c>
      <c r="D126" t="str" cm="1">
        <f t="array" ref="D126">LEFT($A126,MIN(FIND({0;1;2;3;4;5;6;7;8;9},$A126&amp;"0123456789"))-1)</f>
        <v>Canada</v>
      </c>
      <c r="E126" t="str" cm="1">
        <f t="array" ref="E126">MID($A126,MIN(FIND({0;1;2;3;4;5;6;7;8;9},$A126&amp;"0123456789")),FIND("-",$A126)-MIN(FIND({0;1;2;3;4;5;6;7;8;9},$A126&amp;"0123456789")))</f>
        <v>269</v>
      </c>
      <c r="F126" t="str">
        <f t="shared" si="15"/>
        <v>5</v>
      </c>
      <c r="G126" t="str">
        <f t="shared" si="16"/>
        <v>W</v>
      </c>
      <c r="H126" t="str">
        <f t="shared" si="17"/>
        <v>Canada-5</v>
      </c>
      <c r="J126" t="s">
        <v>358</v>
      </c>
      <c r="K126" t="s">
        <v>1523</v>
      </c>
      <c r="L126">
        <v>269</v>
      </c>
      <c r="M126">
        <v>5</v>
      </c>
      <c r="N126" t="s">
        <v>1532</v>
      </c>
      <c r="O126" t="s">
        <v>1577</v>
      </c>
    </row>
    <row r="127" spans="1:15" x14ac:dyDescent="0.3">
      <c r="A127" t="str">
        <f>'Case 3 data'!A126</f>
        <v>US52-8Mo</v>
      </c>
      <c r="B127" t="str">
        <f>'Case 3 data'!B126</f>
        <v>Rose</v>
      </c>
      <c r="C127" t="str">
        <f>'Case 3 data'!C126</f>
        <v>Walker</v>
      </c>
      <c r="D127" t="str" cm="1">
        <f t="array" ref="D127">LEFT($A127,MIN(FIND({0;1;2;3;4;5;6;7;8;9},$A127&amp;"0123456789"))-1)</f>
        <v>US</v>
      </c>
      <c r="E127" t="str" cm="1">
        <f t="array" ref="E127">MID($A127,MIN(FIND({0;1;2;3;4;5;6;7;8;9},$A127&amp;"0123456789")),FIND("-",$A127)-MIN(FIND({0;1;2;3;4;5;6;7;8;9},$A127&amp;"0123456789")))</f>
        <v>52</v>
      </c>
      <c r="F127" t="str">
        <f t="shared" si="15"/>
        <v>8</v>
      </c>
      <c r="G127" t="str">
        <f t="shared" si="16"/>
        <v>Mo</v>
      </c>
      <c r="H127" t="str">
        <f t="shared" si="17"/>
        <v>US-8</v>
      </c>
      <c r="J127" t="s">
        <v>360</v>
      </c>
      <c r="K127" t="s">
        <v>1523</v>
      </c>
      <c r="L127">
        <v>52</v>
      </c>
      <c r="M127">
        <v>8</v>
      </c>
      <c r="N127" t="s">
        <v>1530</v>
      </c>
      <c r="O127" t="s">
        <v>1574</v>
      </c>
    </row>
    <row r="128" spans="1:15" x14ac:dyDescent="0.3">
      <c r="A128" t="str">
        <f>'Case 3 data'!A127</f>
        <v>GER14-13Mo</v>
      </c>
      <c r="B128" t="str">
        <f>'Case 3 data'!B127</f>
        <v>Amy</v>
      </c>
      <c r="C128" t="str">
        <f>'Case 3 data'!C127</f>
        <v>Wood</v>
      </c>
      <c r="D128" t="str" cm="1">
        <f t="array" ref="D128">LEFT($A128,MIN(FIND({0;1;2;3;4;5;6;7;8;9},$A128&amp;"0123456789"))-1)</f>
        <v>GER</v>
      </c>
      <c r="E128" t="str" cm="1">
        <f t="array" ref="E128">MID($A128,MIN(FIND({0;1;2;3;4;5;6;7;8;9},$A128&amp;"0123456789")),FIND("-",$A128)-MIN(FIND({0;1;2;3;4;5;6;7;8;9},$A128&amp;"0123456789")))</f>
        <v>14</v>
      </c>
      <c r="F128" t="str">
        <f t="shared" si="15"/>
        <v>13</v>
      </c>
      <c r="G128" t="str">
        <f t="shared" si="16"/>
        <v>Mo</v>
      </c>
      <c r="H128" t="str">
        <f t="shared" si="17"/>
        <v>GER-13</v>
      </c>
      <c r="J128" t="s">
        <v>362</v>
      </c>
      <c r="K128" t="s">
        <v>1521</v>
      </c>
      <c r="L128">
        <v>14</v>
      </c>
      <c r="M128">
        <v>13</v>
      </c>
      <c r="N128" t="s">
        <v>1530</v>
      </c>
      <c r="O128" t="s">
        <v>1571</v>
      </c>
    </row>
    <row r="129" spans="1:15" x14ac:dyDescent="0.3">
      <c r="A129" t="str">
        <f>'Case 3 data'!A128</f>
        <v>US110-4W</v>
      </c>
      <c r="B129" t="str">
        <f>'Case 3 data'!B128</f>
        <v>Drew</v>
      </c>
      <c r="C129" t="str">
        <f>'Case 3 data'!C128</f>
        <v>Schofield</v>
      </c>
      <c r="D129" t="str" cm="1">
        <f t="array" ref="D129">LEFT($A129,MIN(FIND({0;1;2;3;4;5;6;7;8;9},$A129&amp;"0123456789"))-1)</f>
        <v>US</v>
      </c>
      <c r="E129" t="str" cm="1">
        <f t="array" ref="E129">MID($A129,MIN(FIND({0;1;2;3;4;5;6;7;8;9},$A129&amp;"0123456789")),FIND("-",$A129)-MIN(FIND({0;1;2;3;4;5;6;7;8;9},$A129&amp;"0123456789")))</f>
        <v>110</v>
      </c>
      <c r="F129" t="str">
        <f t="shared" si="15"/>
        <v>4</v>
      </c>
      <c r="G129" t="str">
        <f t="shared" si="16"/>
        <v>W</v>
      </c>
      <c r="H129" t="str">
        <f t="shared" si="17"/>
        <v>US-4</v>
      </c>
      <c r="J129" t="s">
        <v>365</v>
      </c>
      <c r="K129" t="str">
        <f t="shared" ref="K129:K192" si="30">LEFT(A129,3)</f>
        <v>US1</v>
      </c>
      <c r="L129">
        <v>110</v>
      </c>
      <c r="M129">
        <v>4</v>
      </c>
      <c r="N129" t="s">
        <v>1532</v>
      </c>
      <c r="O129" t="s">
        <v>1591</v>
      </c>
    </row>
    <row r="130" spans="1:15" x14ac:dyDescent="0.3">
      <c r="A130" t="str">
        <f>'Case 3 data'!A129</f>
        <v>Canada271-5W</v>
      </c>
      <c r="B130" t="str">
        <f>'Case 3 data'!B129</f>
        <v>Armando</v>
      </c>
      <c r="C130" t="str">
        <f>'Case 3 data'!C129</f>
        <v>Ballard</v>
      </c>
      <c r="D130" t="str" cm="1">
        <f t="array" ref="D130">LEFT($A130,MIN(FIND({0;1;2;3;4;5;6;7;8;9},$A130&amp;"0123456789"))-1)</f>
        <v>Canada</v>
      </c>
      <c r="E130" t="str" cm="1">
        <f t="array" ref="E130">MID($A130,MIN(FIND({0;1;2;3;4;5;6;7;8;9},$A130&amp;"0123456789")),FIND("-",$A130)-MIN(FIND({0;1;2;3;4;5;6;7;8;9},$A130&amp;"0123456789")))</f>
        <v>271</v>
      </c>
      <c r="F130" t="str">
        <f t="shared" si="15"/>
        <v>5</v>
      </c>
      <c r="G130" t="str">
        <f t="shared" si="16"/>
        <v>W</v>
      </c>
      <c r="H130" t="str">
        <f t="shared" si="17"/>
        <v>Canada-5</v>
      </c>
      <c r="J130" t="s">
        <v>368</v>
      </c>
      <c r="K130" t="s">
        <v>1522</v>
      </c>
      <c r="L130">
        <v>271</v>
      </c>
      <c r="M130">
        <v>5</v>
      </c>
      <c r="N130" t="s">
        <v>1532</v>
      </c>
      <c r="O130" t="s">
        <v>1539</v>
      </c>
    </row>
    <row r="131" spans="1:15" x14ac:dyDescent="0.3">
      <c r="A131" t="str">
        <f>'Case 3 data'!A130</f>
        <v>Canada205-14W</v>
      </c>
      <c r="B131" t="str">
        <f>'Case 3 data'!B130</f>
        <v>Brain</v>
      </c>
      <c r="C131" t="str">
        <f>'Case 3 data'!C130</f>
        <v>Beckham</v>
      </c>
      <c r="D131" t="str" cm="1">
        <f t="array" ref="D131">LEFT($A131,MIN(FIND({0;1;2;3;4;5;6;7;8;9},$A131&amp;"0123456789"))-1)</f>
        <v>Canada</v>
      </c>
      <c r="E131" t="str" cm="1">
        <f t="array" ref="E131">MID($A131,MIN(FIND({0;1;2;3;4;5;6;7;8;9},$A131&amp;"0123456789")),FIND("-",$A131)-MIN(FIND({0;1;2;3;4;5;6;7;8;9},$A131&amp;"0123456789")))</f>
        <v>205</v>
      </c>
      <c r="F131" t="str">
        <f t="shared" si="15"/>
        <v>14</v>
      </c>
      <c r="G131" t="str">
        <f t="shared" si="16"/>
        <v>W</v>
      </c>
      <c r="H131" t="str">
        <f t="shared" si="17"/>
        <v>Canada-14</v>
      </c>
      <c r="J131" t="s">
        <v>371</v>
      </c>
      <c r="K131" t="s">
        <v>1523</v>
      </c>
      <c r="L131">
        <v>205</v>
      </c>
      <c r="M131">
        <v>14</v>
      </c>
      <c r="N131" t="s">
        <v>1532</v>
      </c>
      <c r="O131" t="s">
        <v>1560</v>
      </c>
    </row>
    <row r="132" spans="1:15" x14ac:dyDescent="0.3">
      <c r="A132" t="str">
        <f>'Case 3 data'!A131</f>
        <v>Canada425-3Mo</v>
      </c>
      <c r="B132" t="str">
        <f>'Case 3 data'!B131</f>
        <v>Margaret</v>
      </c>
      <c r="C132" t="str">
        <f>'Case 3 data'!C131</f>
        <v>Bell</v>
      </c>
      <c r="D132" t="str" cm="1">
        <f t="array" ref="D132">LEFT($A132,MIN(FIND({0;1;2;3;4;5;6;7;8;9},$A132&amp;"0123456789"))-1)</f>
        <v>Canada</v>
      </c>
      <c r="E132" t="str" cm="1">
        <f t="array" ref="E132">MID($A132,MIN(FIND({0;1;2;3;4;5;6;7;8;9},$A132&amp;"0123456789")),FIND("-",$A132)-MIN(FIND({0;1;2;3;4;5;6;7;8;9},$A132&amp;"0123456789")))</f>
        <v>425</v>
      </c>
      <c r="F132" t="str">
        <f t="shared" ref="F132:F195" si="31">MID($A132,FIND("-",$A132)+1,LEN($A132)-FIND("-",$A132)-LEN($G132))</f>
        <v>3</v>
      </c>
      <c r="G132" t="str">
        <f t="shared" ref="G132:G195" si="32">IF(RIGHT($A132,2)="Mo","Mo",RIGHT($A132,1))</f>
        <v>Mo</v>
      </c>
      <c r="H132" t="str">
        <f t="shared" ref="H132:H195" si="33">D132&amp;"-"&amp;F132</f>
        <v>Canada-3</v>
      </c>
      <c r="J132" t="s">
        <v>374</v>
      </c>
      <c r="K132" t="s">
        <v>1523</v>
      </c>
      <c r="L132">
        <v>425</v>
      </c>
      <c r="M132">
        <v>3</v>
      </c>
      <c r="N132" t="s">
        <v>1530</v>
      </c>
      <c r="O132" t="s">
        <v>1552</v>
      </c>
    </row>
    <row r="133" spans="1:15" x14ac:dyDescent="0.3">
      <c r="A133" t="str">
        <f>'Case 3 data'!A132</f>
        <v>Canada518-13Mo</v>
      </c>
      <c r="B133" t="str">
        <f>'Case 3 data'!B132</f>
        <v>Loretta</v>
      </c>
      <c r="C133" t="str">
        <f>'Case 3 data'!C132</f>
        <v>Daniels</v>
      </c>
      <c r="D133" t="str" cm="1">
        <f t="array" ref="D133">LEFT($A133,MIN(FIND({0;1;2;3;4;5;6;7;8;9},$A133&amp;"0123456789"))-1)</f>
        <v>Canada</v>
      </c>
      <c r="E133" t="str" cm="1">
        <f t="array" ref="E133">MID($A133,MIN(FIND({0;1;2;3;4;5;6;7;8;9},$A133&amp;"0123456789")),FIND("-",$A133)-MIN(FIND({0;1;2;3;4;5;6;7;8;9},$A133&amp;"0123456789")))</f>
        <v>518</v>
      </c>
      <c r="F133" t="str">
        <f t="shared" si="31"/>
        <v>13</v>
      </c>
      <c r="G133" t="str">
        <f t="shared" si="32"/>
        <v>Mo</v>
      </c>
      <c r="H133" t="str">
        <f t="shared" si="33"/>
        <v>Canada-13</v>
      </c>
      <c r="J133" t="s">
        <v>377</v>
      </c>
      <c r="K133" t="s">
        <v>1521</v>
      </c>
      <c r="L133">
        <v>518</v>
      </c>
      <c r="M133">
        <v>13</v>
      </c>
      <c r="N133" t="s">
        <v>1530</v>
      </c>
      <c r="O133" t="s">
        <v>1571</v>
      </c>
    </row>
    <row r="134" spans="1:15" x14ac:dyDescent="0.3">
      <c r="A134" t="str">
        <f>'Case 3 data'!A133</f>
        <v>Canada568-6W</v>
      </c>
      <c r="B134" t="str">
        <f>'Case 3 data'!B133</f>
        <v>Frank</v>
      </c>
      <c r="C134" t="str">
        <f>'Case 3 data'!C133</f>
        <v>Gray</v>
      </c>
      <c r="D134" t="str" cm="1">
        <f t="array" ref="D134">LEFT($A134,MIN(FIND({0;1;2;3;4;5;6;7;8;9},$A134&amp;"0123456789"))-1)</f>
        <v>Canada</v>
      </c>
      <c r="E134" t="str" cm="1">
        <f t="array" ref="E134">MID($A134,MIN(FIND({0;1;2;3;4;5;6;7;8;9},$A134&amp;"0123456789")),FIND("-",$A134)-MIN(FIND({0;1;2;3;4;5;6;7;8;9},$A134&amp;"0123456789")))</f>
        <v>568</v>
      </c>
      <c r="F134" t="str">
        <f t="shared" si="31"/>
        <v>6</v>
      </c>
      <c r="G134" t="str">
        <f t="shared" si="32"/>
        <v>W</v>
      </c>
      <c r="H134" t="str">
        <f t="shared" si="33"/>
        <v>Canada-6</v>
      </c>
      <c r="J134" t="s">
        <v>380</v>
      </c>
      <c r="K134" t="str">
        <f t="shared" ref="K134:K197" si="34">LEFT(A134,3)</f>
        <v>Can</v>
      </c>
      <c r="L134">
        <v>568</v>
      </c>
      <c r="M134">
        <v>6</v>
      </c>
      <c r="N134" t="s">
        <v>1532</v>
      </c>
      <c r="O134" t="s">
        <v>1592</v>
      </c>
    </row>
    <row r="135" spans="1:15" x14ac:dyDescent="0.3">
      <c r="A135" t="str">
        <f>'Case 3 data'!A134</f>
        <v>ARG335-1M</v>
      </c>
      <c r="B135" t="str">
        <f>'Case 3 data'!B134</f>
        <v>Maryann</v>
      </c>
      <c r="C135" t="str">
        <f>'Case 3 data'!C134</f>
        <v>Reed</v>
      </c>
      <c r="D135" t="str" cm="1">
        <f t="array" ref="D135">LEFT($A135,MIN(FIND({0;1;2;3;4;5;6;7;8;9},$A135&amp;"0123456789"))-1)</f>
        <v>ARG</v>
      </c>
      <c r="E135" t="str" cm="1">
        <f t="array" ref="E135">MID($A135,MIN(FIND({0;1;2;3;4;5;6;7;8;9},$A135&amp;"0123456789")),FIND("-",$A135)-MIN(FIND({0;1;2;3;4;5;6;7;8;9},$A135&amp;"0123456789")))</f>
        <v>335</v>
      </c>
      <c r="F135" t="str">
        <f t="shared" si="31"/>
        <v>1</v>
      </c>
      <c r="G135" t="str">
        <f t="shared" si="32"/>
        <v>M</v>
      </c>
      <c r="H135" t="str">
        <f t="shared" si="33"/>
        <v>ARG-1</v>
      </c>
      <c r="J135" t="s">
        <v>383</v>
      </c>
      <c r="K135" t="s">
        <v>1522</v>
      </c>
      <c r="L135">
        <v>335</v>
      </c>
      <c r="M135">
        <v>1</v>
      </c>
      <c r="N135" t="s">
        <v>1531</v>
      </c>
      <c r="O135" t="s">
        <v>1563</v>
      </c>
    </row>
    <row r="136" spans="1:15" x14ac:dyDescent="0.3">
      <c r="A136" t="str">
        <f>'Case 3 data'!A135</f>
        <v>US392-7M</v>
      </c>
      <c r="B136" t="str">
        <f>'Case 3 data'!B135</f>
        <v>Jan</v>
      </c>
      <c r="C136" t="str">
        <f>'Case 3 data'!C135</f>
        <v>Henry</v>
      </c>
      <c r="D136" t="str" cm="1">
        <f t="array" ref="D136">LEFT($A136,MIN(FIND({0;1;2;3;4;5;6;7;8;9},$A136&amp;"0123456789"))-1)</f>
        <v>US</v>
      </c>
      <c r="E136" t="str" cm="1">
        <f t="array" ref="E136">MID($A136,MIN(FIND({0;1;2;3;4;5;6;7;8;9},$A136&amp;"0123456789")),FIND("-",$A136)-MIN(FIND({0;1;2;3;4;5;6;7;8;9},$A136&amp;"0123456789")))</f>
        <v>392</v>
      </c>
      <c r="F136" t="str">
        <f t="shared" si="31"/>
        <v>7</v>
      </c>
      <c r="G136" t="str">
        <f t="shared" si="32"/>
        <v>M</v>
      </c>
      <c r="H136" t="str">
        <f t="shared" si="33"/>
        <v>US-7</v>
      </c>
      <c r="J136" t="s">
        <v>385</v>
      </c>
      <c r="K136" t="s">
        <v>1523</v>
      </c>
      <c r="L136">
        <v>392</v>
      </c>
      <c r="M136">
        <v>7</v>
      </c>
      <c r="N136" t="s">
        <v>1531</v>
      </c>
      <c r="O136" t="s">
        <v>1582</v>
      </c>
    </row>
    <row r="137" spans="1:15" x14ac:dyDescent="0.3">
      <c r="A137" t="str">
        <f>'Case 3 data'!A136</f>
        <v>Canada287-1W</v>
      </c>
      <c r="B137" t="str">
        <f>'Case 3 data'!B136</f>
        <v>Sharon</v>
      </c>
      <c r="C137" t="str">
        <f>'Case 3 data'!C136</f>
        <v>Richardson</v>
      </c>
      <c r="D137" t="str" cm="1">
        <f t="array" ref="D137">LEFT($A137,MIN(FIND({0;1;2;3;4;5;6;7;8;9},$A137&amp;"0123456789"))-1)</f>
        <v>Canada</v>
      </c>
      <c r="E137" t="str" cm="1">
        <f t="array" ref="E137">MID($A137,MIN(FIND({0;1;2;3;4;5;6;7;8;9},$A137&amp;"0123456789")),FIND("-",$A137)-MIN(FIND({0;1;2;3;4;5;6;7;8;9},$A137&amp;"0123456789")))</f>
        <v>287</v>
      </c>
      <c r="F137" t="str">
        <f t="shared" si="31"/>
        <v>1</v>
      </c>
      <c r="G137" t="str">
        <f t="shared" si="32"/>
        <v>W</v>
      </c>
      <c r="H137" t="str">
        <f t="shared" si="33"/>
        <v>Canada-1</v>
      </c>
      <c r="J137" t="s">
        <v>387</v>
      </c>
      <c r="K137" t="s">
        <v>1523</v>
      </c>
      <c r="L137">
        <v>287</v>
      </c>
      <c r="M137">
        <v>1</v>
      </c>
      <c r="N137" t="s">
        <v>1532</v>
      </c>
      <c r="O137" t="s">
        <v>1536</v>
      </c>
    </row>
    <row r="138" spans="1:15" x14ac:dyDescent="0.3">
      <c r="A138" t="str">
        <f>'Case 3 data'!A137</f>
        <v>AUS311-7W</v>
      </c>
      <c r="B138" t="str">
        <f>'Case 3 data'!B137</f>
        <v>Rafael</v>
      </c>
      <c r="C138" t="str">
        <f>'Case 3 data'!C137</f>
        <v>Simon</v>
      </c>
      <c r="D138" t="str" cm="1">
        <f t="array" ref="D138">LEFT($A138,MIN(FIND({0;1;2;3;4;5;6;7;8;9},$A138&amp;"0123456789"))-1)</f>
        <v>AUS</v>
      </c>
      <c r="E138" t="str" cm="1">
        <f t="array" ref="E138">MID($A138,MIN(FIND({0;1;2;3;4;5;6;7;8;9},$A138&amp;"0123456789")),FIND("-",$A138)-MIN(FIND({0;1;2;3;4;5;6;7;8;9},$A138&amp;"0123456789")))</f>
        <v>311</v>
      </c>
      <c r="F138" t="str">
        <f t="shared" si="31"/>
        <v>7</v>
      </c>
      <c r="G138" t="str">
        <f t="shared" si="32"/>
        <v>W</v>
      </c>
      <c r="H138" t="str">
        <f t="shared" si="33"/>
        <v>AUS-7</v>
      </c>
      <c r="J138" t="s">
        <v>390</v>
      </c>
      <c r="K138" t="s">
        <v>1521</v>
      </c>
      <c r="L138">
        <v>311</v>
      </c>
      <c r="M138">
        <v>7</v>
      </c>
      <c r="N138" t="s">
        <v>1532</v>
      </c>
      <c r="O138" t="s">
        <v>1593</v>
      </c>
    </row>
    <row r="139" spans="1:15" x14ac:dyDescent="0.3">
      <c r="A139" t="str">
        <f>'Case 3 data'!A138</f>
        <v>Japan183-10W</v>
      </c>
      <c r="B139" t="str">
        <f>'Case 3 data'!B138</f>
        <v>Joe</v>
      </c>
      <c r="C139" t="str">
        <f>'Case 3 data'!C138</f>
        <v>Ramirez</v>
      </c>
      <c r="D139" t="str" cm="1">
        <f t="array" ref="D139">LEFT($A139,MIN(FIND({0;1;2;3;4;5;6;7;8;9},$A139&amp;"0123456789"))-1)</f>
        <v>Japan</v>
      </c>
      <c r="E139" t="str" cm="1">
        <f t="array" ref="E139">MID($A139,MIN(FIND({0;1;2;3;4;5;6;7;8;9},$A139&amp;"0123456789")),FIND("-",$A139)-MIN(FIND({0;1;2;3;4;5;6;7;8;9},$A139&amp;"0123456789")))</f>
        <v>183</v>
      </c>
      <c r="F139" t="str">
        <f t="shared" si="31"/>
        <v>10</v>
      </c>
      <c r="G139" t="str">
        <f t="shared" si="32"/>
        <v>W</v>
      </c>
      <c r="H139" t="str">
        <f t="shared" si="33"/>
        <v>Japan-10</v>
      </c>
      <c r="J139" t="s">
        <v>393</v>
      </c>
      <c r="K139" t="str">
        <f t="shared" ref="K139:K202" si="35">LEFT(A139,3)</f>
        <v>Jap</v>
      </c>
      <c r="L139">
        <v>183</v>
      </c>
      <c r="M139">
        <v>10</v>
      </c>
      <c r="N139" t="s">
        <v>1532</v>
      </c>
      <c r="O139" t="s">
        <v>1594</v>
      </c>
    </row>
    <row r="140" spans="1:15" x14ac:dyDescent="0.3">
      <c r="A140" t="str">
        <f>'Case 3 data'!A139</f>
        <v>Canada77-8M</v>
      </c>
      <c r="B140" t="str">
        <f>'Case 3 data'!B139</f>
        <v>Cornelius</v>
      </c>
      <c r="C140" t="str">
        <f>'Case 3 data'!C139</f>
        <v>Francis</v>
      </c>
      <c r="D140" t="str" cm="1">
        <f t="array" ref="D140">LEFT($A140,MIN(FIND({0;1;2;3;4;5;6;7;8;9},$A140&amp;"0123456789"))-1)</f>
        <v>Canada</v>
      </c>
      <c r="E140" t="str" cm="1">
        <f t="array" ref="E140">MID($A140,MIN(FIND({0;1;2;3;4;5;6;7;8;9},$A140&amp;"0123456789")),FIND("-",$A140)-MIN(FIND({0;1;2;3;4;5;6;7;8;9},$A140&amp;"0123456789")))</f>
        <v>77</v>
      </c>
      <c r="F140" t="str">
        <f t="shared" si="31"/>
        <v>8</v>
      </c>
      <c r="G140" t="str">
        <f t="shared" si="32"/>
        <v>M</v>
      </c>
      <c r="H140" t="str">
        <f t="shared" si="33"/>
        <v>Canada-8</v>
      </c>
      <c r="J140" t="s">
        <v>396</v>
      </c>
      <c r="K140" t="s">
        <v>1522</v>
      </c>
      <c r="L140">
        <v>77</v>
      </c>
      <c r="M140">
        <v>8</v>
      </c>
      <c r="N140" t="s">
        <v>1531</v>
      </c>
      <c r="O140" t="s">
        <v>1543</v>
      </c>
    </row>
    <row r="141" spans="1:15" x14ac:dyDescent="0.3">
      <c r="A141" t="str">
        <f>'Case 3 data'!A140</f>
        <v>ENG80-15W</v>
      </c>
      <c r="B141" t="str">
        <f>'Case 3 data'!B140</f>
        <v>Crissy</v>
      </c>
      <c r="C141" t="str">
        <f>'Case 3 data'!C140</f>
        <v>Horn</v>
      </c>
      <c r="D141" t="str" cm="1">
        <f t="array" ref="D141">LEFT($A141,MIN(FIND({0;1;2;3;4;5;6;7;8;9},$A141&amp;"0123456789"))-1)</f>
        <v>ENG</v>
      </c>
      <c r="E141" t="str" cm="1">
        <f t="array" ref="E141">MID($A141,MIN(FIND({0;1;2;3;4;5;6;7;8;9},$A141&amp;"0123456789")),FIND("-",$A141)-MIN(FIND({0;1;2;3;4;5;6;7;8;9},$A141&amp;"0123456789")))</f>
        <v>80</v>
      </c>
      <c r="F141" t="str">
        <f t="shared" si="31"/>
        <v>15</v>
      </c>
      <c r="G141" t="str">
        <f t="shared" si="32"/>
        <v>W</v>
      </c>
      <c r="H141" t="str">
        <f t="shared" si="33"/>
        <v>ENG-15</v>
      </c>
      <c r="J141" t="s">
        <v>399</v>
      </c>
      <c r="K141" t="s">
        <v>1523</v>
      </c>
      <c r="L141">
        <v>80</v>
      </c>
      <c r="M141">
        <v>15</v>
      </c>
      <c r="N141" t="s">
        <v>1532</v>
      </c>
      <c r="O141" t="s">
        <v>1558</v>
      </c>
    </row>
    <row r="142" spans="1:15" x14ac:dyDescent="0.3">
      <c r="A142" t="str">
        <f>'Case 3 data'!A141</f>
        <v>MEX206-6M</v>
      </c>
      <c r="B142" t="str">
        <f>'Case 3 data'!B141</f>
        <v>Dawna</v>
      </c>
      <c r="C142" t="str">
        <f>'Case 3 data'!C141</f>
        <v>Beals</v>
      </c>
      <c r="D142" t="str" cm="1">
        <f t="array" ref="D142">LEFT($A142,MIN(FIND({0;1;2;3;4;5;6;7;8;9},$A142&amp;"0123456789"))-1)</f>
        <v>MEX</v>
      </c>
      <c r="E142" t="str" cm="1">
        <f t="array" ref="E142">MID($A142,MIN(FIND({0;1;2;3;4;5;6;7;8;9},$A142&amp;"0123456789")),FIND("-",$A142)-MIN(FIND({0;1;2;3;4;5;6;7;8;9},$A142&amp;"0123456789")))</f>
        <v>206</v>
      </c>
      <c r="F142" t="str">
        <f t="shared" si="31"/>
        <v>6</v>
      </c>
      <c r="G142" t="str">
        <f t="shared" si="32"/>
        <v>M</v>
      </c>
      <c r="H142" t="str">
        <f t="shared" si="33"/>
        <v>MEX-6</v>
      </c>
      <c r="J142" t="s">
        <v>402</v>
      </c>
      <c r="K142" t="s">
        <v>1523</v>
      </c>
      <c r="L142">
        <v>206</v>
      </c>
      <c r="M142">
        <v>6</v>
      </c>
      <c r="N142" t="s">
        <v>1531</v>
      </c>
      <c r="O142" t="s">
        <v>1540</v>
      </c>
    </row>
    <row r="143" spans="1:15" x14ac:dyDescent="0.3">
      <c r="A143" t="str">
        <f>'Case 3 data'!A142</f>
        <v>Japan5-3W</v>
      </c>
      <c r="B143" t="str">
        <f>'Case 3 data'!B142</f>
        <v>Wilma</v>
      </c>
      <c r="C143" t="str">
        <f>'Case 3 data'!C142</f>
        <v>Richardson</v>
      </c>
      <c r="D143" t="str" cm="1">
        <f t="array" ref="D143">LEFT($A143,MIN(FIND({0;1;2;3;4;5;6;7;8;9},$A143&amp;"0123456789"))-1)</f>
        <v>Japan</v>
      </c>
      <c r="E143" t="str" cm="1">
        <f t="array" ref="E143">MID($A143,MIN(FIND({0;1;2;3;4;5;6;7;8;9},$A143&amp;"0123456789")),FIND("-",$A143)-MIN(FIND({0;1;2;3;4;5;6;7;8;9},$A143&amp;"0123456789")))</f>
        <v>5</v>
      </c>
      <c r="F143" t="str">
        <f t="shared" si="31"/>
        <v>3</v>
      </c>
      <c r="G143" t="str">
        <f t="shared" si="32"/>
        <v>W</v>
      </c>
      <c r="H143" t="str">
        <f t="shared" si="33"/>
        <v>Japan-3</v>
      </c>
      <c r="J143" t="s">
        <v>405</v>
      </c>
      <c r="K143" t="s">
        <v>1521</v>
      </c>
      <c r="L143">
        <v>5</v>
      </c>
      <c r="M143">
        <v>3</v>
      </c>
      <c r="N143" t="s">
        <v>1532</v>
      </c>
      <c r="O143" t="s">
        <v>1533</v>
      </c>
    </row>
    <row r="144" spans="1:15" x14ac:dyDescent="0.3">
      <c r="A144" t="str">
        <f>'Case 3 data'!A143</f>
        <v>AUS450-3W</v>
      </c>
      <c r="B144" t="str">
        <f>'Case 3 data'!B143</f>
        <v>Judy</v>
      </c>
      <c r="C144" t="str">
        <f>'Case 3 data'!C143</f>
        <v>Norris</v>
      </c>
      <c r="D144" t="str" cm="1">
        <f t="array" ref="D144">LEFT($A144,MIN(FIND({0;1;2;3;4;5;6;7;8;9},$A144&amp;"0123456789"))-1)</f>
        <v>AUS</v>
      </c>
      <c r="E144" t="str" cm="1">
        <f t="array" ref="E144">MID($A144,MIN(FIND({0;1;2;3;4;5;6;7;8;9},$A144&amp;"0123456789")),FIND("-",$A144)-MIN(FIND({0;1;2;3;4;5;6;7;8;9},$A144&amp;"0123456789")))</f>
        <v>450</v>
      </c>
      <c r="F144" t="str">
        <f t="shared" si="31"/>
        <v>3</v>
      </c>
      <c r="G144" t="str">
        <f t="shared" si="32"/>
        <v>W</v>
      </c>
      <c r="H144" t="str">
        <f t="shared" si="33"/>
        <v>AUS-3</v>
      </c>
      <c r="J144" t="s">
        <v>407</v>
      </c>
      <c r="K144" t="str">
        <f t="shared" ref="K144:K207" si="36">LEFT(A144,3)</f>
        <v>AUS</v>
      </c>
      <c r="L144">
        <v>450</v>
      </c>
      <c r="M144">
        <v>3</v>
      </c>
      <c r="N144" t="s">
        <v>1532</v>
      </c>
      <c r="O144" t="s">
        <v>1576</v>
      </c>
    </row>
    <row r="145" spans="1:15" x14ac:dyDescent="0.3">
      <c r="A145" t="str">
        <f>'Case 3 data'!A144</f>
        <v>Japan474-16M</v>
      </c>
      <c r="B145" t="str">
        <f>'Case 3 data'!B144</f>
        <v>Joyce</v>
      </c>
      <c r="C145" t="str">
        <f>'Case 3 data'!C144</f>
        <v>White</v>
      </c>
      <c r="D145" t="str" cm="1">
        <f t="array" ref="D145">LEFT($A145,MIN(FIND({0;1;2;3;4;5;6;7;8;9},$A145&amp;"0123456789"))-1)</f>
        <v>Japan</v>
      </c>
      <c r="E145" t="str" cm="1">
        <f t="array" ref="E145">MID($A145,MIN(FIND({0;1;2;3;4;5;6;7;8;9},$A145&amp;"0123456789")),FIND("-",$A145)-MIN(FIND({0;1;2;3;4;5;6;7;8;9},$A145&amp;"0123456789")))</f>
        <v>474</v>
      </c>
      <c r="F145" t="str">
        <f t="shared" si="31"/>
        <v>16</v>
      </c>
      <c r="G145" t="str">
        <f t="shared" si="32"/>
        <v>M</v>
      </c>
      <c r="H145" t="str">
        <f t="shared" si="33"/>
        <v>Japan-16</v>
      </c>
      <c r="J145" t="s">
        <v>410</v>
      </c>
      <c r="K145" t="s">
        <v>1522</v>
      </c>
      <c r="L145">
        <v>474</v>
      </c>
      <c r="M145">
        <v>16</v>
      </c>
      <c r="N145" t="s">
        <v>1531</v>
      </c>
      <c r="O145" t="s">
        <v>1595</v>
      </c>
    </row>
    <row r="146" spans="1:15" x14ac:dyDescent="0.3">
      <c r="A146" t="str">
        <f>'Case 3 data'!A145</f>
        <v>AUS481-6Mo</v>
      </c>
      <c r="B146" t="str">
        <f>'Case 3 data'!B145</f>
        <v>Carla</v>
      </c>
      <c r="C146" t="str">
        <f>'Case 3 data'!C145</f>
        <v>Patrick</v>
      </c>
      <c r="D146" t="str" cm="1">
        <f t="array" ref="D146">LEFT($A146,MIN(FIND({0;1;2;3;4;5;6;7;8;9},$A146&amp;"0123456789"))-1)</f>
        <v>AUS</v>
      </c>
      <c r="E146" t="str" cm="1">
        <f t="array" ref="E146">MID($A146,MIN(FIND({0;1;2;3;4;5;6;7;8;9},$A146&amp;"0123456789")),FIND("-",$A146)-MIN(FIND({0;1;2;3;4;5;6;7;8;9},$A146&amp;"0123456789")))</f>
        <v>481</v>
      </c>
      <c r="F146" t="str">
        <f t="shared" si="31"/>
        <v>6</v>
      </c>
      <c r="G146" t="str">
        <f t="shared" si="32"/>
        <v>Mo</v>
      </c>
      <c r="H146" t="str">
        <f t="shared" si="33"/>
        <v>AUS-6</v>
      </c>
      <c r="J146" t="s">
        <v>413</v>
      </c>
      <c r="K146" t="s">
        <v>1523</v>
      </c>
      <c r="L146">
        <v>481</v>
      </c>
      <c r="M146">
        <v>6</v>
      </c>
      <c r="N146" t="s">
        <v>1530</v>
      </c>
      <c r="O146" t="s">
        <v>1540</v>
      </c>
    </row>
    <row r="147" spans="1:15" x14ac:dyDescent="0.3">
      <c r="A147" t="str">
        <f>'Case 3 data'!A146</f>
        <v>AUS37-15M</v>
      </c>
      <c r="B147" t="str">
        <f>'Case 3 data'!B146</f>
        <v>Karl</v>
      </c>
      <c r="C147" t="str">
        <f>'Case 3 data'!C146</f>
        <v>Fleming</v>
      </c>
      <c r="D147" t="str" cm="1">
        <f t="array" ref="D147">LEFT($A147,MIN(FIND({0;1;2;3;4;5;6;7;8;9},$A147&amp;"0123456789"))-1)</f>
        <v>AUS</v>
      </c>
      <c r="E147" t="str" cm="1">
        <f t="array" ref="E147">MID($A147,MIN(FIND({0;1;2;3;4;5;6;7;8;9},$A147&amp;"0123456789")),FIND("-",$A147)-MIN(FIND({0;1;2;3;4;5;6;7;8;9},$A147&amp;"0123456789")))</f>
        <v>37</v>
      </c>
      <c r="F147" t="str">
        <f t="shared" si="31"/>
        <v>15</v>
      </c>
      <c r="G147" t="str">
        <f t="shared" si="32"/>
        <v>M</v>
      </c>
      <c r="H147" t="str">
        <f t="shared" si="33"/>
        <v>AUS-15</v>
      </c>
      <c r="J147" t="s">
        <v>415</v>
      </c>
      <c r="K147" t="s">
        <v>1523</v>
      </c>
      <c r="L147">
        <v>37</v>
      </c>
      <c r="M147">
        <v>15</v>
      </c>
      <c r="N147" t="s">
        <v>1531</v>
      </c>
      <c r="O147" t="s">
        <v>1558</v>
      </c>
    </row>
    <row r="148" spans="1:15" x14ac:dyDescent="0.3">
      <c r="A148" t="str">
        <f>'Case 3 data'!A147</f>
        <v>MEX471-15W</v>
      </c>
      <c r="B148" t="str">
        <f>'Case 3 data'!B147</f>
        <v>Brandon</v>
      </c>
      <c r="C148" t="str">
        <f>'Case 3 data'!C147</f>
        <v>Evans</v>
      </c>
      <c r="D148" t="str" cm="1">
        <f t="array" ref="D148">LEFT($A148,MIN(FIND({0;1;2;3;4;5;6;7;8;9},$A148&amp;"0123456789"))-1)</f>
        <v>MEX</v>
      </c>
      <c r="E148" t="str" cm="1">
        <f t="array" ref="E148">MID($A148,MIN(FIND({0;1;2;3;4;5;6;7;8;9},$A148&amp;"0123456789")),FIND("-",$A148)-MIN(FIND({0;1;2;3;4;5;6;7;8;9},$A148&amp;"0123456789")))</f>
        <v>471</v>
      </c>
      <c r="F148" t="str">
        <f t="shared" si="31"/>
        <v>15</v>
      </c>
      <c r="G148" t="str">
        <f t="shared" si="32"/>
        <v>W</v>
      </c>
      <c r="H148" t="str">
        <f t="shared" si="33"/>
        <v>MEX-15</v>
      </c>
      <c r="J148" t="s">
        <v>418</v>
      </c>
      <c r="K148" t="s">
        <v>1521</v>
      </c>
      <c r="L148">
        <v>471</v>
      </c>
      <c r="M148">
        <v>15</v>
      </c>
      <c r="N148" t="s">
        <v>1532</v>
      </c>
      <c r="O148" t="s">
        <v>1568</v>
      </c>
    </row>
    <row r="149" spans="1:15" x14ac:dyDescent="0.3">
      <c r="A149" t="str">
        <f>'Case 3 data'!A148</f>
        <v>US339-15W</v>
      </c>
      <c r="B149" t="str">
        <f>'Case 3 data'!B148</f>
        <v>Dianne</v>
      </c>
      <c r="C149" t="str">
        <f>'Case 3 data'!C148</f>
        <v>Salazar</v>
      </c>
      <c r="D149" t="str" cm="1">
        <f t="array" ref="D149">LEFT($A149,MIN(FIND({0;1;2;3;4;5;6;7;8;9},$A149&amp;"0123456789"))-1)</f>
        <v>US</v>
      </c>
      <c r="E149" t="str" cm="1">
        <f t="array" ref="E149">MID($A149,MIN(FIND({0;1;2;3;4;5;6;7;8;9},$A149&amp;"0123456789")),FIND("-",$A149)-MIN(FIND({0;1;2;3;4;5;6;7;8;9},$A149&amp;"0123456789")))</f>
        <v>339</v>
      </c>
      <c r="F149" t="str">
        <f t="shared" si="31"/>
        <v>15</v>
      </c>
      <c r="G149" t="str">
        <f t="shared" si="32"/>
        <v>W</v>
      </c>
      <c r="H149" t="str">
        <f t="shared" si="33"/>
        <v>US-15</v>
      </c>
      <c r="J149" t="s">
        <v>420</v>
      </c>
      <c r="K149" t="str">
        <f t="shared" ref="K149:K212" si="37">LEFT(A149,3)</f>
        <v>US3</v>
      </c>
      <c r="L149">
        <v>339</v>
      </c>
      <c r="M149">
        <v>15</v>
      </c>
      <c r="N149" t="s">
        <v>1532</v>
      </c>
      <c r="O149" t="s">
        <v>1596</v>
      </c>
    </row>
    <row r="150" spans="1:15" x14ac:dyDescent="0.3">
      <c r="A150" t="str">
        <f>'Case 3 data'!A149</f>
        <v>Japan584-5Mo</v>
      </c>
      <c r="B150" t="str">
        <f>'Case 3 data'!B149</f>
        <v>Gaynell</v>
      </c>
      <c r="C150" t="str">
        <f>'Case 3 data'!C149</f>
        <v>Mckeown</v>
      </c>
      <c r="D150" t="str" cm="1">
        <f t="array" ref="D150">LEFT($A150,MIN(FIND({0;1;2;3;4;5;6;7;8;9},$A150&amp;"0123456789"))-1)</f>
        <v>Japan</v>
      </c>
      <c r="E150" t="str" cm="1">
        <f t="array" ref="E150">MID($A150,MIN(FIND({0;1;2;3;4;5;6;7;8;9},$A150&amp;"0123456789")),FIND("-",$A150)-MIN(FIND({0;1;2;3;4;5;6;7;8;9},$A150&amp;"0123456789")))</f>
        <v>584</v>
      </c>
      <c r="F150" t="str">
        <f t="shared" si="31"/>
        <v>5</v>
      </c>
      <c r="G150" t="str">
        <f t="shared" si="32"/>
        <v>Mo</v>
      </c>
      <c r="H150" t="str">
        <f t="shared" si="33"/>
        <v>Japan-5</v>
      </c>
      <c r="J150" t="s">
        <v>423</v>
      </c>
      <c r="K150" t="s">
        <v>1522</v>
      </c>
      <c r="L150">
        <v>584</v>
      </c>
      <c r="M150">
        <v>5</v>
      </c>
      <c r="N150" t="s">
        <v>1530</v>
      </c>
      <c r="O150" t="s">
        <v>1539</v>
      </c>
    </row>
    <row r="151" spans="1:15" x14ac:dyDescent="0.3">
      <c r="A151" t="str">
        <f>'Case 3 data'!A150</f>
        <v>GER246-7W</v>
      </c>
      <c r="B151" t="str">
        <f>'Case 3 data'!B150</f>
        <v>Cameron</v>
      </c>
      <c r="C151" t="str">
        <f>'Case 3 data'!C150</f>
        <v>Mccoy</v>
      </c>
      <c r="D151" t="str" cm="1">
        <f t="array" ref="D151">LEFT($A151,MIN(FIND({0;1;2;3;4;5;6;7;8;9},$A151&amp;"0123456789"))-1)</f>
        <v>GER</v>
      </c>
      <c r="E151" t="str" cm="1">
        <f t="array" ref="E151">MID($A151,MIN(FIND({0;1;2;3;4;5;6;7;8;9},$A151&amp;"0123456789")),FIND("-",$A151)-MIN(FIND({0;1;2;3;4;5;6;7;8;9},$A151&amp;"0123456789")))</f>
        <v>246</v>
      </c>
      <c r="F151" t="str">
        <f t="shared" si="31"/>
        <v>7</v>
      </c>
      <c r="G151" t="str">
        <f t="shared" si="32"/>
        <v>W</v>
      </c>
      <c r="H151" t="str">
        <f t="shared" si="33"/>
        <v>GER-7</v>
      </c>
      <c r="J151" t="s">
        <v>426</v>
      </c>
      <c r="K151" t="s">
        <v>1523</v>
      </c>
      <c r="L151">
        <v>246</v>
      </c>
      <c r="M151">
        <v>7</v>
      </c>
      <c r="N151" t="s">
        <v>1532</v>
      </c>
      <c r="O151" t="s">
        <v>1582</v>
      </c>
    </row>
    <row r="152" spans="1:15" x14ac:dyDescent="0.3">
      <c r="A152" t="str">
        <f>'Case 3 data'!A151</f>
        <v>GER297-1M</v>
      </c>
      <c r="B152" t="str">
        <f>'Case 3 data'!B151</f>
        <v>Darrin</v>
      </c>
      <c r="C152" t="str">
        <f>'Case 3 data'!C151</f>
        <v>Cox</v>
      </c>
      <c r="D152" t="str" cm="1">
        <f t="array" ref="D152">LEFT($A152,MIN(FIND({0;1;2;3;4;5;6;7;8;9},$A152&amp;"0123456789"))-1)</f>
        <v>GER</v>
      </c>
      <c r="E152" t="str" cm="1">
        <f t="array" ref="E152">MID($A152,MIN(FIND({0;1;2;3;4;5;6;7;8;9},$A152&amp;"0123456789")),FIND("-",$A152)-MIN(FIND({0;1;2;3;4;5;6;7;8;9},$A152&amp;"0123456789")))</f>
        <v>297</v>
      </c>
      <c r="F152" t="str">
        <f t="shared" si="31"/>
        <v>1</v>
      </c>
      <c r="G152" t="str">
        <f t="shared" si="32"/>
        <v>M</v>
      </c>
      <c r="H152" t="str">
        <f t="shared" si="33"/>
        <v>GER-1</v>
      </c>
      <c r="J152" t="s">
        <v>429</v>
      </c>
      <c r="K152" t="s">
        <v>1523</v>
      </c>
      <c r="L152">
        <v>297</v>
      </c>
      <c r="M152">
        <v>1</v>
      </c>
      <c r="N152" t="s">
        <v>1531</v>
      </c>
      <c r="O152" t="s">
        <v>1536</v>
      </c>
    </row>
    <row r="153" spans="1:15" x14ac:dyDescent="0.3">
      <c r="A153" t="str">
        <f>'Case 3 data'!A152</f>
        <v>MEX222-17W</v>
      </c>
      <c r="B153" t="str">
        <f>'Case 3 data'!B152</f>
        <v>Juliann</v>
      </c>
      <c r="C153" t="str">
        <f>'Case 3 data'!C152</f>
        <v>Simonson</v>
      </c>
      <c r="D153" t="str" cm="1">
        <f t="array" ref="D153">LEFT($A153,MIN(FIND({0;1;2;3;4;5;6;7;8;9},$A153&amp;"0123456789"))-1)</f>
        <v>MEX</v>
      </c>
      <c r="E153" t="str" cm="1">
        <f t="array" ref="E153">MID($A153,MIN(FIND({0;1;2;3;4;5;6;7;8;9},$A153&amp;"0123456789")),FIND("-",$A153)-MIN(FIND({0;1;2;3;4;5;6;7;8;9},$A153&amp;"0123456789")))</f>
        <v>222</v>
      </c>
      <c r="F153" t="str">
        <f t="shared" si="31"/>
        <v>17</v>
      </c>
      <c r="G153" t="str">
        <f t="shared" si="32"/>
        <v>W</v>
      </c>
      <c r="H153" t="str">
        <f t="shared" si="33"/>
        <v>MEX-17</v>
      </c>
      <c r="J153" t="s">
        <v>431</v>
      </c>
      <c r="K153" t="s">
        <v>1521</v>
      </c>
      <c r="L153">
        <v>222</v>
      </c>
      <c r="M153">
        <v>17</v>
      </c>
      <c r="N153" t="s">
        <v>1532</v>
      </c>
      <c r="O153" t="s">
        <v>1586</v>
      </c>
    </row>
    <row r="154" spans="1:15" x14ac:dyDescent="0.3">
      <c r="A154" t="str">
        <f>'Case 3 data'!A153</f>
        <v>ENG569-7M</v>
      </c>
      <c r="B154" t="str">
        <f>'Case 3 data'!B153</f>
        <v>Douglas</v>
      </c>
      <c r="C154" t="str">
        <f>'Case 3 data'!C153</f>
        <v>Flores</v>
      </c>
      <c r="D154" t="str" cm="1">
        <f t="array" ref="D154">LEFT($A154,MIN(FIND({0;1;2;3;4;5;6;7;8;9},$A154&amp;"0123456789"))-1)</f>
        <v>ENG</v>
      </c>
      <c r="E154" t="str" cm="1">
        <f t="array" ref="E154">MID($A154,MIN(FIND({0;1;2;3;4;5;6;7;8;9},$A154&amp;"0123456789")),FIND("-",$A154)-MIN(FIND({0;1;2;3;4;5;6;7;8;9},$A154&amp;"0123456789")))</f>
        <v>569</v>
      </c>
      <c r="F154" t="str">
        <f t="shared" si="31"/>
        <v>7</v>
      </c>
      <c r="G154" t="str">
        <f t="shared" si="32"/>
        <v>M</v>
      </c>
      <c r="H154" t="str">
        <f t="shared" si="33"/>
        <v>ENG-7</v>
      </c>
      <c r="J154" t="s">
        <v>434</v>
      </c>
      <c r="K154" t="str">
        <f t="shared" ref="K154:K217" si="38">LEFT(A154,3)</f>
        <v>ENG</v>
      </c>
      <c r="L154">
        <v>569</v>
      </c>
      <c r="M154">
        <v>7</v>
      </c>
      <c r="N154" t="s">
        <v>1531</v>
      </c>
      <c r="O154" t="s">
        <v>1597</v>
      </c>
    </row>
    <row r="155" spans="1:15" x14ac:dyDescent="0.3">
      <c r="A155" t="str">
        <f>'Case 3 data'!A154</f>
        <v>AUS253-7Mo</v>
      </c>
      <c r="B155" t="str">
        <f>'Case 3 data'!B154</f>
        <v>Margot</v>
      </c>
      <c r="C155" t="str">
        <f>'Case 3 data'!C154</f>
        <v>Olmstead</v>
      </c>
      <c r="D155" t="str" cm="1">
        <f t="array" ref="D155">LEFT($A155,MIN(FIND({0;1;2;3;4;5;6;7;8;9},$A155&amp;"0123456789"))-1)</f>
        <v>AUS</v>
      </c>
      <c r="E155" t="str" cm="1">
        <f t="array" ref="E155">MID($A155,MIN(FIND({0;1;2;3;4;5;6;7;8;9},$A155&amp;"0123456789")),FIND("-",$A155)-MIN(FIND({0;1;2;3;4;5;6;7;8;9},$A155&amp;"0123456789")))</f>
        <v>253</v>
      </c>
      <c r="F155" t="str">
        <f t="shared" si="31"/>
        <v>7</v>
      </c>
      <c r="G155" t="str">
        <f t="shared" si="32"/>
        <v>Mo</v>
      </c>
      <c r="H155" t="str">
        <f t="shared" si="33"/>
        <v>AUS-7</v>
      </c>
      <c r="J155" t="s">
        <v>436</v>
      </c>
      <c r="K155" t="s">
        <v>1522</v>
      </c>
      <c r="L155">
        <v>253</v>
      </c>
      <c r="M155">
        <v>7</v>
      </c>
      <c r="N155" t="s">
        <v>1530</v>
      </c>
      <c r="O155" t="s">
        <v>1548</v>
      </c>
    </row>
    <row r="156" spans="1:15" x14ac:dyDescent="0.3">
      <c r="A156" t="str">
        <f>'Case 3 data'!A155</f>
        <v>US45-15W</v>
      </c>
      <c r="B156" t="str">
        <f>'Case 3 data'!B155</f>
        <v>Allyson</v>
      </c>
      <c r="C156" t="str">
        <f>'Case 3 data'!C155</f>
        <v>Marlowe</v>
      </c>
      <c r="D156" t="str" cm="1">
        <f t="array" ref="D156">LEFT($A156,MIN(FIND({0;1;2;3;4;5;6;7;8;9},$A156&amp;"0123456789"))-1)</f>
        <v>US</v>
      </c>
      <c r="E156" t="str" cm="1">
        <f t="array" ref="E156">MID($A156,MIN(FIND({0;1;2;3;4;5;6;7;8;9},$A156&amp;"0123456789")),FIND("-",$A156)-MIN(FIND({0;1;2;3;4;5;6;7;8;9},$A156&amp;"0123456789")))</f>
        <v>45</v>
      </c>
      <c r="F156" t="str">
        <f t="shared" si="31"/>
        <v>15</v>
      </c>
      <c r="G156" t="str">
        <f t="shared" si="32"/>
        <v>W</v>
      </c>
      <c r="H156" t="str">
        <f t="shared" si="33"/>
        <v>US-15</v>
      </c>
      <c r="J156" t="s">
        <v>439</v>
      </c>
      <c r="K156" t="s">
        <v>1523</v>
      </c>
      <c r="L156">
        <v>45</v>
      </c>
      <c r="M156">
        <v>15</v>
      </c>
      <c r="N156" t="s">
        <v>1532</v>
      </c>
      <c r="O156" t="s">
        <v>1558</v>
      </c>
    </row>
    <row r="157" spans="1:15" x14ac:dyDescent="0.3">
      <c r="A157" t="str">
        <f>'Case 3 data'!A156</f>
        <v>GER248-2M</v>
      </c>
      <c r="B157" t="str">
        <f>'Case 3 data'!B156</f>
        <v>Maria</v>
      </c>
      <c r="C157" t="str">
        <f>'Case 3 data'!C156</f>
        <v>Cook</v>
      </c>
      <c r="D157" t="str" cm="1">
        <f t="array" ref="D157">LEFT($A157,MIN(FIND({0;1;2;3;4;5;6;7;8;9},$A157&amp;"0123456789"))-1)</f>
        <v>GER</v>
      </c>
      <c r="E157" t="str" cm="1">
        <f t="array" ref="E157">MID($A157,MIN(FIND({0;1;2;3;4;5;6;7;8;9},$A157&amp;"0123456789")),FIND("-",$A157)-MIN(FIND({0;1;2;3;4;5;6;7;8;9},$A157&amp;"0123456789")))</f>
        <v>248</v>
      </c>
      <c r="F157" t="str">
        <f t="shared" si="31"/>
        <v>2</v>
      </c>
      <c r="G157" t="str">
        <f t="shared" si="32"/>
        <v>M</v>
      </c>
      <c r="H157" t="str">
        <f t="shared" si="33"/>
        <v>GER-2</v>
      </c>
      <c r="J157" t="s">
        <v>442</v>
      </c>
      <c r="K157" t="s">
        <v>1523</v>
      </c>
      <c r="L157">
        <v>248</v>
      </c>
      <c r="M157">
        <v>2</v>
      </c>
      <c r="N157" t="s">
        <v>1531</v>
      </c>
      <c r="O157" t="s">
        <v>1535</v>
      </c>
    </row>
    <row r="158" spans="1:15" x14ac:dyDescent="0.3">
      <c r="A158" t="str">
        <f>'Case 3 data'!A157</f>
        <v>US432-11Mo</v>
      </c>
      <c r="B158" t="str">
        <f>'Case 3 data'!B157</f>
        <v>Betty</v>
      </c>
      <c r="C158" t="str">
        <f>'Case 3 data'!C157</f>
        <v>Gonzales</v>
      </c>
      <c r="D158" t="str" cm="1">
        <f t="array" ref="D158">LEFT($A158,MIN(FIND({0;1;2;3;4;5;6;7;8;9},$A158&amp;"0123456789"))-1)</f>
        <v>US</v>
      </c>
      <c r="E158" t="str" cm="1">
        <f t="array" ref="E158">MID($A158,MIN(FIND({0;1;2;3;4;5;6;7;8;9},$A158&amp;"0123456789")),FIND("-",$A158)-MIN(FIND({0;1;2;3;4;5;6;7;8;9},$A158&amp;"0123456789")))</f>
        <v>432</v>
      </c>
      <c r="F158" t="str">
        <f t="shared" si="31"/>
        <v>11</v>
      </c>
      <c r="G158" t="str">
        <f t="shared" si="32"/>
        <v>Mo</v>
      </c>
      <c r="H158" t="str">
        <f t="shared" si="33"/>
        <v>US-11</v>
      </c>
      <c r="J158" t="s">
        <v>445</v>
      </c>
      <c r="K158" t="s">
        <v>1521</v>
      </c>
      <c r="L158">
        <v>432</v>
      </c>
      <c r="M158">
        <v>11</v>
      </c>
      <c r="N158" t="s">
        <v>1530</v>
      </c>
      <c r="O158" t="s">
        <v>1549</v>
      </c>
    </row>
    <row r="159" spans="1:15" x14ac:dyDescent="0.3">
      <c r="A159" t="str">
        <f>'Case 3 data'!A158</f>
        <v>US469-2W</v>
      </c>
      <c r="B159" t="str">
        <f>'Case 3 data'!B158</f>
        <v>Johanna</v>
      </c>
      <c r="C159" t="str">
        <f>'Case 3 data'!C158</f>
        <v>Peterson</v>
      </c>
      <c r="D159" t="str" cm="1">
        <f t="array" ref="D159">LEFT($A159,MIN(FIND({0;1;2;3;4;5;6;7;8;9},$A159&amp;"0123456789"))-1)</f>
        <v>US</v>
      </c>
      <c r="E159" t="str" cm="1">
        <f t="array" ref="E159">MID($A159,MIN(FIND({0;1;2;3;4;5;6;7;8;9},$A159&amp;"0123456789")),FIND("-",$A159)-MIN(FIND({0;1;2;3;4;5;6;7;8;9},$A159&amp;"0123456789")))</f>
        <v>469</v>
      </c>
      <c r="F159" t="str">
        <f t="shared" si="31"/>
        <v>2</v>
      </c>
      <c r="G159" t="str">
        <f t="shared" si="32"/>
        <v>W</v>
      </c>
      <c r="H159" t="str">
        <f t="shared" si="33"/>
        <v>US-2</v>
      </c>
      <c r="J159" t="s">
        <v>448</v>
      </c>
      <c r="K159" t="str">
        <f t="shared" ref="K159:K222" si="39">LEFT(A159,3)</f>
        <v>US4</v>
      </c>
      <c r="L159">
        <v>469</v>
      </c>
      <c r="M159">
        <v>2</v>
      </c>
      <c r="N159" t="s">
        <v>1532</v>
      </c>
      <c r="O159" t="s">
        <v>1598</v>
      </c>
    </row>
    <row r="160" spans="1:15" x14ac:dyDescent="0.3">
      <c r="A160" t="str">
        <f>'Case 3 data'!A159</f>
        <v>US1-9W</v>
      </c>
      <c r="B160" t="str">
        <f>'Case 3 data'!B159</f>
        <v>Michelle</v>
      </c>
      <c r="C160" t="str">
        <f>'Case 3 data'!C159</f>
        <v>Clark</v>
      </c>
      <c r="D160" t="str" cm="1">
        <f t="array" ref="D160">LEFT($A160,MIN(FIND({0;1;2;3;4;5;6;7;8;9},$A160&amp;"0123456789"))-1)</f>
        <v>US</v>
      </c>
      <c r="E160" t="str" cm="1">
        <f t="array" ref="E160">MID($A160,MIN(FIND({0;1;2;3;4;5;6;7;8;9},$A160&amp;"0123456789")),FIND("-",$A160)-MIN(FIND({0;1;2;3;4;5;6;7;8;9},$A160&amp;"0123456789")))</f>
        <v>1</v>
      </c>
      <c r="F160" t="str">
        <f t="shared" si="31"/>
        <v>9</v>
      </c>
      <c r="G160" t="str">
        <f t="shared" si="32"/>
        <v>W</v>
      </c>
      <c r="H160" t="str">
        <f t="shared" si="33"/>
        <v>US-9</v>
      </c>
      <c r="J160" t="s">
        <v>450</v>
      </c>
      <c r="K160" t="s">
        <v>1522</v>
      </c>
      <c r="L160">
        <v>1</v>
      </c>
      <c r="M160">
        <v>9</v>
      </c>
      <c r="N160" t="s">
        <v>1532</v>
      </c>
      <c r="O160" t="s">
        <v>1557</v>
      </c>
    </row>
    <row r="161" spans="1:15" x14ac:dyDescent="0.3">
      <c r="A161" t="str">
        <f>'Case 3 data'!A160</f>
        <v>US218-10W</v>
      </c>
      <c r="B161" t="str">
        <f>'Case 3 data'!B160</f>
        <v>Albert</v>
      </c>
      <c r="C161" t="str">
        <f>'Case 3 data'!C160</f>
        <v>Hampton</v>
      </c>
      <c r="D161" t="str" cm="1">
        <f t="array" ref="D161">LEFT($A161,MIN(FIND({0;1;2;3;4;5;6;7;8;9},$A161&amp;"0123456789"))-1)</f>
        <v>US</v>
      </c>
      <c r="E161" t="str" cm="1">
        <f t="array" ref="E161">MID($A161,MIN(FIND({0;1;2;3;4;5;6;7;8;9},$A161&amp;"0123456789")),FIND("-",$A161)-MIN(FIND({0;1;2;3;4;5;6;7;8;9},$A161&amp;"0123456789")))</f>
        <v>218</v>
      </c>
      <c r="F161" t="str">
        <f t="shared" si="31"/>
        <v>10</v>
      </c>
      <c r="G161" t="str">
        <f t="shared" si="32"/>
        <v>W</v>
      </c>
      <c r="H161" t="str">
        <f t="shared" si="33"/>
        <v>US-10</v>
      </c>
      <c r="J161" t="s">
        <v>451</v>
      </c>
      <c r="K161" t="s">
        <v>1523</v>
      </c>
      <c r="L161">
        <v>218</v>
      </c>
      <c r="M161">
        <v>10</v>
      </c>
      <c r="N161" t="s">
        <v>1532</v>
      </c>
      <c r="O161" t="s">
        <v>1545</v>
      </c>
    </row>
    <row r="162" spans="1:15" x14ac:dyDescent="0.3">
      <c r="A162" t="str">
        <f>'Case 3 data'!A161</f>
        <v>ARG546-1W</v>
      </c>
      <c r="B162" t="str">
        <f>'Case 3 data'!B161</f>
        <v>Cheryl</v>
      </c>
      <c r="C162" t="str">
        <f>'Case 3 data'!C161</f>
        <v>Kelly</v>
      </c>
      <c r="D162" t="str" cm="1">
        <f t="array" ref="D162">LEFT($A162,MIN(FIND({0;1;2;3;4;5;6;7;8;9},$A162&amp;"0123456789"))-1)</f>
        <v>ARG</v>
      </c>
      <c r="E162" t="str" cm="1">
        <f t="array" ref="E162">MID($A162,MIN(FIND({0;1;2;3;4;5;6;7;8;9},$A162&amp;"0123456789")),FIND("-",$A162)-MIN(FIND({0;1;2;3;4;5;6;7;8;9},$A162&amp;"0123456789")))</f>
        <v>546</v>
      </c>
      <c r="F162" t="str">
        <f t="shared" si="31"/>
        <v>1</v>
      </c>
      <c r="G162" t="str">
        <f t="shared" si="32"/>
        <v>W</v>
      </c>
      <c r="H162" t="str">
        <f t="shared" si="33"/>
        <v>ARG-1</v>
      </c>
      <c r="J162" t="s">
        <v>454</v>
      </c>
      <c r="K162" t="s">
        <v>1523</v>
      </c>
      <c r="L162">
        <v>546</v>
      </c>
      <c r="M162">
        <v>1</v>
      </c>
      <c r="N162" t="s">
        <v>1532</v>
      </c>
      <c r="O162" t="s">
        <v>1536</v>
      </c>
    </row>
    <row r="163" spans="1:15" x14ac:dyDescent="0.3">
      <c r="A163" t="str">
        <f>'Case 3 data'!A162</f>
        <v>GER517-4M</v>
      </c>
      <c r="B163" t="str">
        <f>'Case 3 data'!B162</f>
        <v>Scott</v>
      </c>
      <c r="C163" t="str">
        <f>'Case 3 data'!C162</f>
        <v>Robinson</v>
      </c>
      <c r="D163" t="str" cm="1">
        <f t="array" ref="D163">LEFT($A163,MIN(FIND({0;1;2;3;4;5;6;7;8;9},$A163&amp;"0123456789"))-1)</f>
        <v>GER</v>
      </c>
      <c r="E163" t="str" cm="1">
        <f t="array" ref="E163">MID($A163,MIN(FIND({0;1;2;3;4;5;6;7;8;9},$A163&amp;"0123456789")),FIND("-",$A163)-MIN(FIND({0;1;2;3;4;5;6;7;8;9},$A163&amp;"0123456789")))</f>
        <v>517</v>
      </c>
      <c r="F163" t="str">
        <f t="shared" si="31"/>
        <v>4</v>
      </c>
      <c r="G163" t="str">
        <f t="shared" si="32"/>
        <v>M</v>
      </c>
      <c r="H163" t="str">
        <f t="shared" si="33"/>
        <v>GER-4</v>
      </c>
      <c r="J163" t="s">
        <v>456</v>
      </c>
      <c r="K163" t="s">
        <v>1521</v>
      </c>
      <c r="L163">
        <v>517</v>
      </c>
      <c r="M163">
        <v>4</v>
      </c>
      <c r="N163" t="s">
        <v>1531</v>
      </c>
      <c r="O163" t="s">
        <v>1537</v>
      </c>
    </row>
    <row r="164" spans="1:15" x14ac:dyDescent="0.3">
      <c r="A164" t="str">
        <f>'Case 3 data'!A163</f>
        <v>US104-11W</v>
      </c>
      <c r="B164" t="str">
        <f>'Case 3 data'!B163</f>
        <v>Emanuel</v>
      </c>
      <c r="C164" t="str">
        <f>'Case 3 data'!C163</f>
        <v>Craig</v>
      </c>
      <c r="D164" t="str" cm="1">
        <f t="array" ref="D164">LEFT($A164,MIN(FIND({0;1;2;3;4;5;6;7;8;9},$A164&amp;"0123456789"))-1)</f>
        <v>US</v>
      </c>
      <c r="E164" t="str" cm="1">
        <f t="array" ref="E164">MID($A164,MIN(FIND({0;1;2;3;4;5;6;7;8;9},$A164&amp;"0123456789")),FIND("-",$A164)-MIN(FIND({0;1;2;3;4;5;6;7;8;9},$A164&amp;"0123456789")))</f>
        <v>104</v>
      </c>
      <c r="F164" t="str">
        <f t="shared" si="31"/>
        <v>11</v>
      </c>
      <c r="G164" t="str">
        <f t="shared" si="32"/>
        <v>W</v>
      </c>
      <c r="H164" t="str">
        <f t="shared" si="33"/>
        <v>US-11</v>
      </c>
      <c r="J164" t="s">
        <v>459</v>
      </c>
      <c r="K164" t="str">
        <f t="shared" ref="K164:K227" si="40">LEFT(A164,3)</f>
        <v>US1</v>
      </c>
      <c r="L164">
        <v>104</v>
      </c>
      <c r="M164">
        <v>11</v>
      </c>
      <c r="N164" t="s">
        <v>1532</v>
      </c>
      <c r="O164" t="s">
        <v>1599</v>
      </c>
    </row>
    <row r="165" spans="1:15" x14ac:dyDescent="0.3">
      <c r="A165" t="str">
        <f>'Case 3 data'!A164</f>
        <v>MEX13-14M</v>
      </c>
      <c r="B165" t="str">
        <f>'Case 3 data'!B164</f>
        <v>Kathleen</v>
      </c>
      <c r="C165" t="str">
        <f>'Case 3 data'!C164</f>
        <v>Moss</v>
      </c>
      <c r="D165" t="str" cm="1">
        <f t="array" ref="D165">LEFT($A165,MIN(FIND({0;1;2;3;4;5;6;7;8;9},$A165&amp;"0123456789"))-1)</f>
        <v>MEX</v>
      </c>
      <c r="E165" t="str" cm="1">
        <f t="array" ref="E165">MID($A165,MIN(FIND({0;1;2;3;4;5;6;7;8;9},$A165&amp;"0123456789")),FIND("-",$A165)-MIN(FIND({0;1;2;3;4;5;6;7;8;9},$A165&amp;"0123456789")))</f>
        <v>13</v>
      </c>
      <c r="F165" t="str">
        <f t="shared" si="31"/>
        <v>14</v>
      </c>
      <c r="G165" t="str">
        <f t="shared" si="32"/>
        <v>M</v>
      </c>
      <c r="H165" t="str">
        <f t="shared" si="33"/>
        <v>MEX-14</v>
      </c>
      <c r="J165" t="s">
        <v>462</v>
      </c>
      <c r="K165" t="s">
        <v>1522</v>
      </c>
      <c r="L165">
        <v>13</v>
      </c>
      <c r="M165">
        <v>14</v>
      </c>
      <c r="N165" t="s">
        <v>1531</v>
      </c>
      <c r="O165" t="s">
        <v>1600</v>
      </c>
    </row>
    <row r="166" spans="1:15" x14ac:dyDescent="0.3">
      <c r="A166" t="str">
        <f>'Case 3 data'!A165</f>
        <v>ENG457-2M</v>
      </c>
      <c r="B166" t="str">
        <f>'Case 3 data'!B165</f>
        <v>Laverne</v>
      </c>
      <c r="C166" t="str">
        <f>'Case 3 data'!C165</f>
        <v>Salazar</v>
      </c>
      <c r="D166" t="str" cm="1">
        <f t="array" ref="D166">LEFT($A166,MIN(FIND({0;1;2;3;4;5;6;7;8;9},$A166&amp;"0123456789"))-1)</f>
        <v>ENG</v>
      </c>
      <c r="E166" t="str" cm="1">
        <f t="array" ref="E166">MID($A166,MIN(FIND({0;1;2;3;4;5;6;7;8;9},$A166&amp;"0123456789")),FIND("-",$A166)-MIN(FIND({0;1;2;3;4;5;6;7;8;9},$A166&amp;"0123456789")))</f>
        <v>457</v>
      </c>
      <c r="F166" t="str">
        <f t="shared" si="31"/>
        <v>2</v>
      </c>
      <c r="G166" t="str">
        <f t="shared" si="32"/>
        <v>M</v>
      </c>
      <c r="H166" t="str">
        <f t="shared" si="33"/>
        <v>ENG-2</v>
      </c>
      <c r="J166" t="s">
        <v>464</v>
      </c>
      <c r="K166" t="s">
        <v>1523</v>
      </c>
      <c r="L166">
        <v>457</v>
      </c>
      <c r="M166">
        <v>2</v>
      </c>
      <c r="N166" t="s">
        <v>1531</v>
      </c>
      <c r="O166" t="s">
        <v>1535</v>
      </c>
    </row>
    <row r="167" spans="1:15" x14ac:dyDescent="0.3">
      <c r="A167" t="str">
        <f>'Case 3 data'!A166</f>
        <v>ARG145-16M</v>
      </c>
      <c r="B167" t="str">
        <f>'Case 3 data'!B166</f>
        <v>Margaret</v>
      </c>
      <c r="C167" t="str">
        <f>'Case 3 data'!C166</f>
        <v>Doyle</v>
      </c>
      <c r="D167" t="str" cm="1">
        <f t="array" ref="D167">LEFT($A167,MIN(FIND({0;1;2;3;4;5;6;7;8;9},$A167&amp;"0123456789"))-1)</f>
        <v>ARG</v>
      </c>
      <c r="E167" t="str" cm="1">
        <f t="array" ref="E167">MID($A167,MIN(FIND({0;1;2;3;4;5;6;7;8;9},$A167&amp;"0123456789")),FIND("-",$A167)-MIN(FIND({0;1;2;3;4;5;6;7;8;9},$A167&amp;"0123456789")))</f>
        <v>145</v>
      </c>
      <c r="F167" t="str">
        <f t="shared" si="31"/>
        <v>16</v>
      </c>
      <c r="G167" t="str">
        <f t="shared" si="32"/>
        <v>M</v>
      </c>
      <c r="H167" t="str">
        <f t="shared" si="33"/>
        <v>ARG-16</v>
      </c>
      <c r="J167" t="s">
        <v>466</v>
      </c>
      <c r="K167" t="s">
        <v>1523</v>
      </c>
      <c r="L167">
        <v>145</v>
      </c>
      <c r="M167">
        <v>16</v>
      </c>
      <c r="N167" t="s">
        <v>1531</v>
      </c>
      <c r="O167" t="s">
        <v>1570</v>
      </c>
    </row>
    <row r="168" spans="1:15" x14ac:dyDescent="0.3">
      <c r="A168" t="str">
        <f>'Case 3 data'!A167</f>
        <v>ENG243-5W</v>
      </c>
      <c r="B168" t="str">
        <f>'Case 3 data'!B167</f>
        <v>Rea</v>
      </c>
      <c r="C168" t="str">
        <f>'Case 3 data'!C167</f>
        <v>Irby</v>
      </c>
      <c r="D168" t="str" cm="1">
        <f t="array" ref="D168">LEFT($A168,MIN(FIND({0;1;2;3;4;5;6;7;8;9},$A168&amp;"0123456789"))-1)</f>
        <v>ENG</v>
      </c>
      <c r="E168" t="str" cm="1">
        <f t="array" ref="E168">MID($A168,MIN(FIND({0;1;2;3;4;5;6;7;8;9},$A168&amp;"0123456789")),FIND("-",$A168)-MIN(FIND({0;1;2;3;4;5;6;7;8;9},$A168&amp;"0123456789")))</f>
        <v>243</v>
      </c>
      <c r="F168" t="str">
        <f t="shared" si="31"/>
        <v>5</v>
      </c>
      <c r="G168" t="str">
        <f t="shared" si="32"/>
        <v>W</v>
      </c>
      <c r="H168" t="str">
        <f t="shared" si="33"/>
        <v>ENG-5</v>
      </c>
      <c r="J168" t="s">
        <v>468</v>
      </c>
      <c r="K168" t="s">
        <v>1521</v>
      </c>
      <c r="L168">
        <v>243</v>
      </c>
      <c r="M168">
        <v>5</v>
      </c>
      <c r="N168" t="s">
        <v>1532</v>
      </c>
      <c r="O168" t="s">
        <v>1546</v>
      </c>
    </row>
    <row r="169" spans="1:15" x14ac:dyDescent="0.3">
      <c r="A169" t="str">
        <f>'Case 3 data'!A168</f>
        <v>GER465-8W</v>
      </c>
      <c r="B169" t="str">
        <f>'Case 3 data'!B168</f>
        <v>Shirley</v>
      </c>
      <c r="C169" t="str">
        <f>'Case 3 data'!C168</f>
        <v>Torres</v>
      </c>
      <c r="D169" t="str" cm="1">
        <f t="array" ref="D169">LEFT($A169,MIN(FIND({0;1;2;3;4;5;6;7;8;9},$A169&amp;"0123456789"))-1)</f>
        <v>GER</v>
      </c>
      <c r="E169" t="str" cm="1">
        <f t="array" ref="E169">MID($A169,MIN(FIND({0;1;2;3;4;5;6;7;8;9},$A169&amp;"0123456789")),FIND("-",$A169)-MIN(FIND({0;1;2;3;4;5;6;7;8;9},$A169&amp;"0123456789")))</f>
        <v>465</v>
      </c>
      <c r="F169" t="str">
        <f t="shared" si="31"/>
        <v>8</v>
      </c>
      <c r="G169" t="str">
        <f t="shared" si="32"/>
        <v>W</v>
      </c>
      <c r="H169" t="str">
        <f t="shared" si="33"/>
        <v>GER-8</v>
      </c>
      <c r="J169" t="s">
        <v>471</v>
      </c>
      <c r="K169" t="str">
        <f t="shared" ref="K169:K232" si="41">LEFT(A169,3)</f>
        <v>GER</v>
      </c>
      <c r="L169">
        <v>465</v>
      </c>
      <c r="M169">
        <v>8</v>
      </c>
      <c r="N169" t="s">
        <v>1532</v>
      </c>
      <c r="O169" t="s">
        <v>1574</v>
      </c>
    </row>
    <row r="170" spans="1:15" x14ac:dyDescent="0.3">
      <c r="A170" t="str">
        <f>'Case 3 data'!A169</f>
        <v>US73-11Mo</v>
      </c>
      <c r="B170" t="str">
        <f>'Case 3 data'!B169</f>
        <v>Buster</v>
      </c>
      <c r="C170" t="str">
        <f>'Case 3 data'!C169</f>
        <v>Shively</v>
      </c>
      <c r="D170" t="str" cm="1">
        <f t="array" ref="D170">LEFT($A170,MIN(FIND({0;1;2;3;4;5;6;7;8;9},$A170&amp;"0123456789"))-1)</f>
        <v>US</v>
      </c>
      <c r="E170" t="str" cm="1">
        <f t="array" ref="E170">MID($A170,MIN(FIND({0;1;2;3;4;5;6;7;8;9},$A170&amp;"0123456789")),FIND("-",$A170)-MIN(FIND({0;1;2;3;4;5;6;7;8;9},$A170&amp;"0123456789")))</f>
        <v>73</v>
      </c>
      <c r="F170" t="str">
        <f t="shared" si="31"/>
        <v>11</v>
      </c>
      <c r="G170" t="str">
        <f t="shared" si="32"/>
        <v>Mo</v>
      </c>
      <c r="H170" t="str">
        <f t="shared" si="33"/>
        <v>US-11</v>
      </c>
      <c r="J170" t="s">
        <v>474</v>
      </c>
      <c r="K170" t="s">
        <v>1522</v>
      </c>
      <c r="L170">
        <v>73</v>
      </c>
      <c r="M170">
        <v>11</v>
      </c>
      <c r="N170" t="s">
        <v>1530</v>
      </c>
      <c r="O170" t="s">
        <v>1587</v>
      </c>
    </row>
    <row r="171" spans="1:15" x14ac:dyDescent="0.3">
      <c r="A171" t="str">
        <f>'Case 3 data'!A170</f>
        <v>ARG390-17W</v>
      </c>
      <c r="B171" t="str">
        <f>'Case 3 data'!B170</f>
        <v>Deirdre</v>
      </c>
      <c r="C171" t="str">
        <f>'Case 3 data'!C170</f>
        <v>Lentz</v>
      </c>
      <c r="D171" t="str" cm="1">
        <f t="array" ref="D171">LEFT($A171,MIN(FIND({0;1;2;3;4;5;6;7;8;9},$A171&amp;"0123456789"))-1)</f>
        <v>ARG</v>
      </c>
      <c r="E171" t="str" cm="1">
        <f t="array" ref="E171">MID($A171,MIN(FIND({0;1;2;3;4;5;6;7;8;9},$A171&amp;"0123456789")),FIND("-",$A171)-MIN(FIND({0;1;2;3;4;5;6;7;8;9},$A171&amp;"0123456789")))</f>
        <v>390</v>
      </c>
      <c r="F171" t="str">
        <f t="shared" si="31"/>
        <v>17</v>
      </c>
      <c r="G171" t="str">
        <f t="shared" si="32"/>
        <v>W</v>
      </c>
      <c r="H171" t="str">
        <f t="shared" si="33"/>
        <v>ARG-17</v>
      </c>
      <c r="J171" t="s">
        <v>477</v>
      </c>
      <c r="K171" t="s">
        <v>1523</v>
      </c>
      <c r="L171">
        <v>390</v>
      </c>
      <c r="M171">
        <v>17</v>
      </c>
      <c r="N171" t="s">
        <v>1532</v>
      </c>
      <c r="O171" t="s">
        <v>1572</v>
      </c>
    </row>
    <row r="172" spans="1:15" x14ac:dyDescent="0.3">
      <c r="A172" t="str">
        <f>'Case 3 data'!A171</f>
        <v>Canada542-3Mo</v>
      </c>
      <c r="B172" t="str">
        <f>'Case 3 data'!B171</f>
        <v>Lisha</v>
      </c>
      <c r="C172" t="str">
        <f>'Case 3 data'!C171</f>
        <v>Nunn</v>
      </c>
      <c r="D172" t="str" cm="1">
        <f t="array" ref="D172">LEFT($A172,MIN(FIND({0;1;2;3;4;5;6;7;8;9},$A172&amp;"0123456789"))-1)</f>
        <v>Canada</v>
      </c>
      <c r="E172" t="str" cm="1">
        <f t="array" ref="E172">MID($A172,MIN(FIND({0;1;2;3;4;5;6;7;8;9},$A172&amp;"0123456789")),FIND("-",$A172)-MIN(FIND({0;1;2;3;4;5;6;7;8;9},$A172&amp;"0123456789")))</f>
        <v>542</v>
      </c>
      <c r="F172" t="str">
        <f t="shared" si="31"/>
        <v>3</v>
      </c>
      <c r="G172" t="str">
        <f t="shared" si="32"/>
        <v>Mo</v>
      </c>
      <c r="H172" t="str">
        <f t="shared" si="33"/>
        <v>Canada-3</v>
      </c>
      <c r="J172" t="s">
        <v>480</v>
      </c>
      <c r="K172" t="s">
        <v>1523</v>
      </c>
      <c r="L172">
        <v>542</v>
      </c>
      <c r="M172">
        <v>3</v>
      </c>
      <c r="N172" t="s">
        <v>1530</v>
      </c>
      <c r="O172" t="s">
        <v>1552</v>
      </c>
    </row>
    <row r="173" spans="1:15" x14ac:dyDescent="0.3">
      <c r="A173" t="str">
        <f>'Case 3 data'!A172</f>
        <v>ENG92-15Mo</v>
      </c>
      <c r="B173" t="str">
        <f>'Case 3 data'!B172</f>
        <v>Terica</v>
      </c>
      <c r="C173" t="str">
        <f>'Case 3 data'!C172</f>
        <v>Mayo</v>
      </c>
      <c r="D173" t="str" cm="1">
        <f t="array" ref="D173">LEFT($A173,MIN(FIND({0;1;2;3;4;5;6;7;8;9},$A173&amp;"0123456789"))-1)</f>
        <v>ENG</v>
      </c>
      <c r="E173" t="str" cm="1">
        <f t="array" ref="E173">MID($A173,MIN(FIND({0;1;2;3;4;5;6;7;8;9},$A173&amp;"0123456789")),FIND("-",$A173)-MIN(FIND({0;1;2;3;4;5;6;7;8;9},$A173&amp;"0123456789")))</f>
        <v>92</v>
      </c>
      <c r="F173" t="str">
        <f t="shared" si="31"/>
        <v>15</v>
      </c>
      <c r="G173" t="str">
        <f t="shared" si="32"/>
        <v>Mo</v>
      </c>
      <c r="H173" t="str">
        <f t="shared" si="33"/>
        <v>ENG-15</v>
      </c>
      <c r="J173" t="s">
        <v>483</v>
      </c>
      <c r="K173" t="s">
        <v>1521</v>
      </c>
      <c r="L173">
        <v>92</v>
      </c>
      <c r="M173">
        <v>15</v>
      </c>
      <c r="N173" t="s">
        <v>1530</v>
      </c>
      <c r="O173" t="s">
        <v>1568</v>
      </c>
    </row>
    <row r="174" spans="1:15" x14ac:dyDescent="0.3">
      <c r="A174" t="str">
        <f>'Case 3 data'!A173</f>
        <v>ARG101-6Mo</v>
      </c>
      <c r="B174" t="str">
        <f>'Case 3 data'!B173</f>
        <v>Tynisha</v>
      </c>
      <c r="C174" t="str">
        <f>'Case 3 data'!C173</f>
        <v>Mckee</v>
      </c>
      <c r="D174" t="str" cm="1">
        <f t="array" ref="D174">LEFT($A174,MIN(FIND({0;1;2;3;4;5;6;7;8;9},$A174&amp;"0123456789"))-1)</f>
        <v>ARG</v>
      </c>
      <c r="E174" t="str" cm="1">
        <f t="array" ref="E174">MID($A174,MIN(FIND({0;1;2;3;4;5;6;7;8;9},$A174&amp;"0123456789")),FIND("-",$A174)-MIN(FIND({0;1;2;3;4;5;6;7;8;9},$A174&amp;"0123456789")))</f>
        <v>101</v>
      </c>
      <c r="F174" t="str">
        <f t="shared" si="31"/>
        <v>6</v>
      </c>
      <c r="G174" t="str">
        <f t="shared" si="32"/>
        <v>Mo</v>
      </c>
      <c r="H174" t="str">
        <f t="shared" si="33"/>
        <v>ARG-6</v>
      </c>
      <c r="J174" t="s">
        <v>486</v>
      </c>
      <c r="K174" t="str">
        <f t="shared" ref="K174:K237" si="42">LEFT(A174,3)</f>
        <v>ARG</v>
      </c>
      <c r="L174">
        <v>101</v>
      </c>
      <c r="M174">
        <v>6</v>
      </c>
      <c r="N174" t="s">
        <v>1530</v>
      </c>
      <c r="O174" t="s">
        <v>1601</v>
      </c>
    </row>
    <row r="175" spans="1:15" x14ac:dyDescent="0.3">
      <c r="A175" t="str">
        <f>'Case 3 data'!A174</f>
        <v>Japan430-16W</v>
      </c>
      <c r="B175" t="str">
        <f>'Case 3 data'!B174</f>
        <v>Phil</v>
      </c>
      <c r="C175" t="str">
        <f>'Case 3 data'!C174</f>
        <v>Guerrero</v>
      </c>
      <c r="D175" t="str" cm="1">
        <f t="array" ref="D175">LEFT($A175,MIN(FIND({0;1;2;3;4;5;6;7;8;9},$A175&amp;"0123456789"))-1)</f>
        <v>Japan</v>
      </c>
      <c r="E175" t="str" cm="1">
        <f t="array" ref="E175">MID($A175,MIN(FIND({0;1;2;3;4;5;6;7;8;9},$A175&amp;"0123456789")),FIND("-",$A175)-MIN(FIND({0;1;2;3;4;5;6;7;8;9},$A175&amp;"0123456789")))</f>
        <v>430</v>
      </c>
      <c r="F175" t="str">
        <f t="shared" si="31"/>
        <v>16</v>
      </c>
      <c r="G175" t="str">
        <f t="shared" si="32"/>
        <v>W</v>
      </c>
      <c r="H175" t="str">
        <f t="shared" si="33"/>
        <v>Japan-16</v>
      </c>
      <c r="J175" t="s">
        <v>489</v>
      </c>
      <c r="K175" t="s">
        <v>1522</v>
      </c>
      <c r="L175">
        <v>430</v>
      </c>
      <c r="M175">
        <v>16</v>
      </c>
      <c r="N175" t="s">
        <v>1532</v>
      </c>
      <c r="O175" t="s">
        <v>1595</v>
      </c>
    </row>
    <row r="176" spans="1:15" x14ac:dyDescent="0.3">
      <c r="A176" t="str">
        <f>'Case 3 data'!A175</f>
        <v>US485-15M</v>
      </c>
      <c r="B176" t="str">
        <f>'Case 3 data'!B175</f>
        <v>Randy</v>
      </c>
      <c r="C176" t="str">
        <f>'Case 3 data'!C175</f>
        <v>Hall</v>
      </c>
      <c r="D176" t="str" cm="1">
        <f t="array" ref="D176">LEFT($A176,MIN(FIND({0;1;2;3;4;5;6;7;8;9},$A176&amp;"0123456789"))-1)</f>
        <v>US</v>
      </c>
      <c r="E176" t="str" cm="1">
        <f t="array" ref="E176">MID($A176,MIN(FIND({0;1;2;3;4;5;6;7;8;9},$A176&amp;"0123456789")),FIND("-",$A176)-MIN(FIND({0;1;2;3;4;5;6;7;8;9},$A176&amp;"0123456789")))</f>
        <v>485</v>
      </c>
      <c r="F176" t="str">
        <f t="shared" si="31"/>
        <v>15</v>
      </c>
      <c r="G176" t="str">
        <f t="shared" si="32"/>
        <v>M</v>
      </c>
      <c r="H176" t="str">
        <f t="shared" si="33"/>
        <v>US-15</v>
      </c>
      <c r="J176" t="s">
        <v>492</v>
      </c>
      <c r="K176" t="s">
        <v>1523</v>
      </c>
      <c r="L176">
        <v>485</v>
      </c>
      <c r="M176">
        <v>15</v>
      </c>
      <c r="N176" t="s">
        <v>1531</v>
      </c>
      <c r="O176" t="s">
        <v>1558</v>
      </c>
    </row>
    <row r="177" spans="1:15" x14ac:dyDescent="0.3">
      <c r="A177" t="str">
        <f>'Case 3 data'!A176</f>
        <v>ARG39-14Mo</v>
      </c>
      <c r="B177" t="str">
        <f>'Case 3 data'!B176</f>
        <v>Lorenzo</v>
      </c>
      <c r="C177" t="str">
        <f>'Case 3 data'!C176</f>
        <v>Fowler</v>
      </c>
      <c r="D177" t="str" cm="1">
        <f t="array" ref="D177">LEFT($A177,MIN(FIND({0;1;2;3;4;5;6;7;8;9},$A177&amp;"0123456789"))-1)</f>
        <v>ARG</v>
      </c>
      <c r="E177" t="str" cm="1">
        <f t="array" ref="E177">MID($A177,MIN(FIND({0;1;2;3;4;5;6;7;8;9},$A177&amp;"0123456789")),FIND("-",$A177)-MIN(FIND({0;1;2;3;4;5;6;7;8;9},$A177&amp;"0123456789")))</f>
        <v>39</v>
      </c>
      <c r="F177" t="str">
        <f t="shared" si="31"/>
        <v>14</v>
      </c>
      <c r="G177" t="str">
        <f t="shared" si="32"/>
        <v>Mo</v>
      </c>
      <c r="H177" t="str">
        <f t="shared" si="33"/>
        <v>ARG-14</v>
      </c>
      <c r="J177" t="s">
        <v>495</v>
      </c>
      <c r="K177" t="s">
        <v>1523</v>
      </c>
      <c r="L177">
        <v>39</v>
      </c>
      <c r="M177">
        <v>14</v>
      </c>
      <c r="N177" t="s">
        <v>1530</v>
      </c>
      <c r="O177" t="s">
        <v>1560</v>
      </c>
    </row>
    <row r="178" spans="1:15" x14ac:dyDescent="0.3">
      <c r="A178" t="str">
        <f>'Case 3 data'!A177</f>
        <v>AUS250-5W</v>
      </c>
      <c r="B178" t="str">
        <f>'Case 3 data'!B177</f>
        <v>Rachel</v>
      </c>
      <c r="C178" t="str">
        <f>'Case 3 data'!C177</f>
        <v>Reed</v>
      </c>
      <c r="D178" t="str" cm="1">
        <f t="array" ref="D178">LEFT($A178,MIN(FIND({0;1;2;3;4;5;6;7;8;9},$A178&amp;"0123456789"))-1)</f>
        <v>AUS</v>
      </c>
      <c r="E178" t="str" cm="1">
        <f t="array" ref="E178">MID($A178,MIN(FIND({0;1;2;3;4;5;6;7;8;9},$A178&amp;"0123456789")),FIND("-",$A178)-MIN(FIND({0;1;2;3;4;5;6;7;8;9},$A178&amp;"0123456789")))</f>
        <v>250</v>
      </c>
      <c r="F178" t="str">
        <f t="shared" si="31"/>
        <v>5</v>
      </c>
      <c r="G178" t="str">
        <f t="shared" si="32"/>
        <v>W</v>
      </c>
      <c r="H178" t="str">
        <f t="shared" si="33"/>
        <v>AUS-5</v>
      </c>
      <c r="J178" t="s">
        <v>498</v>
      </c>
      <c r="K178" t="s">
        <v>1521</v>
      </c>
      <c r="L178">
        <v>250</v>
      </c>
      <c r="M178">
        <v>5</v>
      </c>
      <c r="N178" t="s">
        <v>1532</v>
      </c>
      <c r="O178" t="s">
        <v>1546</v>
      </c>
    </row>
    <row r="179" spans="1:15" x14ac:dyDescent="0.3">
      <c r="A179" t="str">
        <f>'Case 3 data'!A178</f>
        <v>Canada580-5W</v>
      </c>
      <c r="B179" t="str">
        <f>'Case 3 data'!B178</f>
        <v>Moises</v>
      </c>
      <c r="C179" t="str">
        <f>'Case 3 data'!C178</f>
        <v>Mcbee</v>
      </c>
      <c r="D179" t="str" cm="1">
        <f t="array" ref="D179">LEFT($A179,MIN(FIND({0;1;2;3;4;5;6;7;8;9},$A179&amp;"0123456789"))-1)</f>
        <v>Canada</v>
      </c>
      <c r="E179" t="str" cm="1">
        <f t="array" ref="E179">MID($A179,MIN(FIND({0;1;2;3;4;5;6;7;8;9},$A179&amp;"0123456789")),FIND("-",$A179)-MIN(FIND({0;1;2;3;4;5;6;7;8;9},$A179&amp;"0123456789")))</f>
        <v>580</v>
      </c>
      <c r="F179" t="str">
        <f t="shared" si="31"/>
        <v>5</v>
      </c>
      <c r="G179" t="str">
        <f t="shared" si="32"/>
        <v>W</v>
      </c>
      <c r="H179" t="str">
        <f t="shared" si="33"/>
        <v>Canada-5</v>
      </c>
      <c r="J179" t="s">
        <v>500</v>
      </c>
      <c r="K179" t="str">
        <f t="shared" ref="K179:K242" si="43">LEFT(A179,3)</f>
        <v>Can</v>
      </c>
      <c r="L179">
        <v>580</v>
      </c>
      <c r="M179">
        <v>5</v>
      </c>
      <c r="N179" t="s">
        <v>1532</v>
      </c>
      <c r="O179" t="s">
        <v>1602</v>
      </c>
    </row>
    <row r="180" spans="1:15" x14ac:dyDescent="0.3">
      <c r="A180" t="str">
        <f>'Case 3 data'!A179</f>
        <v>GER550-10Mo</v>
      </c>
      <c r="B180" t="str">
        <f>'Case 3 data'!B179</f>
        <v>Matthew</v>
      </c>
      <c r="C180" t="str">
        <f>'Case 3 data'!C179</f>
        <v>Hill</v>
      </c>
      <c r="D180" t="str" cm="1">
        <f t="array" ref="D180">LEFT($A180,MIN(FIND({0;1;2;3;4;5;6;7;8;9},$A180&amp;"0123456789"))-1)</f>
        <v>GER</v>
      </c>
      <c r="E180" t="str" cm="1">
        <f t="array" ref="E180">MID($A180,MIN(FIND({0;1;2;3;4;5;6;7;8;9},$A180&amp;"0123456789")),FIND("-",$A180)-MIN(FIND({0;1;2;3;4;5;6;7;8;9},$A180&amp;"0123456789")))</f>
        <v>550</v>
      </c>
      <c r="F180" t="str">
        <f t="shared" si="31"/>
        <v>10</v>
      </c>
      <c r="G180" t="str">
        <f t="shared" si="32"/>
        <v>Mo</v>
      </c>
      <c r="H180" t="str">
        <f t="shared" si="33"/>
        <v>GER-10</v>
      </c>
      <c r="J180" t="s">
        <v>503</v>
      </c>
      <c r="K180" t="s">
        <v>1522</v>
      </c>
      <c r="L180">
        <v>550</v>
      </c>
      <c r="M180">
        <v>10</v>
      </c>
      <c r="N180" t="s">
        <v>1530</v>
      </c>
      <c r="O180" t="s">
        <v>1551</v>
      </c>
    </row>
    <row r="181" spans="1:15" x14ac:dyDescent="0.3">
      <c r="A181" t="str">
        <f>'Case 3 data'!A180</f>
        <v>MEX238-15Mo</v>
      </c>
      <c r="B181" t="str">
        <f>'Case 3 data'!B180</f>
        <v>Van</v>
      </c>
      <c r="C181" t="str">
        <f>'Case 3 data'!C180</f>
        <v>Mcguire</v>
      </c>
      <c r="D181" t="str" cm="1">
        <f t="array" ref="D181">LEFT($A181,MIN(FIND({0;1;2;3;4;5;6;7;8;9},$A181&amp;"0123456789"))-1)</f>
        <v>MEX</v>
      </c>
      <c r="E181" t="str" cm="1">
        <f t="array" ref="E181">MID($A181,MIN(FIND({0;1;2;3;4;5;6;7;8;9},$A181&amp;"0123456789")),FIND("-",$A181)-MIN(FIND({0;1;2;3;4;5;6;7;8;9},$A181&amp;"0123456789")))</f>
        <v>238</v>
      </c>
      <c r="F181" t="str">
        <f t="shared" si="31"/>
        <v>15</v>
      </c>
      <c r="G181" t="str">
        <f t="shared" si="32"/>
        <v>Mo</v>
      </c>
      <c r="H181" t="str">
        <f t="shared" si="33"/>
        <v>MEX-15</v>
      </c>
      <c r="J181" t="s">
        <v>505</v>
      </c>
      <c r="K181" t="s">
        <v>1523</v>
      </c>
      <c r="L181">
        <v>238</v>
      </c>
      <c r="M181">
        <v>15</v>
      </c>
      <c r="N181" t="s">
        <v>1530</v>
      </c>
      <c r="O181" t="s">
        <v>1558</v>
      </c>
    </row>
    <row r="182" spans="1:15" x14ac:dyDescent="0.3">
      <c r="A182" t="str">
        <f>'Case 3 data'!A181</f>
        <v>GER419-13Mo</v>
      </c>
      <c r="B182" t="str">
        <f>'Case 3 data'!B181</f>
        <v>Tina</v>
      </c>
      <c r="C182" t="str">
        <f>'Case 3 data'!C181</f>
        <v>Howard</v>
      </c>
      <c r="D182" t="str" cm="1">
        <f t="array" ref="D182">LEFT($A182,MIN(FIND({0;1;2;3;4;5;6;7;8;9},$A182&amp;"0123456789"))-1)</f>
        <v>GER</v>
      </c>
      <c r="E182" t="str" cm="1">
        <f t="array" ref="E182">MID($A182,MIN(FIND({0;1;2;3;4;5;6;7;8;9},$A182&amp;"0123456789")),FIND("-",$A182)-MIN(FIND({0;1;2;3;4;5;6;7;8;9},$A182&amp;"0123456789")))</f>
        <v>419</v>
      </c>
      <c r="F182" t="str">
        <f t="shared" si="31"/>
        <v>13</v>
      </c>
      <c r="G182" t="str">
        <f t="shared" si="32"/>
        <v>Mo</v>
      </c>
      <c r="H182" t="str">
        <f t="shared" si="33"/>
        <v>GER-13</v>
      </c>
      <c r="J182" t="s">
        <v>508</v>
      </c>
      <c r="K182" t="s">
        <v>1523</v>
      </c>
      <c r="L182">
        <v>419</v>
      </c>
      <c r="M182">
        <v>13</v>
      </c>
      <c r="N182" t="s">
        <v>1530</v>
      </c>
      <c r="O182" t="s">
        <v>1553</v>
      </c>
    </row>
    <row r="183" spans="1:15" x14ac:dyDescent="0.3">
      <c r="A183" t="str">
        <f>'Case 3 data'!A182</f>
        <v>MEX280-15M</v>
      </c>
      <c r="B183" t="str">
        <f>'Case 3 data'!B182</f>
        <v>Jane</v>
      </c>
      <c r="C183" t="str">
        <f>'Case 3 data'!C182</f>
        <v>Phillips</v>
      </c>
      <c r="D183" t="str" cm="1">
        <f t="array" ref="D183">LEFT($A183,MIN(FIND({0;1;2;3;4;5;6;7;8;9},$A183&amp;"0123456789"))-1)</f>
        <v>MEX</v>
      </c>
      <c r="E183" t="str" cm="1">
        <f t="array" ref="E183">MID($A183,MIN(FIND({0;1;2;3;4;5;6;7;8;9},$A183&amp;"0123456789")),FIND("-",$A183)-MIN(FIND({0;1;2;3;4;5;6;7;8;9},$A183&amp;"0123456789")))</f>
        <v>280</v>
      </c>
      <c r="F183" t="str">
        <f t="shared" si="31"/>
        <v>15</v>
      </c>
      <c r="G183" t="str">
        <f t="shared" si="32"/>
        <v>M</v>
      </c>
      <c r="H183" t="str">
        <f t="shared" si="33"/>
        <v>MEX-15</v>
      </c>
      <c r="J183" t="s">
        <v>509</v>
      </c>
      <c r="K183" t="s">
        <v>1521</v>
      </c>
      <c r="L183">
        <v>280</v>
      </c>
      <c r="M183">
        <v>15</v>
      </c>
      <c r="N183" t="s">
        <v>1531</v>
      </c>
      <c r="O183" t="s">
        <v>1568</v>
      </c>
    </row>
    <row r="184" spans="1:15" x14ac:dyDescent="0.3">
      <c r="A184" t="str">
        <f>'Case 3 data'!A183</f>
        <v>MEX480-8Mo</v>
      </c>
      <c r="B184" t="str">
        <f>'Case 3 data'!B183</f>
        <v>Norma</v>
      </c>
      <c r="C184" t="str">
        <f>'Case 3 data'!C183</f>
        <v>Watson</v>
      </c>
      <c r="D184" t="str" cm="1">
        <f t="array" ref="D184">LEFT($A184,MIN(FIND({0;1;2;3;4;5;6;7;8;9},$A184&amp;"0123456789"))-1)</f>
        <v>MEX</v>
      </c>
      <c r="E184" t="str" cm="1">
        <f t="array" ref="E184">MID($A184,MIN(FIND({0;1;2;3;4;5;6;7;8;9},$A184&amp;"0123456789")),FIND("-",$A184)-MIN(FIND({0;1;2;3;4;5;6;7;8;9},$A184&amp;"0123456789")))</f>
        <v>480</v>
      </c>
      <c r="F184" t="str">
        <f t="shared" si="31"/>
        <v>8</v>
      </c>
      <c r="G184" t="str">
        <f t="shared" si="32"/>
        <v>Mo</v>
      </c>
      <c r="H184" t="str">
        <f t="shared" si="33"/>
        <v>MEX-8</v>
      </c>
      <c r="J184" t="s">
        <v>512</v>
      </c>
      <c r="K184" t="str">
        <f t="shared" ref="K184:K247" si="44">LEFT(A184,3)</f>
        <v>MEX</v>
      </c>
      <c r="L184">
        <v>480</v>
      </c>
      <c r="M184">
        <v>8</v>
      </c>
      <c r="N184" t="s">
        <v>1530</v>
      </c>
      <c r="O184" t="s">
        <v>1584</v>
      </c>
    </row>
    <row r="185" spans="1:15" x14ac:dyDescent="0.3">
      <c r="A185" t="str">
        <f>'Case 3 data'!A184</f>
        <v>ARG186-4W</v>
      </c>
      <c r="B185" t="str">
        <f>'Case 3 data'!B184</f>
        <v>Judith</v>
      </c>
      <c r="C185" t="str">
        <f>'Case 3 data'!C184</f>
        <v>White</v>
      </c>
      <c r="D185" t="str" cm="1">
        <f t="array" ref="D185">LEFT($A185,MIN(FIND({0;1;2;3;4;5;6;7;8;9},$A185&amp;"0123456789"))-1)</f>
        <v>ARG</v>
      </c>
      <c r="E185" t="str" cm="1">
        <f t="array" ref="E185">MID($A185,MIN(FIND({0;1;2;3;4;5;6;7;8;9},$A185&amp;"0123456789")),FIND("-",$A185)-MIN(FIND({0;1;2;3;4;5;6;7;8;9},$A185&amp;"0123456789")))</f>
        <v>186</v>
      </c>
      <c r="F185" t="str">
        <f t="shared" si="31"/>
        <v>4</v>
      </c>
      <c r="G185" t="str">
        <f t="shared" si="32"/>
        <v>W</v>
      </c>
      <c r="H185" t="str">
        <f t="shared" si="33"/>
        <v>ARG-4</v>
      </c>
      <c r="J185" t="s">
        <v>514</v>
      </c>
      <c r="K185" t="s">
        <v>1522</v>
      </c>
      <c r="L185">
        <v>186</v>
      </c>
      <c r="M185">
        <v>4</v>
      </c>
      <c r="N185" t="s">
        <v>1532</v>
      </c>
      <c r="O185" t="s">
        <v>1573</v>
      </c>
    </row>
    <row r="186" spans="1:15" x14ac:dyDescent="0.3">
      <c r="A186" t="str">
        <f>'Case 3 data'!A185</f>
        <v>US85-15Mo</v>
      </c>
      <c r="B186" t="str">
        <f>'Case 3 data'!B185</f>
        <v>Aaron</v>
      </c>
      <c r="C186" t="str">
        <f>'Case 3 data'!C185</f>
        <v>Gray</v>
      </c>
      <c r="D186" t="str" cm="1">
        <f t="array" ref="D186">LEFT($A186,MIN(FIND({0;1;2;3;4;5;6;7;8;9},$A186&amp;"0123456789"))-1)</f>
        <v>US</v>
      </c>
      <c r="E186" t="str" cm="1">
        <f t="array" ref="E186">MID($A186,MIN(FIND({0;1;2;3;4;5;6;7;8;9},$A186&amp;"0123456789")),FIND("-",$A186)-MIN(FIND({0;1;2;3;4;5;6;7;8;9},$A186&amp;"0123456789")))</f>
        <v>85</v>
      </c>
      <c r="F186" t="str">
        <f t="shared" si="31"/>
        <v>15</v>
      </c>
      <c r="G186" t="str">
        <f t="shared" si="32"/>
        <v>Mo</v>
      </c>
      <c r="H186" t="str">
        <f t="shared" si="33"/>
        <v>US-15</v>
      </c>
      <c r="J186" t="s">
        <v>516</v>
      </c>
      <c r="K186" t="s">
        <v>1523</v>
      </c>
      <c r="L186">
        <v>85</v>
      </c>
      <c r="M186">
        <v>15</v>
      </c>
      <c r="N186" t="s">
        <v>1530</v>
      </c>
      <c r="O186" t="s">
        <v>1558</v>
      </c>
    </row>
    <row r="187" spans="1:15" x14ac:dyDescent="0.3">
      <c r="A187" t="str">
        <f>'Case 3 data'!A186</f>
        <v>Japan200-14W</v>
      </c>
      <c r="B187" t="str">
        <f>'Case 3 data'!B186</f>
        <v>Rudy</v>
      </c>
      <c r="C187" t="str">
        <f>'Case 3 data'!C186</f>
        <v>Alvarez</v>
      </c>
      <c r="D187" t="str" cm="1">
        <f t="array" ref="D187">LEFT($A187,MIN(FIND({0;1;2;3;4;5;6;7;8;9},$A187&amp;"0123456789"))-1)</f>
        <v>Japan</v>
      </c>
      <c r="E187" t="str" cm="1">
        <f t="array" ref="E187">MID($A187,MIN(FIND({0;1;2;3;4;5;6;7;8;9},$A187&amp;"0123456789")),FIND("-",$A187)-MIN(FIND({0;1;2;3;4;5;6;7;8;9},$A187&amp;"0123456789")))</f>
        <v>200</v>
      </c>
      <c r="F187" t="str">
        <f t="shared" si="31"/>
        <v>14</v>
      </c>
      <c r="G187" t="str">
        <f t="shared" si="32"/>
        <v>W</v>
      </c>
      <c r="H187" t="str">
        <f t="shared" si="33"/>
        <v>Japan-14</v>
      </c>
      <c r="J187" t="s">
        <v>518</v>
      </c>
      <c r="K187" t="s">
        <v>1523</v>
      </c>
      <c r="L187">
        <v>200</v>
      </c>
      <c r="M187">
        <v>14</v>
      </c>
      <c r="N187" t="s">
        <v>1532</v>
      </c>
      <c r="O187" t="s">
        <v>1560</v>
      </c>
    </row>
    <row r="188" spans="1:15" x14ac:dyDescent="0.3">
      <c r="A188" t="str">
        <f>'Case 3 data'!A187</f>
        <v>Canada362-6W</v>
      </c>
      <c r="B188" t="str">
        <f>'Case 3 data'!B187</f>
        <v>Sharonda</v>
      </c>
      <c r="C188" t="str">
        <f>'Case 3 data'!C187</f>
        <v>Farley</v>
      </c>
      <c r="D188" t="str" cm="1">
        <f t="array" ref="D188">LEFT($A188,MIN(FIND({0;1;2;3;4;5;6;7;8;9},$A188&amp;"0123456789"))-1)</f>
        <v>Canada</v>
      </c>
      <c r="E188" t="str" cm="1">
        <f t="array" ref="E188">MID($A188,MIN(FIND({0;1;2;3;4;5;6;7;8;9},$A188&amp;"0123456789")),FIND("-",$A188)-MIN(FIND({0;1;2;3;4;5;6;7;8;9},$A188&amp;"0123456789")))</f>
        <v>362</v>
      </c>
      <c r="F188" t="str">
        <f t="shared" si="31"/>
        <v>6</v>
      </c>
      <c r="G188" t="str">
        <f t="shared" si="32"/>
        <v>W</v>
      </c>
      <c r="H188" t="str">
        <f t="shared" si="33"/>
        <v>Canada-6</v>
      </c>
      <c r="J188" t="s">
        <v>521</v>
      </c>
      <c r="K188" t="s">
        <v>1521</v>
      </c>
      <c r="L188">
        <v>362</v>
      </c>
      <c r="M188">
        <v>6</v>
      </c>
      <c r="N188" t="s">
        <v>1532</v>
      </c>
      <c r="O188" t="s">
        <v>1561</v>
      </c>
    </row>
    <row r="189" spans="1:15" x14ac:dyDescent="0.3">
      <c r="A189" t="str">
        <f>'Case 3 data'!A188</f>
        <v>US477-1W</v>
      </c>
      <c r="B189" t="str">
        <f>'Case 3 data'!B188</f>
        <v>Maisha</v>
      </c>
      <c r="C189" t="str">
        <f>'Case 3 data'!C188</f>
        <v>Calvin</v>
      </c>
      <c r="D189" t="str" cm="1">
        <f t="array" ref="D189">LEFT($A189,MIN(FIND({0;1;2;3;4;5;6;7;8;9},$A189&amp;"0123456789"))-1)</f>
        <v>US</v>
      </c>
      <c r="E189" t="str" cm="1">
        <f t="array" ref="E189">MID($A189,MIN(FIND({0;1;2;3;4;5;6;7;8;9},$A189&amp;"0123456789")),FIND("-",$A189)-MIN(FIND({0;1;2;3;4;5;6;7;8;9},$A189&amp;"0123456789")))</f>
        <v>477</v>
      </c>
      <c r="F189" t="str">
        <f t="shared" si="31"/>
        <v>1</v>
      </c>
      <c r="G189" t="str">
        <f t="shared" si="32"/>
        <v>W</v>
      </c>
      <c r="H189" t="str">
        <f t="shared" si="33"/>
        <v>US-1</v>
      </c>
      <c r="J189" t="s">
        <v>524</v>
      </c>
      <c r="K189" t="str">
        <f t="shared" ref="K189:K252" si="45">LEFT(A189,3)</f>
        <v>US4</v>
      </c>
      <c r="L189">
        <v>477</v>
      </c>
      <c r="M189">
        <v>1</v>
      </c>
      <c r="N189" t="s">
        <v>1532</v>
      </c>
      <c r="O189" t="s">
        <v>1603</v>
      </c>
    </row>
    <row r="190" spans="1:15" x14ac:dyDescent="0.3">
      <c r="A190" t="str">
        <f>'Case 3 data'!A189</f>
        <v>GER531-5Mo</v>
      </c>
      <c r="B190" t="str">
        <f>'Case 3 data'!B189</f>
        <v>Bonnie</v>
      </c>
      <c r="C190" t="str">
        <f>'Case 3 data'!C189</f>
        <v>Abbott</v>
      </c>
      <c r="D190" t="str" cm="1">
        <f t="array" ref="D190">LEFT($A190,MIN(FIND({0;1;2;3;4;5;6;7;8;9},$A190&amp;"0123456789"))-1)</f>
        <v>GER</v>
      </c>
      <c r="E190" t="str" cm="1">
        <f t="array" ref="E190">MID($A190,MIN(FIND({0;1;2;3;4;5;6;7;8;9},$A190&amp;"0123456789")),FIND("-",$A190)-MIN(FIND({0;1;2;3;4;5;6;7;8;9},$A190&amp;"0123456789")))</f>
        <v>531</v>
      </c>
      <c r="F190" t="str">
        <f t="shared" si="31"/>
        <v>5</v>
      </c>
      <c r="G190" t="str">
        <f t="shared" si="32"/>
        <v>Mo</v>
      </c>
      <c r="H190" t="str">
        <f t="shared" si="33"/>
        <v>GER-5</v>
      </c>
      <c r="J190" t="s">
        <v>527</v>
      </c>
      <c r="K190" t="s">
        <v>1522</v>
      </c>
      <c r="L190">
        <v>531</v>
      </c>
      <c r="M190">
        <v>5</v>
      </c>
      <c r="N190" t="s">
        <v>1530</v>
      </c>
      <c r="O190" t="s">
        <v>1539</v>
      </c>
    </row>
    <row r="191" spans="1:15" x14ac:dyDescent="0.3">
      <c r="A191" t="str">
        <f>'Case 3 data'!A190</f>
        <v>GER89-16Mo</v>
      </c>
      <c r="B191" t="str">
        <f>'Case 3 data'!B190</f>
        <v>Miranda</v>
      </c>
      <c r="C191" t="str">
        <f>'Case 3 data'!C190</f>
        <v>Young</v>
      </c>
      <c r="D191" t="str" cm="1">
        <f t="array" ref="D191">LEFT($A191,MIN(FIND({0;1;2;3;4;5;6;7;8;9},$A191&amp;"0123456789"))-1)</f>
        <v>GER</v>
      </c>
      <c r="E191" t="str" cm="1">
        <f t="array" ref="E191">MID($A191,MIN(FIND({0;1;2;3;4;5;6;7;8;9},$A191&amp;"0123456789")),FIND("-",$A191)-MIN(FIND({0;1;2;3;4;5;6;7;8;9},$A191&amp;"0123456789")))</f>
        <v>89</v>
      </c>
      <c r="F191" t="str">
        <f t="shared" si="31"/>
        <v>16</v>
      </c>
      <c r="G191" t="str">
        <f t="shared" si="32"/>
        <v>Mo</v>
      </c>
      <c r="H191" t="str">
        <f t="shared" si="33"/>
        <v>GER-16</v>
      </c>
      <c r="J191" t="s">
        <v>530</v>
      </c>
      <c r="K191" t="s">
        <v>1523</v>
      </c>
      <c r="L191">
        <v>89</v>
      </c>
      <c r="M191">
        <v>16</v>
      </c>
      <c r="N191" t="s">
        <v>1530</v>
      </c>
      <c r="O191" t="s">
        <v>1570</v>
      </c>
    </row>
    <row r="192" spans="1:15" x14ac:dyDescent="0.3">
      <c r="A192" t="str">
        <f>'Case 3 data'!A191</f>
        <v>ENG235-9Mo</v>
      </c>
      <c r="B192" t="str">
        <f>'Case 3 data'!B191</f>
        <v>Thomas</v>
      </c>
      <c r="C192" t="str">
        <f>'Case 3 data'!C191</f>
        <v>Edwards</v>
      </c>
      <c r="D192" t="str" cm="1">
        <f t="array" ref="D192">LEFT($A192,MIN(FIND({0;1;2;3;4;5;6;7;8;9},$A192&amp;"0123456789"))-1)</f>
        <v>ENG</v>
      </c>
      <c r="E192" t="str" cm="1">
        <f t="array" ref="E192">MID($A192,MIN(FIND({0;1;2;3;4;5;6;7;8;9},$A192&amp;"0123456789")),FIND("-",$A192)-MIN(FIND({0;1;2;3;4;5;6;7;8;9},$A192&amp;"0123456789")))</f>
        <v>235</v>
      </c>
      <c r="F192" t="str">
        <f t="shared" si="31"/>
        <v>9</v>
      </c>
      <c r="G192" t="str">
        <f t="shared" si="32"/>
        <v>Mo</v>
      </c>
      <c r="H192" t="str">
        <f t="shared" si="33"/>
        <v>ENG-9</v>
      </c>
      <c r="J192" t="s">
        <v>533</v>
      </c>
      <c r="K192" t="s">
        <v>1523</v>
      </c>
      <c r="L192">
        <v>235</v>
      </c>
      <c r="M192">
        <v>9</v>
      </c>
      <c r="N192" t="s">
        <v>1530</v>
      </c>
      <c r="O192" t="s">
        <v>1544</v>
      </c>
    </row>
    <row r="193" spans="1:15" x14ac:dyDescent="0.3">
      <c r="A193" t="str">
        <f>'Case 3 data'!A192</f>
        <v>AUS11-14W</v>
      </c>
      <c r="B193" t="str">
        <f>'Case 3 data'!B192</f>
        <v>Lee</v>
      </c>
      <c r="C193" t="str">
        <f>'Case 3 data'!C192</f>
        <v>Wright</v>
      </c>
      <c r="D193" t="str" cm="1">
        <f t="array" ref="D193">LEFT($A193,MIN(FIND({0;1;2;3;4;5;6;7;8;9},$A193&amp;"0123456789"))-1)</f>
        <v>AUS</v>
      </c>
      <c r="E193" t="str" cm="1">
        <f t="array" ref="E193">MID($A193,MIN(FIND({0;1;2;3;4;5;6;7;8;9},$A193&amp;"0123456789")),FIND("-",$A193)-MIN(FIND({0;1;2;3;4;5;6;7;8;9},$A193&amp;"0123456789")))</f>
        <v>11</v>
      </c>
      <c r="F193" t="str">
        <f t="shared" si="31"/>
        <v>14</v>
      </c>
      <c r="G193" t="str">
        <f t="shared" si="32"/>
        <v>W</v>
      </c>
      <c r="H193" t="str">
        <f t="shared" si="33"/>
        <v>AUS-14</v>
      </c>
      <c r="J193" t="s">
        <v>535</v>
      </c>
      <c r="K193" t="s">
        <v>1521</v>
      </c>
      <c r="L193">
        <v>11</v>
      </c>
      <c r="M193">
        <v>14</v>
      </c>
      <c r="N193" t="s">
        <v>1532</v>
      </c>
      <c r="O193" t="s">
        <v>1565</v>
      </c>
    </row>
    <row r="194" spans="1:15" x14ac:dyDescent="0.3">
      <c r="A194" t="str">
        <f>'Case 3 data'!A193</f>
        <v>ARG313-10W</v>
      </c>
      <c r="B194" t="str">
        <f>'Case 3 data'!B193</f>
        <v>Lee</v>
      </c>
      <c r="C194" t="str">
        <f>'Case 3 data'!C193</f>
        <v>Wolfe</v>
      </c>
      <c r="D194" t="str" cm="1">
        <f t="array" ref="D194">LEFT($A194,MIN(FIND({0;1;2;3;4;5;6;7;8;9},$A194&amp;"0123456789"))-1)</f>
        <v>ARG</v>
      </c>
      <c r="E194" t="str" cm="1">
        <f t="array" ref="E194">MID($A194,MIN(FIND({0;1;2;3;4;5;6;7;8;9},$A194&amp;"0123456789")),FIND("-",$A194)-MIN(FIND({0;1;2;3;4;5;6;7;8;9},$A194&amp;"0123456789")))</f>
        <v>313</v>
      </c>
      <c r="F194" t="str">
        <f t="shared" si="31"/>
        <v>10</v>
      </c>
      <c r="G194" t="str">
        <f t="shared" si="32"/>
        <v>W</v>
      </c>
      <c r="H194" t="str">
        <f t="shared" si="33"/>
        <v>ARG-10</v>
      </c>
      <c r="J194" t="s">
        <v>537</v>
      </c>
      <c r="K194" t="str">
        <f t="shared" ref="K194:K257" si="46">LEFT(A194,3)</f>
        <v>ARG</v>
      </c>
      <c r="L194">
        <v>313</v>
      </c>
      <c r="M194">
        <v>10</v>
      </c>
      <c r="N194" t="s">
        <v>1532</v>
      </c>
      <c r="O194" t="s">
        <v>1604</v>
      </c>
    </row>
    <row r="195" spans="1:15" x14ac:dyDescent="0.3">
      <c r="A195" t="str">
        <f>'Case 3 data'!A194</f>
        <v>US463-13W</v>
      </c>
      <c r="B195" t="str">
        <f>'Case 3 data'!B194</f>
        <v>Dianna</v>
      </c>
      <c r="C195" t="str">
        <f>'Case 3 data'!C194</f>
        <v>Cox</v>
      </c>
      <c r="D195" t="str" cm="1">
        <f t="array" ref="D195">LEFT($A195,MIN(FIND({0;1;2;3;4;5;6;7;8;9},$A195&amp;"0123456789"))-1)</f>
        <v>US</v>
      </c>
      <c r="E195" t="str" cm="1">
        <f t="array" ref="E195">MID($A195,MIN(FIND({0;1;2;3;4;5;6;7;8;9},$A195&amp;"0123456789")),FIND("-",$A195)-MIN(FIND({0;1;2;3;4;5;6;7;8;9},$A195&amp;"0123456789")))</f>
        <v>463</v>
      </c>
      <c r="F195" t="str">
        <f t="shared" si="31"/>
        <v>13</v>
      </c>
      <c r="G195" t="str">
        <f t="shared" si="32"/>
        <v>W</v>
      </c>
      <c r="H195" t="str">
        <f t="shared" si="33"/>
        <v>US-13</v>
      </c>
      <c r="J195" t="s">
        <v>539</v>
      </c>
      <c r="K195" t="s">
        <v>1522</v>
      </c>
      <c r="L195">
        <v>463</v>
      </c>
      <c r="M195">
        <v>13</v>
      </c>
      <c r="N195" t="s">
        <v>1532</v>
      </c>
      <c r="O195" t="s">
        <v>1605</v>
      </c>
    </row>
    <row r="196" spans="1:15" x14ac:dyDescent="0.3">
      <c r="A196" t="str">
        <f>'Case 3 data'!A195</f>
        <v>GER286-8M</v>
      </c>
      <c r="B196" t="str">
        <f>'Case 3 data'!B195</f>
        <v>Edna</v>
      </c>
      <c r="C196" t="str">
        <f>'Case 3 data'!C195</f>
        <v>Green</v>
      </c>
      <c r="D196" t="str" cm="1">
        <f t="array" ref="D196">LEFT($A196,MIN(FIND({0;1;2;3;4;5;6;7;8;9},$A196&amp;"0123456789"))-1)</f>
        <v>GER</v>
      </c>
      <c r="E196" t="str" cm="1">
        <f t="array" ref="E196">MID($A196,MIN(FIND({0;1;2;3;4;5;6;7;8;9},$A196&amp;"0123456789")),FIND("-",$A196)-MIN(FIND({0;1;2;3;4;5;6;7;8;9},$A196&amp;"0123456789")))</f>
        <v>286</v>
      </c>
      <c r="F196" t="str">
        <f t="shared" ref="F196:F259" si="47">MID($A196,FIND("-",$A196)+1,LEN($A196)-FIND("-",$A196)-LEN($G196))</f>
        <v>8</v>
      </c>
      <c r="G196" t="str">
        <f t="shared" ref="G196:G259" si="48">IF(RIGHT($A196,2)="Mo","Mo",RIGHT($A196,1))</f>
        <v>M</v>
      </c>
      <c r="H196" t="str">
        <f t="shared" ref="H196:H259" si="49">D196&amp;"-"&amp;F196</f>
        <v>GER-8</v>
      </c>
      <c r="J196" t="s">
        <v>541</v>
      </c>
      <c r="K196" t="s">
        <v>1523</v>
      </c>
      <c r="L196">
        <v>286</v>
      </c>
      <c r="M196">
        <v>8</v>
      </c>
      <c r="N196" t="s">
        <v>1531</v>
      </c>
      <c r="O196" t="s">
        <v>1574</v>
      </c>
    </row>
    <row r="197" spans="1:15" x14ac:dyDescent="0.3">
      <c r="A197" t="str">
        <f>'Case 3 data'!A196</f>
        <v>GER2-14W</v>
      </c>
      <c r="B197" t="str">
        <f>'Case 3 data'!B196</f>
        <v>Frederick</v>
      </c>
      <c r="C197" t="str">
        <f>'Case 3 data'!C196</f>
        <v>Morton</v>
      </c>
      <c r="D197" t="str" cm="1">
        <f t="array" ref="D197">LEFT($A197,MIN(FIND({0;1;2;3;4;5;6;7;8;9},$A197&amp;"0123456789"))-1)</f>
        <v>GER</v>
      </c>
      <c r="E197" t="str" cm="1">
        <f t="array" ref="E197">MID($A197,MIN(FIND({0;1;2;3;4;5;6;7;8;9},$A197&amp;"0123456789")),FIND("-",$A197)-MIN(FIND({0;1;2;3;4;5;6;7;8;9},$A197&amp;"0123456789")))</f>
        <v>2</v>
      </c>
      <c r="F197" t="str">
        <f t="shared" si="47"/>
        <v>14</v>
      </c>
      <c r="G197" t="str">
        <f t="shared" si="48"/>
        <v>W</v>
      </c>
      <c r="H197" t="str">
        <f t="shared" si="49"/>
        <v>GER-14</v>
      </c>
      <c r="J197" t="s">
        <v>542</v>
      </c>
      <c r="K197" t="s">
        <v>1523</v>
      </c>
      <c r="L197">
        <v>2</v>
      </c>
      <c r="M197">
        <v>14</v>
      </c>
      <c r="N197" t="s">
        <v>1532</v>
      </c>
      <c r="O197" t="s">
        <v>1560</v>
      </c>
    </row>
    <row r="198" spans="1:15" x14ac:dyDescent="0.3">
      <c r="A198" t="str">
        <f>'Case 3 data'!A197</f>
        <v>US123-9M</v>
      </c>
      <c r="B198" t="str">
        <f>'Case 3 data'!B197</f>
        <v>Cynthia</v>
      </c>
      <c r="C198" t="str">
        <f>'Case 3 data'!C197</f>
        <v>Cole</v>
      </c>
      <c r="D198" t="str" cm="1">
        <f t="array" ref="D198">LEFT($A198,MIN(FIND({0;1;2;3;4;5;6;7;8;9},$A198&amp;"0123456789"))-1)</f>
        <v>US</v>
      </c>
      <c r="E198" t="str" cm="1">
        <f t="array" ref="E198">MID($A198,MIN(FIND({0;1;2;3;4;5;6;7;8;9},$A198&amp;"0123456789")),FIND("-",$A198)-MIN(FIND({0;1;2;3;4;5;6;7;8;9},$A198&amp;"0123456789")))</f>
        <v>123</v>
      </c>
      <c r="F198" t="str">
        <f t="shared" si="47"/>
        <v>9</v>
      </c>
      <c r="G198" t="str">
        <f t="shared" si="48"/>
        <v>M</v>
      </c>
      <c r="H198" t="str">
        <f t="shared" si="49"/>
        <v>US-9</v>
      </c>
      <c r="J198" t="s">
        <v>545</v>
      </c>
      <c r="K198" t="s">
        <v>1521</v>
      </c>
      <c r="L198">
        <v>123</v>
      </c>
      <c r="M198">
        <v>9</v>
      </c>
      <c r="N198" t="s">
        <v>1531</v>
      </c>
      <c r="O198" t="s">
        <v>1559</v>
      </c>
    </row>
    <row r="199" spans="1:15" x14ac:dyDescent="0.3">
      <c r="A199" t="str">
        <f>'Case 3 data'!A198</f>
        <v>MEX500-4M</v>
      </c>
      <c r="B199" t="str">
        <f>'Case 3 data'!B198</f>
        <v>Lorena</v>
      </c>
      <c r="C199" t="str">
        <f>'Case 3 data'!C198</f>
        <v>Williams</v>
      </c>
      <c r="D199" t="str" cm="1">
        <f t="array" ref="D199">LEFT($A199,MIN(FIND({0;1;2;3;4;5;6;7;8;9},$A199&amp;"0123456789"))-1)</f>
        <v>MEX</v>
      </c>
      <c r="E199" t="str" cm="1">
        <f t="array" ref="E199">MID($A199,MIN(FIND({0;1;2;3;4;5;6;7;8;9},$A199&amp;"0123456789")),FIND("-",$A199)-MIN(FIND({0;1;2;3;4;5;6;7;8;9},$A199&amp;"0123456789")))</f>
        <v>500</v>
      </c>
      <c r="F199" t="str">
        <f t="shared" si="47"/>
        <v>4</v>
      </c>
      <c r="G199" t="str">
        <f t="shared" si="48"/>
        <v>M</v>
      </c>
      <c r="H199" t="str">
        <f t="shared" si="49"/>
        <v>MEX-4</v>
      </c>
      <c r="J199" t="s">
        <v>548</v>
      </c>
      <c r="K199" t="str">
        <f t="shared" ref="K199:K262" si="50">LEFT(A199,3)</f>
        <v>MEX</v>
      </c>
      <c r="L199">
        <v>500</v>
      </c>
      <c r="M199">
        <v>4</v>
      </c>
      <c r="N199" t="s">
        <v>1531</v>
      </c>
      <c r="O199" t="s">
        <v>1606</v>
      </c>
    </row>
    <row r="200" spans="1:15" x14ac:dyDescent="0.3">
      <c r="A200" t="str">
        <f>'Case 3 data'!A199</f>
        <v>GER370-5Mo</v>
      </c>
      <c r="B200" t="str">
        <f>'Case 3 data'!B199</f>
        <v>Percy</v>
      </c>
      <c r="C200" t="str">
        <f>'Case 3 data'!C199</f>
        <v>Young</v>
      </c>
      <c r="D200" t="str" cm="1">
        <f t="array" ref="D200">LEFT($A200,MIN(FIND({0;1;2;3;4;5;6;7;8;9},$A200&amp;"0123456789"))-1)</f>
        <v>GER</v>
      </c>
      <c r="E200" t="str" cm="1">
        <f t="array" ref="E200">MID($A200,MIN(FIND({0;1;2;3;4;5;6;7;8;9},$A200&amp;"0123456789")),FIND("-",$A200)-MIN(FIND({0;1;2;3;4;5;6;7;8;9},$A200&amp;"0123456789")))</f>
        <v>370</v>
      </c>
      <c r="F200" t="str">
        <f t="shared" si="47"/>
        <v>5</v>
      </c>
      <c r="G200" t="str">
        <f t="shared" si="48"/>
        <v>Mo</v>
      </c>
      <c r="H200" t="str">
        <f t="shared" si="49"/>
        <v>GER-5</v>
      </c>
      <c r="J200" t="s">
        <v>551</v>
      </c>
      <c r="K200" t="s">
        <v>1522</v>
      </c>
      <c r="L200">
        <v>370</v>
      </c>
      <c r="M200">
        <v>5</v>
      </c>
      <c r="N200" t="s">
        <v>1530</v>
      </c>
      <c r="O200" t="s">
        <v>1539</v>
      </c>
    </row>
    <row r="201" spans="1:15" x14ac:dyDescent="0.3">
      <c r="A201" t="str">
        <f>'Case 3 data'!A200</f>
        <v>Canada298-8Mo</v>
      </c>
      <c r="B201" t="str">
        <f>'Case 3 data'!B200</f>
        <v>Patricia</v>
      </c>
      <c r="C201" t="str">
        <f>'Case 3 data'!C200</f>
        <v>Perez</v>
      </c>
      <c r="D201" t="str" cm="1">
        <f t="array" ref="D201">LEFT($A201,MIN(FIND({0;1;2;3;4;5;6;7;8;9},$A201&amp;"0123456789"))-1)</f>
        <v>Canada</v>
      </c>
      <c r="E201" t="str" cm="1">
        <f t="array" ref="E201">MID($A201,MIN(FIND({0;1;2;3;4;5;6;7;8;9},$A201&amp;"0123456789")),FIND("-",$A201)-MIN(FIND({0;1;2;3;4;5;6;7;8;9},$A201&amp;"0123456789")))</f>
        <v>298</v>
      </c>
      <c r="F201" t="str">
        <f t="shared" si="47"/>
        <v>8</v>
      </c>
      <c r="G201" t="str">
        <f t="shared" si="48"/>
        <v>Mo</v>
      </c>
      <c r="H201" t="str">
        <f t="shared" si="49"/>
        <v>Canada-8</v>
      </c>
      <c r="J201" t="s">
        <v>553</v>
      </c>
      <c r="K201" t="s">
        <v>1523</v>
      </c>
      <c r="L201">
        <v>298</v>
      </c>
      <c r="M201">
        <v>8</v>
      </c>
      <c r="N201" t="s">
        <v>1530</v>
      </c>
      <c r="O201" t="s">
        <v>1574</v>
      </c>
    </row>
    <row r="202" spans="1:15" x14ac:dyDescent="0.3">
      <c r="A202" t="str">
        <f>'Case 3 data'!A201</f>
        <v>Japan276-11W</v>
      </c>
      <c r="B202" t="str">
        <f>'Case 3 data'!B201</f>
        <v>Elizabeth</v>
      </c>
      <c r="C202" t="str">
        <f>'Case 3 data'!C201</f>
        <v>Neal</v>
      </c>
      <c r="D202" t="str" cm="1">
        <f t="array" ref="D202">LEFT($A202,MIN(FIND({0;1;2;3;4;5;6;7;8;9},$A202&amp;"0123456789"))-1)</f>
        <v>Japan</v>
      </c>
      <c r="E202" t="str" cm="1">
        <f t="array" ref="E202">MID($A202,MIN(FIND({0;1;2;3;4;5;6;7;8;9},$A202&amp;"0123456789")),FIND("-",$A202)-MIN(FIND({0;1;2;3;4;5;6;7;8;9},$A202&amp;"0123456789")))</f>
        <v>276</v>
      </c>
      <c r="F202" t="str">
        <f t="shared" si="47"/>
        <v>11</v>
      </c>
      <c r="G202" t="str">
        <f t="shared" si="48"/>
        <v>W</v>
      </c>
      <c r="H202" t="str">
        <f t="shared" si="49"/>
        <v>Japan-11</v>
      </c>
      <c r="J202" t="s">
        <v>556</v>
      </c>
      <c r="K202" t="s">
        <v>1523</v>
      </c>
      <c r="L202">
        <v>276</v>
      </c>
      <c r="M202">
        <v>11</v>
      </c>
      <c r="N202" t="s">
        <v>1532</v>
      </c>
      <c r="O202" t="s">
        <v>1580</v>
      </c>
    </row>
    <row r="203" spans="1:15" x14ac:dyDescent="0.3">
      <c r="A203" t="str">
        <f>'Case 3 data'!A202</f>
        <v>ARG456-17M</v>
      </c>
      <c r="B203" t="str">
        <f>'Case 3 data'!B202</f>
        <v>Stuart</v>
      </c>
      <c r="C203" t="str">
        <f>'Case 3 data'!C202</f>
        <v>Lane</v>
      </c>
      <c r="D203" t="str" cm="1">
        <f t="array" ref="D203">LEFT($A203,MIN(FIND({0;1;2;3;4;5;6;7;8;9},$A203&amp;"0123456789"))-1)</f>
        <v>ARG</v>
      </c>
      <c r="E203" t="str" cm="1">
        <f t="array" ref="E203">MID($A203,MIN(FIND({0;1;2;3;4;5;6;7;8;9},$A203&amp;"0123456789")),FIND("-",$A203)-MIN(FIND({0;1;2;3;4;5;6;7;8;9},$A203&amp;"0123456789")))</f>
        <v>456</v>
      </c>
      <c r="F203" t="str">
        <f t="shared" si="47"/>
        <v>17</v>
      </c>
      <c r="G203" t="str">
        <f t="shared" si="48"/>
        <v>M</v>
      </c>
      <c r="H203" t="str">
        <f t="shared" si="49"/>
        <v>ARG-17</v>
      </c>
      <c r="J203" t="s">
        <v>558</v>
      </c>
      <c r="K203" t="s">
        <v>1521</v>
      </c>
      <c r="L203">
        <v>456</v>
      </c>
      <c r="M203">
        <v>17</v>
      </c>
      <c r="N203" t="s">
        <v>1531</v>
      </c>
      <c r="O203" t="s">
        <v>1586</v>
      </c>
    </row>
    <row r="204" spans="1:15" x14ac:dyDescent="0.3">
      <c r="A204" t="str">
        <f>'Case 3 data'!A203</f>
        <v>US86-6W</v>
      </c>
      <c r="B204" t="str">
        <f>'Case 3 data'!B203</f>
        <v>Adam</v>
      </c>
      <c r="C204" t="str">
        <f>'Case 3 data'!C203</f>
        <v>Vasquez</v>
      </c>
      <c r="D204" t="str" cm="1">
        <f t="array" ref="D204">LEFT($A204,MIN(FIND({0;1;2;3;4;5;6;7;8;9},$A204&amp;"0123456789"))-1)</f>
        <v>US</v>
      </c>
      <c r="E204" t="str" cm="1">
        <f t="array" ref="E204">MID($A204,MIN(FIND({0;1;2;3;4;5;6;7;8;9},$A204&amp;"0123456789")),FIND("-",$A204)-MIN(FIND({0;1;2;3;4;5;6;7;8;9},$A204&amp;"0123456789")))</f>
        <v>86</v>
      </c>
      <c r="F204" t="str">
        <f t="shared" si="47"/>
        <v>6</v>
      </c>
      <c r="G204" t="str">
        <f t="shared" si="48"/>
        <v>W</v>
      </c>
      <c r="H204" t="str">
        <f t="shared" si="49"/>
        <v>US-6</v>
      </c>
      <c r="J204" t="s">
        <v>561</v>
      </c>
      <c r="K204" t="str">
        <f t="shared" ref="K204:K267" si="51">LEFT(A204,3)</f>
        <v>US8</v>
      </c>
      <c r="L204">
        <v>86</v>
      </c>
      <c r="M204">
        <v>6</v>
      </c>
      <c r="N204" t="s">
        <v>1532</v>
      </c>
      <c r="O204" t="s">
        <v>1607</v>
      </c>
    </row>
    <row r="205" spans="1:15" x14ac:dyDescent="0.3">
      <c r="A205" t="str">
        <f>'Case 3 data'!A204</f>
        <v>Japan327-15W</v>
      </c>
      <c r="B205" t="str">
        <f>'Case 3 data'!B204</f>
        <v>Alisa</v>
      </c>
      <c r="C205" t="str">
        <f>'Case 3 data'!C204</f>
        <v>Corbett</v>
      </c>
      <c r="D205" t="str" cm="1">
        <f t="array" ref="D205">LEFT($A205,MIN(FIND({0;1;2;3;4;5;6;7;8;9},$A205&amp;"0123456789"))-1)</f>
        <v>Japan</v>
      </c>
      <c r="E205" t="str" cm="1">
        <f t="array" ref="E205">MID($A205,MIN(FIND({0;1;2;3;4;5;6;7;8;9},$A205&amp;"0123456789")),FIND("-",$A205)-MIN(FIND({0;1;2;3;4;5;6;7;8;9},$A205&amp;"0123456789")))</f>
        <v>327</v>
      </c>
      <c r="F205" t="str">
        <f t="shared" si="47"/>
        <v>15</v>
      </c>
      <c r="G205" t="str">
        <f t="shared" si="48"/>
        <v>W</v>
      </c>
      <c r="H205" t="str">
        <f t="shared" si="49"/>
        <v>Japan-15</v>
      </c>
      <c r="J205" t="s">
        <v>564</v>
      </c>
      <c r="K205" t="s">
        <v>1522</v>
      </c>
      <c r="L205">
        <v>327</v>
      </c>
      <c r="M205">
        <v>15</v>
      </c>
      <c r="N205" t="s">
        <v>1532</v>
      </c>
      <c r="O205" t="s">
        <v>1608</v>
      </c>
    </row>
    <row r="206" spans="1:15" x14ac:dyDescent="0.3">
      <c r="A206" t="str">
        <f>'Case 3 data'!A205</f>
        <v>ARG323-16Mo</v>
      </c>
      <c r="B206" t="str">
        <f>'Case 3 data'!B205</f>
        <v>Enriqueta</v>
      </c>
      <c r="C206" t="str">
        <f>'Case 3 data'!C205</f>
        <v>Lopes</v>
      </c>
      <c r="D206" t="str" cm="1">
        <f t="array" ref="D206">LEFT($A206,MIN(FIND({0;1;2;3;4;5;6;7;8;9},$A206&amp;"0123456789"))-1)</f>
        <v>ARG</v>
      </c>
      <c r="E206" t="str" cm="1">
        <f t="array" ref="E206">MID($A206,MIN(FIND({0;1;2;3;4;5;6;7;8;9},$A206&amp;"0123456789")),FIND("-",$A206)-MIN(FIND({0;1;2;3;4;5;6;7;8;9},$A206&amp;"0123456789")))</f>
        <v>323</v>
      </c>
      <c r="F206" t="str">
        <f t="shared" si="47"/>
        <v>16</v>
      </c>
      <c r="G206" t="str">
        <f t="shared" si="48"/>
        <v>Mo</v>
      </c>
      <c r="H206" t="str">
        <f t="shared" si="49"/>
        <v>ARG-16</v>
      </c>
      <c r="J206" t="s">
        <v>567</v>
      </c>
      <c r="K206" t="s">
        <v>1523</v>
      </c>
      <c r="L206">
        <v>323</v>
      </c>
      <c r="M206">
        <v>16</v>
      </c>
      <c r="N206" t="s">
        <v>1530</v>
      </c>
      <c r="O206" t="s">
        <v>1570</v>
      </c>
    </row>
    <row r="207" spans="1:15" x14ac:dyDescent="0.3">
      <c r="A207" t="str">
        <f>'Case 3 data'!A206</f>
        <v>GER524-15Mo</v>
      </c>
      <c r="B207" t="str">
        <f>'Case 3 data'!B206</f>
        <v>Kirk</v>
      </c>
      <c r="C207" t="str">
        <f>'Case 3 data'!C206</f>
        <v>Reese</v>
      </c>
      <c r="D207" t="str" cm="1">
        <f t="array" ref="D207">LEFT($A207,MIN(FIND({0;1;2;3;4;5;6;7;8;9},$A207&amp;"0123456789"))-1)</f>
        <v>GER</v>
      </c>
      <c r="E207" t="str" cm="1">
        <f t="array" ref="E207">MID($A207,MIN(FIND({0;1;2;3;4;5;6;7;8;9},$A207&amp;"0123456789")),FIND("-",$A207)-MIN(FIND({0;1;2;3;4;5;6;7;8;9},$A207&amp;"0123456789")))</f>
        <v>524</v>
      </c>
      <c r="F207" t="str">
        <f t="shared" si="47"/>
        <v>15</v>
      </c>
      <c r="G207" t="str">
        <f t="shared" si="48"/>
        <v>Mo</v>
      </c>
      <c r="H207" t="str">
        <f t="shared" si="49"/>
        <v>GER-15</v>
      </c>
      <c r="J207" t="s">
        <v>570</v>
      </c>
      <c r="K207" t="s">
        <v>1523</v>
      </c>
      <c r="L207">
        <v>524</v>
      </c>
      <c r="M207">
        <v>15</v>
      </c>
      <c r="N207" t="s">
        <v>1530</v>
      </c>
      <c r="O207" t="s">
        <v>1558</v>
      </c>
    </row>
    <row r="208" spans="1:15" x14ac:dyDescent="0.3">
      <c r="A208" t="str">
        <f>'Case 3 data'!A207</f>
        <v>MEX394-13Mo</v>
      </c>
      <c r="B208" t="str">
        <f>'Case 3 data'!B207</f>
        <v>Jose</v>
      </c>
      <c r="C208" t="str">
        <f>'Case 3 data'!C207</f>
        <v>Green</v>
      </c>
      <c r="D208" t="str" cm="1">
        <f t="array" ref="D208">LEFT($A208,MIN(FIND({0;1;2;3;4;5;6;7;8;9},$A208&amp;"0123456789"))-1)</f>
        <v>MEX</v>
      </c>
      <c r="E208" t="str" cm="1">
        <f t="array" ref="E208">MID($A208,MIN(FIND({0;1;2;3;4;5;6;7;8;9},$A208&amp;"0123456789")),FIND("-",$A208)-MIN(FIND({0;1;2;3;4;5;6;7;8;9},$A208&amp;"0123456789")))</f>
        <v>394</v>
      </c>
      <c r="F208" t="str">
        <f t="shared" si="47"/>
        <v>13</v>
      </c>
      <c r="G208" t="str">
        <f t="shared" si="48"/>
        <v>Mo</v>
      </c>
      <c r="H208" t="str">
        <f t="shared" si="49"/>
        <v>MEX-13</v>
      </c>
      <c r="J208" t="s">
        <v>573</v>
      </c>
      <c r="K208" t="s">
        <v>1521</v>
      </c>
      <c r="L208">
        <v>394</v>
      </c>
      <c r="M208">
        <v>13</v>
      </c>
      <c r="N208" t="s">
        <v>1530</v>
      </c>
      <c r="O208" t="s">
        <v>1571</v>
      </c>
    </row>
    <row r="209" spans="1:15" x14ac:dyDescent="0.3">
      <c r="A209" t="str">
        <f>'Case 3 data'!A208</f>
        <v>AUS587-4Mo</v>
      </c>
      <c r="B209" t="str">
        <f>'Case 3 data'!B208</f>
        <v>Rex</v>
      </c>
      <c r="C209" t="str">
        <f>'Case 3 data'!C208</f>
        <v>Howard</v>
      </c>
      <c r="D209" t="str" cm="1">
        <f t="array" ref="D209">LEFT($A209,MIN(FIND({0;1;2;3;4;5;6;7;8;9},$A209&amp;"0123456789"))-1)</f>
        <v>AUS</v>
      </c>
      <c r="E209" t="str" cm="1">
        <f t="array" ref="E209">MID($A209,MIN(FIND({0;1;2;3;4;5;6;7;8;9},$A209&amp;"0123456789")),FIND("-",$A209)-MIN(FIND({0;1;2;3;4;5;6;7;8;9},$A209&amp;"0123456789")))</f>
        <v>587</v>
      </c>
      <c r="F209" t="str">
        <f t="shared" si="47"/>
        <v>4</v>
      </c>
      <c r="G209" t="str">
        <f t="shared" si="48"/>
        <v>Mo</v>
      </c>
      <c r="H209" t="str">
        <f t="shared" si="49"/>
        <v>AUS-4</v>
      </c>
      <c r="J209" t="s">
        <v>574</v>
      </c>
      <c r="K209" t="str">
        <f t="shared" ref="K209:K272" si="52">LEFT(A209,3)</f>
        <v>AUS</v>
      </c>
      <c r="L209">
        <v>587</v>
      </c>
      <c r="M209">
        <v>4</v>
      </c>
      <c r="N209" t="s">
        <v>1530</v>
      </c>
      <c r="O209" t="s">
        <v>1573</v>
      </c>
    </row>
    <row r="210" spans="1:15" x14ac:dyDescent="0.3">
      <c r="A210" t="str">
        <f>'Case 3 data'!A209</f>
        <v>Canada76-4M</v>
      </c>
      <c r="B210" t="str">
        <f>'Case 3 data'!B209</f>
        <v>Ronald</v>
      </c>
      <c r="C210" t="str">
        <f>'Case 3 data'!C209</f>
        <v>Cox</v>
      </c>
      <c r="D210" t="str" cm="1">
        <f t="array" ref="D210">LEFT($A210,MIN(FIND({0;1;2;3;4;5;6;7;8;9},$A210&amp;"0123456789"))-1)</f>
        <v>Canada</v>
      </c>
      <c r="E210" t="str" cm="1">
        <f t="array" ref="E210">MID($A210,MIN(FIND({0;1;2;3;4;5;6;7;8;9},$A210&amp;"0123456789")),FIND("-",$A210)-MIN(FIND({0;1;2;3;4;5;6;7;8;9},$A210&amp;"0123456789")))</f>
        <v>76</v>
      </c>
      <c r="F210" t="str">
        <f t="shared" si="47"/>
        <v>4</v>
      </c>
      <c r="G210" t="str">
        <f t="shared" si="48"/>
        <v>M</v>
      </c>
      <c r="H210" t="str">
        <f t="shared" si="49"/>
        <v>Canada-4</v>
      </c>
      <c r="J210" t="s">
        <v>576</v>
      </c>
      <c r="K210" t="s">
        <v>1522</v>
      </c>
      <c r="L210">
        <v>76</v>
      </c>
      <c r="M210">
        <v>4</v>
      </c>
      <c r="N210" t="s">
        <v>1531</v>
      </c>
      <c r="O210" t="s">
        <v>1573</v>
      </c>
    </row>
    <row r="211" spans="1:15" x14ac:dyDescent="0.3">
      <c r="A211" t="str">
        <f>'Case 3 data'!A210</f>
        <v>AUS576-6W</v>
      </c>
      <c r="B211" t="str">
        <f>'Case 3 data'!B210</f>
        <v>Johnny</v>
      </c>
      <c r="C211" t="str">
        <f>'Case 3 data'!C210</f>
        <v>Simmons</v>
      </c>
      <c r="D211" t="str" cm="1">
        <f t="array" ref="D211">LEFT($A211,MIN(FIND({0;1;2;3;4;5;6;7;8;9},$A211&amp;"0123456789"))-1)</f>
        <v>AUS</v>
      </c>
      <c r="E211" t="str" cm="1">
        <f t="array" ref="E211">MID($A211,MIN(FIND({0;1;2;3;4;5;6;7;8;9},$A211&amp;"0123456789")),FIND("-",$A211)-MIN(FIND({0;1;2;3;4;5;6;7;8;9},$A211&amp;"0123456789")))</f>
        <v>576</v>
      </c>
      <c r="F211" t="str">
        <f t="shared" si="47"/>
        <v>6</v>
      </c>
      <c r="G211" t="str">
        <f t="shared" si="48"/>
        <v>W</v>
      </c>
      <c r="H211" t="str">
        <f t="shared" si="49"/>
        <v>AUS-6</v>
      </c>
      <c r="J211" t="s">
        <v>577</v>
      </c>
      <c r="K211" t="s">
        <v>1523</v>
      </c>
      <c r="L211">
        <v>576</v>
      </c>
      <c r="M211">
        <v>6</v>
      </c>
      <c r="N211" t="s">
        <v>1532</v>
      </c>
      <c r="O211" t="s">
        <v>1540</v>
      </c>
    </row>
    <row r="212" spans="1:15" x14ac:dyDescent="0.3">
      <c r="A212" t="str">
        <f>'Case 3 data'!A211</f>
        <v>GER567-17W</v>
      </c>
      <c r="B212" t="str">
        <f>'Case 3 data'!B211</f>
        <v>Alessandra</v>
      </c>
      <c r="C212" t="str">
        <f>'Case 3 data'!C211</f>
        <v>Vogt</v>
      </c>
      <c r="D212" t="str" cm="1">
        <f t="array" ref="D212">LEFT($A212,MIN(FIND({0;1;2;3;4;5;6;7;8;9},$A212&amp;"0123456789"))-1)</f>
        <v>GER</v>
      </c>
      <c r="E212" t="str" cm="1">
        <f t="array" ref="E212">MID($A212,MIN(FIND({0;1;2;3;4;5;6;7;8;9},$A212&amp;"0123456789")),FIND("-",$A212)-MIN(FIND({0;1;2;3;4;5;6;7;8;9},$A212&amp;"0123456789")))</f>
        <v>567</v>
      </c>
      <c r="F212" t="str">
        <f t="shared" si="47"/>
        <v>17</v>
      </c>
      <c r="G212" t="str">
        <f t="shared" si="48"/>
        <v>W</v>
      </c>
      <c r="H212" t="str">
        <f t="shared" si="49"/>
        <v>GER-17</v>
      </c>
      <c r="J212" t="s">
        <v>580</v>
      </c>
      <c r="K212" t="s">
        <v>1523</v>
      </c>
      <c r="L212">
        <v>567</v>
      </c>
      <c r="M212">
        <v>17</v>
      </c>
      <c r="N212" t="s">
        <v>1532</v>
      </c>
      <c r="O212" t="s">
        <v>1572</v>
      </c>
    </row>
    <row r="213" spans="1:15" x14ac:dyDescent="0.3">
      <c r="A213" t="str">
        <f>'Case 3 data'!A212</f>
        <v>ENG593-13W</v>
      </c>
      <c r="B213" t="str">
        <f>'Case 3 data'!B212</f>
        <v>Steven</v>
      </c>
      <c r="C213" t="str">
        <f>'Case 3 data'!C212</f>
        <v>Foster</v>
      </c>
      <c r="D213" t="str" cm="1">
        <f t="array" ref="D213">LEFT($A213,MIN(FIND({0;1;2;3;4;5;6;7;8;9},$A213&amp;"0123456789"))-1)</f>
        <v>ENG</v>
      </c>
      <c r="E213" t="str" cm="1">
        <f t="array" ref="E213">MID($A213,MIN(FIND({0;1;2;3;4;5;6;7;8;9},$A213&amp;"0123456789")),FIND("-",$A213)-MIN(FIND({0;1;2;3;4;5;6;7;8;9},$A213&amp;"0123456789")))</f>
        <v>593</v>
      </c>
      <c r="F213" t="str">
        <f t="shared" si="47"/>
        <v>13</v>
      </c>
      <c r="G213" t="str">
        <f t="shared" si="48"/>
        <v>W</v>
      </c>
      <c r="H213" t="str">
        <f t="shared" si="49"/>
        <v>ENG-13</v>
      </c>
      <c r="J213" t="s">
        <v>583</v>
      </c>
      <c r="K213" t="s">
        <v>1521</v>
      </c>
      <c r="L213">
        <v>593</v>
      </c>
      <c r="M213">
        <v>13</v>
      </c>
      <c r="N213" t="s">
        <v>1532</v>
      </c>
      <c r="O213" t="s">
        <v>1571</v>
      </c>
    </row>
    <row r="214" spans="1:15" x14ac:dyDescent="0.3">
      <c r="A214" t="str">
        <f>'Case 3 data'!A213</f>
        <v>GER368-9W</v>
      </c>
      <c r="B214" t="str">
        <f>'Case 3 data'!B213</f>
        <v>Stephaine</v>
      </c>
      <c r="C214" t="str">
        <f>'Case 3 data'!C213</f>
        <v>Pacheco</v>
      </c>
      <c r="D214" t="str" cm="1">
        <f t="array" ref="D214">LEFT($A214,MIN(FIND({0;1;2;3;4;5;6;7;8;9},$A214&amp;"0123456789"))-1)</f>
        <v>GER</v>
      </c>
      <c r="E214" t="str" cm="1">
        <f t="array" ref="E214">MID($A214,MIN(FIND({0;1;2;3;4;5;6;7;8;9},$A214&amp;"0123456789")),FIND("-",$A214)-MIN(FIND({0;1;2;3;4;5;6;7;8;9},$A214&amp;"0123456789")))</f>
        <v>368</v>
      </c>
      <c r="F214" t="str">
        <f t="shared" si="47"/>
        <v>9</v>
      </c>
      <c r="G214" t="str">
        <f t="shared" si="48"/>
        <v>W</v>
      </c>
      <c r="H214" t="str">
        <f t="shared" si="49"/>
        <v>GER-9</v>
      </c>
      <c r="J214" t="s">
        <v>585</v>
      </c>
      <c r="K214" t="str">
        <f t="shared" ref="K214:K277" si="53">LEFT(A214,3)</f>
        <v>GER</v>
      </c>
      <c r="L214">
        <v>368</v>
      </c>
      <c r="M214">
        <v>9</v>
      </c>
      <c r="N214" t="s">
        <v>1532</v>
      </c>
      <c r="O214" t="s">
        <v>1544</v>
      </c>
    </row>
    <row r="215" spans="1:15" x14ac:dyDescent="0.3">
      <c r="A215" t="str">
        <f>'Case 3 data'!A214</f>
        <v>US112-14M</v>
      </c>
      <c r="B215" t="str">
        <f>'Case 3 data'!B214</f>
        <v>Lory</v>
      </c>
      <c r="C215" t="str">
        <f>'Case 3 data'!C214</f>
        <v>Herrmann</v>
      </c>
      <c r="D215" t="str" cm="1">
        <f t="array" ref="D215">LEFT($A215,MIN(FIND({0;1;2;3;4;5;6;7;8;9},$A215&amp;"0123456789"))-1)</f>
        <v>US</v>
      </c>
      <c r="E215" t="str" cm="1">
        <f t="array" ref="E215">MID($A215,MIN(FIND({0;1;2;3;4;5;6;7;8;9},$A215&amp;"0123456789")),FIND("-",$A215)-MIN(FIND({0;1;2;3;4;5;6;7;8;9},$A215&amp;"0123456789")))</f>
        <v>112</v>
      </c>
      <c r="F215" t="str">
        <f t="shared" si="47"/>
        <v>14</v>
      </c>
      <c r="G215" t="str">
        <f t="shared" si="48"/>
        <v>M</v>
      </c>
      <c r="H215" t="str">
        <f t="shared" si="49"/>
        <v>US-14</v>
      </c>
      <c r="J215" t="s">
        <v>588</v>
      </c>
      <c r="K215" t="s">
        <v>1522</v>
      </c>
      <c r="L215">
        <v>112</v>
      </c>
      <c r="M215">
        <v>14</v>
      </c>
      <c r="N215" t="s">
        <v>1531</v>
      </c>
      <c r="O215" t="s">
        <v>1600</v>
      </c>
    </row>
    <row r="216" spans="1:15" x14ac:dyDescent="0.3">
      <c r="A216" t="str">
        <f>'Case 3 data'!A215</f>
        <v>Canada108-3Mo</v>
      </c>
      <c r="B216" t="str">
        <f>'Case 3 data'!B215</f>
        <v>Simonne</v>
      </c>
      <c r="C216" t="str">
        <f>'Case 3 data'!C215</f>
        <v>Kemp</v>
      </c>
      <c r="D216" t="str" cm="1">
        <f t="array" ref="D216">LEFT($A216,MIN(FIND({0;1;2;3;4;5;6;7;8;9},$A216&amp;"0123456789"))-1)</f>
        <v>Canada</v>
      </c>
      <c r="E216" t="str" cm="1">
        <f t="array" ref="E216">MID($A216,MIN(FIND({0;1;2;3;4;5;6;7;8;9},$A216&amp;"0123456789")),FIND("-",$A216)-MIN(FIND({0;1;2;3;4;5;6;7;8;9},$A216&amp;"0123456789")))</f>
        <v>108</v>
      </c>
      <c r="F216" t="str">
        <f t="shared" si="47"/>
        <v>3</v>
      </c>
      <c r="G216" t="str">
        <f t="shared" si="48"/>
        <v>Mo</v>
      </c>
      <c r="H216" t="str">
        <f t="shared" si="49"/>
        <v>Canada-3</v>
      </c>
      <c r="J216" t="s">
        <v>591</v>
      </c>
      <c r="K216" t="s">
        <v>1523</v>
      </c>
      <c r="L216">
        <v>108</v>
      </c>
      <c r="M216">
        <v>3</v>
      </c>
      <c r="N216" t="s">
        <v>1530</v>
      </c>
      <c r="O216" t="s">
        <v>1552</v>
      </c>
    </row>
    <row r="217" spans="1:15" x14ac:dyDescent="0.3">
      <c r="A217" t="str">
        <f>'Case 3 data'!A216</f>
        <v>ARG48-14W</v>
      </c>
      <c r="B217" t="str">
        <f>'Case 3 data'!B216</f>
        <v>Mui</v>
      </c>
      <c r="C217" t="str">
        <f>'Case 3 data'!C216</f>
        <v>Mcewen</v>
      </c>
      <c r="D217" t="str" cm="1">
        <f t="array" ref="D217">LEFT($A217,MIN(FIND({0;1;2;3;4;5;6;7;8;9},$A217&amp;"0123456789"))-1)</f>
        <v>ARG</v>
      </c>
      <c r="E217" t="str" cm="1">
        <f t="array" ref="E217">MID($A217,MIN(FIND({0;1;2;3;4;5;6;7;8;9},$A217&amp;"0123456789")),FIND("-",$A217)-MIN(FIND({0;1;2;3;4;5;6;7;8;9},$A217&amp;"0123456789")))</f>
        <v>48</v>
      </c>
      <c r="F217" t="str">
        <f t="shared" si="47"/>
        <v>14</v>
      </c>
      <c r="G217" t="str">
        <f t="shared" si="48"/>
        <v>W</v>
      </c>
      <c r="H217" t="str">
        <f t="shared" si="49"/>
        <v>ARG-14</v>
      </c>
      <c r="J217" t="s">
        <v>594</v>
      </c>
      <c r="K217" t="s">
        <v>1523</v>
      </c>
      <c r="L217">
        <v>48</v>
      </c>
      <c r="M217">
        <v>14</v>
      </c>
      <c r="N217" t="s">
        <v>1532</v>
      </c>
      <c r="O217" t="s">
        <v>1560</v>
      </c>
    </row>
    <row r="218" spans="1:15" x14ac:dyDescent="0.3">
      <c r="A218" t="str">
        <f>'Case 3 data'!A217</f>
        <v>GER254-15W</v>
      </c>
      <c r="B218" t="str">
        <f>'Case 3 data'!B217</f>
        <v>Bobby</v>
      </c>
      <c r="C218" t="str">
        <f>'Case 3 data'!C217</f>
        <v>Stephens</v>
      </c>
      <c r="D218" t="str" cm="1">
        <f t="array" ref="D218">LEFT($A218,MIN(FIND({0;1;2;3;4;5;6;7;8;9},$A218&amp;"0123456789"))-1)</f>
        <v>GER</v>
      </c>
      <c r="E218" t="str" cm="1">
        <f t="array" ref="E218">MID($A218,MIN(FIND({0;1;2;3;4;5;6;7;8;9},$A218&amp;"0123456789")),FIND("-",$A218)-MIN(FIND({0;1;2;3;4;5;6;7;8;9},$A218&amp;"0123456789")))</f>
        <v>254</v>
      </c>
      <c r="F218" t="str">
        <f t="shared" si="47"/>
        <v>15</v>
      </c>
      <c r="G218" t="str">
        <f t="shared" si="48"/>
        <v>W</v>
      </c>
      <c r="H218" t="str">
        <f t="shared" si="49"/>
        <v>GER-15</v>
      </c>
      <c r="J218" t="s">
        <v>597</v>
      </c>
      <c r="K218" t="s">
        <v>1521</v>
      </c>
      <c r="L218">
        <v>254</v>
      </c>
      <c r="M218">
        <v>15</v>
      </c>
      <c r="N218" t="s">
        <v>1532</v>
      </c>
      <c r="O218" t="s">
        <v>1568</v>
      </c>
    </row>
    <row r="219" spans="1:15" x14ac:dyDescent="0.3">
      <c r="A219" t="str">
        <f>'Case 3 data'!A218</f>
        <v>GER504-12W</v>
      </c>
      <c r="B219" t="str">
        <f>'Case 3 data'!B218</f>
        <v>Madalene</v>
      </c>
      <c r="C219" t="str">
        <f>'Case 3 data'!C218</f>
        <v>Moreland</v>
      </c>
      <c r="D219" t="str" cm="1">
        <f t="array" ref="D219">LEFT($A219,MIN(FIND({0;1;2;3;4;5;6;7;8;9},$A219&amp;"0123456789"))-1)</f>
        <v>GER</v>
      </c>
      <c r="E219" t="str" cm="1">
        <f t="array" ref="E219">MID($A219,MIN(FIND({0;1;2;3;4;5;6;7;8;9},$A219&amp;"0123456789")),FIND("-",$A219)-MIN(FIND({0;1;2;3;4;5;6;7;8;9},$A219&amp;"0123456789")))</f>
        <v>504</v>
      </c>
      <c r="F219" t="str">
        <f t="shared" si="47"/>
        <v>12</v>
      </c>
      <c r="G219" t="str">
        <f t="shared" si="48"/>
        <v>W</v>
      </c>
      <c r="H219" t="str">
        <f t="shared" si="49"/>
        <v>GER-12</v>
      </c>
      <c r="J219" t="s">
        <v>600</v>
      </c>
      <c r="K219" t="str">
        <f t="shared" ref="K219:K282" si="54">LEFT(A219,3)</f>
        <v>GER</v>
      </c>
      <c r="L219">
        <v>504</v>
      </c>
      <c r="M219">
        <v>12</v>
      </c>
      <c r="N219" t="s">
        <v>1532</v>
      </c>
      <c r="O219" t="s">
        <v>1567</v>
      </c>
    </row>
    <row r="220" spans="1:15" x14ac:dyDescent="0.3">
      <c r="A220" t="str">
        <f>'Case 3 data'!A219</f>
        <v>ENG137-6W</v>
      </c>
      <c r="B220" t="str">
        <f>'Case 3 data'!B219</f>
        <v>Heidi</v>
      </c>
      <c r="C220" t="str">
        <f>'Case 3 data'!C219</f>
        <v>Collins</v>
      </c>
      <c r="D220" t="str" cm="1">
        <f t="array" ref="D220">LEFT($A220,MIN(FIND({0;1;2;3;4;5;6;7;8;9},$A220&amp;"0123456789"))-1)</f>
        <v>ENG</v>
      </c>
      <c r="E220" t="str" cm="1">
        <f t="array" ref="E220">MID($A220,MIN(FIND({0;1;2;3;4;5;6;7;8;9},$A220&amp;"0123456789")),FIND("-",$A220)-MIN(FIND({0;1;2;3;4;5;6;7;8;9},$A220&amp;"0123456789")))</f>
        <v>137</v>
      </c>
      <c r="F220" t="str">
        <f t="shared" si="47"/>
        <v>6</v>
      </c>
      <c r="G220" t="str">
        <f t="shared" si="48"/>
        <v>W</v>
      </c>
      <c r="H220" t="str">
        <f t="shared" si="49"/>
        <v>ENG-6</v>
      </c>
      <c r="J220" t="s">
        <v>603</v>
      </c>
      <c r="K220" t="s">
        <v>1522</v>
      </c>
      <c r="L220">
        <v>137</v>
      </c>
      <c r="M220">
        <v>6</v>
      </c>
      <c r="N220" t="s">
        <v>1532</v>
      </c>
      <c r="O220" t="s">
        <v>1609</v>
      </c>
    </row>
    <row r="221" spans="1:15" x14ac:dyDescent="0.3">
      <c r="A221" t="str">
        <f>'Case 3 data'!A220</f>
        <v>GER55-1W</v>
      </c>
      <c r="B221" t="str">
        <f>'Case 3 data'!B220</f>
        <v>Inez</v>
      </c>
      <c r="C221" t="str">
        <f>'Case 3 data'!C220</f>
        <v>Mcbride</v>
      </c>
      <c r="D221" t="str" cm="1">
        <f t="array" ref="D221">LEFT($A221,MIN(FIND({0;1;2;3;4;5;6;7;8;9},$A221&amp;"0123456789"))-1)</f>
        <v>GER</v>
      </c>
      <c r="E221" t="str" cm="1">
        <f t="array" ref="E221">MID($A221,MIN(FIND({0;1;2;3;4;5;6;7;8;9},$A221&amp;"0123456789")),FIND("-",$A221)-MIN(FIND({0;1;2;3;4;5;6;7;8;9},$A221&amp;"0123456789")))</f>
        <v>55</v>
      </c>
      <c r="F221" t="str">
        <f t="shared" si="47"/>
        <v>1</v>
      </c>
      <c r="G221" t="str">
        <f t="shared" si="48"/>
        <v>W</v>
      </c>
      <c r="H221" t="str">
        <f t="shared" si="49"/>
        <v>GER-1</v>
      </c>
      <c r="J221" t="s">
        <v>605</v>
      </c>
      <c r="K221" t="s">
        <v>1523</v>
      </c>
      <c r="L221">
        <v>55</v>
      </c>
      <c r="M221">
        <v>1</v>
      </c>
      <c r="N221" t="s">
        <v>1532</v>
      </c>
      <c r="O221" t="s">
        <v>1536</v>
      </c>
    </row>
    <row r="222" spans="1:15" x14ac:dyDescent="0.3">
      <c r="A222" t="str">
        <f>'Case 3 data'!A221</f>
        <v>GER396-10W</v>
      </c>
      <c r="B222" t="str">
        <f>'Case 3 data'!B221</f>
        <v>Ed</v>
      </c>
      <c r="C222" t="str">
        <f>'Case 3 data'!C221</f>
        <v>Rowe</v>
      </c>
      <c r="D222" t="str" cm="1">
        <f t="array" ref="D222">LEFT($A222,MIN(FIND({0;1;2;3;4;5;6;7;8;9},$A222&amp;"0123456789"))-1)</f>
        <v>GER</v>
      </c>
      <c r="E222" t="str" cm="1">
        <f t="array" ref="E222">MID($A222,MIN(FIND({0;1;2;3;4;5;6;7;8;9},$A222&amp;"0123456789")),FIND("-",$A222)-MIN(FIND({0;1;2;3;4;5;6;7;8;9},$A222&amp;"0123456789")))</f>
        <v>396</v>
      </c>
      <c r="F222" t="str">
        <f t="shared" si="47"/>
        <v>10</v>
      </c>
      <c r="G222" t="str">
        <f t="shared" si="48"/>
        <v>W</v>
      </c>
      <c r="H222" t="str">
        <f t="shared" si="49"/>
        <v>GER-10</v>
      </c>
      <c r="J222" t="s">
        <v>608</v>
      </c>
      <c r="K222" t="s">
        <v>1523</v>
      </c>
      <c r="L222">
        <v>396</v>
      </c>
      <c r="M222">
        <v>10</v>
      </c>
      <c r="N222" t="s">
        <v>1532</v>
      </c>
      <c r="O222" t="s">
        <v>1545</v>
      </c>
    </row>
    <row r="223" spans="1:15" x14ac:dyDescent="0.3">
      <c r="A223" t="str">
        <f>'Case 3 data'!A222</f>
        <v>GER514-9Mo</v>
      </c>
      <c r="B223" t="str">
        <f>'Case 3 data'!B222</f>
        <v>Yvonne</v>
      </c>
      <c r="C223" t="str">
        <f>'Case 3 data'!C222</f>
        <v>Nelson</v>
      </c>
      <c r="D223" t="str" cm="1">
        <f t="array" ref="D223">LEFT($A223,MIN(FIND({0;1;2;3;4;5;6;7;8;9},$A223&amp;"0123456789"))-1)</f>
        <v>GER</v>
      </c>
      <c r="E223" t="str" cm="1">
        <f t="array" ref="E223">MID($A223,MIN(FIND({0;1;2;3;4;5;6;7;8;9},$A223&amp;"0123456789")),FIND("-",$A223)-MIN(FIND({0;1;2;3;4;5;6;7;8;9},$A223&amp;"0123456789")))</f>
        <v>514</v>
      </c>
      <c r="F223" t="str">
        <f t="shared" si="47"/>
        <v>9</v>
      </c>
      <c r="G223" t="str">
        <f t="shared" si="48"/>
        <v>Mo</v>
      </c>
      <c r="H223" t="str">
        <f t="shared" si="49"/>
        <v>GER-9</v>
      </c>
      <c r="J223" t="s">
        <v>609</v>
      </c>
      <c r="K223" t="s">
        <v>1521</v>
      </c>
      <c r="L223">
        <v>514</v>
      </c>
      <c r="M223">
        <v>9</v>
      </c>
      <c r="N223" t="s">
        <v>1530</v>
      </c>
      <c r="O223" t="s">
        <v>1559</v>
      </c>
    </row>
    <row r="224" spans="1:15" x14ac:dyDescent="0.3">
      <c r="A224" t="str">
        <f>'Case 3 data'!A223</f>
        <v>Canada386-9W</v>
      </c>
      <c r="B224" t="str">
        <f>'Case 3 data'!B223</f>
        <v>Billy</v>
      </c>
      <c r="C224" t="str">
        <f>'Case 3 data'!C223</f>
        <v>Lee</v>
      </c>
      <c r="D224" t="str" cm="1">
        <f t="array" ref="D224">LEFT($A224,MIN(FIND({0;1;2;3;4;5;6;7;8;9},$A224&amp;"0123456789"))-1)</f>
        <v>Canada</v>
      </c>
      <c r="E224" t="str" cm="1">
        <f t="array" ref="E224">MID($A224,MIN(FIND({0;1;2;3;4;5;6;7;8;9},$A224&amp;"0123456789")),FIND("-",$A224)-MIN(FIND({0;1;2;3;4;5;6;7;8;9},$A224&amp;"0123456789")))</f>
        <v>386</v>
      </c>
      <c r="F224" t="str">
        <f t="shared" si="47"/>
        <v>9</v>
      </c>
      <c r="G224" t="str">
        <f t="shared" si="48"/>
        <v>W</v>
      </c>
      <c r="H224" t="str">
        <f t="shared" si="49"/>
        <v>Canada-9</v>
      </c>
      <c r="J224" t="s">
        <v>611</v>
      </c>
      <c r="K224" t="str">
        <f t="shared" ref="K224:K287" si="55">LEFT(A224,3)</f>
        <v>Can</v>
      </c>
      <c r="L224">
        <v>386</v>
      </c>
      <c r="M224">
        <v>9</v>
      </c>
      <c r="N224" t="s">
        <v>1532</v>
      </c>
      <c r="O224" t="s">
        <v>1610</v>
      </c>
    </row>
    <row r="225" spans="1:15" x14ac:dyDescent="0.3">
      <c r="A225" t="str">
        <f>'Case 3 data'!A224</f>
        <v>US260-4W</v>
      </c>
      <c r="B225" t="str">
        <f>'Case 3 data'!B224</f>
        <v>Jeffrey</v>
      </c>
      <c r="C225" t="str">
        <f>'Case 3 data'!C224</f>
        <v>Griffin</v>
      </c>
      <c r="D225" t="str" cm="1">
        <f t="array" ref="D225">LEFT($A225,MIN(FIND({0;1;2;3;4;5;6;7;8;9},$A225&amp;"0123456789"))-1)</f>
        <v>US</v>
      </c>
      <c r="E225" t="str" cm="1">
        <f t="array" ref="E225">MID($A225,MIN(FIND({0;1;2;3;4;5;6;7;8;9},$A225&amp;"0123456789")),FIND("-",$A225)-MIN(FIND({0;1;2;3;4;5;6;7;8;9},$A225&amp;"0123456789")))</f>
        <v>260</v>
      </c>
      <c r="F225" t="str">
        <f t="shared" si="47"/>
        <v>4</v>
      </c>
      <c r="G225" t="str">
        <f t="shared" si="48"/>
        <v>W</v>
      </c>
      <c r="H225" t="str">
        <f t="shared" si="49"/>
        <v>US-4</v>
      </c>
      <c r="J225" t="s">
        <v>613</v>
      </c>
      <c r="K225" t="s">
        <v>1522</v>
      </c>
      <c r="L225">
        <v>260</v>
      </c>
      <c r="M225">
        <v>4</v>
      </c>
      <c r="N225" t="s">
        <v>1532</v>
      </c>
      <c r="O225" t="s">
        <v>1573</v>
      </c>
    </row>
    <row r="226" spans="1:15" x14ac:dyDescent="0.3">
      <c r="A226" t="str">
        <f>'Case 3 data'!A225</f>
        <v>Canada284-4Mo</v>
      </c>
      <c r="B226" t="str">
        <f>'Case 3 data'!B225</f>
        <v>Cora</v>
      </c>
      <c r="C226" t="str">
        <f>'Case 3 data'!C225</f>
        <v>Fletcher</v>
      </c>
      <c r="D226" t="str" cm="1">
        <f t="array" ref="D226">LEFT($A226,MIN(FIND({0;1;2;3;4;5;6;7;8;9},$A226&amp;"0123456789"))-1)</f>
        <v>Canada</v>
      </c>
      <c r="E226" t="str" cm="1">
        <f t="array" ref="E226">MID($A226,MIN(FIND({0;1;2;3;4;5;6;7;8;9},$A226&amp;"0123456789")),FIND("-",$A226)-MIN(FIND({0;1;2;3;4;5;6;7;8;9},$A226&amp;"0123456789")))</f>
        <v>284</v>
      </c>
      <c r="F226" t="str">
        <f t="shared" si="47"/>
        <v>4</v>
      </c>
      <c r="G226" t="str">
        <f t="shared" si="48"/>
        <v>Mo</v>
      </c>
      <c r="H226" t="str">
        <f t="shared" si="49"/>
        <v>Canada-4</v>
      </c>
      <c r="J226" t="s">
        <v>615</v>
      </c>
      <c r="K226" t="s">
        <v>1523</v>
      </c>
      <c r="L226">
        <v>284</v>
      </c>
      <c r="M226">
        <v>4</v>
      </c>
      <c r="N226" t="s">
        <v>1530</v>
      </c>
      <c r="O226" t="s">
        <v>1564</v>
      </c>
    </row>
    <row r="227" spans="1:15" x14ac:dyDescent="0.3">
      <c r="A227" t="str">
        <f>'Case 3 data'!A226</f>
        <v>ARG259-11W</v>
      </c>
      <c r="B227" t="str">
        <f>'Case 3 data'!B226</f>
        <v>Sharon</v>
      </c>
      <c r="C227" t="str">
        <f>'Case 3 data'!C226</f>
        <v>Parker</v>
      </c>
      <c r="D227" t="str" cm="1">
        <f t="array" ref="D227">LEFT($A227,MIN(FIND({0;1;2;3;4;5;6;7;8;9},$A227&amp;"0123456789"))-1)</f>
        <v>ARG</v>
      </c>
      <c r="E227" t="str" cm="1">
        <f t="array" ref="E227">MID($A227,MIN(FIND({0;1;2;3;4;5;6;7;8;9},$A227&amp;"0123456789")),FIND("-",$A227)-MIN(FIND({0;1;2;3;4;5;6;7;8;9},$A227&amp;"0123456789")))</f>
        <v>259</v>
      </c>
      <c r="F227" t="str">
        <f t="shared" si="47"/>
        <v>11</v>
      </c>
      <c r="G227" t="str">
        <f t="shared" si="48"/>
        <v>W</v>
      </c>
      <c r="H227" t="str">
        <f t="shared" si="49"/>
        <v>ARG-11</v>
      </c>
      <c r="J227" t="s">
        <v>618</v>
      </c>
      <c r="K227" t="s">
        <v>1523</v>
      </c>
      <c r="L227">
        <v>259</v>
      </c>
      <c r="M227">
        <v>11</v>
      </c>
      <c r="N227" t="s">
        <v>1532</v>
      </c>
      <c r="O227" t="s">
        <v>1580</v>
      </c>
    </row>
    <row r="228" spans="1:15" x14ac:dyDescent="0.3">
      <c r="A228" t="str">
        <f>'Case 3 data'!A227</f>
        <v>US574-4Mo</v>
      </c>
      <c r="B228" t="str">
        <f>'Case 3 data'!B227</f>
        <v>Wanda</v>
      </c>
      <c r="C228" t="str">
        <f>'Case 3 data'!C227</f>
        <v>Wood</v>
      </c>
      <c r="D228" t="str" cm="1">
        <f t="array" ref="D228">LEFT($A228,MIN(FIND({0;1;2;3;4;5;6;7;8;9},$A228&amp;"0123456789"))-1)</f>
        <v>US</v>
      </c>
      <c r="E228" t="str" cm="1">
        <f t="array" ref="E228">MID($A228,MIN(FIND({0;1;2;3;4;5;6;7;8;9},$A228&amp;"0123456789")),FIND("-",$A228)-MIN(FIND({0;1;2;3;4;5;6;7;8;9},$A228&amp;"0123456789")))</f>
        <v>574</v>
      </c>
      <c r="F228" t="str">
        <f t="shared" si="47"/>
        <v>4</v>
      </c>
      <c r="G228" t="str">
        <f t="shared" si="48"/>
        <v>Mo</v>
      </c>
      <c r="H228" t="str">
        <f t="shared" si="49"/>
        <v>US-4</v>
      </c>
      <c r="J228" t="s">
        <v>619</v>
      </c>
      <c r="K228" t="s">
        <v>1521</v>
      </c>
      <c r="L228">
        <v>574</v>
      </c>
      <c r="M228">
        <v>4</v>
      </c>
      <c r="N228" t="s">
        <v>1530</v>
      </c>
      <c r="O228" t="s">
        <v>1537</v>
      </c>
    </row>
    <row r="229" spans="1:15" x14ac:dyDescent="0.3">
      <c r="A229" t="str">
        <f>'Case 3 data'!A228</f>
        <v>Japan424-6W</v>
      </c>
      <c r="B229" t="str">
        <f>'Case 3 data'!B228</f>
        <v>Chantell</v>
      </c>
      <c r="C229" t="str">
        <f>'Case 3 data'!C228</f>
        <v>Forrest</v>
      </c>
      <c r="D229" t="str" cm="1">
        <f t="array" ref="D229">LEFT($A229,MIN(FIND({0;1;2;3;4;5;6;7;8;9},$A229&amp;"0123456789"))-1)</f>
        <v>Japan</v>
      </c>
      <c r="E229" t="str" cm="1">
        <f t="array" ref="E229">MID($A229,MIN(FIND({0;1;2;3;4;5;6;7;8;9},$A229&amp;"0123456789")),FIND("-",$A229)-MIN(FIND({0;1;2;3;4;5;6;7;8;9},$A229&amp;"0123456789")))</f>
        <v>424</v>
      </c>
      <c r="F229" t="str">
        <f t="shared" si="47"/>
        <v>6</v>
      </c>
      <c r="G229" t="str">
        <f t="shared" si="48"/>
        <v>W</v>
      </c>
      <c r="H229" t="str">
        <f t="shared" si="49"/>
        <v>Japan-6</v>
      </c>
      <c r="J229" t="s">
        <v>621</v>
      </c>
      <c r="K229" t="str">
        <f t="shared" ref="K229:K292" si="56">LEFT(A229,3)</f>
        <v>Jap</v>
      </c>
      <c r="L229">
        <v>424</v>
      </c>
      <c r="M229">
        <v>6</v>
      </c>
      <c r="N229" t="s">
        <v>1532</v>
      </c>
      <c r="O229" t="s">
        <v>1611</v>
      </c>
    </row>
    <row r="230" spans="1:15" x14ac:dyDescent="0.3">
      <c r="A230" t="str">
        <f>'Case 3 data'!A229</f>
        <v>US533-7Mo</v>
      </c>
      <c r="B230" t="str">
        <f>'Case 3 data'!B229</f>
        <v>Lavada</v>
      </c>
      <c r="C230" t="str">
        <f>'Case 3 data'!C229</f>
        <v>Satterfield</v>
      </c>
      <c r="D230" t="str" cm="1">
        <f t="array" ref="D230">LEFT($A230,MIN(FIND({0;1;2;3;4;5;6;7;8;9},$A230&amp;"0123456789"))-1)</f>
        <v>US</v>
      </c>
      <c r="E230" t="str" cm="1">
        <f t="array" ref="E230">MID($A230,MIN(FIND({0;1;2;3;4;5;6;7;8;9},$A230&amp;"0123456789")),FIND("-",$A230)-MIN(FIND({0;1;2;3;4;5;6;7;8;9},$A230&amp;"0123456789")))</f>
        <v>533</v>
      </c>
      <c r="F230" t="str">
        <f t="shared" si="47"/>
        <v>7</v>
      </c>
      <c r="G230" t="str">
        <f t="shared" si="48"/>
        <v>Mo</v>
      </c>
      <c r="H230" t="str">
        <f t="shared" si="49"/>
        <v>US-7</v>
      </c>
      <c r="J230" t="s">
        <v>624</v>
      </c>
      <c r="K230" t="s">
        <v>1522</v>
      </c>
      <c r="L230">
        <v>533</v>
      </c>
      <c r="M230">
        <v>7</v>
      </c>
      <c r="N230" t="s">
        <v>1530</v>
      </c>
      <c r="O230" t="s">
        <v>1548</v>
      </c>
    </row>
    <row r="231" spans="1:15" x14ac:dyDescent="0.3">
      <c r="A231" t="str">
        <f>'Case 3 data'!A230</f>
        <v>GER143-5M</v>
      </c>
      <c r="B231" t="str">
        <f>'Case 3 data'!B230</f>
        <v>Christeen</v>
      </c>
      <c r="C231" t="str">
        <f>'Case 3 data'!C230</f>
        <v>Hardwick</v>
      </c>
      <c r="D231" t="str" cm="1">
        <f t="array" ref="D231">LEFT($A231,MIN(FIND({0;1;2;3;4;5;6;7;8;9},$A231&amp;"0123456789"))-1)</f>
        <v>GER</v>
      </c>
      <c r="E231" t="str" cm="1">
        <f t="array" ref="E231">MID($A231,MIN(FIND({0;1;2;3;4;5;6;7;8;9},$A231&amp;"0123456789")),FIND("-",$A231)-MIN(FIND({0;1;2;3;4;5;6;7;8;9},$A231&amp;"0123456789")))</f>
        <v>143</v>
      </c>
      <c r="F231" t="str">
        <f t="shared" si="47"/>
        <v>5</v>
      </c>
      <c r="G231" t="str">
        <f t="shared" si="48"/>
        <v>M</v>
      </c>
      <c r="H231" t="str">
        <f t="shared" si="49"/>
        <v>GER-5</v>
      </c>
      <c r="J231" t="s">
        <v>627</v>
      </c>
      <c r="K231" t="s">
        <v>1523</v>
      </c>
      <c r="L231">
        <v>143</v>
      </c>
      <c r="M231">
        <v>5</v>
      </c>
      <c r="N231" t="s">
        <v>1531</v>
      </c>
      <c r="O231" t="s">
        <v>1577</v>
      </c>
    </row>
    <row r="232" spans="1:15" x14ac:dyDescent="0.3">
      <c r="A232" t="str">
        <f>'Case 3 data'!A231</f>
        <v>Canada466-1M</v>
      </c>
      <c r="B232" t="str">
        <f>'Case 3 data'!B231</f>
        <v>Dorla</v>
      </c>
      <c r="C232" t="str">
        <f>'Case 3 data'!C231</f>
        <v>Dupuis</v>
      </c>
      <c r="D232" t="str" cm="1">
        <f t="array" ref="D232">LEFT($A232,MIN(FIND({0;1;2;3;4;5;6;7;8;9},$A232&amp;"0123456789"))-1)</f>
        <v>Canada</v>
      </c>
      <c r="E232" t="str" cm="1">
        <f t="array" ref="E232">MID($A232,MIN(FIND({0;1;2;3;4;5;6;7;8;9},$A232&amp;"0123456789")),FIND("-",$A232)-MIN(FIND({0;1;2;3;4;5;6;7;8;9},$A232&amp;"0123456789")))</f>
        <v>466</v>
      </c>
      <c r="F232" t="str">
        <f t="shared" si="47"/>
        <v>1</v>
      </c>
      <c r="G232" t="str">
        <f t="shared" si="48"/>
        <v>M</v>
      </c>
      <c r="H232" t="str">
        <f t="shared" si="49"/>
        <v>Canada-1</v>
      </c>
      <c r="J232" t="s">
        <v>630</v>
      </c>
      <c r="K232" t="s">
        <v>1523</v>
      </c>
      <c r="L232">
        <v>466</v>
      </c>
      <c r="M232">
        <v>1</v>
      </c>
      <c r="N232" t="s">
        <v>1531</v>
      </c>
      <c r="O232" t="s">
        <v>1536</v>
      </c>
    </row>
    <row r="233" spans="1:15" x14ac:dyDescent="0.3">
      <c r="A233" t="str">
        <f>'Case 3 data'!A232</f>
        <v>MEX590-8M</v>
      </c>
      <c r="B233" t="str">
        <f>'Case 3 data'!B232</f>
        <v>Lisabeth</v>
      </c>
      <c r="C233" t="str">
        <f>'Case 3 data'!C232</f>
        <v>Everett</v>
      </c>
      <c r="D233" t="str" cm="1">
        <f t="array" ref="D233">LEFT($A233,MIN(FIND({0;1;2;3;4;5;6;7;8;9},$A233&amp;"0123456789"))-1)</f>
        <v>MEX</v>
      </c>
      <c r="E233" t="str" cm="1">
        <f t="array" ref="E233">MID($A233,MIN(FIND({0;1;2;3;4;5;6;7;8;9},$A233&amp;"0123456789")),FIND("-",$A233)-MIN(FIND({0;1;2;3;4;5;6;7;8;9},$A233&amp;"0123456789")))</f>
        <v>590</v>
      </c>
      <c r="F233" t="str">
        <f t="shared" si="47"/>
        <v>8</v>
      </c>
      <c r="G233" t="str">
        <f t="shared" si="48"/>
        <v>M</v>
      </c>
      <c r="H233" t="str">
        <f t="shared" si="49"/>
        <v>MEX-8</v>
      </c>
      <c r="J233" t="s">
        <v>633</v>
      </c>
      <c r="K233" t="s">
        <v>1521</v>
      </c>
      <c r="L233">
        <v>590</v>
      </c>
      <c r="M233">
        <v>8</v>
      </c>
      <c r="N233" t="s">
        <v>1531</v>
      </c>
      <c r="O233" t="s">
        <v>1612</v>
      </c>
    </row>
    <row r="234" spans="1:15" x14ac:dyDescent="0.3">
      <c r="A234" t="str">
        <f>'Case 3 data'!A233</f>
        <v>Japan237-9M</v>
      </c>
      <c r="B234" t="str">
        <f>'Case 3 data'!B233</f>
        <v>Patience</v>
      </c>
      <c r="C234" t="str">
        <f>'Case 3 data'!C233</f>
        <v>Lindsay</v>
      </c>
      <c r="D234" t="str" cm="1">
        <f t="array" ref="D234">LEFT($A234,MIN(FIND({0;1;2;3;4;5;6;7;8;9},$A234&amp;"0123456789"))-1)</f>
        <v>Japan</v>
      </c>
      <c r="E234" t="str" cm="1">
        <f t="array" ref="E234">MID($A234,MIN(FIND({0;1;2;3;4;5;6;7;8;9},$A234&amp;"0123456789")),FIND("-",$A234)-MIN(FIND({0;1;2;3;4;5;6;7;8;9},$A234&amp;"0123456789")))</f>
        <v>237</v>
      </c>
      <c r="F234" t="str">
        <f t="shared" si="47"/>
        <v>9</v>
      </c>
      <c r="G234" t="str">
        <f t="shared" si="48"/>
        <v>M</v>
      </c>
      <c r="H234" t="str">
        <f t="shared" si="49"/>
        <v>Japan-9</v>
      </c>
      <c r="J234" t="s">
        <v>636</v>
      </c>
      <c r="K234" t="str">
        <f t="shared" ref="K234:K297" si="57">LEFT(A234,3)</f>
        <v>Jap</v>
      </c>
      <c r="L234">
        <v>237</v>
      </c>
      <c r="M234">
        <v>9</v>
      </c>
      <c r="N234" t="s">
        <v>1531</v>
      </c>
      <c r="O234" t="s">
        <v>1613</v>
      </c>
    </row>
    <row r="235" spans="1:15" x14ac:dyDescent="0.3">
      <c r="A235" t="str">
        <f>'Case 3 data'!A234</f>
        <v>Japan182-3Mo</v>
      </c>
      <c r="B235" t="str">
        <f>'Case 3 data'!B234</f>
        <v>Jennette</v>
      </c>
      <c r="C235" t="str">
        <f>'Case 3 data'!C234</f>
        <v>Mcnamara</v>
      </c>
      <c r="D235" t="str" cm="1">
        <f t="array" ref="D235">LEFT($A235,MIN(FIND({0;1;2;3;4;5;6;7;8;9},$A235&amp;"0123456789"))-1)</f>
        <v>Japan</v>
      </c>
      <c r="E235" t="str" cm="1">
        <f t="array" ref="E235">MID($A235,MIN(FIND({0;1;2;3;4;5;6;7;8;9},$A235&amp;"0123456789")),FIND("-",$A235)-MIN(FIND({0;1;2;3;4;5;6;7;8;9},$A235&amp;"0123456789")))</f>
        <v>182</v>
      </c>
      <c r="F235" t="str">
        <f t="shared" si="47"/>
        <v>3</v>
      </c>
      <c r="G235" t="str">
        <f t="shared" si="48"/>
        <v>Mo</v>
      </c>
      <c r="H235" t="str">
        <f t="shared" si="49"/>
        <v>Japan-3</v>
      </c>
      <c r="J235" t="s">
        <v>639</v>
      </c>
      <c r="K235" t="s">
        <v>1522</v>
      </c>
      <c r="L235">
        <v>182</v>
      </c>
      <c r="M235">
        <v>3</v>
      </c>
      <c r="N235" t="s">
        <v>1530</v>
      </c>
      <c r="O235" t="s">
        <v>1576</v>
      </c>
    </row>
    <row r="236" spans="1:15" x14ac:dyDescent="0.3">
      <c r="A236" t="str">
        <f>'Case 3 data'!A235</f>
        <v>Japan454-5Mo</v>
      </c>
      <c r="B236" t="str">
        <f>'Case 3 data'!B235</f>
        <v>Tanya</v>
      </c>
      <c r="C236" t="str">
        <f>'Case 3 data'!C235</f>
        <v>Cummings</v>
      </c>
      <c r="D236" t="str" cm="1">
        <f t="array" ref="D236">LEFT($A236,MIN(FIND({0;1;2;3;4;5;6;7;8;9},$A236&amp;"0123456789"))-1)</f>
        <v>Japan</v>
      </c>
      <c r="E236" t="str" cm="1">
        <f t="array" ref="E236">MID($A236,MIN(FIND({0;1;2;3;4;5;6;7;8;9},$A236&amp;"0123456789")),FIND("-",$A236)-MIN(FIND({0;1;2;3;4;5;6;7;8;9},$A236&amp;"0123456789")))</f>
        <v>454</v>
      </c>
      <c r="F236" t="str">
        <f t="shared" si="47"/>
        <v>5</v>
      </c>
      <c r="G236" t="str">
        <f t="shared" si="48"/>
        <v>Mo</v>
      </c>
      <c r="H236" t="str">
        <f t="shared" si="49"/>
        <v>Japan-5</v>
      </c>
      <c r="J236" t="s">
        <v>642</v>
      </c>
      <c r="K236" t="s">
        <v>1523</v>
      </c>
      <c r="L236">
        <v>454</v>
      </c>
      <c r="M236">
        <v>5</v>
      </c>
      <c r="N236" t="s">
        <v>1530</v>
      </c>
      <c r="O236" t="s">
        <v>1577</v>
      </c>
    </row>
    <row r="237" spans="1:15" x14ac:dyDescent="0.3">
      <c r="A237" t="str">
        <f>'Case 3 data'!A236</f>
        <v>US41-1W</v>
      </c>
      <c r="B237" t="str">
        <f>'Case 3 data'!B236</f>
        <v>Alan</v>
      </c>
      <c r="C237" t="str">
        <f>'Case 3 data'!C236</f>
        <v>Patterson</v>
      </c>
      <c r="D237" t="str" cm="1">
        <f t="array" ref="D237">LEFT($A237,MIN(FIND({0;1;2;3;4;5;6;7;8;9},$A237&amp;"0123456789"))-1)</f>
        <v>US</v>
      </c>
      <c r="E237" t="str" cm="1">
        <f t="array" ref="E237">MID($A237,MIN(FIND({0;1;2;3;4;5;6;7;8;9},$A237&amp;"0123456789")),FIND("-",$A237)-MIN(FIND({0;1;2;3;4;5;6;7;8;9},$A237&amp;"0123456789")))</f>
        <v>41</v>
      </c>
      <c r="F237" t="str">
        <f t="shared" si="47"/>
        <v>1</v>
      </c>
      <c r="G237" t="str">
        <f t="shared" si="48"/>
        <v>W</v>
      </c>
      <c r="H237" t="str">
        <f t="shared" si="49"/>
        <v>US-1</v>
      </c>
      <c r="J237" t="s">
        <v>644</v>
      </c>
      <c r="K237" t="s">
        <v>1523</v>
      </c>
      <c r="L237">
        <v>41</v>
      </c>
      <c r="M237">
        <v>1</v>
      </c>
      <c r="N237" t="s">
        <v>1532</v>
      </c>
      <c r="O237" t="s">
        <v>1536</v>
      </c>
    </row>
    <row r="238" spans="1:15" x14ac:dyDescent="0.3">
      <c r="A238" t="str">
        <f>'Case 3 data'!A237</f>
        <v>Japan211-12Mo</v>
      </c>
      <c r="B238" t="str">
        <f>'Case 3 data'!B237</f>
        <v>Venessa</v>
      </c>
      <c r="C238" t="str">
        <f>'Case 3 data'!C237</f>
        <v>Bean</v>
      </c>
      <c r="D238" t="str" cm="1">
        <f t="array" ref="D238">LEFT($A238,MIN(FIND({0;1;2;3;4;5;6;7;8;9},$A238&amp;"0123456789"))-1)</f>
        <v>Japan</v>
      </c>
      <c r="E238" t="str" cm="1">
        <f t="array" ref="E238">MID($A238,MIN(FIND({0;1;2;3;4;5;6;7;8;9},$A238&amp;"0123456789")),FIND("-",$A238)-MIN(FIND({0;1;2;3;4;5;6;7;8;9},$A238&amp;"0123456789")))</f>
        <v>211</v>
      </c>
      <c r="F238" t="str">
        <f t="shared" si="47"/>
        <v>12</v>
      </c>
      <c r="G238" t="str">
        <f t="shared" si="48"/>
        <v>Mo</v>
      </c>
      <c r="H238" t="str">
        <f t="shared" si="49"/>
        <v>Japan-12</v>
      </c>
      <c r="J238" t="s">
        <v>647</v>
      </c>
      <c r="K238" t="s">
        <v>1521</v>
      </c>
      <c r="L238">
        <v>211</v>
      </c>
      <c r="M238">
        <v>12</v>
      </c>
      <c r="N238" t="s">
        <v>1530</v>
      </c>
      <c r="O238" t="s">
        <v>1614</v>
      </c>
    </row>
    <row r="239" spans="1:15" x14ac:dyDescent="0.3">
      <c r="A239" t="str">
        <f>'Case 3 data'!A238</f>
        <v>US409-7M</v>
      </c>
      <c r="B239" t="str">
        <f>'Case 3 data'!B238</f>
        <v>Jessie</v>
      </c>
      <c r="C239" t="str">
        <f>'Case 3 data'!C238</f>
        <v>Spencer</v>
      </c>
      <c r="D239" t="str" cm="1">
        <f t="array" ref="D239">LEFT($A239,MIN(FIND({0;1;2;3;4;5;6;7;8;9},$A239&amp;"0123456789"))-1)</f>
        <v>US</v>
      </c>
      <c r="E239" t="str" cm="1">
        <f t="array" ref="E239">MID($A239,MIN(FIND({0;1;2;3;4;5;6;7;8;9},$A239&amp;"0123456789")),FIND("-",$A239)-MIN(FIND({0;1;2;3;4;5;6;7;8;9},$A239&amp;"0123456789")))</f>
        <v>409</v>
      </c>
      <c r="F239" t="str">
        <f t="shared" si="47"/>
        <v>7</v>
      </c>
      <c r="G239" t="str">
        <f t="shared" si="48"/>
        <v>M</v>
      </c>
      <c r="H239" t="str">
        <f t="shared" si="49"/>
        <v>US-7</v>
      </c>
      <c r="J239" t="s">
        <v>650</v>
      </c>
      <c r="K239" t="str">
        <f t="shared" ref="K239:K302" si="58">LEFT(A239,3)</f>
        <v>US4</v>
      </c>
      <c r="L239">
        <v>409</v>
      </c>
      <c r="M239">
        <v>7</v>
      </c>
      <c r="N239" t="s">
        <v>1531</v>
      </c>
      <c r="O239" t="s">
        <v>1615</v>
      </c>
    </row>
    <row r="240" spans="1:15" x14ac:dyDescent="0.3">
      <c r="A240" t="str">
        <f>'Case 3 data'!A239</f>
        <v>MEX91-17Mo</v>
      </c>
      <c r="B240" t="str">
        <f>'Case 3 data'!B239</f>
        <v>Sung</v>
      </c>
      <c r="C240" t="str">
        <f>'Case 3 data'!C239</f>
        <v>Pippin</v>
      </c>
      <c r="D240" t="str" cm="1">
        <f t="array" ref="D240">LEFT($A240,MIN(FIND({0;1;2;3;4;5;6;7;8;9},$A240&amp;"0123456789"))-1)</f>
        <v>MEX</v>
      </c>
      <c r="E240" t="str" cm="1">
        <f t="array" ref="E240">MID($A240,MIN(FIND({0;1;2;3;4;5;6;7;8;9},$A240&amp;"0123456789")),FIND("-",$A240)-MIN(FIND({0;1;2;3;4;5;6;7;8;9},$A240&amp;"0123456789")))</f>
        <v>91</v>
      </c>
      <c r="F240" t="str">
        <f t="shared" si="47"/>
        <v>17</v>
      </c>
      <c r="G240" t="str">
        <f t="shared" si="48"/>
        <v>Mo</v>
      </c>
      <c r="H240" t="str">
        <f t="shared" si="49"/>
        <v>MEX-17</v>
      </c>
      <c r="J240" t="s">
        <v>653</v>
      </c>
      <c r="K240" t="s">
        <v>1522</v>
      </c>
      <c r="L240">
        <v>91</v>
      </c>
      <c r="M240">
        <v>17</v>
      </c>
      <c r="N240" t="s">
        <v>1530</v>
      </c>
      <c r="O240" t="s">
        <v>1579</v>
      </c>
    </row>
    <row r="241" spans="1:15" x14ac:dyDescent="0.3">
      <c r="A241" t="str">
        <f>'Case 3 data'!A240</f>
        <v>ENG332-5Mo</v>
      </c>
      <c r="B241" t="str">
        <f>'Case 3 data'!B240</f>
        <v>Scott</v>
      </c>
      <c r="C241" t="str">
        <f>'Case 3 data'!C240</f>
        <v>Phillips</v>
      </c>
      <c r="D241" t="str" cm="1">
        <f t="array" ref="D241">LEFT($A241,MIN(FIND({0;1;2;3;4;5;6;7;8;9},$A241&amp;"0123456789"))-1)</f>
        <v>ENG</v>
      </c>
      <c r="E241" t="str" cm="1">
        <f t="array" ref="E241">MID($A241,MIN(FIND({0;1;2;3;4;5;6;7;8;9},$A241&amp;"0123456789")),FIND("-",$A241)-MIN(FIND({0;1;2;3;4;5;6;7;8;9},$A241&amp;"0123456789")))</f>
        <v>332</v>
      </c>
      <c r="F241" t="str">
        <f t="shared" si="47"/>
        <v>5</v>
      </c>
      <c r="G241" t="str">
        <f t="shared" si="48"/>
        <v>Mo</v>
      </c>
      <c r="H241" t="str">
        <f t="shared" si="49"/>
        <v>ENG-5</v>
      </c>
      <c r="J241" t="s">
        <v>656</v>
      </c>
      <c r="K241" t="s">
        <v>1523</v>
      </c>
      <c r="L241">
        <v>332</v>
      </c>
      <c r="M241">
        <v>5</v>
      </c>
      <c r="N241" t="s">
        <v>1530</v>
      </c>
      <c r="O241" t="s">
        <v>1577</v>
      </c>
    </row>
    <row r="242" spans="1:15" x14ac:dyDescent="0.3">
      <c r="A242" t="str">
        <f>'Case 3 data'!A241</f>
        <v>AUS231-17W</v>
      </c>
      <c r="B242" t="str">
        <f>'Case 3 data'!B241</f>
        <v>Charles</v>
      </c>
      <c r="C242" t="str">
        <f>'Case 3 data'!C241</f>
        <v>Perry</v>
      </c>
      <c r="D242" t="str" cm="1">
        <f t="array" ref="D242">LEFT($A242,MIN(FIND({0;1;2;3;4;5;6;7;8;9},$A242&amp;"0123456789"))-1)</f>
        <v>AUS</v>
      </c>
      <c r="E242" t="str" cm="1">
        <f t="array" ref="E242">MID($A242,MIN(FIND({0;1;2;3;4;5;6;7;8;9},$A242&amp;"0123456789")),FIND("-",$A242)-MIN(FIND({0;1;2;3;4;5;6;7;8;9},$A242&amp;"0123456789")))</f>
        <v>231</v>
      </c>
      <c r="F242" t="str">
        <f t="shared" si="47"/>
        <v>17</v>
      </c>
      <c r="G242" t="str">
        <f t="shared" si="48"/>
        <v>W</v>
      </c>
      <c r="H242" t="str">
        <f t="shared" si="49"/>
        <v>AUS-17</v>
      </c>
      <c r="J242" t="s">
        <v>657</v>
      </c>
      <c r="K242" t="s">
        <v>1523</v>
      </c>
      <c r="L242">
        <v>231</v>
      </c>
      <c r="M242">
        <v>17</v>
      </c>
      <c r="N242" t="s">
        <v>1532</v>
      </c>
      <c r="O242" t="s">
        <v>1572</v>
      </c>
    </row>
    <row r="243" spans="1:15" x14ac:dyDescent="0.3">
      <c r="A243" t="str">
        <f>'Case 3 data'!A242</f>
        <v>MEX555-7W</v>
      </c>
      <c r="B243" t="str">
        <f>'Case 3 data'!B242</f>
        <v>Waldo</v>
      </c>
      <c r="C243" t="str">
        <f>'Case 3 data'!C242</f>
        <v>Dempsey</v>
      </c>
      <c r="D243" t="str" cm="1">
        <f t="array" ref="D243">LEFT($A243,MIN(FIND({0;1;2;3;4;5;6;7;8;9},$A243&amp;"0123456789"))-1)</f>
        <v>MEX</v>
      </c>
      <c r="E243" t="str" cm="1">
        <f t="array" ref="E243">MID($A243,MIN(FIND({0;1;2;3;4;5;6;7;8;9},$A243&amp;"0123456789")),FIND("-",$A243)-MIN(FIND({0;1;2;3;4;5;6;7;8;9},$A243&amp;"0123456789")))</f>
        <v>555</v>
      </c>
      <c r="F243" t="str">
        <f t="shared" si="47"/>
        <v>7</v>
      </c>
      <c r="G243" t="str">
        <f t="shared" si="48"/>
        <v>W</v>
      </c>
      <c r="H243" t="str">
        <f t="shared" si="49"/>
        <v>MEX-7</v>
      </c>
      <c r="J243" t="s">
        <v>659</v>
      </c>
      <c r="K243" t="s">
        <v>1521</v>
      </c>
      <c r="L243">
        <v>555</v>
      </c>
      <c r="M243">
        <v>7</v>
      </c>
      <c r="N243" t="s">
        <v>1532</v>
      </c>
      <c r="O243" t="s">
        <v>1593</v>
      </c>
    </row>
    <row r="244" spans="1:15" x14ac:dyDescent="0.3">
      <c r="A244" t="str">
        <f>'Case 3 data'!A243</f>
        <v>GER63-12W</v>
      </c>
      <c r="B244" t="str">
        <f>'Case 3 data'!B243</f>
        <v>William</v>
      </c>
      <c r="C244" t="str">
        <f>'Case 3 data'!C243</f>
        <v>Wong</v>
      </c>
      <c r="D244" t="str" cm="1">
        <f t="array" ref="D244">LEFT($A244,MIN(FIND({0;1;2;3;4;5;6;7;8;9},$A244&amp;"0123456789"))-1)</f>
        <v>GER</v>
      </c>
      <c r="E244" t="str" cm="1">
        <f t="array" ref="E244">MID($A244,MIN(FIND({0;1;2;3;4;5;6;7;8;9},$A244&amp;"0123456789")),FIND("-",$A244)-MIN(FIND({0;1;2;3;4;5;6;7;8;9},$A244&amp;"0123456789")))</f>
        <v>63</v>
      </c>
      <c r="F244" t="str">
        <f t="shared" si="47"/>
        <v>12</v>
      </c>
      <c r="G244" t="str">
        <f t="shared" si="48"/>
        <v>W</v>
      </c>
      <c r="H244" t="str">
        <f t="shared" si="49"/>
        <v>GER-12</v>
      </c>
      <c r="J244" t="s">
        <v>662</v>
      </c>
      <c r="K244" t="str">
        <f t="shared" ref="K244:K307" si="59">LEFT(A244,3)</f>
        <v>GER</v>
      </c>
      <c r="L244">
        <v>63</v>
      </c>
      <c r="M244">
        <v>12</v>
      </c>
      <c r="N244" t="s">
        <v>1532</v>
      </c>
      <c r="O244" t="s">
        <v>1567</v>
      </c>
    </row>
    <row r="245" spans="1:15" x14ac:dyDescent="0.3">
      <c r="A245" t="str">
        <f>'Case 3 data'!A244</f>
        <v>US198-15Mo</v>
      </c>
      <c r="B245" t="str">
        <f>'Case 3 data'!B244</f>
        <v>George</v>
      </c>
      <c r="C245" t="str">
        <f>'Case 3 data'!C244</f>
        <v>Hughes</v>
      </c>
      <c r="D245" t="str" cm="1">
        <f t="array" ref="D245">LEFT($A245,MIN(FIND({0;1;2;3;4;5;6;7;8;9},$A245&amp;"0123456789"))-1)</f>
        <v>US</v>
      </c>
      <c r="E245" t="str" cm="1">
        <f t="array" ref="E245">MID($A245,MIN(FIND({0;1;2;3;4;5;6;7;8;9},$A245&amp;"0123456789")),FIND("-",$A245)-MIN(FIND({0;1;2;3;4;5;6;7;8;9},$A245&amp;"0123456789")))</f>
        <v>198</v>
      </c>
      <c r="F245" t="str">
        <f t="shared" si="47"/>
        <v>15</v>
      </c>
      <c r="G245" t="str">
        <f t="shared" si="48"/>
        <v>Mo</v>
      </c>
      <c r="H245" t="str">
        <f t="shared" si="49"/>
        <v>US-15</v>
      </c>
      <c r="J245" t="s">
        <v>664</v>
      </c>
      <c r="K245" t="s">
        <v>1522</v>
      </c>
      <c r="L245">
        <v>198</v>
      </c>
      <c r="M245">
        <v>15</v>
      </c>
      <c r="N245" t="s">
        <v>1530</v>
      </c>
      <c r="O245" t="s">
        <v>1608</v>
      </c>
    </row>
    <row r="246" spans="1:15" x14ac:dyDescent="0.3">
      <c r="A246" t="str">
        <f>'Case 3 data'!A245</f>
        <v>US134-2Mo</v>
      </c>
      <c r="B246" t="str">
        <f>'Case 3 data'!B245</f>
        <v>Martin</v>
      </c>
      <c r="C246" t="str">
        <f>'Case 3 data'!C245</f>
        <v>Sanders</v>
      </c>
      <c r="D246" t="str" cm="1">
        <f t="array" ref="D246">LEFT($A246,MIN(FIND({0;1;2;3;4;5;6;7;8;9},$A246&amp;"0123456789"))-1)</f>
        <v>US</v>
      </c>
      <c r="E246" t="str" cm="1">
        <f t="array" ref="E246">MID($A246,MIN(FIND({0;1;2;3;4;5;6;7;8;9},$A246&amp;"0123456789")),FIND("-",$A246)-MIN(FIND({0;1;2;3;4;5;6;7;8;9},$A246&amp;"0123456789")))</f>
        <v>134</v>
      </c>
      <c r="F246" t="str">
        <f t="shared" si="47"/>
        <v>2</v>
      </c>
      <c r="G246" t="str">
        <f t="shared" si="48"/>
        <v>Mo</v>
      </c>
      <c r="H246" t="str">
        <f t="shared" si="49"/>
        <v>US-2</v>
      </c>
      <c r="J246" t="s">
        <v>666</v>
      </c>
      <c r="K246" t="s">
        <v>1523</v>
      </c>
      <c r="L246">
        <v>134</v>
      </c>
      <c r="M246">
        <v>2</v>
      </c>
      <c r="N246" t="s">
        <v>1530</v>
      </c>
      <c r="O246" t="s">
        <v>1535</v>
      </c>
    </row>
    <row r="247" spans="1:15" x14ac:dyDescent="0.3">
      <c r="A247" t="str">
        <f>'Case 3 data'!A246</f>
        <v>MEX138-17Mo</v>
      </c>
      <c r="B247" t="str">
        <f>'Case 3 data'!B246</f>
        <v>Vincent</v>
      </c>
      <c r="C247" t="str">
        <f>'Case 3 data'!C246</f>
        <v>Harris</v>
      </c>
      <c r="D247" t="str" cm="1">
        <f t="array" ref="D247">LEFT($A247,MIN(FIND({0;1;2;3;4;5;6;7;8;9},$A247&amp;"0123456789"))-1)</f>
        <v>MEX</v>
      </c>
      <c r="E247" t="str" cm="1">
        <f t="array" ref="E247">MID($A247,MIN(FIND({0;1;2;3;4;5;6;7;8;9},$A247&amp;"0123456789")),FIND("-",$A247)-MIN(FIND({0;1;2;3;4;5;6;7;8;9},$A247&amp;"0123456789")))</f>
        <v>138</v>
      </c>
      <c r="F247" t="str">
        <f t="shared" si="47"/>
        <v>17</v>
      </c>
      <c r="G247" t="str">
        <f t="shared" si="48"/>
        <v>Mo</v>
      </c>
      <c r="H247" t="str">
        <f t="shared" si="49"/>
        <v>MEX-17</v>
      </c>
      <c r="J247" t="s">
        <v>669</v>
      </c>
      <c r="K247" t="s">
        <v>1523</v>
      </c>
      <c r="L247">
        <v>138</v>
      </c>
      <c r="M247">
        <v>17</v>
      </c>
      <c r="N247" t="s">
        <v>1530</v>
      </c>
      <c r="O247" t="s">
        <v>1572</v>
      </c>
    </row>
    <row r="248" spans="1:15" x14ac:dyDescent="0.3">
      <c r="A248" t="str">
        <f>'Case 3 data'!A247</f>
        <v>US527-9Mo</v>
      </c>
      <c r="B248" t="str">
        <f>'Case 3 data'!B247</f>
        <v>Tawnya</v>
      </c>
      <c r="C248" t="str">
        <f>'Case 3 data'!C247</f>
        <v>Goodrich</v>
      </c>
      <c r="D248" t="str" cm="1">
        <f t="array" ref="D248">LEFT($A248,MIN(FIND({0;1;2;3;4;5;6;7;8;9},$A248&amp;"0123456789"))-1)</f>
        <v>US</v>
      </c>
      <c r="E248" t="str" cm="1">
        <f t="array" ref="E248">MID($A248,MIN(FIND({0;1;2;3;4;5;6;7;8;9},$A248&amp;"0123456789")),FIND("-",$A248)-MIN(FIND({0;1;2;3;4;5;6;7;8;9},$A248&amp;"0123456789")))</f>
        <v>527</v>
      </c>
      <c r="F248" t="str">
        <f t="shared" si="47"/>
        <v>9</v>
      </c>
      <c r="G248" t="str">
        <f t="shared" si="48"/>
        <v>Mo</v>
      </c>
      <c r="H248" t="str">
        <f t="shared" si="49"/>
        <v>US-9</v>
      </c>
      <c r="J248" t="s">
        <v>672</v>
      </c>
      <c r="K248" t="s">
        <v>1521</v>
      </c>
      <c r="L248">
        <v>527</v>
      </c>
      <c r="M248">
        <v>9</v>
      </c>
      <c r="N248" t="s">
        <v>1530</v>
      </c>
      <c r="O248" t="s">
        <v>1559</v>
      </c>
    </row>
    <row r="249" spans="1:15" x14ac:dyDescent="0.3">
      <c r="A249" t="str">
        <f>'Case 3 data'!A248</f>
        <v>MEX22-15Mo</v>
      </c>
      <c r="B249" t="str">
        <f>'Case 3 data'!B248</f>
        <v>Marcella</v>
      </c>
      <c r="C249" t="str">
        <f>'Case 3 data'!C248</f>
        <v>West</v>
      </c>
      <c r="D249" t="str" cm="1">
        <f t="array" ref="D249">LEFT($A249,MIN(FIND({0;1;2;3;4;5;6;7;8;9},$A249&amp;"0123456789"))-1)</f>
        <v>MEX</v>
      </c>
      <c r="E249" t="str" cm="1">
        <f t="array" ref="E249">MID($A249,MIN(FIND({0;1;2;3;4;5;6;7;8;9},$A249&amp;"0123456789")),FIND("-",$A249)-MIN(FIND({0;1;2;3;4;5;6;7;8;9},$A249&amp;"0123456789")))</f>
        <v>22</v>
      </c>
      <c r="F249" t="str">
        <f t="shared" si="47"/>
        <v>15</v>
      </c>
      <c r="G249" t="str">
        <f t="shared" si="48"/>
        <v>Mo</v>
      </c>
      <c r="H249" t="str">
        <f t="shared" si="49"/>
        <v>MEX-15</v>
      </c>
      <c r="J249" t="s">
        <v>675</v>
      </c>
      <c r="K249" t="str">
        <f t="shared" ref="K249:K312" si="60">LEFT(A249,3)</f>
        <v>MEX</v>
      </c>
      <c r="L249">
        <v>22</v>
      </c>
      <c r="M249">
        <v>15</v>
      </c>
      <c r="N249" t="s">
        <v>1530</v>
      </c>
      <c r="O249" t="s">
        <v>1616</v>
      </c>
    </row>
    <row r="250" spans="1:15" x14ac:dyDescent="0.3">
      <c r="A250" t="str">
        <f>'Case 3 data'!A249</f>
        <v>ENG165-5W</v>
      </c>
      <c r="B250" t="str">
        <f>'Case 3 data'!B249</f>
        <v>Brian</v>
      </c>
      <c r="C250" t="str">
        <f>'Case 3 data'!C249</f>
        <v>Cooper</v>
      </c>
      <c r="D250" t="str" cm="1">
        <f t="array" ref="D250">LEFT($A250,MIN(FIND({0;1;2;3;4;5;6;7;8;9},$A250&amp;"0123456789"))-1)</f>
        <v>ENG</v>
      </c>
      <c r="E250" t="str" cm="1">
        <f t="array" ref="E250">MID($A250,MIN(FIND({0;1;2;3;4;5;6;7;8;9},$A250&amp;"0123456789")),FIND("-",$A250)-MIN(FIND({0;1;2;3;4;5;6;7;8;9},$A250&amp;"0123456789")))</f>
        <v>165</v>
      </c>
      <c r="F250" t="str">
        <f t="shared" si="47"/>
        <v>5</v>
      </c>
      <c r="G250" t="str">
        <f t="shared" si="48"/>
        <v>W</v>
      </c>
      <c r="H250" t="str">
        <f t="shared" si="49"/>
        <v>ENG-5</v>
      </c>
      <c r="J250" t="s">
        <v>678</v>
      </c>
      <c r="K250" t="s">
        <v>1522</v>
      </c>
      <c r="L250">
        <v>165</v>
      </c>
      <c r="M250">
        <v>5</v>
      </c>
      <c r="N250" t="s">
        <v>1532</v>
      </c>
      <c r="O250" t="s">
        <v>1539</v>
      </c>
    </row>
    <row r="251" spans="1:15" x14ac:dyDescent="0.3">
      <c r="A251" t="str">
        <f>'Case 3 data'!A250</f>
        <v>AUS545-7W</v>
      </c>
      <c r="B251" t="str">
        <f>'Case 3 data'!B250</f>
        <v>Allen</v>
      </c>
      <c r="C251" t="str">
        <f>'Case 3 data'!C250</f>
        <v>Hicks</v>
      </c>
      <c r="D251" t="str" cm="1">
        <f t="array" ref="D251">LEFT($A251,MIN(FIND({0;1;2;3;4;5;6;7;8;9},$A251&amp;"0123456789"))-1)</f>
        <v>AUS</v>
      </c>
      <c r="E251" t="str" cm="1">
        <f t="array" ref="E251">MID($A251,MIN(FIND({0;1;2;3;4;5;6;7;8;9},$A251&amp;"0123456789")),FIND("-",$A251)-MIN(FIND({0;1;2;3;4;5;6;7;8;9},$A251&amp;"0123456789")))</f>
        <v>545</v>
      </c>
      <c r="F251" t="str">
        <f t="shared" si="47"/>
        <v>7</v>
      </c>
      <c r="G251" t="str">
        <f t="shared" si="48"/>
        <v>W</v>
      </c>
      <c r="H251" t="str">
        <f t="shared" si="49"/>
        <v>AUS-7</v>
      </c>
      <c r="J251" t="s">
        <v>680</v>
      </c>
      <c r="K251" t="s">
        <v>1523</v>
      </c>
      <c r="L251">
        <v>545</v>
      </c>
      <c r="M251">
        <v>7</v>
      </c>
      <c r="N251" t="s">
        <v>1532</v>
      </c>
      <c r="O251" t="s">
        <v>1582</v>
      </c>
    </row>
    <row r="252" spans="1:15" x14ac:dyDescent="0.3">
      <c r="A252" t="str">
        <f>'Case 3 data'!A251</f>
        <v>US306-5M</v>
      </c>
      <c r="B252" t="str">
        <f>'Case 3 data'!B251</f>
        <v>Antonetta</v>
      </c>
      <c r="C252" t="str">
        <f>'Case 3 data'!C251</f>
        <v>Gilchrist</v>
      </c>
      <c r="D252" t="str" cm="1">
        <f t="array" ref="D252">LEFT($A252,MIN(FIND({0;1;2;3;4;5;6;7;8;9},$A252&amp;"0123456789"))-1)</f>
        <v>US</v>
      </c>
      <c r="E252" t="str" cm="1">
        <f t="array" ref="E252">MID($A252,MIN(FIND({0;1;2;3;4;5;6;7;8;9},$A252&amp;"0123456789")),FIND("-",$A252)-MIN(FIND({0;1;2;3;4;5;6;7;8;9},$A252&amp;"0123456789")))</f>
        <v>306</v>
      </c>
      <c r="F252" t="str">
        <f t="shared" si="47"/>
        <v>5</v>
      </c>
      <c r="G252" t="str">
        <f t="shared" si="48"/>
        <v>M</v>
      </c>
      <c r="H252" t="str">
        <f t="shared" si="49"/>
        <v>US-5</v>
      </c>
      <c r="J252" t="s">
        <v>682</v>
      </c>
      <c r="K252" t="s">
        <v>1523</v>
      </c>
      <c r="L252">
        <v>306</v>
      </c>
      <c r="M252">
        <v>5</v>
      </c>
      <c r="N252" t="s">
        <v>1531</v>
      </c>
      <c r="O252" t="s">
        <v>1577</v>
      </c>
    </row>
    <row r="253" spans="1:15" x14ac:dyDescent="0.3">
      <c r="A253" t="str">
        <f>'Case 3 data'!A252</f>
        <v>AUS369-13W</v>
      </c>
      <c r="B253" t="str">
        <f>'Case 3 data'!B252</f>
        <v>Luciana</v>
      </c>
      <c r="C253" t="str">
        <f>'Case 3 data'!C252</f>
        <v>Andrus</v>
      </c>
      <c r="D253" t="str" cm="1">
        <f t="array" ref="D253">LEFT($A253,MIN(FIND({0;1;2;3;4;5;6;7;8;9},$A253&amp;"0123456789"))-1)</f>
        <v>AUS</v>
      </c>
      <c r="E253" t="str" cm="1">
        <f t="array" ref="E253">MID($A253,MIN(FIND({0;1;2;3;4;5;6;7;8;9},$A253&amp;"0123456789")),FIND("-",$A253)-MIN(FIND({0;1;2;3;4;5;6;7;8;9},$A253&amp;"0123456789")))</f>
        <v>369</v>
      </c>
      <c r="F253" t="str">
        <f t="shared" si="47"/>
        <v>13</v>
      </c>
      <c r="G253" t="str">
        <f t="shared" si="48"/>
        <v>W</v>
      </c>
      <c r="H253" t="str">
        <f t="shared" si="49"/>
        <v>AUS-13</v>
      </c>
      <c r="J253" t="s">
        <v>685</v>
      </c>
      <c r="K253" t="s">
        <v>1521</v>
      </c>
      <c r="L253">
        <v>369</v>
      </c>
      <c r="M253">
        <v>13</v>
      </c>
      <c r="N253" t="s">
        <v>1532</v>
      </c>
      <c r="O253" t="s">
        <v>1571</v>
      </c>
    </row>
    <row r="254" spans="1:15" x14ac:dyDescent="0.3">
      <c r="A254" t="str">
        <f>'Case 3 data'!A253</f>
        <v>Canada40-2W</v>
      </c>
      <c r="B254" t="str">
        <f>'Case 3 data'!B253</f>
        <v>Eula</v>
      </c>
      <c r="C254" t="str">
        <f>'Case 3 data'!C253</f>
        <v>Jensen</v>
      </c>
      <c r="D254" t="str" cm="1">
        <f t="array" ref="D254">LEFT($A254,MIN(FIND({0;1;2;3;4;5;6;7;8;9},$A254&amp;"0123456789"))-1)</f>
        <v>Canada</v>
      </c>
      <c r="E254" t="str" cm="1">
        <f t="array" ref="E254">MID($A254,MIN(FIND({0;1;2;3;4;5;6;7;8;9},$A254&amp;"0123456789")),FIND("-",$A254)-MIN(FIND({0;1;2;3;4;5;6;7;8;9},$A254&amp;"0123456789")))</f>
        <v>40</v>
      </c>
      <c r="F254" t="str">
        <f t="shared" si="47"/>
        <v>2</v>
      </c>
      <c r="G254" t="str">
        <f t="shared" si="48"/>
        <v>W</v>
      </c>
      <c r="H254" t="str">
        <f t="shared" si="49"/>
        <v>Canada-2</v>
      </c>
      <c r="J254" t="s">
        <v>688</v>
      </c>
      <c r="K254" t="str">
        <f t="shared" ref="K254:K317" si="61">LEFT(A254,3)</f>
        <v>Can</v>
      </c>
      <c r="L254">
        <v>40</v>
      </c>
      <c r="M254">
        <v>2</v>
      </c>
      <c r="N254" t="s">
        <v>1532</v>
      </c>
      <c r="O254" t="s">
        <v>1617</v>
      </c>
    </row>
    <row r="255" spans="1:15" x14ac:dyDescent="0.3">
      <c r="A255" t="str">
        <f>'Case 3 data'!A254</f>
        <v>GER217-5W</v>
      </c>
      <c r="B255" t="str">
        <f>'Case 3 data'!B254</f>
        <v>Svetlana</v>
      </c>
      <c r="C255" t="str">
        <f>'Case 3 data'!C254</f>
        <v>Manuel</v>
      </c>
      <c r="D255" t="str" cm="1">
        <f t="array" ref="D255">LEFT($A255,MIN(FIND({0;1;2;3;4;5;6;7;8;9},$A255&amp;"0123456789"))-1)</f>
        <v>GER</v>
      </c>
      <c r="E255" t="str" cm="1">
        <f t="array" ref="E255">MID($A255,MIN(FIND({0;1;2;3;4;5;6;7;8;9},$A255&amp;"0123456789")),FIND("-",$A255)-MIN(FIND({0;1;2;3;4;5;6;7;8;9},$A255&amp;"0123456789")))</f>
        <v>217</v>
      </c>
      <c r="F255" t="str">
        <f t="shared" si="47"/>
        <v>5</v>
      </c>
      <c r="G255" t="str">
        <f t="shared" si="48"/>
        <v>W</v>
      </c>
      <c r="H255" t="str">
        <f t="shared" si="49"/>
        <v>GER-5</v>
      </c>
      <c r="J255" t="s">
        <v>691</v>
      </c>
      <c r="K255" t="s">
        <v>1522</v>
      </c>
      <c r="L255">
        <v>217</v>
      </c>
      <c r="M255">
        <v>5</v>
      </c>
      <c r="N255" t="s">
        <v>1532</v>
      </c>
      <c r="O255" t="s">
        <v>1539</v>
      </c>
    </row>
    <row r="256" spans="1:15" x14ac:dyDescent="0.3">
      <c r="A256" t="str">
        <f>'Case 3 data'!A255</f>
        <v>ARG309-3Mo</v>
      </c>
      <c r="B256" t="str">
        <f>'Case 3 data'!B255</f>
        <v>Domenic</v>
      </c>
      <c r="C256" t="str">
        <f>'Case 3 data'!C255</f>
        <v>Wayne</v>
      </c>
      <c r="D256" t="str" cm="1">
        <f t="array" ref="D256">LEFT($A256,MIN(FIND({0;1;2;3;4;5;6;7;8;9},$A256&amp;"0123456789"))-1)</f>
        <v>ARG</v>
      </c>
      <c r="E256" t="str" cm="1">
        <f t="array" ref="E256">MID($A256,MIN(FIND({0;1;2;3;4;5;6;7;8;9},$A256&amp;"0123456789")),FIND("-",$A256)-MIN(FIND({0;1;2;3;4;5;6;7;8;9},$A256&amp;"0123456789")))</f>
        <v>309</v>
      </c>
      <c r="F256" t="str">
        <f t="shared" si="47"/>
        <v>3</v>
      </c>
      <c r="G256" t="str">
        <f t="shared" si="48"/>
        <v>Mo</v>
      </c>
      <c r="H256" t="str">
        <f t="shared" si="49"/>
        <v>ARG-3</v>
      </c>
      <c r="J256" t="s">
        <v>694</v>
      </c>
      <c r="K256" t="s">
        <v>1523</v>
      </c>
      <c r="L256">
        <v>309</v>
      </c>
      <c r="M256">
        <v>3</v>
      </c>
      <c r="N256" t="s">
        <v>1530</v>
      </c>
      <c r="O256" t="s">
        <v>1552</v>
      </c>
    </row>
    <row r="257" spans="1:15" x14ac:dyDescent="0.3">
      <c r="A257" t="str">
        <f>'Case 3 data'!A256</f>
        <v>AUS169-16Mo</v>
      </c>
      <c r="B257" t="str">
        <f>'Case 3 data'!B256</f>
        <v>Teresa</v>
      </c>
      <c r="C257" t="str">
        <f>'Case 3 data'!C256</f>
        <v>Harris</v>
      </c>
      <c r="D257" t="str" cm="1">
        <f t="array" ref="D257">LEFT($A257,MIN(FIND({0;1;2;3;4;5;6;7;8;9},$A257&amp;"0123456789"))-1)</f>
        <v>AUS</v>
      </c>
      <c r="E257" t="str" cm="1">
        <f t="array" ref="E257">MID($A257,MIN(FIND({0;1;2;3;4;5;6;7;8;9},$A257&amp;"0123456789")),FIND("-",$A257)-MIN(FIND({0;1;2;3;4;5;6;7;8;9},$A257&amp;"0123456789")))</f>
        <v>169</v>
      </c>
      <c r="F257" t="str">
        <f t="shared" si="47"/>
        <v>16</v>
      </c>
      <c r="G257" t="str">
        <f t="shared" si="48"/>
        <v>Mo</v>
      </c>
      <c r="H257" t="str">
        <f t="shared" si="49"/>
        <v>AUS-16</v>
      </c>
      <c r="J257" t="s">
        <v>696</v>
      </c>
      <c r="K257" t="s">
        <v>1523</v>
      </c>
      <c r="L257">
        <v>169</v>
      </c>
      <c r="M257">
        <v>16</v>
      </c>
      <c r="N257" t="s">
        <v>1530</v>
      </c>
      <c r="O257" t="s">
        <v>1570</v>
      </c>
    </row>
    <row r="258" spans="1:15" x14ac:dyDescent="0.3">
      <c r="A258" t="str">
        <f>'Case 3 data'!A257</f>
        <v>GER336-2M</v>
      </c>
      <c r="B258" t="str">
        <f>'Case 3 data'!B257</f>
        <v>Jon</v>
      </c>
      <c r="C258" t="str">
        <f>'Case 3 data'!C257</f>
        <v>Rodriguez</v>
      </c>
      <c r="D258" t="str" cm="1">
        <f t="array" ref="D258">LEFT($A258,MIN(FIND({0;1;2;3;4;5;6;7;8;9},$A258&amp;"0123456789"))-1)</f>
        <v>GER</v>
      </c>
      <c r="E258" t="str" cm="1">
        <f t="array" ref="E258">MID($A258,MIN(FIND({0;1;2;3;4;5;6;7;8;9},$A258&amp;"0123456789")),FIND("-",$A258)-MIN(FIND({0;1;2;3;4;5;6;7;8;9},$A258&amp;"0123456789")))</f>
        <v>336</v>
      </c>
      <c r="F258" t="str">
        <f t="shared" si="47"/>
        <v>2</v>
      </c>
      <c r="G258" t="str">
        <f t="shared" si="48"/>
        <v>M</v>
      </c>
      <c r="H258" t="str">
        <f t="shared" si="49"/>
        <v>GER-2</v>
      </c>
      <c r="J258" t="s">
        <v>698</v>
      </c>
      <c r="K258" t="s">
        <v>1521</v>
      </c>
      <c r="L258">
        <v>336</v>
      </c>
      <c r="M258">
        <v>2</v>
      </c>
      <c r="N258" t="s">
        <v>1531</v>
      </c>
      <c r="O258" t="s">
        <v>1541</v>
      </c>
    </row>
    <row r="259" spans="1:15" x14ac:dyDescent="0.3">
      <c r="A259" t="str">
        <f>'Case 3 data'!A258</f>
        <v>AUS324-5M</v>
      </c>
      <c r="B259" t="str">
        <f>'Case 3 data'!B258</f>
        <v>Derick</v>
      </c>
      <c r="C259" t="str">
        <f>'Case 3 data'!C258</f>
        <v>Laird</v>
      </c>
      <c r="D259" t="str" cm="1">
        <f t="array" ref="D259">LEFT($A259,MIN(FIND({0;1;2;3;4;5;6;7;8;9},$A259&amp;"0123456789"))-1)</f>
        <v>AUS</v>
      </c>
      <c r="E259" t="str" cm="1">
        <f t="array" ref="E259">MID($A259,MIN(FIND({0;1;2;3;4;5;6;7;8;9},$A259&amp;"0123456789")),FIND("-",$A259)-MIN(FIND({0;1;2;3;4;5;6;7;8;9},$A259&amp;"0123456789")))</f>
        <v>324</v>
      </c>
      <c r="F259" t="str">
        <f t="shared" si="47"/>
        <v>5</v>
      </c>
      <c r="G259" t="str">
        <f t="shared" si="48"/>
        <v>M</v>
      </c>
      <c r="H259" t="str">
        <f t="shared" si="49"/>
        <v>AUS-5</v>
      </c>
      <c r="J259" t="s">
        <v>700</v>
      </c>
      <c r="K259" t="str">
        <f t="shared" ref="K259:K322" si="62">LEFT(A259,3)</f>
        <v>AUS</v>
      </c>
      <c r="L259">
        <v>324</v>
      </c>
      <c r="M259">
        <v>5</v>
      </c>
      <c r="N259" t="s">
        <v>1531</v>
      </c>
      <c r="O259" t="s">
        <v>1539</v>
      </c>
    </row>
    <row r="260" spans="1:15" x14ac:dyDescent="0.3">
      <c r="A260" t="str">
        <f>'Case 3 data'!A259</f>
        <v>AUS181-14W</v>
      </c>
      <c r="B260" t="str">
        <f>'Case 3 data'!B259</f>
        <v>Ashley</v>
      </c>
      <c r="C260" t="str">
        <f>'Case 3 data'!C259</f>
        <v>Alexander</v>
      </c>
      <c r="D260" t="str" cm="1">
        <f t="array" ref="D260">LEFT($A260,MIN(FIND({0;1;2;3;4;5;6;7;8;9},$A260&amp;"0123456789"))-1)</f>
        <v>AUS</v>
      </c>
      <c r="E260" t="str" cm="1">
        <f t="array" ref="E260">MID($A260,MIN(FIND({0;1;2;3;4;5;6;7;8;9},$A260&amp;"0123456789")),FIND("-",$A260)-MIN(FIND({0;1;2;3;4;5;6;7;8;9},$A260&amp;"0123456789")))</f>
        <v>181</v>
      </c>
      <c r="F260" t="str">
        <f t="shared" ref="F260:F323" si="63">MID($A260,FIND("-",$A260)+1,LEN($A260)-FIND("-",$A260)-LEN($G260))</f>
        <v>14</v>
      </c>
      <c r="G260" t="str">
        <f t="shared" ref="G260:G323" si="64">IF(RIGHT($A260,2)="Mo","Mo",RIGHT($A260,1))</f>
        <v>W</v>
      </c>
      <c r="H260" t="str">
        <f t="shared" ref="H260:H323" si="65">D260&amp;"-"&amp;F260</f>
        <v>AUS-14</v>
      </c>
      <c r="J260" t="s">
        <v>702</v>
      </c>
      <c r="K260" t="s">
        <v>1522</v>
      </c>
      <c r="L260">
        <v>181</v>
      </c>
      <c r="M260">
        <v>14</v>
      </c>
      <c r="N260" t="s">
        <v>1532</v>
      </c>
      <c r="O260" t="s">
        <v>1600</v>
      </c>
    </row>
    <row r="261" spans="1:15" x14ac:dyDescent="0.3">
      <c r="A261" t="str">
        <f>'Case 3 data'!A260</f>
        <v>ENG295-10M</v>
      </c>
      <c r="B261" t="str">
        <f>'Case 3 data'!B260</f>
        <v>Janise</v>
      </c>
      <c r="C261" t="str">
        <f>'Case 3 data'!C260</f>
        <v>Denning</v>
      </c>
      <c r="D261" t="str" cm="1">
        <f t="array" ref="D261">LEFT($A261,MIN(FIND({0;1;2;3;4;5;6;7;8;9},$A261&amp;"0123456789"))-1)</f>
        <v>ENG</v>
      </c>
      <c r="E261" t="str" cm="1">
        <f t="array" ref="E261">MID($A261,MIN(FIND({0;1;2;3;4;5;6;7;8;9},$A261&amp;"0123456789")),FIND("-",$A261)-MIN(FIND({0;1;2;3;4;5;6;7;8;9},$A261&amp;"0123456789")))</f>
        <v>295</v>
      </c>
      <c r="F261" t="str">
        <f t="shared" si="63"/>
        <v>10</v>
      </c>
      <c r="G261" t="str">
        <f t="shared" si="64"/>
        <v>M</v>
      </c>
      <c r="H261" t="str">
        <f t="shared" si="65"/>
        <v>ENG-10</v>
      </c>
      <c r="J261" t="s">
        <v>705</v>
      </c>
      <c r="K261" t="s">
        <v>1523</v>
      </c>
      <c r="L261">
        <v>295</v>
      </c>
      <c r="M261">
        <v>10</v>
      </c>
      <c r="N261" t="s">
        <v>1531</v>
      </c>
      <c r="O261" t="s">
        <v>1545</v>
      </c>
    </row>
    <row r="262" spans="1:15" x14ac:dyDescent="0.3">
      <c r="A262" t="str">
        <f>'Case 3 data'!A261</f>
        <v>AUS305-2M</v>
      </c>
      <c r="B262" t="str">
        <f>'Case 3 data'!B261</f>
        <v>Larry</v>
      </c>
      <c r="C262" t="str">
        <f>'Case 3 data'!C261</f>
        <v>Richardson</v>
      </c>
      <c r="D262" t="str" cm="1">
        <f t="array" ref="D262">LEFT($A262,MIN(FIND({0;1;2;3;4;5;6;7;8;9},$A262&amp;"0123456789"))-1)</f>
        <v>AUS</v>
      </c>
      <c r="E262" t="str" cm="1">
        <f t="array" ref="E262">MID($A262,MIN(FIND({0;1;2;3;4;5;6;7;8;9},$A262&amp;"0123456789")),FIND("-",$A262)-MIN(FIND({0;1;2;3;4;5;6;7;8;9},$A262&amp;"0123456789")))</f>
        <v>305</v>
      </c>
      <c r="F262" t="str">
        <f t="shared" si="63"/>
        <v>2</v>
      </c>
      <c r="G262" t="str">
        <f t="shared" si="64"/>
        <v>M</v>
      </c>
      <c r="H262" t="str">
        <f t="shared" si="65"/>
        <v>AUS-2</v>
      </c>
      <c r="J262" t="s">
        <v>708</v>
      </c>
      <c r="K262" t="s">
        <v>1523</v>
      </c>
      <c r="L262">
        <v>305</v>
      </c>
      <c r="M262">
        <v>2</v>
      </c>
      <c r="N262" t="s">
        <v>1531</v>
      </c>
      <c r="O262" t="s">
        <v>1535</v>
      </c>
    </row>
    <row r="263" spans="1:15" x14ac:dyDescent="0.3">
      <c r="A263" t="str">
        <f>'Case 3 data'!A262</f>
        <v>GER371-1W</v>
      </c>
      <c r="B263" t="str">
        <f>'Case 3 data'!B262</f>
        <v>Joanne</v>
      </c>
      <c r="C263" t="str">
        <f>'Case 3 data'!C262</f>
        <v>Stevens</v>
      </c>
      <c r="D263" t="str" cm="1">
        <f t="array" ref="D263">LEFT($A263,MIN(FIND({0;1;2;3;4;5;6;7;8;9},$A263&amp;"0123456789"))-1)</f>
        <v>GER</v>
      </c>
      <c r="E263" t="str" cm="1">
        <f t="array" ref="E263">MID($A263,MIN(FIND({0;1;2;3;4;5;6;7;8;9},$A263&amp;"0123456789")),FIND("-",$A263)-MIN(FIND({0;1;2;3;4;5;6;7;8;9},$A263&amp;"0123456789")))</f>
        <v>371</v>
      </c>
      <c r="F263" t="str">
        <f t="shared" si="63"/>
        <v>1</v>
      </c>
      <c r="G263" t="str">
        <f t="shared" si="64"/>
        <v>W</v>
      </c>
      <c r="H263" t="str">
        <f t="shared" si="65"/>
        <v>GER-1</v>
      </c>
      <c r="J263" t="s">
        <v>709</v>
      </c>
      <c r="K263" t="s">
        <v>1521</v>
      </c>
      <c r="L263">
        <v>371</v>
      </c>
      <c r="M263">
        <v>1</v>
      </c>
      <c r="N263" t="s">
        <v>1532</v>
      </c>
      <c r="O263" t="s">
        <v>1583</v>
      </c>
    </row>
    <row r="264" spans="1:15" x14ac:dyDescent="0.3">
      <c r="A264" t="str">
        <f>'Case 3 data'!A263</f>
        <v>US462-4W</v>
      </c>
      <c r="B264" t="str">
        <f>'Case 3 data'!B263</f>
        <v>Deandre</v>
      </c>
      <c r="C264" t="str">
        <f>'Case 3 data'!C263</f>
        <v>Conaway</v>
      </c>
      <c r="D264" t="str" cm="1">
        <f t="array" ref="D264">LEFT($A264,MIN(FIND({0;1;2;3;4;5;6;7;8;9},$A264&amp;"0123456789"))-1)</f>
        <v>US</v>
      </c>
      <c r="E264" t="str" cm="1">
        <f t="array" ref="E264">MID($A264,MIN(FIND({0;1;2;3;4;5;6;7;8;9},$A264&amp;"0123456789")),FIND("-",$A264)-MIN(FIND({0;1;2;3;4;5;6;7;8;9},$A264&amp;"0123456789")))</f>
        <v>462</v>
      </c>
      <c r="F264" t="str">
        <f t="shared" si="63"/>
        <v>4</v>
      </c>
      <c r="G264" t="str">
        <f t="shared" si="64"/>
        <v>W</v>
      </c>
      <c r="H264" t="str">
        <f t="shared" si="65"/>
        <v>US-4</v>
      </c>
      <c r="J264" t="s">
        <v>712</v>
      </c>
      <c r="K264" t="str">
        <f t="shared" ref="K264:K327" si="66">LEFT(A264,3)</f>
        <v>US4</v>
      </c>
      <c r="L264">
        <v>462</v>
      </c>
      <c r="M264">
        <v>4</v>
      </c>
      <c r="N264" t="s">
        <v>1532</v>
      </c>
      <c r="O264" t="s">
        <v>1618</v>
      </c>
    </row>
    <row r="265" spans="1:15" x14ac:dyDescent="0.3">
      <c r="A265" t="str">
        <f>'Case 3 data'!A264</f>
        <v>US197-3W</v>
      </c>
      <c r="B265" t="str">
        <f>'Case 3 data'!B264</f>
        <v>Angela</v>
      </c>
      <c r="C265" t="str">
        <f>'Case 3 data'!C264</f>
        <v>Perez</v>
      </c>
      <c r="D265" t="str" cm="1">
        <f t="array" ref="D265">LEFT($A265,MIN(FIND({0;1;2;3;4;5;6;7;8;9},$A265&amp;"0123456789"))-1)</f>
        <v>US</v>
      </c>
      <c r="E265" t="str" cm="1">
        <f t="array" ref="E265">MID($A265,MIN(FIND({0;1;2;3;4;5;6;7;8;9},$A265&amp;"0123456789")),FIND("-",$A265)-MIN(FIND({0;1;2;3;4;5;6;7;8;9},$A265&amp;"0123456789")))</f>
        <v>197</v>
      </c>
      <c r="F265" t="str">
        <f t="shared" si="63"/>
        <v>3</v>
      </c>
      <c r="G265" t="str">
        <f t="shared" si="64"/>
        <v>W</v>
      </c>
      <c r="H265" t="str">
        <f t="shared" si="65"/>
        <v>US-3</v>
      </c>
      <c r="J265" t="s">
        <v>715</v>
      </c>
      <c r="K265" t="s">
        <v>1522</v>
      </c>
      <c r="L265">
        <v>197</v>
      </c>
      <c r="M265">
        <v>3</v>
      </c>
      <c r="N265" t="s">
        <v>1532</v>
      </c>
      <c r="O265" t="s">
        <v>1576</v>
      </c>
    </row>
    <row r="266" spans="1:15" x14ac:dyDescent="0.3">
      <c r="A266" t="str">
        <f>'Case 3 data'!A265</f>
        <v>ENG406-11M</v>
      </c>
      <c r="B266" t="str">
        <f>'Case 3 data'!B265</f>
        <v>Latina</v>
      </c>
      <c r="C266" t="str">
        <f>'Case 3 data'!C265</f>
        <v>Hyman</v>
      </c>
      <c r="D266" t="str" cm="1">
        <f t="array" ref="D266">LEFT($A266,MIN(FIND({0;1;2;3;4;5;6;7;8;9},$A266&amp;"0123456789"))-1)</f>
        <v>ENG</v>
      </c>
      <c r="E266" t="str" cm="1">
        <f t="array" ref="E266">MID($A266,MIN(FIND({0;1;2;3;4;5;6;7;8;9},$A266&amp;"0123456789")),FIND("-",$A266)-MIN(FIND({0;1;2;3;4;5;6;7;8;9},$A266&amp;"0123456789")))</f>
        <v>406</v>
      </c>
      <c r="F266" t="str">
        <f t="shared" si="63"/>
        <v>11</v>
      </c>
      <c r="G266" t="str">
        <f t="shared" si="64"/>
        <v>M</v>
      </c>
      <c r="H266" t="str">
        <f t="shared" si="65"/>
        <v>ENG-11</v>
      </c>
      <c r="J266" t="s">
        <v>717</v>
      </c>
      <c r="K266" t="s">
        <v>1523</v>
      </c>
      <c r="L266">
        <v>406</v>
      </c>
      <c r="M266">
        <v>11</v>
      </c>
      <c r="N266" t="s">
        <v>1531</v>
      </c>
      <c r="O266" t="s">
        <v>1580</v>
      </c>
    </row>
    <row r="267" spans="1:15" x14ac:dyDescent="0.3">
      <c r="A267" t="str">
        <f>'Case 3 data'!A266</f>
        <v>Japan399-14M</v>
      </c>
      <c r="B267" t="str">
        <f>'Case 3 data'!B266</f>
        <v>Venus</v>
      </c>
      <c r="C267" t="str">
        <f>'Case 3 data'!C266</f>
        <v>Ripley</v>
      </c>
      <c r="D267" t="str" cm="1">
        <f t="array" ref="D267">LEFT($A267,MIN(FIND({0;1;2;3;4;5;6;7;8;9},$A267&amp;"0123456789"))-1)</f>
        <v>Japan</v>
      </c>
      <c r="E267" t="str" cm="1">
        <f t="array" ref="E267">MID($A267,MIN(FIND({0;1;2;3;4;5;6;7;8;9},$A267&amp;"0123456789")),FIND("-",$A267)-MIN(FIND({0;1;2;3;4;5;6;7;8;9},$A267&amp;"0123456789")))</f>
        <v>399</v>
      </c>
      <c r="F267" t="str">
        <f t="shared" si="63"/>
        <v>14</v>
      </c>
      <c r="G267" t="str">
        <f t="shared" si="64"/>
        <v>M</v>
      </c>
      <c r="H267" t="str">
        <f t="shared" si="65"/>
        <v>Japan-14</v>
      </c>
      <c r="J267" t="s">
        <v>720</v>
      </c>
      <c r="K267" t="s">
        <v>1523</v>
      </c>
      <c r="L267">
        <v>399</v>
      </c>
      <c r="M267">
        <v>14</v>
      </c>
      <c r="N267" t="s">
        <v>1531</v>
      </c>
      <c r="O267" t="s">
        <v>1560</v>
      </c>
    </row>
    <row r="268" spans="1:15" x14ac:dyDescent="0.3">
      <c r="A268" t="str">
        <f>'Case 3 data'!A267</f>
        <v>Japan505-2Mo</v>
      </c>
      <c r="B268" t="str">
        <f>'Case 3 data'!B267</f>
        <v>Katrina</v>
      </c>
      <c r="C268" t="str">
        <f>'Case 3 data'!C267</f>
        <v>Douglas</v>
      </c>
      <c r="D268" t="str" cm="1">
        <f t="array" ref="D268">LEFT($A268,MIN(FIND({0;1;2;3;4;5;6;7;8;9},$A268&amp;"0123456789"))-1)</f>
        <v>Japan</v>
      </c>
      <c r="E268" t="str" cm="1">
        <f t="array" ref="E268">MID($A268,MIN(FIND({0;1;2;3;4;5;6;7;8;9},$A268&amp;"0123456789")),FIND("-",$A268)-MIN(FIND({0;1;2;3;4;5;6;7;8;9},$A268&amp;"0123456789")))</f>
        <v>505</v>
      </c>
      <c r="F268" t="str">
        <f t="shared" si="63"/>
        <v>2</v>
      </c>
      <c r="G268" t="str">
        <f t="shared" si="64"/>
        <v>Mo</v>
      </c>
      <c r="H268" t="str">
        <f t="shared" si="65"/>
        <v>Japan-2</v>
      </c>
      <c r="J268" t="s">
        <v>723</v>
      </c>
      <c r="K268" t="s">
        <v>1521</v>
      </c>
      <c r="L268">
        <v>505</v>
      </c>
      <c r="M268">
        <v>2</v>
      </c>
      <c r="N268" t="s">
        <v>1530</v>
      </c>
      <c r="O268" t="s">
        <v>1541</v>
      </c>
    </row>
    <row r="269" spans="1:15" x14ac:dyDescent="0.3">
      <c r="A269" t="str">
        <f>'Case 3 data'!A268</f>
        <v>AUS215-16Mo</v>
      </c>
      <c r="B269" t="str">
        <f>'Case 3 data'!B268</f>
        <v>Carmine</v>
      </c>
      <c r="C269" t="str">
        <f>'Case 3 data'!C268</f>
        <v>Toler</v>
      </c>
      <c r="D269" t="str" cm="1">
        <f t="array" ref="D269">LEFT($A269,MIN(FIND({0;1;2;3;4;5;6;7;8;9},$A269&amp;"0123456789"))-1)</f>
        <v>AUS</v>
      </c>
      <c r="E269" t="str" cm="1">
        <f t="array" ref="E269">MID($A269,MIN(FIND({0;1;2;3;4;5;6;7;8;9},$A269&amp;"0123456789")),FIND("-",$A269)-MIN(FIND({0;1;2;3;4;5;6;7;8;9},$A269&amp;"0123456789")))</f>
        <v>215</v>
      </c>
      <c r="F269" t="str">
        <f t="shared" si="63"/>
        <v>16</v>
      </c>
      <c r="G269" t="str">
        <f t="shared" si="64"/>
        <v>Mo</v>
      </c>
      <c r="H269" t="str">
        <f t="shared" si="65"/>
        <v>AUS-16</v>
      </c>
      <c r="J269" t="s">
        <v>725</v>
      </c>
      <c r="K269" t="str">
        <f t="shared" ref="K269:K332" si="67">LEFT(A269,3)</f>
        <v>AUS</v>
      </c>
      <c r="L269">
        <v>215</v>
      </c>
      <c r="M269">
        <v>16</v>
      </c>
      <c r="N269" t="s">
        <v>1530</v>
      </c>
      <c r="O269" t="s">
        <v>1595</v>
      </c>
    </row>
    <row r="270" spans="1:15" x14ac:dyDescent="0.3">
      <c r="A270" t="str">
        <f>'Case 3 data'!A269</f>
        <v>ARG67-14M</v>
      </c>
      <c r="B270" t="str">
        <f>'Case 3 data'!B269</f>
        <v>Lindsy</v>
      </c>
      <c r="C270" t="str">
        <f>'Case 3 data'!C269</f>
        <v>Haskins</v>
      </c>
      <c r="D270" t="str" cm="1">
        <f t="array" ref="D270">LEFT($A270,MIN(FIND({0;1;2;3;4;5;6;7;8;9},$A270&amp;"0123456789"))-1)</f>
        <v>ARG</v>
      </c>
      <c r="E270" t="str" cm="1">
        <f t="array" ref="E270">MID($A270,MIN(FIND({0;1;2;3;4;5;6;7;8;9},$A270&amp;"0123456789")),FIND("-",$A270)-MIN(FIND({0;1;2;3;4;5;6;7;8;9},$A270&amp;"0123456789")))</f>
        <v>67</v>
      </c>
      <c r="F270" t="str">
        <f t="shared" si="63"/>
        <v>14</v>
      </c>
      <c r="G270" t="str">
        <f t="shared" si="64"/>
        <v>M</v>
      </c>
      <c r="H270" t="str">
        <f t="shared" si="65"/>
        <v>ARG-14</v>
      </c>
      <c r="J270" t="s">
        <v>728</v>
      </c>
      <c r="K270" t="s">
        <v>1522</v>
      </c>
      <c r="L270">
        <v>67</v>
      </c>
      <c r="M270">
        <v>14</v>
      </c>
      <c r="N270" t="s">
        <v>1531</v>
      </c>
      <c r="O270" t="s">
        <v>1600</v>
      </c>
    </row>
    <row r="271" spans="1:15" x14ac:dyDescent="0.3">
      <c r="A271" t="str">
        <f>'Case 3 data'!A270</f>
        <v>ENG565-9W</v>
      </c>
      <c r="B271" t="str">
        <f>'Case 3 data'!B270</f>
        <v>Ruby</v>
      </c>
      <c r="C271" t="str">
        <f>'Case 3 data'!C270</f>
        <v>Perez</v>
      </c>
      <c r="D271" t="str" cm="1">
        <f t="array" ref="D271">LEFT($A271,MIN(FIND({0;1;2;3;4;5;6;7;8;9},$A271&amp;"0123456789"))-1)</f>
        <v>ENG</v>
      </c>
      <c r="E271" t="str" cm="1">
        <f t="array" ref="E271">MID($A271,MIN(FIND({0;1;2;3;4;5;6;7;8;9},$A271&amp;"0123456789")),FIND("-",$A271)-MIN(FIND({0;1;2;3;4;5;6;7;8;9},$A271&amp;"0123456789")))</f>
        <v>565</v>
      </c>
      <c r="F271" t="str">
        <f t="shared" si="63"/>
        <v>9</v>
      </c>
      <c r="G271" t="str">
        <f t="shared" si="64"/>
        <v>W</v>
      </c>
      <c r="H271" t="str">
        <f t="shared" si="65"/>
        <v>ENG-9</v>
      </c>
      <c r="J271" t="s">
        <v>730</v>
      </c>
      <c r="K271" t="s">
        <v>1523</v>
      </c>
      <c r="L271">
        <v>565</v>
      </c>
      <c r="M271">
        <v>9</v>
      </c>
      <c r="N271" t="s">
        <v>1532</v>
      </c>
      <c r="O271" t="s">
        <v>1544</v>
      </c>
    </row>
    <row r="272" spans="1:15" x14ac:dyDescent="0.3">
      <c r="A272" t="str">
        <f>'Case 3 data'!A271</f>
        <v>MEX330-1M</v>
      </c>
      <c r="B272" t="str">
        <f>'Case 3 data'!B271</f>
        <v>Carolyn</v>
      </c>
      <c r="C272" t="str">
        <f>'Case 3 data'!C271</f>
        <v>Sanchez</v>
      </c>
      <c r="D272" t="str" cm="1">
        <f t="array" ref="D272">LEFT($A272,MIN(FIND({0;1;2;3;4;5;6;7;8;9},$A272&amp;"0123456789"))-1)</f>
        <v>MEX</v>
      </c>
      <c r="E272" t="str" cm="1">
        <f t="array" ref="E272">MID($A272,MIN(FIND({0;1;2;3;4;5;6;7;8;9},$A272&amp;"0123456789")),FIND("-",$A272)-MIN(FIND({0;1;2;3;4;5;6;7;8;9},$A272&amp;"0123456789")))</f>
        <v>330</v>
      </c>
      <c r="F272" t="str">
        <f t="shared" si="63"/>
        <v>1</v>
      </c>
      <c r="G272" t="str">
        <f t="shared" si="64"/>
        <v>M</v>
      </c>
      <c r="H272" t="str">
        <f t="shared" si="65"/>
        <v>MEX-1</v>
      </c>
      <c r="J272" t="s">
        <v>731</v>
      </c>
      <c r="K272" t="s">
        <v>1523</v>
      </c>
      <c r="L272">
        <v>330</v>
      </c>
      <c r="M272">
        <v>1</v>
      </c>
      <c r="N272" t="s">
        <v>1531</v>
      </c>
      <c r="O272" t="s">
        <v>1536</v>
      </c>
    </row>
    <row r="273" spans="1:15" x14ac:dyDescent="0.3">
      <c r="A273" t="str">
        <f>'Case 3 data'!A272</f>
        <v>ENG107-2Mo</v>
      </c>
      <c r="B273" t="str">
        <f>'Case 3 data'!B272</f>
        <v>Maxima</v>
      </c>
      <c r="C273" t="str">
        <f>'Case 3 data'!C272</f>
        <v>Oneil</v>
      </c>
      <c r="D273" t="str" cm="1">
        <f t="array" ref="D273">LEFT($A273,MIN(FIND({0;1;2;3;4;5;6;7;8;9},$A273&amp;"0123456789"))-1)</f>
        <v>ENG</v>
      </c>
      <c r="E273" t="str" cm="1">
        <f t="array" ref="E273">MID($A273,MIN(FIND({0;1;2;3;4;5;6;7;8;9},$A273&amp;"0123456789")),FIND("-",$A273)-MIN(FIND({0;1;2;3;4;5;6;7;8;9},$A273&amp;"0123456789")))</f>
        <v>107</v>
      </c>
      <c r="F273" t="str">
        <f t="shared" si="63"/>
        <v>2</v>
      </c>
      <c r="G273" t="str">
        <f t="shared" si="64"/>
        <v>Mo</v>
      </c>
      <c r="H273" t="str">
        <f t="shared" si="65"/>
        <v>ENG-2</v>
      </c>
      <c r="J273" t="s">
        <v>732</v>
      </c>
      <c r="K273" t="s">
        <v>1521</v>
      </c>
      <c r="L273">
        <v>107</v>
      </c>
      <c r="M273">
        <v>2</v>
      </c>
      <c r="N273" t="s">
        <v>1530</v>
      </c>
      <c r="O273" t="s">
        <v>1541</v>
      </c>
    </row>
    <row r="274" spans="1:15" x14ac:dyDescent="0.3">
      <c r="A274" t="str">
        <f>'Case 3 data'!A273</f>
        <v>MEX58-10Mo</v>
      </c>
      <c r="B274" t="str">
        <f>'Case 3 data'!B273</f>
        <v>Jimmy</v>
      </c>
      <c r="C274" t="str">
        <f>'Case 3 data'!C273</f>
        <v>Collins</v>
      </c>
      <c r="D274" t="str" cm="1">
        <f t="array" ref="D274">LEFT($A274,MIN(FIND({0;1;2;3;4;5;6;7;8;9},$A274&amp;"0123456789"))-1)</f>
        <v>MEX</v>
      </c>
      <c r="E274" t="str" cm="1">
        <f t="array" ref="E274">MID($A274,MIN(FIND({0;1;2;3;4;5;6;7;8;9},$A274&amp;"0123456789")),FIND("-",$A274)-MIN(FIND({0;1;2;3;4;5;6;7;8;9},$A274&amp;"0123456789")))</f>
        <v>58</v>
      </c>
      <c r="F274" t="str">
        <f t="shared" si="63"/>
        <v>10</v>
      </c>
      <c r="G274" t="str">
        <f t="shared" si="64"/>
        <v>Mo</v>
      </c>
      <c r="H274" t="str">
        <f t="shared" si="65"/>
        <v>MEX-10</v>
      </c>
      <c r="J274" t="s">
        <v>735</v>
      </c>
      <c r="K274" t="str">
        <f t="shared" ref="K274:K337" si="68">LEFT(A274,3)</f>
        <v>MEX</v>
      </c>
      <c r="L274">
        <v>58</v>
      </c>
      <c r="M274">
        <v>10</v>
      </c>
      <c r="N274" t="s">
        <v>1530</v>
      </c>
      <c r="O274" t="s">
        <v>1619</v>
      </c>
    </row>
    <row r="275" spans="1:15" x14ac:dyDescent="0.3">
      <c r="A275" t="str">
        <f>'Case 3 data'!A274</f>
        <v>US161-11Mo</v>
      </c>
      <c r="B275" t="str">
        <f>'Case 3 data'!B274</f>
        <v>Tina</v>
      </c>
      <c r="C275" t="str">
        <f>'Case 3 data'!C274</f>
        <v>Washington</v>
      </c>
      <c r="D275" t="str" cm="1">
        <f t="array" ref="D275">LEFT($A275,MIN(FIND({0;1;2;3;4;5;6;7;8;9},$A275&amp;"0123456789"))-1)</f>
        <v>US</v>
      </c>
      <c r="E275" t="str" cm="1">
        <f t="array" ref="E275">MID($A275,MIN(FIND({0;1;2;3;4;5;6;7;8;9},$A275&amp;"0123456789")),FIND("-",$A275)-MIN(FIND({0;1;2;3;4;5;6;7;8;9},$A275&amp;"0123456789")))</f>
        <v>161</v>
      </c>
      <c r="F275" t="str">
        <f t="shared" si="63"/>
        <v>11</v>
      </c>
      <c r="G275" t="str">
        <f t="shared" si="64"/>
        <v>Mo</v>
      </c>
      <c r="H275" t="str">
        <f t="shared" si="65"/>
        <v>US-11</v>
      </c>
      <c r="J275" t="s">
        <v>737</v>
      </c>
      <c r="K275" t="s">
        <v>1522</v>
      </c>
      <c r="L275">
        <v>161</v>
      </c>
      <c r="M275">
        <v>11</v>
      </c>
      <c r="N275" t="s">
        <v>1530</v>
      </c>
      <c r="O275" t="s">
        <v>1587</v>
      </c>
    </row>
    <row r="276" spans="1:15" x14ac:dyDescent="0.3">
      <c r="A276" t="str">
        <f>'Case 3 data'!A275</f>
        <v>MEX156-9Mo</v>
      </c>
      <c r="B276" t="str">
        <f>'Case 3 data'!B275</f>
        <v>Paula</v>
      </c>
      <c r="C276" t="str">
        <f>'Case 3 data'!C275</f>
        <v>Delgado</v>
      </c>
      <c r="D276" t="str" cm="1">
        <f t="array" ref="D276">LEFT($A276,MIN(FIND({0;1;2;3;4;5;6;7;8;9},$A276&amp;"0123456789"))-1)</f>
        <v>MEX</v>
      </c>
      <c r="E276" t="str" cm="1">
        <f t="array" ref="E276">MID($A276,MIN(FIND({0;1;2;3;4;5;6;7;8;9},$A276&amp;"0123456789")),FIND("-",$A276)-MIN(FIND({0;1;2;3;4;5;6;7;8;9},$A276&amp;"0123456789")))</f>
        <v>156</v>
      </c>
      <c r="F276" t="str">
        <f t="shared" si="63"/>
        <v>9</v>
      </c>
      <c r="G276" t="str">
        <f t="shared" si="64"/>
        <v>Mo</v>
      </c>
      <c r="H276" t="str">
        <f t="shared" si="65"/>
        <v>MEX-9</v>
      </c>
      <c r="J276" t="s">
        <v>739</v>
      </c>
      <c r="K276" t="s">
        <v>1523</v>
      </c>
      <c r="L276">
        <v>156</v>
      </c>
      <c r="M276">
        <v>9</v>
      </c>
      <c r="N276" t="s">
        <v>1530</v>
      </c>
      <c r="O276" t="s">
        <v>1544</v>
      </c>
    </row>
    <row r="277" spans="1:15" x14ac:dyDescent="0.3">
      <c r="A277" t="str">
        <f>'Case 3 data'!A276</f>
        <v>Japan497-4W</v>
      </c>
      <c r="B277" t="str">
        <f>'Case 3 data'!B276</f>
        <v>Elizabeth</v>
      </c>
      <c r="C277" t="str">
        <f>'Case 3 data'!C276</f>
        <v>Morris</v>
      </c>
      <c r="D277" t="str" cm="1">
        <f t="array" ref="D277">LEFT($A277,MIN(FIND({0;1;2;3;4;5;6;7;8;9},$A277&amp;"0123456789"))-1)</f>
        <v>Japan</v>
      </c>
      <c r="E277" t="str" cm="1">
        <f t="array" ref="E277">MID($A277,MIN(FIND({0;1;2;3;4;5;6;7;8;9},$A277&amp;"0123456789")),FIND("-",$A277)-MIN(FIND({0;1;2;3;4;5;6;7;8;9},$A277&amp;"0123456789")))</f>
        <v>497</v>
      </c>
      <c r="F277" t="str">
        <f t="shared" si="63"/>
        <v>4</v>
      </c>
      <c r="G277" t="str">
        <f t="shared" si="64"/>
        <v>W</v>
      </c>
      <c r="H277" t="str">
        <f t="shared" si="65"/>
        <v>Japan-4</v>
      </c>
      <c r="J277" t="s">
        <v>742</v>
      </c>
      <c r="K277" t="s">
        <v>1523</v>
      </c>
      <c r="L277">
        <v>497</v>
      </c>
      <c r="M277">
        <v>4</v>
      </c>
      <c r="N277" t="s">
        <v>1532</v>
      </c>
      <c r="O277" t="s">
        <v>1564</v>
      </c>
    </row>
    <row r="278" spans="1:15" x14ac:dyDescent="0.3">
      <c r="A278" t="str">
        <f>'Case 3 data'!A277</f>
        <v>ARG201-16M</v>
      </c>
      <c r="B278" t="str">
        <f>'Case 3 data'!B277</f>
        <v>Warren</v>
      </c>
      <c r="C278" t="str">
        <f>'Case 3 data'!C277</f>
        <v>Briggs</v>
      </c>
      <c r="D278" t="str" cm="1">
        <f t="array" ref="D278">LEFT($A278,MIN(FIND({0;1;2;3;4;5;6;7;8;9},$A278&amp;"0123456789"))-1)</f>
        <v>ARG</v>
      </c>
      <c r="E278" t="str" cm="1">
        <f t="array" ref="E278">MID($A278,MIN(FIND({0;1;2;3;4;5;6;7;8;9},$A278&amp;"0123456789")),FIND("-",$A278)-MIN(FIND({0;1;2;3;4;5;6;7;8;9},$A278&amp;"0123456789")))</f>
        <v>201</v>
      </c>
      <c r="F278" t="str">
        <f t="shared" si="63"/>
        <v>16</v>
      </c>
      <c r="G278" t="str">
        <f t="shared" si="64"/>
        <v>M</v>
      </c>
      <c r="H278" t="str">
        <f t="shared" si="65"/>
        <v>ARG-16</v>
      </c>
      <c r="J278" t="s">
        <v>744</v>
      </c>
      <c r="K278" t="s">
        <v>1521</v>
      </c>
      <c r="L278">
        <v>201</v>
      </c>
      <c r="M278">
        <v>16</v>
      </c>
      <c r="N278" t="s">
        <v>1531</v>
      </c>
      <c r="O278" t="s">
        <v>1578</v>
      </c>
    </row>
    <row r="279" spans="1:15" x14ac:dyDescent="0.3">
      <c r="A279" t="str">
        <f>'Case 3 data'!A278</f>
        <v>US111-5Mo</v>
      </c>
      <c r="B279" t="str">
        <f>'Case 3 data'!B278</f>
        <v>Virgil</v>
      </c>
      <c r="C279" t="str">
        <f>'Case 3 data'!C278</f>
        <v>Shinn</v>
      </c>
      <c r="D279" t="str" cm="1">
        <f t="array" ref="D279">LEFT($A279,MIN(FIND({0;1;2;3;4;5;6;7;8;9},$A279&amp;"0123456789"))-1)</f>
        <v>US</v>
      </c>
      <c r="E279" t="str" cm="1">
        <f t="array" ref="E279">MID($A279,MIN(FIND({0;1;2;3;4;5;6;7;8;9},$A279&amp;"0123456789")),FIND("-",$A279)-MIN(FIND({0;1;2;3;4;5;6;7;8;9},$A279&amp;"0123456789")))</f>
        <v>111</v>
      </c>
      <c r="F279" t="str">
        <f t="shared" si="63"/>
        <v>5</v>
      </c>
      <c r="G279" t="str">
        <f t="shared" si="64"/>
        <v>Mo</v>
      </c>
      <c r="H279" t="str">
        <f t="shared" si="65"/>
        <v>US-5</v>
      </c>
      <c r="J279" t="s">
        <v>746</v>
      </c>
      <c r="K279" t="str">
        <f t="shared" ref="K279:K342" si="69">LEFT(A279,3)</f>
        <v>US1</v>
      </c>
      <c r="L279">
        <v>111</v>
      </c>
      <c r="M279">
        <v>5</v>
      </c>
      <c r="N279" t="s">
        <v>1530</v>
      </c>
      <c r="O279" t="s">
        <v>1620</v>
      </c>
    </row>
    <row r="280" spans="1:15" x14ac:dyDescent="0.3">
      <c r="A280" t="str">
        <f>'Case 3 data'!A279</f>
        <v>Japan147-9Mo</v>
      </c>
      <c r="B280" t="str">
        <f>'Case 3 data'!B279</f>
        <v>Winifred</v>
      </c>
      <c r="C280" t="str">
        <f>'Case 3 data'!C279</f>
        <v>Cross</v>
      </c>
      <c r="D280" t="str" cm="1">
        <f t="array" ref="D280">LEFT($A280,MIN(FIND({0;1;2;3;4;5;6;7;8;9},$A280&amp;"0123456789"))-1)</f>
        <v>Japan</v>
      </c>
      <c r="E280" t="str" cm="1">
        <f t="array" ref="E280">MID($A280,MIN(FIND({0;1;2;3;4;5;6;7;8;9},$A280&amp;"0123456789")),FIND("-",$A280)-MIN(FIND({0;1;2;3;4;5;6;7;8;9},$A280&amp;"0123456789")))</f>
        <v>147</v>
      </c>
      <c r="F280" t="str">
        <f t="shared" si="63"/>
        <v>9</v>
      </c>
      <c r="G280" t="str">
        <f t="shared" si="64"/>
        <v>Mo</v>
      </c>
      <c r="H280" t="str">
        <f t="shared" si="65"/>
        <v>Japan-9</v>
      </c>
      <c r="J280" t="s">
        <v>749</v>
      </c>
      <c r="K280" t="s">
        <v>1522</v>
      </c>
      <c r="L280">
        <v>147</v>
      </c>
      <c r="M280">
        <v>9</v>
      </c>
      <c r="N280" t="s">
        <v>1530</v>
      </c>
      <c r="O280" t="s">
        <v>1557</v>
      </c>
    </row>
    <row r="281" spans="1:15" x14ac:dyDescent="0.3">
      <c r="A281" t="str">
        <f>'Case 3 data'!A280</f>
        <v>GER272-2W</v>
      </c>
      <c r="B281" t="str">
        <f>'Case 3 data'!B280</f>
        <v>Zelma</v>
      </c>
      <c r="C281" t="str">
        <f>'Case 3 data'!C280</f>
        <v>Humes</v>
      </c>
      <c r="D281" t="str" cm="1">
        <f t="array" ref="D281">LEFT($A281,MIN(FIND({0;1;2;3;4;5;6;7;8;9},$A281&amp;"0123456789"))-1)</f>
        <v>GER</v>
      </c>
      <c r="E281" t="str" cm="1">
        <f t="array" ref="E281">MID($A281,MIN(FIND({0;1;2;3;4;5;6;7;8;9},$A281&amp;"0123456789")),FIND("-",$A281)-MIN(FIND({0;1;2;3;4;5;6;7;8;9},$A281&amp;"0123456789")))</f>
        <v>272</v>
      </c>
      <c r="F281" t="str">
        <f t="shared" si="63"/>
        <v>2</v>
      </c>
      <c r="G281" t="str">
        <f t="shared" si="64"/>
        <v>W</v>
      </c>
      <c r="H281" t="str">
        <f t="shared" si="65"/>
        <v>GER-2</v>
      </c>
      <c r="J281" t="s">
        <v>752</v>
      </c>
      <c r="K281" t="s">
        <v>1523</v>
      </c>
      <c r="L281">
        <v>272</v>
      </c>
      <c r="M281">
        <v>2</v>
      </c>
      <c r="N281" t="s">
        <v>1532</v>
      </c>
      <c r="O281" t="s">
        <v>1535</v>
      </c>
    </row>
    <row r="282" spans="1:15" x14ac:dyDescent="0.3">
      <c r="A282" t="str">
        <f>'Case 3 data'!A281</f>
        <v>ENG592-13Mo</v>
      </c>
      <c r="B282" t="str">
        <f>'Case 3 data'!B281</f>
        <v>Terrence</v>
      </c>
      <c r="C282" t="str">
        <f>'Case 3 data'!C281</f>
        <v>Wong</v>
      </c>
      <c r="D282" t="str" cm="1">
        <f t="array" ref="D282">LEFT($A282,MIN(FIND({0;1;2;3;4;5;6;7;8;9},$A282&amp;"0123456789"))-1)</f>
        <v>ENG</v>
      </c>
      <c r="E282" t="str" cm="1">
        <f t="array" ref="E282">MID($A282,MIN(FIND({0;1;2;3;4;5;6;7;8;9},$A282&amp;"0123456789")),FIND("-",$A282)-MIN(FIND({0;1;2;3;4;5;6;7;8;9},$A282&amp;"0123456789")))</f>
        <v>592</v>
      </c>
      <c r="F282" t="str">
        <f t="shared" si="63"/>
        <v>13</v>
      </c>
      <c r="G282" t="str">
        <f t="shared" si="64"/>
        <v>Mo</v>
      </c>
      <c r="H282" t="str">
        <f t="shared" si="65"/>
        <v>ENG-13</v>
      </c>
      <c r="J282" t="s">
        <v>755</v>
      </c>
      <c r="K282" t="s">
        <v>1523</v>
      </c>
      <c r="L282">
        <v>592</v>
      </c>
      <c r="M282">
        <v>13</v>
      </c>
      <c r="N282" t="s">
        <v>1530</v>
      </c>
      <c r="O282" t="s">
        <v>1553</v>
      </c>
    </row>
    <row r="283" spans="1:15" x14ac:dyDescent="0.3">
      <c r="A283" t="str">
        <f>'Case 3 data'!A282</f>
        <v>ARG241-14W</v>
      </c>
      <c r="B283" t="str">
        <f>'Case 3 data'!B282</f>
        <v>Chanda</v>
      </c>
      <c r="C283" t="str">
        <f>'Case 3 data'!C282</f>
        <v>Nickel</v>
      </c>
      <c r="D283" t="str" cm="1">
        <f t="array" ref="D283">LEFT($A283,MIN(FIND({0;1;2;3;4;5;6;7;8;9},$A283&amp;"0123456789"))-1)</f>
        <v>ARG</v>
      </c>
      <c r="E283" t="str" cm="1">
        <f t="array" ref="E283">MID($A283,MIN(FIND({0;1;2;3;4;5;6;7;8;9},$A283&amp;"0123456789")),FIND("-",$A283)-MIN(FIND({0;1;2;3;4;5;6;7;8;9},$A283&amp;"0123456789")))</f>
        <v>241</v>
      </c>
      <c r="F283" t="str">
        <f t="shared" si="63"/>
        <v>14</v>
      </c>
      <c r="G283" t="str">
        <f t="shared" si="64"/>
        <v>W</v>
      </c>
      <c r="H283" t="str">
        <f t="shared" si="65"/>
        <v>ARG-14</v>
      </c>
      <c r="J283" t="s">
        <v>757</v>
      </c>
      <c r="K283" t="s">
        <v>1521</v>
      </c>
      <c r="L283">
        <v>241</v>
      </c>
      <c r="M283">
        <v>14</v>
      </c>
      <c r="N283" t="s">
        <v>1532</v>
      </c>
      <c r="O283" t="s">
        <v>1565</v>
      </c>
    </row>
    <row r="284" spans="1:15" x14ac:dyDescent="0.3">
      <c r="A284" t="str">
        <f>'Case 3 data'!A283</f>
        <v>ENG503-14W</v>
      </c>
      <c r="B284" t="str">
        <f>'Case 3 data'!B283</f>
        <v>Amelia</v>
      </c>
      <c r="C284" t="str">
        <f>'Case 3 data'!C283</f>
        <v>Santos</v>
      </c>
      <c r="D284" t="str" cm="1">
        <f t="array" ref="D284">LEFT($A284,MIN(FIND({0;1;2;3;4;5;6;7;8;9},$A284&amp;"0123456789"))-1)</f>
        <v>ENG</v>
      </c>
      <c r="E284" t="str" cm="1">
        <f t="array" ref="E284">MID($A284,MIN(FIND({0;1;2;3;4;5;6;7;8;9},$A284&amp;"0123456789")),FIND("-",$A284)-MIN(FIND({0;1;2;3;4;5;6;7;8;9},$A284&amp;"0123456789")))</f>
        <v>503</v>
      </c>
      <c r="F284" t="str">
        <f t="shared" si="63"/>
        <v>14</v>
      </c>
      <c r="G284" t="str">
        <f t="shared" si="64"/>
        <v>W</v>
      </c>
      <c r="H284" t="str">
        <f t="shared" si="65"/>
        <v>ENG-14</v>
      </c>
      <c r="J284" t="s">
        <v>760</v>
      </c>
      <c r="K284" t="str">
        <f t="shared" ref="K284:K347" si="70">LEFT(A284,3)</f>
        <v>ENG</v>
      </c>
      <c r="L284">
        <v>503</v>
      </c>
      <c r="M284">
        <v>14</v>
      </c>
      <c r="N284" t="s">
        <v>1532</v>
      </c>
      <c r="O284" t="s">
        <v>1621</v>
      </c>
    </row>
    <row r="285" spans="1:15" x14ac:dyDescent="0.3">
      <c r="A285" t="str">
        <f>'Case 3 data'!A284</f>
        <v>GER125-7W</v>
      </c>
      <c r="B285" t="str">
        <f>'Case 3 data'!B284</f>
        <v>Trinidad</v>
      </c>
      <c r="C285" t="str">
        <f>'Case 3 data'!C284</f>
        <v>Egan</v>
      </c>
      <c r="D285" t="str" cm="1">
        <f t="array" ref="D285">LEFT($A285,MIN(FIND({0;1;2;3;4;5;6;7;8;9},$A285&amp;"0123456789"))-1)</f>
        <v>GER</v>
      </c>
      <c r="E285" t="str" cm="1">
        <f t="array" ref="E285">MID($A285,MIN(FIND({0;1;2;3;4;5;6;7;8;9},$A285&amp;"0123456789")),FIND("-",$A285)-MIN(FIND({0;1;2;3;4;5;6;7;8;9},$A285&amp;"0123456789")))</f>
        <v>125</v>
      </c>
      <c r="F285" t="str">
        <f t="shared" si="63"/>
        <v>7</v>
      </c>
      <c r="G285" t="str">
        <f t="shared" si="64"/>
        <v>W</v>
      </c>
      <c r="H285" t="str">
        <f t="shared" si="65"/>
        <v>GER-7</v>
      </c>
      <c r="J285" t="s">
        <v>763</v>
      </c>
      <c r="K285" t="s">
        <v>1522</v>
      </c>
      <c r="L285">
        <v>125</v>
      </c>
      <c r="M285">
        <v>7</v>
      </c>
      <c r="N285" t="s">
        <v>1532</v>
      </c>
      <c r="O285" t="s">
        <v>1548</v>
      </c>
    </row>
    <row r="286" spans="1:15" x14ac:dyDescent="0.3">
      <c r="A286" t="str">
        <f>'Case 3 data'!A285</f>
        <v>US249-1M</v>
      </c>
      <c r="B286" t="str">
        <f>'Case 3 data'!B285</f>
        <v>Essie</v>
      </c>
      <c r="C286" t="str">
        <f>'Case 3 data'!C285</f>
        <v>Lawrence</v>
      </c>
      <c r="D286" t="str" cm="1">
        <f t="array" ref="D286">LEFT($A286,MIN(FIND({0;1;2;3;4;5;6;7;8;9},$A286&amp;"0123456789"))-1)</f>
        <v>US</v>
      </c>
      <c r="E286" t="str" cm="1">
        <f t="array" ref="E286">MID($A286,MIN(FIND({0;1;2;3;4;5;6;7;8;9},$A286&amp;"0123456789")),FIND("-",$A286)-MIN(FIND({0;1;2;3;4;5;6;7;8;9},$A286&amp;"0123456789")))</f>
        <v>249</v>
      </c>
      <c r="F286" t="str">
        <f t="shared" si="63"/>
        <v>1</v>
      </c>
      <c r="G286" t="str">
        <f t="shared" si="64"/>
        <v>M</v>
      </c>
      <c r="H286" t="str">
        <f t="shared" si="65"/>
        <v>US-1</v>
      </c>
      <c r="J286" t="s">
        <v>766</v>
      </c>
      <c r="K286" t="s">
        <v>1523</v>
      </c>
      <c r="L286">
        <v>249</v>
      </c>
      <c r="M286">
        <v>1</v>
      </c>
      <c r="N286" t="s">
        <v>1531</v>
      </c>
      <c r="O286" t="s">
        <v>1536</v>
      </c>
    </row>
    <row r="287" spans="1:15" x14ac:dyDescent="0.3">
      <c r="A287" t="str">
        <f>'Case 3 data'!A286</f>
        <v>US278-6W</v>
      </c>
      <c r="B287" t="str">
        <f>'Case 3 data'!B286</f>
        <v>Ryan</v>
      </c>
      <c r="C287" t="str">
        <f>'Case 3 data'!C286</f>
        <v>Clark</v>
      </c>
      <c r="D287" t="str" cm="1">
        <f t="array" ref="D287">LEFT($A287,MIN(FIND({0;1;2;3;4;5;6;7;8;9},$A287&amp;"0123456789"))-1)</f>
        <v>US</v>
      </c>
      <c r="E287" t="str" cm="1">
        <f t="array" ref="E287">MID($A287,MIN(FIND({0;1;2;3;4;5;6;7;8;9},$A287&amp;"0123456789")),FIND("-",$A287)-MIN(FIND({0;1;2;3;4;5;6;7;8;9},$A287&amp;"0123456789")))</f>
        <v>278</v>
      </c>
      <c r="F287" t="str">
        <f t="shared" si="63"/>
        <v>6</v>
      </c>
      <c r="G287" t="str">
        <f t="shared" si="64"/>
        <v>W</v>
      </c>
      <c r="H287" t="str">
        <f t="shared" si="65"/>
        <v>US-6</v>
      </c>
      <c r="J287" t="s">
        <v>769</v>
      </c>
      <c r="K287" t="s">
        <v>1523</v>
      </c>
      <c r="L287">
        <v>278</v>
      </c>
      <c r="M287">
        <v>6</v>
      </c>
      <c r="N287" t="s">
        <v>1532</v>
      </c>
      <c r="O287" t="s">
        <v>1540</v>
      </c>
    </row>
    <row r="288" spans="1:15" x14ac:dyDescent="0.3">
      <c r="A288" t="str">
        <f>'Case 3 data'!A287</f>
        <v>MEX534-16Mo</v>
      </c>
      <c r="B288" t="str">
        <f>'Case 3 data'!B287</f>
        <v>Genaro</v>
      </c>
      <c r="C288" t="str">
        <f>'Case 3 data'!C287</f>
        <v>Sales</v>
      </c>
      <c r="D288" t="str" cm="1">
        <f t="array" ref="D288">LEFT($A288,MIN(FIND({0;1;2;3;4;5;6;7;8;9},$A288&amp;"0123456789"))-1)</f>
        <v>MEX</v>
      </c>
      <c r="E288" t="str" cm="1">
        <f t="array" ref="E288">MID($A288,MIN(FIND({0;1;2;3;4;5;6;7;8;9},$A288&amp;"0123456789")),FIND("-",$A288)-MIN(FIND({0;1;2;3;4;5;6;7;8;9},$A288&amp;"0123456789")))</f>
        <v>534</v>
      </c>
      <c r="F288" t="str">
        <f t="shared" si="63"/>
        <v>16</v>
      </c>
      <c r="G288" t="str">
        <f t="shared" si="64"/>
        <v>Mo</v>
      </c>
      <c r="H288" t="str">
        <f t="shared" si="65"/>
        <v>MEX-16</v>
      </c>
      <c r="J288" t="s">
        <v>771</v>
      </c>
      <c r="K288" t="s">
        <v>1521</v>
      </c>
      <c r="L288">
        <v>534</v>
      </c>
      <c r="M288">
        <v>16</v>
      </c>
      <c r="N288" t="s">
        <v>1530</v>
      </c>
      <c r="O288" t="s">
        <v>1578</v>
      </c>
    </row>
    <row r="289" spans="1:15" x14ac:dyDescent="0.3">
      <c r="A289" t="str">
        <f>'Case 3 data'!A288</f>
        <v>Japan426-5Mo</v>
      </c>
      <c r="B289" t="str">
        <f>'Case 3 data'!B288</f>
        <v>Lori</v>
      </c>
      <c r="C289" t="str">
        <f>'Case 3 data'!C288</f>
        <v>Thornton</v>
      </c>
      <c r="D289" t="str" cm="1">
        <f t="array" ref="D289">LEFT($A289,MIN(FIND({0;1;2;3;4;5;6;7;8;9},$A289&amp;"0123456789"))-1)</f>
        <v>Japan</v>
      </c>
      <c r="E289" t="str" cm="1">
        <f t="array" ref="E289">MID($A289,MIN(FIND({0;1;2;3;4;5;6;7;8;9},$A289&amp;"0123456789")),FIND("-",$A289)-MIN(FIND({0;1;2;3;4;5;6;7;8;9},$A289&amp;"0123456789")))</f>
        <v>426</v>
      </c>
      <c r="F289" t="str">
        <f t="shared" si="63"/>
        <v>5</v>
      </c>
      <c r="G289" t="str">
        <f t="shared" si="64"/>
        <v>Mo</v>
      </c>
      <c r="H289" t="str">
        <f t="shared" si="65"/>
        <v>Japan-5</v>
      </c>
      <c r="J289" t="s">
        <v>774</v>
      </c>
      <c r="K289" t="str">
        <f t="shared" ref="K289:K352" si="71">LEFT(A289,3)</f>
        <v>Jap</v>
      </c>
      <c r="L289">
        <v>426</v>
      </c>
      <c r="M289">
        <v>5</v>
      </c>
      <c r="N289" t="s">
        <v>1530</v>
      </c>
      <c r="O289" t="s">
        <v>1622</v>
      </c>
    </row>
    <row r="290" spans="1:15" x14ac:dyDescent="0.3">
      <c r="A290" t="str">
        <f>'Case 3 data'!A289</f>
        <v>AUS356-6W</v>
      </c>
      <c r="B290" t="str">
        <f>'Case 3 data'!B289</f>
        <v>Ezekiel</v>
      </c>
      <c r="C290" t="str">
        <f>'Case 3 data'!C289</f>
        <v>Banda</v>
      </c>
      <c r="D290" t="str" cm="1">
        <f t="array" ref="D290">LEFT($A290,MIN(FIND({0;1;2;3;4;5;6;7;8;9},$A290&amp;"0123456789"))-1)</f>
        <v>AUS</v>
      </c>
      <c r="E290" t="str" cm="1">
        <f t="array" ref="E290">MID($A290,MIN(FIND({0;1;2;3;4;5;6;7;8;9},$A290&amp;"0123456789")),FIND("-",$A290)-MIN(FIND({0;1;2;3;4;5;6;7;8;9},$A290&amp;"0123456789")))</f>
        <v>356</v>
      </c>
      <c r="F290" t="str">
        <f t="shared" si="63"/>
        <v>6</v>
      </c>
      <c r="G290" t="str">
        <f t="shared" si="64"/>
        <v>W</v>
      </c>
      <c r="H290" t="str">
        <f t="shared" si="65"/>
        <v>AUS-6</v>
      </c>
      <c r="J290" t="s">
        <v>776</v>
      </c>
      <c r="K290" t="s">
        <v>1522</v>
      </c>
      <c r="L290">
        <v>356</v>
      </c>
      <c r="M290">
        <v>6</v>
      </c>
      <c r="N290" t="s">
        <v>1532</v>
      </c>
      <c r="O290" t="s">
        <v>1609</v>
      </c>
    </row>
    <row r="291" spans="1:15" x14ac:dyDescent="0.3">
      <c r="A291" t="str">
        <f>'Case 3 data'!A290</f>
        <v>GER277-1W</v>
      </c>
      <c r="B291" t="str">
        <f>'Case 3 data'!B290</f>
        <v>Luis</v>
      </c>
      <c r="C291" t="str">
        <f>'Case 3 data'!C290</f>
        <v>Wood</v>
      </c>
      <c r="D291" t="str" cm="1">
        <f t="array" ref="D291">LEFT($A291,MIN(FIND({0;1;2;3;4;5;6;7;8;9},$A291&amp;"0123456789"))-1)</f>
        <v>GER</v>
      </c>
      <c r="E291" t="str" cm="1">
        <f t="array" ref="E291">MID($A291,MIN(FIND({0;1;2;3;4;5;6;7;8;9},$A291&amp;"0123456789")),FIND("-",$A291)-MIN(FIND({0;1;2;3;4;5;6;7;8;9},$A291&amp;"0123456789")))</f>
        <v>277</v>
      </c>
      <c r="F291" t="str">
        <f t="shared" si="63"/>
        <v>1</v>
      </c>
      <c r="G291" t="str">
        <f t="shared" si="64"/>
        <v>W</v>
      </c>
      <c r="H291" t="str">
        <f t="shared" si="65"/>
        <v>GER-1</v>
      </c>
      <c r="J291" t="s">
        <v>779</v>
      </c>
      <c r="K291" t="s">
        <v>1523</v>
      </c>
      <c r="L291">
        <v>277</v>
      </c>
      <c r="M291">
        <v>1</v>
      </c>
      <c r="N291" t="s">
        <v>1532</v>
      </c>
      <c r="O291" t="s">
        <v>1536</v>
      </c>
    </row>
    <row r="292" spans="1:15" x14ac:dyDescent="0.3">
      <c r="A292" t="str">
        <f>'Case 3 data'!A291</f>
        <v>ENG440-17W</v>
      </c>
      <c r="B292" t="str">
        <f>'Case 3 data'!B291</f>
        <v>Albert</v>
      </c>
      <c r="C292" t="str">
        <f>'Case 3 data'!C291</f>
        <v>Miller</v>
      </c>
      <c r="D292" t="str" cm="1">
        <f t="array" ref="D292">LEFT($A292,MIN(FIND({0;1;2;3;4;5;6;7;8;9},$A292&amp;"0123456789"))-1)</f>
        <v>ENG</v>
      </c>
      <c r="E292" t="str" cm="1">
        <f t="array" ref="E292">MID($A292,MIN(FIND({0;1;2;3;4;5;6;7;8;9},$A292&amp;"0123456789")),FIND("-",$A292)-MIN(FIND({0;1;2;3;4;5;6;7;8;9},$A292&amp;"0123456789")))</f>
        <v>440</v>
      </c>
      <c r="F292" t="str">
        <f t="shared" si="63"/>
        <v>17</v>
      </c>
      <c r="G292" t="str">
        <f t="shared" si="64"/>
        <v>W</v>
      </c>
      <c r="H292" t="str">
        <f t="shared" si="65"/>
        <v>ENG-17</v>
      </c>
      <c r="J292" t="s">
        <v>781</v>
      </c>
      <c r="K292" t="s">
        <v>1523</v>
      </c>
      <c r="L292">
        <v>440</v>
      </c>
      <c r="M292">
        <v>17</v>
      </c>
      <c r="N292" t="s">
        <v>1532</v>
      </c>
      <c r="O292" t="s">
        <v>1572</v>
      </c>
    </row>
    <row r="293" spans="1:15" x14ac:dyDescent="0.3">
      <c r="A293" t="str">
        <f>'Case 3 data'!A292</f>
        <v>US367-11M</v>
      </c>
      <c r="B293" t="str">
        <f>'Case 3 data'!B292</f>
        <v>Maxine</v>
      </c>
      <c r="C293" t="str">
        <f>'Case 3 data'!C292</f>
        <v>Hamilton</v>
      </c>
      <c r="D293" t="str" cm="1">
        <f t="array" ref="D293">LEFT($A293,MIN(FIND({0;1;2;3;4;5;6;7;8;9},$A293&amp;"0123456789"))-1)</f>
        <v>US</v>
      </c>
      <c r="E293" t="str" cm="1">
        <f t="array" ref="E293">MID($A293,MIN(FIND({0;1;2;3;4;5;6;7;8;9},$A293&amp;"0123456789")),FIND("-",$A293)-MIN(FIND({0;1;2;3;4;5;6;7;8;9},$A293&amp;"0123456789")))</f>
        <v>367</v>
      </c>
      <c r="F293" t="str">
        <f t="shared" si="63"/>
        <v>11</v>
      </c>
      <c r="G293" t="str">
        <f t="shared" si="64"/>
        <v>M</v>
      </c>
      <c r="H293" t="str">
        <f t="shared" si="65"/>
        <v>US-11</v>
      </c>
      <c r="J293" t="s">
        <v>783</v>
      </c>
      <c r="K293" t="s">
        <v>1521</v>
      </c>
      <c r="L293">
        <v>367</v>
      </c>
      <c r="M293">
        <v>11</v>
      </c>
      <c r="N293" t="s">
        <v>1531</v>
      </c>
      <c r="O293" t="s">
        <v>1549</v>
      </c>
    </row>
    <row r="294" spans="1:15" x14ac:dyDescent="0.3">
      <c r="A294" t="str">
        <f>'Case 3 data'!A293</f>
        <v>ENG155-9M</v>
      </c>
      <c r="B294" t="str">
        <f>'Case 3 data'!B293</f>
        <v>Candace</v>
      </c>
      <c r="C294" t="str">
        <f>'Case 3 data'!C293</f>
        <v>Weaver</v>
      </c>
      <c r="D294" t="str" cm="1">
        <f t="array" ref="D294">LEFT($A294,MIN(FIND({0;1;2;3;4;5;6;7;8;9},$A294&amp;"0123456789"))-1)</f>
        <v>ENG</v>
      </c>
      <c r="E294" t="str" cm="1">
        <f t="array" ref="E294">MID($A294,MIN(FIND({0;1;2;3;4;5;6;7;8;9},$A294&amp;"0123456789")),FIND("-",$A294)-MIN(FIND({0;1;2;3;4;5;6;7;8;9},$A294&amp;"0123456789")))</f>
        <v>155</v>
      </c>
      <c r="F294" t="str">
        <f t="shared" si="63"/>
        <v>9</v>
      </c>
      <c r="G294" t="str">
        <f t="shared" si="64"/>
        <v>M</v>
      </c>
      <c r="H294" t="str">
        <f t="shared" si="65"/>
        <v>ENG-9</v>
      </c>
      <c r="J294" t="s">
        <v>786</v>
      </c>
      <c r="K294" t="str">
        <f t="shared" ref="K294:K357" si="72">LEFT(A294,3)</f>
        <v>ENG</v>
      </c>
      <c r="L294">
        <v>155</v>
      </c>
      <c r="M294">
        <v>9</v>
      </c>
      <c r="N294" t="s">
        <v>1531</v>
      </c>
      <c r="O294" t="s">
        <v>1547</v>
      </c>
    </row>
    <row r="295" spans="1:15" x14ac:dyDescent="0.3">
      <c r="A295" t="str">
        <f>'Case 3 data'!A294</f>
        <v>ENG562-7W</v>
      </c>
      <c r="B295" t="str">
        <f>'Case 3 data'!B294</f>
        <v>Debra</v>
      </c>
      <c r="C295" t="str">
        <f>'Case 3 data'!C294</f>
        <v>Patterson</v>
      </c>
      <c r="D295" t="str" cm="1">
        <f t="array" ref="D295">LEFT($A295,MIN(FIND({0;1;2;3;4;5;6;7;8;9},$A295&amp;"0123456789"))-1)</f>
        <v>ENG</v>
      </c>
      <c r="E295" t="str" cm="1">
        <f t="array" ref="E295">MID($A295,MIN(FIND({0;1;2;3;4;5;6;7;8;9},$A295&amp;"0123456789")),FIND("-",$A295)-MIN(FIND({0;1;2;3;4;5;6;7;8;9},$A295&amp;"0123456789")))</f>
        <v>562</v>
      </c>
      <c r="F295" t="str">
        <f t="shared" si="63"/>
        <v>7</v>
      </c>
      <c r="G295" t="str">
        <f t="shared" si="64"/>
        <v>W</v>
      </c>
      <c r="H295" t="str">
        <f t="shared" si="65"/>
        <v>ENG-7</v>
      </c>
      <c r="J295" t="s">
        <v>789</v>
      </c>
      <c r="K295" t="s">
        <v>1522</v>
      </c>
      <c r="L295">
        <v>562</v>
      </c>
      <c r="M295">
        <v>7</v>
      </c>
      <c r="N295" t="s">
        <v>1532</v>
      </c>
      <c r="O295" t="s">
        <v>1548</v>
      </c>
    </row>
    <row r="296" spans="1:15" x14ac:dyDescent="0.3">
      <c r="A296" t="str">
        <f>'Case 3 data'!A295</f>
        <v>ARG142-15Mo</v>
      </c>
      <c r="B296" t="str">
        <f>'Case 3 data'!B295</f>
        <v>Dominque</v>
      </c>
      <c r="C296" t="str">
        <f>'Case 3 data'!C295</f>
        <v>Packer</v>
      </c>
      <c r="D296" t="str" cm="1">
        <f t="array" ref="D296">LEFT($A296,MIN(FIND({0;1;2;3;4;5;6;7;8;9},$A296&amp;"0123456789"))-1)</f>
        <v>ARG</v>
      </c>
      <c r="E296" t="str" cm="1">
        <f t="array" ref="E296">MID($A296,MIN(FIND({0;1;2;3;4;5;6;7;8;9},$A296&amp;"0123456789")),FIND("-",$A296)-MIN(FIND({0;1;2;3;4;5;6;7;8;9},$A296&amp;"0123456789")))</f>
        <v>142</v>
      </c>
      <c r="F296" t="str">
        <f t="shared" si="63"/>
        <v>15</v>
      </c>
      <c r="G296" t="str">
        <f t="shared" si="64"/>
        <v>Mo</v>
      </c>
      <c r="H296" t="str">
        <f t="shared" si="65"/>
        <v>ARG-15</v>
      </c>
      <c r="J296" t="s">
        <v>790</v>
      </c>
      <c r="K296" t="s">
        <v>1523</v>
      </c>
      <c r="L296">
        <v>142</v>
      </c>
      <c r="M296">
        <v>15</v>
      </c>
      <c r="N296" t="s">
        <v>1530</v>
      </c>
      <c r="O296" t="s">
        <v>1558</v>
      </c>
    </row>
    <row r="297" spans="1:15" x14ac:dyDescent="0.3">
      <c r="A297" t="str">
        <f>'Case 3 data'!A296</f>
        <v>ENG83-7W</v>
      </c>
      <c r="B297" t="str">
        <f>'Case 3 data'!B296</f>
        <v>Alice</v>
      </c>
      <c r="C297" t="str">
        <f>'Case 3 data'!C296</f>
        <v>Mitchell</v>
      </c>
      <c r="D297" t="str" cm="1">
        <f t="array" ref="D297">LEFT($A297,MIN(FIND({0;1;2;3;4;5;6;7;8;9},$A297&amp;"0123456789"))-1)</f>
        <v>ENG</v>
      </c>
      <c r="E297" t="str" cm="1">
        <f t="array" ref="E297">MID($A297,MIN(FIND({0;1;2;3;4;5;6;7;8;9},$A297&amp;"0123456789")),FIND("-",$A297)-MIN(FIND({0;1;2;3;4;5;6;7;8;9},$A297&amp;"0123456789")))</f>
        <v>83</v>
      </c>
      <c r="F297" t="str">
        <f t="shared" si="63"/>
        <v>7</v>
      </c>
      <c r="G297" t="str">
        <f t="shared" si="64"/>
        <v>W</v>
      </c>
      <c r="H297" t="str">
        <f t="shared" si="65"/>
        <v>ENG-7</v>
      </c>
      <c r="J297" t="s">
        <v>793</v>
      </c>
      <c r="K297" t="s">
        <v>1523</v>
      </c>
      <c r="L297">
        <v>83</v>
      </c>
      <c r="M297">
        <v>7</v>
      </c>
      <c r="N297" t="s">
        <v>1532</v>
      </c>
      <c r="O297" t="s">
        <v>1582</v>
      </c>
    </row>
    <row r="298" spans="1:15" x14ac:dyDescent="0.3">
      <c r="A298" t="str">
        <f>'Case 3 data'!A297</f>
        <v>AUS553-11Mo</v>
      </c>
      <c r="B298" t="str">
        <f>'Case 3 data'!B297</f>
        <v>Erma</v>
      </c>
      <c r="C298" t="str">
        <f>'Case 3 data'!C297</f>
        <v>Porter</v>
      </c>
      <c r="D298" t="str" cm="1">
        <f t="array" ref="D298">LEFT($A298,MIN(FIND({0;1;2;3;4;5;6;7;8;9},$A298&amp;"0123456789"))-1)</f>
        <v>AUS</v>
      </c>
      <c r="E298" t="str" cm="1">
        <f t="array" ref="E298">MID($A298,MIN(FIND({0;1;2;3;4;5;6;7;8;9},$A298&amp;"0123456789")),FIND("-",$A298)-MIN(FIND({0;1;2;3;4;5;6;7;8;9},$A298&amp;"0123456789")))</f>
        <v>553</v>
      </c>
      <c r="F298" t="str">
        <f t="shared" si="63"/>
        <v>11</v>
      </c>
      <c r="G298" t="str">
        <f t="shared" si="64"/>
        <v>Mo</v>
      </c>
      <c r="H298" t="str">
        <f t="shared" si="65"/>
        <v>AUS-11</v>
      </c>
      <c r="J298" t="s">
        <v>795</v>
      </c>
      <c r="K298" t="s">
        <v>1521</v>
      </c>
      <c r="L298">
        <v>553</v>
      </c>
      <c r="M298">
        <v>11</v>
      </c>
      <c r="N298" t="s">
        <v>1530</v>
      </c>
      <c r="O298" t="s">
        <v>1549</v>
      </c>
    </row>
    <row r="299" spans="1:15" x14ac:dyDescent="0.3">
      <c r="A299" t="str">
        <f>'Case 3 data'!A298</f>
        <v>ARG588-7Mo</v>
      </c>
      <c r="B299" t="str">
        <f>'Case 3 data'!B298</f>
        <v>Martha</v>
      </c>
      <c r="C299" t="str">
        <f>'Case 3 data'!C298</f>
        <v>Rivera</v>
      </c>
      <c r="D299" t="str" cm="1">
        <f t="array" ref="D299">LEFT($A299,MIN(FIND({0;1;2;3;4;5;6;7;8;9},$A299&amp;"0123456789"))-1)</f>
        <v>ARG</v>
      </c>
      <c r="E299" t="str" cm="1">
        <f t="array" ref="E299">MID($A299,MIN(FIND({0;1;2;3;4;5;6;7;8;9},$A299&amp;"0123456789")),FIND("-",$A299)-MIN(FIND({0;1;2;3;4;5;6;7;8;9},$A299&amp;"0123456789")))</f>
        <v>588</v>
      </c>
      <c r="F299" t="str">
        <f t="shared" si="63"/>
        <v>7</v>
      </c>
      <c r="G299" t="str">
        <f t="shared" si="64"/>
        <v>Mo</v>
      </c>
      <c r="H299" t="str">
        <f t="shared" si="65"/>
        <v>ARG-7</v>
      </c>
      <c r="J299" t="s">
        <v>798</v>
      </c>
      <c r="K299" t="str">
        <f t="shared" ref="K299:K362" si="73">LEFT(A299,3)</f>
        <v>ARG</v>
      </c>
      <c r="L299">
        <v>588</v>
      </c>
      <c r="M299">
        <v>7</v>
      </c>
      <c r="N299" t="s">
        <v>1530</v>
      </c>
      <c r="O299" t="s">
        <v>1542</v>
      </c>
    </row>
    <row r="300" spans="1:15" x14ac:dyDescent="0.3">
      <c r="A300" t="str">
        <f>'Case 3 data'!A299</f>
        <v>AUS100-8M</v>
      </c>
      <c r="B300" t="str">
        <f>'Case 3 data'!B299</f>
        <v>Agnes</v>
      </c>
      <c r="C300" t="str">
        <f>'Case 3 data'!C299</f>
        <v>Cooper</v>
      </c>
      <c r="D300" t="str" cm="1">
        <f t="array" ref="D300">LEFT($A300,MIN(FIND({0;1;2;3;4;5;6;7;8;9},$A300&amp;"0123456789"))-1)</f>
        <v>AUS</v>
      </c>
      <c r="E300" t="str" cm="1">
        <f t="array" ref="E300">MID($A300,MIN(FIND({0;1;2;3;4;5;6;7;8;9},$A300&amp;"0123456789")),FIND("-",$A300)-MIN(FIND({0;1;2;3;4;5;6;7;8;9},$A300&amp;"0123456789")))</f>
        <v>100</v>
      </c>
      <c r="F300" t="str">
        <f t="shared" si="63"/>
        <v>8</v>
      </c>
      <c r="G300" t="str">
        <f t="shared" si="64"/>
        <v>M</v>
      </c>
      <c r="H300" t="str">
        <f t="shared" si="65"/>
        <v>AUS-8</v>
      </c>
      <c r="J300" t="s">
        <v>800</v>
      </c>
      <c r="K300" t="s">
        <v>1522</v>
      </c>
      <c r="L300">
        <v>100</v>
      </c>
      <c r="M300">
        <v>8</v>
      </c>
      <c r="N300" t="s">
        <v>1531</v>
      </c>
      <c r="O300" t="s">
        <v>1543</v>
      </c>
    </row>
    <row r="301" spans="1:15" x14ac:dyDescent="0.3">
      <c r="A301" t="str">
        <f>'Case 3 data'!A300</f>
        <v>MEX355-6M</v>
      </c>
      <c r="B301" t="str">
        <f>'Case 3 data'!B300</f>
        <v>Margie</v>
      </c>
      <c r="C301" t="str">
        <f>'Case 3 data'!C300</f>
        <v>Robbins</v>
      </c>
      <c r="D301" t="str" cm="1">
        <f t="array" ref="D301">LEFT($A301,MIN(FIND({0;1;2;3;4;5;6;7;8;9},$A301&amp;"0123456789"))-1)</f>
        <v>MEX</v>
      </c>
      <c r="E301" t="str" cm="1">
        <f t="array" ref="E301">MID($A301,MIN(FIND({0;1;2;3;4;5;6;7;8;9},$A301&amp;"0123456789")),FIND("-",$A301)-MIN(FIND({0;1;2;3;4;5;6;7;8;9},$A301&amp;"0123456789")))</f>
        <v>355</v>
      </c>
      <c r="F301" t="str">
        <f t="shared" si="63"/>
        <v>6</v>
      </c>
      <c r="G301" t="str">
        <f t="shared" si="64"/>
        <v>M</v>
      </c>
      <c r="H301" t="str">
        <f t="shared" si="65"/>
        <v>MEX-6</v>
      </c>
      <c r="J301" t="s">
        <v>802</v>
      </c>
      <c r="K301" t="s">
        <v>1523</v>
      </c>
      <c r="L301">
        <v>355</v>
      </c>
      <c r="M301">
        <v>6</v>
      </c>
      <c r="N301" t="s">
        <v>1531</v>
      </c>
      <c r="O301" t="s">
        <v>1540</v>
      </c>
    </row>
    <row r="302" spans="1:15" x14ac:dyDescent="0.3">
      <c r="A302" t="str">
        <f>'Case 3 data'!A301</f>
        <v>ARG240-6Mo</v>
      </c>
      <c r="B302" t="str">
        <f>'Case 3 data'!B301</f>
        <v>Mazie</v>
      </c>
      <c r="C302" t="str">
        <f>'Case 3 data'!C301</f>
        <v>Whittle</v>
      </c>
      <c r="D302" t="str" cm="1">
        <f t="array" ref="D302">LEFT($A302,MIN(FIND({0;1;2;3;4;5;6;7;8;9},$A302&amp;"0123456789"))-1)</f>
        <v>ARG</v>
      </c>
      <c r="E302" t="str" cm="1">
        <f t="array" ref="E302">MID($A302,MIN(FIND({0;1;2;3;4;5;6;7;8;9},$A302&amp;"0123456789")),FIND("-",$A302)-MIN(FIND({0;1;2;3;4;5;6;7;8;9},$A302&amp;"0123456789")))</f>
        <v>240</v>
      </c>
      <c r="F302" t="str">
        <f t="shared" si="63"/>
        <v>6</v>
      </c>
      <c r="G302" t="str">
        <f t="shared" si="64"/>
        <v>Mo</v>
      </c>
      <c r="H302" t="str">
        <f t="shared" si="65"/>
        <v>ARG-6</v>
      </c>
      <c r="J302" t="s">
        <v>805</v>
      </c>
      <c r="K302" t="s">
        <v>1523</v>
      </c>
      <c r="L302">
        <v>240</v>
      </c>
      <c r="M302">
        <v>6</v>
      </c>
      <c r="N302" t="s">
        <v>1530</v>
      </c>
      <c r="O302" t="s">
        <v>1540</v>
      </c>
    </row>
    <row r="303" spans="1:15" x14ac:dyDescent="0.3">
      <c r="A303" t="str">
        <f>'Case 3 data'!A302</f>
        <v>MEX26-7Mo</v>
      </c>
      <c r="B303" t="str">
        <f>'Case 3 data'!B302</f>
        <v>Chris</v>
      </c>
      <c r="C303" t="str">
        <f>'Case 3 data'!C302</f>
        <v>Mathis</v>
      </c>
      <c r="D303" t="str" cm="1">
        <f t="array" ref="D303">LEFT($A303,MIN(FIND({0;1;2;3;4;5;6;7;8;9},$A303&amp;"0123456789"))-1)</f>
        <v>MEX</v>
      </c>
      <c r="E303" t="str" cm="1">
        <f t="array" ref="E303">MID($A303,MIN(FIND({0;1;2;3;4;5;6;7;8;9},$A303&amp;"0123456789")),FIND("-",$A303)-MIN(FIND({0;1;2;3;4;5;6;7;8;9},$A303&amp;"0123456789")))</f>
        <v>26</v>
      </c>
      <c r="F303" t="str">
        <f t="shared" si="63"/>
        <v>7</v>
      </c>
      <c r="G303" t="str">
        <f t="shared" si="64"/>
        <v>Mo</v>
      </c>
      <c r="H303" t="str">
        <f t="shared" si="65"/>
        <v>MEX-7</v>
      </c>
      <c r="J303" t="s">
        <v>808</v>
      </c>
      <c r="K303" t="s">
        <v>1521</v>
      </c>
      <c r="L303">
        <v>26</v>
      </c>
      <c r="M303">
        <v>7</v>
      </c>
      <c r="N303" t="s">
        <v>1530</v>
      </c>
      <c r="O303" t="s">
        <v>1593</v>
      </c>
    </row>
    <row r="304" spans="1:15" x14ac:dyDescent="0.3">
      <c r="A304" t="str">
        <f>'Case 3 data'!A303</f>
        <v>ARG319-17W</v>
      </c>
      <c r="B304" t="str">
        <f>'Case 3 data'!B303</f>
        <v>Modesto</v>
      </c>
      <c r="C304" t="str">
        <f>'Case 3 data'!C303</f>
        <v>Centeno</v>
      </c>
      <c r="D304" t="str" cm="1">
        <f t="array" ref="D304">LEFT($A304,MIN(FIND({0;1;2;3;4;5;6;7;8;9},$A304&amp;"0123456789"))-1)</f>
        <v>ARG</v>
      </c>
      <c r="E304" t="str" cm="1">
        <f t="array" ref="E304">MID($A304,MIN(FIND({0;1;2;3;4;5;6;7;8;9},$A304&amp;"0123456789")),FIND("-",$A304)-MIN(FIND({0;1;2;3;4;5;6;7;8;9},$A304&amp;"0123456789")))</f>
        <v>319</v>
      </c>
      <c r="F304" t="str">
        <f t="shared" si="63"/>
        <v>17</v>
      </c>
      <c r="G304" t="str">
        <f t="shared" si="64"/>
        <v>W</v>
      </c>
      <c r="H304" t="str">
        <f t="shared" si="65"/>
        <v>ARG-17</v>
      </c>
      <c r="J304" t="s">
        <v>811</v>
      </c>
      <c r="K304" t="str">
        <f t="shared" ref="K304:K367" si="74">LEFT(A304,3)</f>
        <v>ARG</v>
      </c>
      <c r="L304">
        <v>319</v>
      </c>
      <c r="M304">
        <v>17</v>
      </c>
      <c r="N304" t="s">
        <v>1532</v>
      </c>
      <c r="O304" t="s">
        <v>1623</v>
      </c>
    </row>
    <row r="305" spans="1:15" x14ac:dyDescent="0.3">
      <c r="A305" t="str">
        <f>'Case 3 data'!A304</f>
        <v>ARG446-2W</v>
      </c>
      <c r="B305" t="str">
        <f>'Case 3 data'!B304</f>
        <v>Hye</v>
      </c>
      <c r="C305" t="str">
        <f>'Case 3 data'!C304</f>
        <v>Fenton</v>
      </c>
      <c r="D305" t="str" cm="1">
        <f t="array" ref="D305">LEFT($A305,MIN(FIND({0;1;2;3;4;5;6;7;8;9},$A305&amp;"0123456789"))-1)</f>
        <v>ARG</v>
      </c>
      <c r="E305" t="str" cm="1">
        <f t="array" ref="E305">MID($A305,MIN(FIND({0;1;2;3;4;5;6;7;8;9},$A305&amp;"0123456789")),FIND("-",$A305)-MIN(FIND({0;1;2;3;4;5;6;7;8;9},$A305&amp;"0123456789")))</f>
        <v>446</v>
      </c>
      <c r="F305" t="str">
        <f t="shared" si="63"/>
        <v>2</v>
      </c>
      <c r="G305" t="str">
        <f t="shared" si="64"/>
        <v>W</v>
      </c>
      <c r="H305" t="str">
        <f t="shared" si="65"/>
        <v>ARG-2</v>
      </c>
      <c r="J305" t="s">
        <v>814</v>
      </c>
      <c r="K305" t="s">
        <v>1522</v>
      </c>
      <c r="L305">
        <v>446</v>
      </c>
      <c r="M305">
        <v>2</v>
      </c>
      <c r="N305" t="s">
        <v>1532</v>
      </c>
      <c r="O305" t="s">
        <v>1534</v>
      </c>
    </row>
    <row r="306" spans="1:15" x14ac:dyDescent="0.3">
      <c r="A306" t="str">
        <f>'Case 3 data'!A305</f>
        <v>GER558-8W</v>
      </c>
      <c r="B306" t="str">
        <f>'Case 3 data'!B305</f>
        <v>Kaci</v>
      </c>
      <c r="C306" t="str">
        <f>'Case 3 data'!C305</f>
        <v>Naquin</v>
      </c>
      <c r="D306" t="str" cm="1">
        <f t="array" ref="D306">LEFT($A306,MIN(FIND({0;1;2;3;4;5;6;7;8;9},$A306&amp;"0123456789"))-1)</f>
        <v>GER</v>
      </c>
      <c r="E306" t="str" cm="1">
        <f t="array" ref="E306">MID($A306,MIN(FIND({0;1;2;3;4;5;6;7;8;9},$A306&amp;"0123456789")),FIND("-",$A306)-MIN(FIND({0;1;2;3;4;5;6;7;8;9},$A306&amp;"0123456789")))</f>
        <v>558</v>
      </c>
      <c r="F306" t="str">
        <f t="shared" si="63"/>
        <v>8</v>
      </c>
      <c r="G306" t="str">
        <f t="shared" si="64"/>
        <v>W</v>
      </c>
      <c r="H306" t="str">
        <f t="shared" si="65"/>
        <v>GER-8</v>
      </c>
      <c r="J306" t="s">
        <v>817</v>
      </c>
      <c r="K306" t="s">
        <v>1523</v>
      </c>
      <c r="L306">
        <v>558</v>
      </c>
      <c r="M306">
        <v>8</v>
      </c>
      <c r="N306" t="s">
        <v>1532</v>
      </c>
      <c r="O306" t="s">
        <v>1574</v>
      </c>
    </row>
    <row r="307" spans="1:15" x14ac:dyDescent="0.3">
      <c r="A307" t="str">
        <f>'Case 3 data'!A306</f>
        <v>MEX87-10Mo</v>
      </c>
      <c r="B307" t="str">
        <f>'Case 3 data'!B306</f>
        <v>Howard</v>
      </c>
      <c r="C307" t="str">
        <f>'Case 3 data'!C306</f>
        <v>Coleman</v>
      </c>
      <c r="D307" t="str" cm="1">
        <f t="array" ref="D307">LEFT($A307,MIN(FIND({0;1;2;3;4;5;6;7;8;9},$A307&amp;"0123456789"))-1)</f>
        <v>MEX</v>
      </c>
      <c r="E307" t="str" cm="1">
        <f t="array" ref="E307">MID($A307,MIN(FIND({0;1;2;3;4;5;6;7;8;9},$A307&amp;"0123456789")),FIND("-",$A307)-MIN(FIND({0;1;2;3;4;5;6;7;8;9},$A307&amp;"0123456789")))</f>
        <v>87</v>
      </c>
      <c r="F307" t="str">
        <f t="shared" si="63"/>
        <v>10</v>
      </c>
      <c r="G307" t="str">
        <f t="shared" si="64"/>
        <v>Mo</v>
      </c>
      <c r="H307" t="str">
        <f t="shared" si="65"/>
        <v>MEX-10</v>
      </c>
      <c r="J307" t="s">
        <v>820</v>
      </c>
      <c r="K307" t="s">
        <v>1523</v>
      </c>
      <c r="L307">
        <v>87</v>
      </c>
      <c r="M307">
        <v>10</v>
      </c>
      <c r="N307" t="s">
        <v>1530</v>
      </c>
      <c r="O307" t="s">
        <v>1545</v>
      </c>
    </row>
    <row r="308" spans="1:15" x14ac:dyDescent="0.3">
      <c r="A308" t="str">
        <f>'Case 3 data'!A307</f>
        <v>ENG445-2Mo</v>
      </c>
      <c r="B308" t="str">
        <f>'Case 3 data'!B307</f>
        <v>Kimberly</v>
      </c>
      <c r="C308" t="str">
        <f>'Case 3 data'!C307</f>
        <v>Anderson</v>
      </c>
      <c r="D308" t="str" cm="1">
        <f t="array" ref="D308">LEFT($A308,MIN(FIND({0;1;2;3;4;5;6;7;8;9},$A308&amp;"0123456789"))-1)</f>
        <v>ENG</v>
      </c>
      <c r="E308" t="str" cm="1">
        <f t="array" ref="E308">MID($A308,MIN(FIND({0;1;2;3;4;5;6;7;8;9},$A308&amp;"0123456789")),FIND("-",$A308)-MIN(FIND({0;1;2;3;4;5;6;7;8;9},$A308&amp;"0123456789")))</f>
        <v>445</v>
      </c>
      <c r="F308" t="str">
        <f t="shared" si="63"/>
        <v>2</v>
      </c>
      <c r="G308" t="str">
        <f t="shared" si="64"/>
        <v>Mo</v>
      </c>
      <c r="H308" t="str">
        <f t="shared" si="65"/>
        <v>ENG-2</v>
      </c>
      <c r="J308" t="s">
        <v>821</v>
      </c>
      <c r="K308" t="s">
        <v>1521</v>
      </c>
      <c r="L308">
        <v>445</v>
      </c>
      <c r="M308">
        <v>2</v>
      </c>
      <c r="N308" t="s">
        <v>1530</v>
      </c>
      <c r="O308" t="s">
        <v>1541</v>
      </c>
    </row>
    <row r="309" spans="1:15" x14ac:dyDescent="0.3">
      <c r="A309" t="str">
        <f>'Case 3 data'!A308</f>
        <v>MEX75-11Mo</v>
      </c>
      <c r="B309" t="str">
        <f>'Case 3 data'!B308</f>
        <v>Karla</v>
      </c>
      <c r="C309" t="str">
        <f>'Case 3 data'!C308</f>
        <v>Cunningham</v>
      </c>
      <c r="D309" t="str" cm="1">
        <f t="array" ref="D309">LEFT($A309,MIN(FIND({0;1;2;3;4;5;6;7;8;9},$A309&amp;"0123456789"))-1)</f>
        <v>MEX</v>
      </c>
      <c r="E309" t="str" cm="1">
        <f t="array" ref="E309">MID($A309,MIN(FIND({0;1;2;3;4;5;6;7;8;9},$A309&amp;"0123456789")),FIND("-",$A309)-MIN(FIND({0;1;2;3;4;5;6;7;8;9},$A309&amp;"0123456789")))</f>
        <v>75</v>
      </c>
      <c r="F309" t="str">
        <f t="shared" si="63"/>
        <v>11</v>
      </c>
      <c r="G309" t="str">
        <f t="shared" si="64"/>
        <v>Mo</v>
      </c>
      <c r="H309" t="str">
        <f t="shared" si="65"/>
        <v>MEX-11</v>
      </c>
      <c r="J309" t="s">
        <v>823</v>
      </c>
      <c r="K309" t="str">
        <f t="shared" ref="K309:K372" si="75">LEFT(A309,3)</f>
        <v>MEX</v>
      </c>
      <c r="L309">
        <v>75</v>
      </c>
      <c r="M309">
        <v>11</v>
      </c>
      <c r="N309" t="s">
        <v>1530</v>
      </c>
      <c r="O309" t="s">
        <v>1624</v>
      </c>
    </row>
    <row r="310" spans="1:15" x14ac:dyDescent="0.3">
      <c r="A310" t="str">
        <f>'Case 3 data'!A309</f>
        <v>ARG162-7Mo</v>
      </c>
      <c r="B310" t="str">
        <f>'Case 3 data'!B309</f>
        <v>Bessie</v>
      </c>
      <c r="C310" t="str">
        <f>'Case 3 data'!C309</f>
        <v>Mccormick</v>
      </c>
      <c r="D310" t="str" cm="1">
        <f t="array" ref="D310">LEFT($A310,MIN(FIND({0;1;2;3;4;5;6;7;8;9},$A310&amp;"0123456789"))-1)</f>
        <v>ARG</v>
      </c>
      <c r="E310" t="str" cm="1">
        <f t="array" ref="E310">MID($A310,MIN(FIND({0;1;2;3;4;5;6;7;8;9},$A310&amp;"0123456789")),FIND("-",$A310)-MIN(FIND({0;1;2;3;4;5;6;7;8;9},$A310&amp;"0123456789")))</f>
        <v>162</v>
      </c>
      <c r="F310" t="str">
        <f t="shared" si="63"/>
        <v>7</v>
      </c>
      <c r="G310" t="str">
        <f t="shared" si="64"/>
        <v>Mo</v>
      </c>
      <c r="H310" t="str">
        <f t="shared" si="65"/>
        <v>ARG-7</v>
      </c>
      <c r="J310" t="s">
        <v>826</v>
      </c>
      <c r="K310" t="s">
        <v>1522</v>
      </c>
      <c r="L310">
        <v>162</v>
      </c>
      <c r="M310">
        <v>7</v>
      </c>
      <c r="N310" t="s">
        <v>1530</v>
      </c>
      <c r="O310" t="s">
        <v>1548</v>
      </c>
    </row>
    <row r="311" spans="1:15" x14ac:dyDescent="0.3">
      <c r="A311" t="str">
        <f>'Case 3 data'!A310</f>
        <v>Japan397-3Mo</v>
      </c>
      <c r="B311" t="str">
        <f>'Case 3 data'!B310</f>
        <v>Nancy</v>
      </c>
      <c r="C311" t="str">
        <f>'Case 3 data'!C310</f>
        <v>Henderson</v>
      </c>
      <c r="D311" t="str" cm="1">
        <f t="array" ref="D311">LEFT($A311,MIN(FIND({0;1;2;3;4;5;6;7;8;9},$A311&amp;"0123456789"))-1)</f>
        <v>Japan</v>
      </c>
      <c r="E311" t="str" cm="1">
        <f t="array" ref="E311">MID($A311,MIN(FIND({0;1;2;3;4;5;6;7;8;9},$A311&amp;"0123456789")),FIND("-",$A311)-MIN(FIND({0;1;2;3;4;5;6;7;8;9},$A311&amp;"0123456789")))</f>
        <v>397</v>
      </c>
      <c r="F311" t="str">
        <f t="shared" si="63"/>
        <v>3</v>
      </c>
      <c r="G311" t="str">
        <f t="shared" si="64"/>
        <v>Mo</v>
      </c>
      <c r="H311" t="str">
        <f t="shared" si="65"/>
        <v>Japan-3</v>
      </c>
      <c r="J311" t="s">
        <v>829</v>
      </c>
      <c r="K311" t="s">
        <v>1523</v>
      </c>
      <c r="L311">
        <v>397</v>
      </c>
      <c r="M311">
        <v>3</v>
      </c>
      <c r="N311" t="s">
        <v>1530</v>
      </c>
      <c r="O311" t="s">
        <v>1552</v>
      </c>
    </row>
    <row r="312" spans="1:15" x14ac:dyDescent="0.3">
      <c r="A312" t="str">
        <f>'Case 3 data'!A311</f>
        <v>Japan36-13W</v>
      </c>
      <c r="B312" t="str">
        <f>'Case 3 data'!B311</f>
        <v>Judy</v>
      </c>
      <c r="C312" t="str">
        <f>'Case 3 data'!C311</f>
        <v>Carter</v>
      </c>
      <c r="D312" t="str" cm="1">
        <f t="array" ref="D312">LEFT($A312,MIN(FIND({0;1;2;3;4;5;6;7;8;9},$A312&amp;"0123456789"))-1)</f>
        <v>Japan</v>
      </c>
      <c r="E312" t="str" cm="1">
        <f t="array" ref="E312">MID($A312,MIN(FIND({0;1;2;3;4;5;6;7;8;9},$A312&amp;"0123456789")),FIND("-",$A312)-MIN(FIND({0;1;2;3;4;5;6;7;8;9},$A312&amp;"0123456789")))</f>
        <v>36</v>
      </c>
      <c r="F312" t="str">
        <f t="shared" si="63"/>
        <v>13</v>
      </c>
      <c r="G312" t="str">
        <f t="shared" si="64"/>
        <v>W</v>
      </c>
      <c r="H312" t="str">
        <f t="shared" si="65"/>
        <v>Japan-13</v>
      </c>
      <c r="J312" t="s">
        <v>831</v>
      </c>
      <c r="K312" t="s">
        <v>1523</v>
      </c>
      <c r="L312">
        <v>36</v>
      </c>
      <c r="M312">
        <v>13</v>
      </c>
      <c r="N312" t="s">
        <v>1532</v>
      </c>
      <c r="O312" t="s">
        <v>1553</v>
      </c>
    </row>
    <row r="313" spans="1:15" x14ac:dyDescent="0.3">
      <c r="A313" t="str">
        <f>'Case 3 data'!A312</f>
        <v>AUS290-3W</v>
      </c>
      <c r="B313" t="str">
        <f>'Case 3 data'!B312</f>
        <v>Nikole</v>
      </c>
      <c r="C313" t="str">
        <f>'Case 3 data'!C312</f>
        <v>Mancini</v>
      </c>
      <c r="D313" t="str" cm="1">
        <f t="array" ref="D313">LEFT($A313,MIN(FIND({0;1;2;3;4;5;6;7;8;9},$A313&amp;"0123456789"))-1)</f>
        <v>AUS</v>
      </c>
      <c r="E313" t="str" cm="1">
        <f t="array" ref="E313">MID($A313,MIN(FIND({0;1;2;3;4;5;6;7;8;9},$A313&amp;"0123456789")),FIND("-",$A313)-MIN(FIND({0;1;2;3;4;5;6;7;8;9},$A313&amp;"0123456789")))</f>
        <v>290</v>
      </c>
      <c r="F313" t="str">
        <f t="shared" si="63"/>
        <v>3</v>
      </c>
      <c r="G313" t="str">
        <f t="shared" si="64"/>
        <v>W</v>
      </c>
      <c r="H313" t="str">
        <f t="shared" si="65"/>
        <v>AUS-3</v>
      </c>
      <c r="J313" t="s">
        <v>832</v>
      </c>
      <c r="K313" t="s">
        <v>1521</v>
      </c>
      <c r="L313">
        <v>290</v>
      </c>
      <c r="M313">
        <v>3</v>
      </c>
      <c r="N313" t="s">
        <v>1532</v>
      </c>
      <c r="O313" t="s">
        <v>1533</v>
      </c>
    </row>
    <row r="314" spans="1:15" x14ac:dyDescent="0.3">
      <c r="A314" t="str">
        <f>'Case 3 data'!A313</f>
        <v>US322-16W</v>
      </c>
      <c r="B314" t="str">
        <f>'Case 3 data'!B313</f>
        <v>Keith</v>
      </c>
      <c r="C314" t="str">
        <f>'Case 3 data'!C313</f>
        <v>Martin</v>
      </c>
      <c r="D314" t="str" cm="1">
        <f t="array" ref="D314">LEFT($A314,MIN(FIND({0;1;2;3;4;5;6;7;8;9},$A314&amp;"0123456789"))-1)</f>
        <v>US</v>
      </c>
      <c r="E314" t="str" cm="1">
        <f t="array" ref="E314">MID($A314,MIN(FIND({0;1;2;3;4;5;6;7;8;9},$A314&amp;"0123456789")),FIND("-",$A314)-MIN(FIND({0;1;2;3;4;5;6;7;8;9},$A314&amp;"0123456789")))</f>
        <v>322</v>
      </c>
      <c r="F314" t="str">
        <f t="shared" si="63"/>
        <v>16</v>
      </c>
      <c r="G314" t="str">
        <f t="shared" si="64"/>
        <v>W</v>
      </c>
      <c r="H314" t="str">
        <f t="shared" si="65"/>
        <v>US-16</v>
      </c>
      <c r="J314" t="s">
        <v>835</v>
      </c>
      <c r="K314" t="str">
        <f t="shared" ref="K314:K377" si="76">LEFT(A314,3)</f>
        <v>US3</v>
      </c>
      <c r="L314">
        <v>322</v>
      </c>
      <c r="M314">
        <v>16</v>
      </c>
      <c r="N314" t="s">
        <v>1532</v>
      </c>
      <c r="O314" t="s">
        <v>1625</v>
      </c>
    </row>
    <row r="315" spans="1:15" x14ac:dyDescent="0.3">
      <c r="A315" t="str">
        <f>'Case 3 data'!A314</f>
        <v>AUS135-14M</v>
      </c>
      <c r="B315" t="str">
        <f>'Case 3 data'!B314</f>
        <v>Joshua</v>
      </c>
      <c r="C315" t="str">
        <f>'Case 3 data'!C314</f>
        <v>Bailey</v>
      </c>
      <c r="D315" t="str" cm="1">
        <f t="array" ref="D315">LEFT($A315,MIN(FIND({0;1;2;3;4;5;6;7;8;9},$A315&amp;"0123456789"))-1)</f>
        <v>AUS</v>
      </c>
      <c r="E315" t="str" cm="1">
        <f t="array" ref="E315">MID($A315,MIN(FIND({0;1;2;3;4;5;6;7;8;9},$A315&amp;"0123456789")),FIND("-",$A315)-MIN(FIND({0;1;2;3;4;5;6;7;8;9},$A315&amp;"0123456789")))</f>
        <v>135</v>
      </c>
      <c r="F315" t="str">
        <f t="shared" si="63"/>
        <v>14</v>
      </c>
      <c r="G315" t="str">
        <f t="shared" si="64"/>
        <v>M</v>
      </c>
      <c r="H315" t="str">
        <f t="shared" si="65"/>
        <v>AUS-14</v>
      </c>
      <c r="J315" t="s">
        <v>837</v>
      </c>
      <c r="K315" t="s">
        <v>1522</v>
      </c>
      <c r="L315">
        <v>135</v>
      </c>
      <c r="M315">
        <v>14</v>
      </c>
      <c r="N315" t="s">
        <v>1531</v>
      </c>
      <c r="O315" t="s">
        <v>1600</v>
      </c>
    </row>
    <row r="316" spans="1:15" x14ac:dyDescent="0.3">
      <c r="A316" t="str">
        <f>'Case 3 data'!A315</f>
        <v>US229-8M</v>
      </c>
      <c r="B316" t="str">
        <f>'Case 3 data'!B315</f>
        <v>Wen</v>
      </c>
      <c r="C316" t="str">
        <f>'Case 3 data'!C315</f>
        <v>Huynh</v>
      </c>
      <c r="D316" t="str" cm="1">
        <f t="array" ref="D316">LEFT($A316,MIN(FIND({0;1;2;3;4;5;6;7;8;9},$A316&amp;"0123456789"))-1)</f>
        <v>US</v>
      </c>
      <c r="E316" t="str" cm="1">
        <f t="array" ref="E316">MID($A316,MIN(FIND({0;1;2;3;4;5;6;7;8;9},$A316&amp;"0123456789")),FIND("-",$A316)-MIN(FIND({0;1;2;3;4;5;6;7;8;9},$A316&amp;"0123456789")))</f>
        <v>229</v>
      </c>
      <c r="F316" t="str">
        <f t="shared" si="63"/>
        <v>8</v>
      </c>
      <c r="G316" t="str">
        <f t="shared" si="64"/>
        <v>M</v>
      </c>
      <c r="H316" t="str">
        <f t="shared" si="65"/>
        <v>US-8</v>
      </c>
      <c r="J316" t="s">
        <v>840</v>
      </c>
      <c r="K316" t="s">
        <v>1523</v>
      </c>
      <c r="L316">
        <v>229</v>
      </c>
      <c r="M316">
        <v>8</v>
      </c>
      <c r="N316" t="s">
        <v>1531</v>
      </c>
      <c r="O316" t="s">
        <v>1574</v>
      </c>
    </row>
    <row r="317" spans="1:15" x14ac:dyDescent="0.3">
      <c r="A317" t="str">
        <f>'Case 3 data'!A316</f>
        <v>Japan69-17M</v>
      </c>
      <c r="B317" t="str">
        <f>'Case 3 data'!B316</f>
        <v>Leonora</v>
      </c>
      <c r="C317" t="str">
        <f>'Case 3 data'!C316</f>
        <v>Florence</v>
      </c>
      <c r="D317" t="str" cm="1">
        <f t="array" ref="D317">LEFT($A317,MIN(FIND({0;1;2;3;4;5;6;7;8;9},$A317&amp;"0123456789"))-1)</f>
        <v>Japan</v>
      </c>
      <c r="E317" t="str" cm="1">
        <f t="array" ref="E317">MID($A317,MIN(FIND({0;1;2;3;4;5;6;7;8;9},$A317&amp;"0123456789")),FIND("-",$A317)-MIN(FIND({0;1;2;3;4;5;6;7;8;9},$A317&amp;"0123456789")))</f>
        <v>69</v>
      </c>
      <c r="F317" t="str">
        <f t="shared" si="63"/>
        <v>17</v>
      </c>
      <c r="G317" t="str">
        <f t="shared" si="64"/>
        <v>M</v>
      </c>
      <c r="H317" t="str">
        <f t="shared" si="65"/>
        <v>Japan-17</v>
      </c>
      <c r="J317" t="s">
        <v>843</v>
      </c>
      <c r="K317" t="s">
        <v>1523</v>
      </c>
      <c r="L317">
        <v>69</v>
      </c>
      <c r="M317">
        <v>17</v>
      </c>
      <c r="N317" t="s">
        <v>1531</v>
      </c>
      <c r="O317" t="s">
        <v>1572</v>
      </c>
    </row>
    <row r="318" spans="1:15" x14ac:dyDescent="0.3">
      <c r="A318" t="str">
        <f>'Case 3 data'!A317</f>
        <v>ARG513-12W</v>
      </c>
      <c r="B318" t="str">
        <f>'Case 3 data'!B317</f>
        <v>Adaline</v>
      </c>
      <c r="C318" t="str">
        <f>'Case 3 data'!C317</f>
        <v>Cochrane</v>
      </c>
      <c r="D318" t="str" cm="1">
        <f t="array" ref="D318">LEFT($A318,MIN(FIND({0;1;2;3;4;5;6;7;8;9},$A318&amp;"0123456789"))-1)</f>
        <v>ARG</v>
      </c>
      <c r="E318" t="str" cm="1">
        <f t="array" ref="E318">MID($A318,MIN(FIND({0;1;2;3;4;5;6;7;8;9},$A318&amp;"0123456789")),FIND("-",$A318)-MIN(FIND({0;1;2;3;4;5;6;7;8;9},$A318&amp;"0123456789")))</f>
        <v>513</v>
      </c>
      <c r="F318" t="str">
        <f t="shared" si="63"/>
        <v>12</v>
      </c>
      <c r="G318" t="str">
        <f t="shared" si="64"/>
        <v>W</v>
      </c>
      <c r="H318" t="str">
        <f t="shared" si="65"/>
        <v>ARG-12</v>
      </c>
      <c r="J318" t="s">
        <v>846</v>
      </c>
      <c r="K318" t="s">
        <v>1521</v>
      </c>
      <c r="L318">
        <v>513</v>
      </c>
      <c r="M318">
        <v>12</v>
      </c>
      <c r="N318" t="s">
        <v>1532</v>
      </c>
      <c r="O318" t="s">
        <v>1614</v>
      </c>
    </row>
    <row r="319" spans="1:15" x14ac:dyDescent="0.3">
      <c r="A319" t="str">
        <f>'Case 3 data'!A318</f>
        <v>US538-1Mo</v>
      </c>
      <c r="B319" t="str">
        <f>'Case 3 data'!B318</f>
        <v>Tami</v>
      </c>
      <c r="C319" t="str">
        <f>'Case 3 data'!C318</f>
        <v>Cobb</v>
      </c>
      <c r="D319" t="str" cm="1">
        <f t="array" ref="D319">LEFT($A319,MIN(FIND({0;1;2;3;4;5;6;7;8;9},$A319&amp;"0123456789"))-1)</f>
        <v>US</v>
      </c>
      <c r="E319" t="str" cm="1">
        <f t="array" ref="E319">MID($A319,MIN(FIND({0;1;2;3;4;5;6;7;8;9},$A319&amp;"0123456789")),FIND("-",$A319)-MIN(FIND({0;1;2;3;4;5;6;7;8;9},$A319&amp;"0123456789")))</f>
        <v>538</v>
      </c>
      <c r="F319" t="str">
        <f t="shared" si="63"/>
        <v>1</v>
      </c>
      <c r="G319" t="str">
        <f t="shared" si="64"/>
        <v>Mo</v>
      </c>
      <c r="H319" t="str">
        <f t="shared" si="65"/>
        <v>US-1</v>
      </c>
      <c r="J319" t="s">
        <v>849</v>
      </c>
      <c r="K319" t="str">
        <f t="shared" ref="K319:K382" si="77">LEFT(A319,3)</f>
        <v>US5</v>
      </c>
      <c r="L319">
        <v>538</v>
      </c>
      <c r="M319">
        <v>1</v>
      </c>
      <c r="N319" t="s">
        <v>1530</v>
      </c>
      <c r="O319" t="s">
        <v>1626</v>
      </c>
    </row>
    <row r="320" spans="1:15" x14ac:dyDescent="0.3">
      <c r="A320" t="str">
        <f>'Case 3 data'!A319</f>
        <v>MEX274-1M</v>
      </c>
      <c r="B320" t="str">
        <f>'Case 3 data'!B319</f>
        <v>Etsuko</v>
      </c>
      <c r="C320" t="str">
        <f>'Case 3 data'!C319</f>
        <v>Battles</v>
      </c>
      <c r="D320" t="str" cm="1">
        <f t="array" ref="D320">LEFT($A320,MIN(FIND({0;1;2;3;4;5;6;7;8;9},$A320&amp;"0123456789"))-1)</f>
        <v>MEX</v>
      </c>
      <c r="E320" t="str" cm="1">
        <f t="array" ref="E320">MID($A320,MIN(FIND({0;1;2;3;4;5;6;7;8;9},$A320&amp;"0123456789")),FIND("-",$A320)-MIN(FIND({0;1;2;3;4;5;6;7;8;9},$A320&amp;"0123456789")))</f>
        <v>274</v>
      </c>
      <c r="F320" t="str">
        <f t="shared" si="63"/>
        <v>1</v>
      </c>
      <c r="G320" t="str">
        <f t="shared" si="64"/>
        <v>M</v>
      </c>
      <c r="H320" t="str">
        <f t="shared" si="65"/>
        <v>MEX-1</v>
      </c>
      <c r="J320" t="s">
        <v>852</v>
      </c>
      <c r="K320" t="s">
        <v>1522</v>
      </c>
      <c r="L320">
        <v>274</v>
      </c>
      <c r="M320">
        <v>1</v>
      </c>
      <c r="N320" t="s">
        <v>1531</v>
      </c>
      <c r="O320" t="s">
        <v>1563</v>
      </c>
    </row>
    <row r="321" spans="1:15" x14ac:dyDescent="0.3">
      <c r="A321" t="str">
        <f>'Case 3 data'!A320</f>
        <v>US90-4W</v>
      </c>
      <c r="B321" t="str">
        <f>'Case 3 data'!B320</f>
        <v>Sheri</v>
      </c>
      <c r="C321" t="str">
        <f>'Case 3 data'!C320</f>
        <v>Clayton</v>
      </c>
      <c r="D321" t="str" cm="1">
        <f t="array" ref="D321">LEFT($A321,MIN(FIND({0;1;2;3;4;5;6;7;8;9},$A321&amp;"0123456789"))-1)</f>
        <v>US</v>
      </c>
      <c r="E321" t="str" cm="1">
        <f t="array" ref="E321">MID($A321,MIN(FIND({0;1;2;3;4;5;6;7;8;9},$A321&amp;"0123456789")),FIND("-",$A321)-MIN(FIND({0;1;2;3;4;5;6;7;8;9},$A321&amp;"0123456789")))</f>
        <v>90</v>
      </c>
      <c r="F321" t="str">
        <f t="shared" si="63"/>
        <v>4</v>
      </c>
      <c r="G321" t="str">
        <f t="shared" si="64"/>
        <v>W</v>
      </c>
      <c r="H321" t="str">
        <f t="shared" si="65"/>
        <v>US-4</v>
      </c>
      <c r="J321" t="s">
        <v>855</v>
      </c>
      <c r="K321" t="s">
        <v>1523</v>
      </c>
      <c r="L321">
        <v>90</v>
      </c>
      <c r="M321">
        <v>4</v>
      </c>
      <c r="N321" t="s">
        <v>1532</v>
      </c>
      <c r="O321" t="s">
        <v>1564</v>
      </c>
    </row>
    <row r="322" spans="1:15" x14ac:dyDescent="0.3">
      <c r="A322" t="str">
        <f>'Case 3 data'!A321</f>
        <v>Canada226-4M</v>
      </c>
      <c r="B322" t="str">
        <f>'Case 3 data'!B321</f>
        <v>Mimi</v>
      </c>
      <c r="C322" t="str">
        <f>'Case 3 data'!C321</f>
        <v>Tidwell</v>
      </c>
      <c r="D322" t="str" cm="1">
        <f t="array" ref="D322">LEFT($A322,MIN(FIND({0;1;2;3;4;5;6;7;8;9},$A322&amp;"0123456789"))-1)</f>
        <v>Canada</v>
      </c>
      <c r="E322" t="str" cm="1">
        <f t="array" ref="E322">MID($A322,MIN(FIND({0;1;2;3;4;5;6;7;8;9},$A322&amp;"0123456789")),FIND("-",$A322)-MIN(FIND({0;1;2;3;4;5;6;7;8;9},$A322&amp;"0123456789")))</f>
        <v>226</v>
      </c>
      <c r="F322" t="str">
        <f t="shared" si="63"/>
        <v>4</v>
      </c>
      <c r="G322" t="str">
        <f t="shared" si="64"/>
        <v>M</v>
      </c>
      <c r="H322" t="str">
        <f t="shared" si="65"/>
        <v>Canada-4</v>
      </c>
      <c r="J322" t="s">
        <v>858</v>
      </c>
      <c r="K322" t="s">
        <v>1523</v>
      </c>
      <c r="L322">
        <v>226</v>
      </c>
      <c r="M322">
        <v>4</v>
      </c>
      <c r="N322" t="s">
        <v>1531</v>
      </c>
      <c r="O322" t="s">
        <v>1564</v>
      </c>
    </row>
    <row r="323" spans="1:15" x14ac:dyDescent="0.3">
      <c r="A323" t="str">
        <f>'Case 3 data'!A322</f>
        <v>US314-1M</v>
      </c>
      <c r="B323" t="str">
        <f>'Case 3 data'!B322</f>
        <v>Larita</v>
      </c>
      <c r="C323" t="str">
        <f>'Case 3 data'!C322</f>
        <v>Messina</v>
      </c>
      <c r="D323" t="str" cm="1">
        <f t="array" ref="D323">LEFT($A323,MIN(FIND({0;1;2;3;4;5;6;7;8;9},$A323&amp;"0123456789"))-1)</f>
        <v>US</v>
      </c>
      <c r="E323" t="str" cm="1">
        <f t="array" ref="E323">MID($A323,MIN(FIND({0;1;2;3;4;5;6;7;8;9},$A323&amp;"0123456789")),FIND("-",$A323)-MIN(FIND({0;1;2;3;4;5;6;7;8;9},$A323&amp;"0123456789")))</f>
        <v>314</v>
      </c>
      <c r="F323" t="str">
        <f t="shared" si="63"/>
        <v>1</v>
      </c>
      <c r="G323" t="str">
        <f t="shared" si="64"/>
        <v>M</v>
      </c>
      <c r="H323" t="str">
        <f t="shared" si="65"/>
        <v>US-1</v>
      </c>
      <c r="J323" t="s">
        <v>861</v>
      </c>
      <c r="K323" t="s">
        <v>1521</v>
      </c>
      <c r="L323">
        <v>314</v>
      </c>
      <c r="M323">
        <v>1</v>
      </c>
      <c r="N323" t="s">
        <v>1531</v>
      </c>
      <c r="O323" t="s">
        <v>1583</v>
      </c>
    </row>
    <row r="324" spans="1:15" x14ac:dyDescent="0.3">
      <c r="A324" t="str">
        <f>'Case 3 data'!A323</f>
        <v>US441-7M</v>
      </c>
      <c r="B324" t="str">
        <f>'Case 3 data'!B323</f>
        <v>Trula</v>
      </c>
      <c r="C324" t="str">
        <f>'Case 3 data'!C323</f>
        <v>Back</v>
      </c>
      <c r="D324" t="str" cm="1">
        <f t="array" ref="D324">LEFT($A324,MIN(FIND({0;1;2;3;4;5;6;7;8;9},$A324&amp;"0123456789"))-1)</f>
        <v>US</v>
      </c>
      <c r="E324" t="str" cm="1">
        <f t="array" ref="E324">MID($A324,MIN(FIND({0;1;2;3;4;5;6;7;8;9},$A324&amp;"0123456789")),FIND("-",$A324)-MIN(FIND({0;1;2;3;4;5;6;7;8;9},$A324&amp;"0123456789")))</f>
        <v>441</v>
      </c>
      <c r="F324" t="str">
        <f t="shared" ref="F324:F387" si="78">MID($A324,FIND("-",$A324)+1,LEN($A324)-FIND("-",$A324)-LEN($G324))</f>
        <v>7</v>
      </c>
      <c r="G324" t="str">
        <f t="shared" ref="G324:G387" si="79">IF(RIGHT($A324,2)="Mo","Mo",RIGHT($A324,1))</f>
        <v>M</v>
      </c>
      <c r="H324" t="str">
        <f t="shared" ref="H324:H387" si="80">D324&amp;"-"&amp;F324</f>
        <v>US-7</v>
      </c>
      <c r="J324" t="s">
        <v>864</v>
      </c>
      <c r="K324" t="str">
        <f t="shared" ref="K324:K387" si="81">LEFT(A324,3)</f>
        <v>US4</v>
      </c>
      <c r="L324">
        <v>441</v>
      </c>
      <c r="M324">
        <v>7</v>
      </c>
      <c r="N324" t="s">
        <v>1531</v>
      </c>
      <c r="O324" t="s">
        <v>1615</v>
      </c>
    </row>
    <row r="325" spans="1:15" x14ac:dyDescent="0.3">
      <c r="A325" t="str">
        <f>'Case 3 data'!A324</f>
        <v>GER146-12Mo</v>
      </c>
      <c r="B325" t="str">
        <f>'Case 3 data'!B324</f>
        <v>Dominique</v>
      </c>
      <c r="C325" t="str">
        <f>'Case 3 data'!C324</f>
        <v>Beaty</v>
      </c>
      <c r="D325" t="str" cm="1">
        <f t="array" ref="D325">LEFT($A325,MIN(FIND({0;1;2;3;4;5;6;7;8;9},$A325&amp;"0123456789"))-1)</f>
        <v>GER</v>
      </c>
      <c r="E325" t="str" cm="1">
        <f t="array" ref="E325">MID($A325,MIN(FIND({0;1;2;3;4;5;6;7;8;9},$A325&amp;"0123456789")),FIND("-",$A325)-MIN(FIND({0;1;2;3;4;5;6;7;8;9},$A325&amp;"0123456789")))</f>
        <v>146</v>
      </c>
      <c r="F325" t="str">
        <f t="shared" si="78"/>
        <v>12</v>
      </c>
      <c r="G325" t="str">
        <f t="shared" si="79"/>
        <v>Mo</v>
      </c>
      <c r="H325" t="str">
        <f t="shared" si="80"/>
        <v>GER-12</v>
      </c>
      <c r="J325" t="s">
        <v>867</v>
      </c>
      <c r="K325" t="s">
        <v>1522</v>
      </c>
      <c r="L325">
        <v>146</v>
      </c>
      <c r="M325">
        <v>12</v>
      </c>
      <c r="N325" t="s">
        <v>1530</v>
      </c>
      <c r="O325" t="s">
        <v>1627</v>
      </c>
    </row>
    <row r="326" spans="1:15" x14ac:dyDescent="0.3">
      <c r="A326" t="str">
        <f>'Case 3 data'!A325</f>
        <v>US19-4Mo</v>
      </c>
      <c r="B326" t="str">
        <f>'Case 3 data'!B325</f>
        <v>George</v>
      </c>
      <c r="C326" t="str">
        <f>'Case 3 data'!C325</f>
        <v>Martinez</v>
      </c>
      <c r="D326" t="str" cm="1">
        <f t="array" ref="D326">LEFT($A326,MIN(FIND({0;1;2;3;4;5;6;7;8;9},$A326&amp;"0123456789"))-1)</f>
        <v>US</v>
      </c>
      <c r="E326" t="str" cm="1">
        <f t="array" ref="E326">MID($A326,MIN(FIND({0;1;2;3;4;5;6;7;8;9},$A326&amp;"0123456789")),FIND("-",$A326)-MIN(FIND({0;1;2;3;4;5;6;7;8;9},$A326&amp;"0123456789")))</f>
        <v>19</v>
      </c>
      <c r="F326" t="str">
        <f t="shared" si="78"/>
        <v>4</v>
      </c>
      <c r="G326" t="str">
        <f t="shared" si="79"/>
        <v>Mo</v>
      </c>
      <c r="H326" t="str">
        <f t="shared" si="80"/>
        <v>US-4</v>
      </c>
      <c r="J326" t="s">
        <v>870</v>
      </c>
      <c r="K326" t="s">
        <v>1523</v>
      </c>
      <c r="L326">
        <v>19</v>
      </c>
      <c r="M326">
        <v>4</v>
      </c>
      <c r="N326" t="s">
        <v>1530</v>
      </c>
      <c r="O326" t="s">
        <v>1564</v>
      </c>
    </row>
    <row r="327" spans="1:15" x14ac:dyDescent="0.3">
      <c r="A327" t="str">
        <f>'Case 3 data'!A326</f>
        <v>ARG379-17Mo</v>
      </c>
      <c r="B327" t="str">
        <f>'Case 3 data'!B326</f>
        <v>Louis</v>
      </c>
      <c r="C327" t="str">
        <f>'Case 3 data'!C326</f>
        <v>Reed</v>
      </c>
      <c r="D327" t="str" cm="1">
        <f t="array" ref="D327">LEFT($A327,MIN(FIND({0;1;2;3;4;5;6;7;8;9},$A327&amp;"0123456789"))-1)</f>
        <v>ARG</v>
      </c>
      <c r="E327" t="str" cm="1">
        <f t="array" ref="E327">MID($A327,MIN(FIND({0;1;2;3;4;5;6;7;8;9},$A327&amp;"0123456789")),FIND("-",$A327)-MIN(FIND({0;1;2;3;4;5;6;7;8;9},$A327&amp;"0123456789")))</f>
        <v>379</v>
      </c>
      <c r="F327" t="str">
        <f t="shared" si="78"/>
        <v>17</v>
      </c>
      <c r="G327" t="str">
        <f t="shared" si="79"/>
        <v>Mo</v>
      </c>
      <c r="H327" t="str">
        <f t="shared" si="80"/>
        <v>ARG-17</v>
      </c>
      <c r="J327" t="s">
        <v>872</v>
      </c>
      <c r="K327" t="s">
        <v>1523</v>
      </c>
      <c r="L327">
        <v>379</v>
      </c>
      <c r="M327">
        <v>17</v>
      </c>
      <c r="N327" t="s">
        <v>1530</v>
      </c>
      <c r="O327" t="s">
        <v>1572</v>
      </c>
    </row>
    <row r="328" spans="1:15" x14ac:dyDescent="0.3">
      <c r="A328" t="str">
        <f>'Case 3 data'!A327</f>
        <v>Canada57-9Mo</v>
      </c>
      <c r="B328" t="str">
        <f>'Case 3 data'!B327</f>
        <v>Len</v>
      </c>
      <c r="C328" t="str">
        <f>'Case 3 data'!C327</f>
        <v>Otto</v>
      </c>
      <c r="D328" t="str" cm="1">
        <f t="array" ref="D328">LEFT($A328,MIN(FIND({0;1;2;3;4;5;6;7;8;9},$A328&amp;"0123456789"))-1)</f>
        <v>Canada</v>
      </c>
      <c r="E328" t="str" cm="1">
        <f t="array" ref="E328">MID($A328,MIN(FIND({0;1;2;3;4;5;6;7;8;9},$A328&amp;"0123456789")),FIND("-",$A328)-MIN(FIND({0;1;2;3;4;5;6;7;8;9},$A328&amp;"0123456789")))</f>
        <v>57</v>
      </c>
      <c r="F328" t="str">
        <f t="shared" si="78"/>
        <v>9</v>
      </c>
      <c r="G328" t="str">
        <f t="shared" si="79"/>
        <v>Mo</v>
      </c>
      <c r="H328" t="str">
        <f t="shared" si="80"/>
        <v>Canada-9</v>
      </c>
      <c r="J328" t="s">
        <v>874</v>
      </c>
      <c r="K328" t="s">
        <v>1521</v>
      </c>
      <c r="L328">
        <v>57</v>
      </c>
      <c r="M328">
        <v>9</v>
      </c>
      <c r="N328" t="s">
        <v>1530</v>
      </c>
      <c r="O328" t="s">
        <v>1559</v>
      </c>
    </row>
    <row r="329" spans="1:15" x14ac:dyDescent="0.3">
      <c r="A329" t="str">
        <f>'Case 3 data'!A328</f>
        <v>ENG473-16W</v>
      </c>
      <c r="B329" t="str">
        <f>'Case 3 data'!B328</f>
        <v>Brandy</v>
      </c>
      <c r="C329" t="str">
        <f>'Case 3 data'!C328</f>
        <v>Buchanan</v>
      </c>
      <c r="D329" t="str" cm="1">
        <f t="array" ref="D329">LEFT($A329,MIN(FIND({0;1;2;3;4;5;6;7;8;9},$A329&amp;"0123456789"))-1)</f>
        <v>ENG</v>
      </c>
      <c r="E329" t="str" cm="1">
        <f t="array" ref="E329">MID($A329,MIN(FIND({0;1;2;3;4;5;6;7;8;9},$A329&amp;"0123456789")),FIND("-",$A329)-MIN(FIND({0;1;2;3;4;5;6;7;8;9},$A329&amp;"0123456789")))</f>
        <v>473</v>
      </c>
      <c r="F329" t="str">
        <f t="shared" si="78"/>
        <v>16</v>
      </c>
      <c r="G329" t="str">
        <f t="shared" si="79"/>
        <v>W</v>
      </c>
      <c r="H329" t="str">
        <f t="shared" si="80"/>
        <v>ENG-16</v>
      </c>
      <c r="J329" t="s">
        <v>877</v>
      </c>
      <c r="K329" t="str">
        <f t="shared" ref="K329:K392" si="82">LEFT(A329,3)</f>
        <v>ENG</v>
      </c>
      <c r="L329">
        <v>473</v>
      </c>
      <c r="M329">
        <v>16</v>
      </c>
      <c r="N329" t="s">
        <v>1532</v>
      </c>
      <c r="O329" t="s">
        <v>1628</v>
      </c>
    </row>
    <row r="330" spans="1:15" x14ac:dyDescent="0.3">
      <c r="A330" t="str">
        <f>'Case 3 data'!A329</f>
        <v>ARG387-10W</v>
      </c>
      <c r="B330" t="str">
        <f>'Case 3 data'!B329</f>
        <v>Clinton</v>
      </c>
      <c r="C330" t="str">
        <f>'Case 3 data'!C329</f>
        <v>Edwards</v>
      </c>
      <c r="D330" t="str" cm="1">
        <f t="array" ref="D330">LEFT($A330,MIN(FIND({0;1;2;3;4;5;6;7;8;9},$A330&amp;"0123456789"))-1)</f>
        <v>ARG</v>
      </c>
      <c r="E330" t="str" cm="1">
        <f t="array" ref="E330">MID($A330,MIN(FIND({0;1;2;3;4;5;6;7;8;9},$A330&amp;"0123456789")),FIND("-",$A330)-MIN(FIND({0;1;2;3;4;5;6;7;8;9},$A330&amp;"0123456789")))</f>
        <v>387</v>
      </c>
      <c r="F330" t="str">
        <f t="shared" si="78"/>
        <v>10</v>
      </c>
      <c r="G330" t="str">
        <f t="shared" si="79"/>
        <v>W</v>
      </c>
      <c r="H330" t="str">
        <f t="shared" si="80"/>
        <v>ARG-10</v>
      </c>
      <c r="J330" t="s">
        <v>880</v>
      </c>
      <c r="K330" t="s">
        <v>1522</v>
      </c>
      <c r="L330">
        <v>387</v>
      </c>
      <c r="M330">
        <v>10</v>
      </c>
      <c r="N330" t="s">
        <v>1532</v>
      </c>
      <c r="O330" t="s">
        <v>1551</v>
      </c>
    </row>
    <row r="331" spans="1:15" x14ac:dyDescent="0.3">
      <c r="A331" t="str">
        <f>'Case 3 data'!A330</f>
        <v>ENG152-11W</v>
      </c>
      <c r="B331" t="str">
        <f>'Case 3 data'!B330</f>
        <v>Shirley</v>
      </c>
      <c r="C331" t="str">
        <f>'Case 3 data'!C330</f>
        <v>Robinson</v>
      </c>
      <c r="D331" t="str" cm="1">
        <f t="array" ref="D331">LEFT($A331,MIN(FIND({0;1;2;3;4;5;6;7;8;9},$A331&amp;"0123456789"))-1)</f>
        <v>ENG</v>
      </c>
      <c r="E331" t="str" cm="1">
        <f t="array" ref="E331">MID($A331,MIN(FIND({0;1;2;3;4;5;6;7;8;9},$A331&amp;"0123456789")),FIND("-",$A331)-MIN(FIND({0;1;2;3;4;5;6;7;8;9},$A331&amp;"0123456789")))</f>
        <v>152</v>
      </c>
      <c r="F331" t="str">
        <f t="shared" si="78"/>
        <v>11</v>
      </c>
      <c r="G331" t="str">
        <f t="shared" si="79"/>
        <v>W</v>
      </c>
      <c r="H331" t="str">
        <f t="shared" si="80"/>
        <v>ENG-11</v>
      </c>
      <c r="J331" t="s">
        <v>882</v>
      </c>
      <c r="K331" t="s">
        <v>1523</v>
      </c>
      <c r="L331">
        <v>152</v>
      </c>
      <c r="M331">
        <v>11</v>
      </c>
      <c r="N331" t="s">
        <v>1532</v>
      </c>
      <c r="O331" t="s">
        <v>1580</v>
      </c>
    </row>
    <row r="332" spans="1:15" x14ac:dyDescent="0.3">
      <c r="A332" t="str">
        <f>'Case 3 data'!A331</f>
        <v>US174-12M</v>
      </c>
      <c r="B332" t="str">
        <f>'Case 3 data'!B331</f>
        <v>Carman</v>
      </c>
      <c r="C332" t="str">
        <f>'Case 3 data'!C331</f>
        <v>Baylor</v>
      </c>
      <c r="D332" t="str" cm="1">
        <f t="array" ref="D332">LEFT($A332,MIN(FIND({0;1;2;3;4;5;6;7;8;9},$A332&amp;"0123456789"))-1)</f>
        <v>US</v>
      </c>
      <c r="E332" t="str" cm="1">
        <f t="array" ref="E332">MID($A332,MIN(FIND({0;1;2;3;4;5;6;7;8;9},$A332&amp;"0123456789")),FIND("-",$A332)-MIN(FIND({0;1;2;3;4;5;6;7;8;9},$A332&amp;"0123456789")))</f>
        <v>174</v>
      </c>
      <c r="F332" t="str">
        <f t="shared" si="78"/>
        <v>12</v>
      </c>
      <c r="G332" t="str">
        <f t="shared" si="79"/>
        <v>M</v>
      </c>
      <c r="H332" t="str">
        <f t="shared" si="80"/>
        <v>US-12</v>
      </c>
      <c r="J332" t="s">
        <v>883</v>
      </c>
      <c r="K332" t="s">
        <v>1523</v>
      </c>
      <c r="L332">
        <v>174</v>
      </c>
      <c r="M332">
        <v>12</v>
      </c>
      <c r="N332" t="s">
        <v>1531</v>
      </c>
      <c r="O332" t="s">
        <v>1567</v>
      </c>
    </row>
    <row r="333" spans="1:15" x14ac:dyDescent="0.3">
      <c r="A333" t="str">
        <f>'Case 3 data'!A332</f>
        <v>GER346-13M</v>
      </c>
      <c r="B333" t="str">
        <f>'Case 3 data'!B332</f>
        <v>Eunice</v>
      </c>
      <c r="C333" t="str">
        <f>'Case 3 data'!C332</f>
        <v>Mcdonald</v>
      </c>
      <c r="D333" t="str" cm="1">
        <f t="array" ref="D333">LEFT($A333,MIN(FIND({0;1;2;3;4;5;6;7;8;9},$A333&amp;"0123456789"))-1)</f>
        <v>GER</v>
      </c>
      <c r="E333" t="str" cm="1">
        <f t="array" ref="E333">MID($A333,MIN(FIND({0;1;2;3;4;5;6;7;8;9},$A333&amp;"0123456789")),FIND("-",$A333)-MIN(FIND({0;1;2;3;4;5;6;7;8;9},$A333&amp;"0123456789")))</f>
        <v>346</v>
      </c>
      <c r="F333" t="str">
        <f t="shared" si="78"/>
        <v>13</v>
      </c>
      <c r="G333" t="str">
        <f t="shared" si="79"/>
        <v>M</v>
      </c>
      <c r="H333" t="str">
        <f t="shared" si="80"/>
        <v>GER-13</v>
      </c>
      <c r="J333" t="s">
        <v>886</v>
      </c>
      <c r="K333" t="s">
        <v>1521</v>
      </c>
      <c r="L333">
        <v>346</v>
      </c>
      <c r="M333">
        <v>13</v>
      </c>
      <c r="N333" t="s">
        <v>1531</v>
      </c>
      <c r="O333" t="s">
        <v>1571</v>
      </c>
    </row>
    <row r="334" spans="1:15" x14ac:dyDescent="0.3">
      <c r="A334" t="str">
        <f>'Case 3 data'!A333</f>
        <v>GER129-15W</v>
      </c>
      <c r="B334" t="str">
        <f>'Case 3 data'!B333</f>
        <v>Gretchen</v>
      </c>
      <c r="C334" t="str">
        <f>'Case 3 data'!C333</f>
        <v>Hale</v>
      </c>
      <c r="D334" t="str" cm="1">
        <f t="array" ref="D334">LEFT($A334,MIN(FIND({0;1;2;3;4;5;6;7;8;9},$A334&amp;"0123456789"))-1)</f>
        <v>GER</v>
      </c>
      <c r="E334" t="str" cm="1">
        <f t="array" ref="E334">MID($A334,MIN(FIND({0;1;2;3;4;5;6;7;8;9},$A334&amp;"0123456789")),FIND("-",$A334)-MIN(FIND({0;1;2;3;4;5;6;7;8;9},$A334&amp;"0123456789")))</f>
        <v>129</v>
      </c>
      <c r="F334" t="str">
        <f t="shared" si="78"/>
        <v>15</v>
      </c>
      <c r="G334" t="str">
        <f t="shared" si="79"/>
        <v>W</v>
      </c>
      <c r="H334" t="str">
        <f t="shared" si="80"/>
        <v>GER-15</v>
      </c>
      <c r="J334" t="s">
        <v>889</v>
      </c>
      <c r="K334" t="str">
        <f t="shared" ref="K334:K397" si="83">LEFT(A334,3)</f>
        <v>GER</v>
      </c>
      <c r="L334">
        <v>129</v>
      </c>
      <c r="M334">
        <v>15</v>
      </c>
      <c r="N334" t="s">
        <v>1532</v>
      </c>
      <c r="O334" t="s">
        <v>1558</v>
      </c>
    </row>
    <row r="335" spans="1:15" x14ac:dyDescent="0.3">
      <c r="A335" t="str">
        <f>'Case 3 data'!A334</f>
        <v>Japan207-12M</v>
      </c>
      <c r="B335" t="str">
        <f>'Case 3 data'!B334</f>
        <v>Catherine</v>
      </c>
      <c r="C335" t="str">
        <f>'Case 3 data'!C334</f>
        <v>Stewart</v>
      </c>
      <c r="D335" t="str" cm="1">
        <f t="array" ref="D335">LEFT($A335,MIN(FIND({0;1;2;3;4;5;6;7;8;9},$A335&amp;"0123456789"))-1)</f>
        <v>Japan</v>
      </c>
      <c r="E335" t="str" cm="1">
        <f t="array" ref="E335">MID($A335,MIN(FIND({0;1;2;3;4;5;6;7;8;9},$A335&amp;"0123456789")),FIND("-",$A335)-MIN(FIND({0;1;2;3;4;5;6;7;8;9},$A335&amp;"0123456789")))</f>
        <v>207</v>
      </c>
      <c r="F335" t="str">
        <f t="shared" si="78"/>
        <v>12</v>
      </c>
      <c r="G335" t="str">
        <f t="shared" si="79"/>
        <v>M</v>
      </c>
      <c r="H335" t="str">
        <f t="shared" si="80"/>
        <v>Japan-12</v>
      </c>
      <c r="J335" t="s">
        <v>892</v>
      </c>
      <c r="K335" t="s">
        <v>1522</v>
      </c>
      <c r="L335">
        <v>207</v>
      </c>
      <c r="M335">
        <v>12</v>
      </c>
      <c r="N335" t="s">
        <v>1531</v>
      </c>
      <c r="O335" t="s">
        <v>1627</v>
      </c>
    </row>
    <row r="336" spans="1:15" x14ac:dyDescent="0.3">
      <c r="A336" t="str">
        <f>'Case 3 data'!A335</f>
        <v>GER261-6Mo</v>
      </c>
      <c r="B336" t="str">
        <f>'Case 3 data'!B335</f>
        <v>Hazel</v>
      </c>
      <c r="C336" t="str">
        <f>'Case 3 data'!C335</f>
        <v>Walsh</v>
      </c>
      <c r="D336" t="str" cm="1">
        <f t="array" ref="D336">LEFT($A336,MIN(FIND({0;1;2;3;4;5;6;7;8;9},$A336&amp;"0123456789"))-1)</f>
        <v>GER</v>
      </c>
      <c r="E336" t="str" cm="1">
        <f t="array" ref="E336">MID($A336,MIN(FIND({0;1;2;3;4;5;6;7;8;9},$A336&amp;"0123456789")),FIND("-",$A336)-MIN(FIND({0;1;2;3;4;5;6;7;8;9},$A336&amp;"0123456789")))</f>
        <v>261</v>
      </c>
      <c r="F336" t="str">
        <f t="shared" si="78"/>
        <v>6</v>
      </c>
      <c r="G336" t="str">
        <f t="shared" si="79"/>
        <v>Mo</v>
      </c>
      <c r="H336" t="str">
        <f t="shared" si="80"/>
        <v>GER-6</v>
      </c>
      <c r="J336" t="s">
        <v>895</v>
      </c>
      <c r="K336" t="s">
        <v>1523</v>
      </c>
      <c r="L336">
        <v>261</v>
      </c>
      <c r="M336">
        <v>6</v>
      </c>
      <c r="N336" t="s">
        <v>1530</v>
      </c>
      <c r="O336" t="s">
        <v>1540</v>
      </c>
    </row>
    <row r="337" spans="1:15" x14ac:dyDescent="0.3">
      <c r="A337" t="str">
        <f>'Case 3 data'!A336</f>
        <v>Canada541-16M</v>
      </c>
      <c r="B337" t="str">
        <f>'Case 3 data'!B336</f>
        <v>Bruce</v>
      </c>
      <c r="C337" t="str">
        <f>'Case 3 data'!C336</f>
        <v>Torres</v>
      </c>
      <c r="D337" t="str" cm="1">
        <f t="array" ref="D337">LEFT($A337,MIN(FIND({0;1;2;3;4;5;6;7;8;9},$A337&amp;"0123456789"))-1)</f>
        <v>Canada</v>
      </c>
      <c r="E337" t="str" cm="1">
        <f t="array" ref="E337">MID($A337,MIN(FIND({0;1;2;3;4;5;6;7;8;9},$A337&amp;"0123456789")),FIND("-",$A337)-MIN(FIND({0;1;2;3;4;5;6;7;8;9},$A337&amp;"0123456789")))</f>
        <v>541</v>
      </c>
      <c r="F337" t="str">
        <f t="shared" si="78"/>
        <v>16</v>
      </c>
      <c r="G337" t="str">
        <f t="shared" si="79"/>
        <v>M</v>
      </c>
      <c r="H337" t="str">
        <f t="shared" si="80"/>
        <v>Canada-16</v>
      </c>
      <c r="J337" t="s">
        <v>898</v>
      </c>
      <c r="K337" t="s">
        <v>1523</v>
      </c>
      <c r="L337">
        <v>541</v>
      </c>
      <c r="M337">
        <v>16</v>
      </c>
      <c r="N337" t="s">
        <v>1531</v>
      </c>
      <c r="O337" t="s">
        <v>1570</v>
      </c>
    </row>
    <row r="338" spans="1:15" x14ac:dyDescent="0.3">
      <c r="A338" t="str">
        <f>'Case 3 data'!A337</f>
        <v>MEX583-7Mo</v>
      </c>
      <c r="B338" t="str">
        <f>'Case 3 data'!B337</f>
        <v>Laticia</v>
      </c>
      <c r="C338" t="str">
        <f>'Case 3 data'!C337</f>
        <v>Sands</v>
      </c>
      <c r="D338" t="str" cm="1">
        <f t="array" ref="D338">LEFT($A338,MIN(FIND({0;1;2;3;4;5;6;7;8;9},$A338&amp;"0123456789"))-1)</f>
        <v>MEX</v>
      </c>
      <c r="E338" t="str" cm="1">
        <f t="array" ref="E338">MID($A338,MIN(FIND({0;1;2;3;4;5;6;7;8;9},$A338&amp;"0123456789")),FIND("-",$A338)-MIN(FIND({0;1;2;3;4;5;6;7;8;9},$A338&amp;"0123456789")))</f>
        <v>583</v>
      </c>
      <c r="F338" t="str">
        <f t="shared" si="78"/>
        <v>7</v>
      </c>
      <c r="G338" t="str">
        <f t="shared" si="79"/>
        <v>Mo</v>
      </c>
      <c r="H338" t="str">
        <f t="shared" si="80"/>
        <v>MEX-7</v>
      </c>
      <c r="J338" t="s">
        <v>900</v>
      </c>
      <c r="K338" t="s">
        <v>1521</v>
      </c>
      <c r="L338">
        <v>583</v>
      </c>
      <c r="M338">
        <v>7</v>
      </c>
      <c r="N338" t="s">
        <v>1530</v>
      </c>
      <c r="O338" t="s">
        <v>1593</v>
      </c>
    </row>
    <row r="339" spans="1:15" x14ac:dyDescent="0.3">
      <c r="A339" t="str">
        <f>'Case 3 data'!A338</f>
        <v>Japan49-7W</v>
      </c>
      <c r="B339" t="str">
        <f>'Case 3 data'!B338</f>
        <v>Evelyn</v>
      </c>
      <c r="C339" t="str">
        <f>'Case 3 data'!C338</f>
        <v>Martin</v>
      </c>
      <c r="D339" t="str" cm="1">
        <f t="array" ref="D339">LEFT($A339,MIN(FIND({0;1;2;3;4;5;6;7;8;9},$A339&amp;"0123456789"))-1)</f>
        <v>Japan</v>
      </c>
      <c r="E339" t="str" cm="1">
        <f t="array" ref="E339">MID($A339,MIN(FIND({0;1;2;3;4;5;6;7;8;9},$A339&amp;"0123456789")),FIND("-",$A339)-MIN(FIND({0;1;2;3;4;5;6;7;8;9},$A339&amp;"0123456789")))</f>
        <v>49</v>
      </c>
      <c r="F339" t="str">
        <f t="shared" si="78"/>
        <v>7</v>
      </c>
      <c r="G339" t="str">
        <f t="shared" si="79"/>
        <v>W</v>
      </c>
      <c r="H339" t="str">
        <f t="shared" si="80"/>
        <v>Japan-7</v>
      </c>
      <c r="J339" t="s">
        <v>903</v>
      </c>
      <c r="K339" t="str">
        <f t="shared" ref="K339:K402" si="84">LEFT(A339,3)</f>
        <v>Jap</v>
      </c>
      <c r="L339">
        <v>49</v>
      </c>
      <c r="M339">
        <v>7</v>
      </c>
      <c r="N339" t="s">
        <v>1532</v>
      </c>
      <c r="O339" t="s">
        <v>1629</v>
      </c>
    </row>
    <row r="340" spans="1:15" x14ac:dyDescent="0.3">
      <c r="A340" t="str">
        <f>'Case 3 data'!A339</f>
        <v>Canada570-11W</v>
      </c>
      <c r="B340" t="str">
        <f>'Case 3 data'!B339</f>
        <v>Andrea</v>
      </c>
      <c r="C340" t="str">
        <f>'Case 3 data'!C339</f>
        <v>Scott</v>
      </c>
      <c r="D340" t="str" cm="1">
        <f t="array" ref="D340">LEFT($A340,MIN(FIND({0;1;2;3;4;5;6;7;8;9},$A340&amp;"0123456789"))-1)</f>
        <v>Canada</v>
      </c>
      <c r="E340" t="str" cm="1">
        <f t="array" ref="E340">MID($A340,MIN(FIND({0;1;2;3;4;5;6;7;8;9},$A340&amp;"0123456789")),FIND("-",$A340)-MIN(FIND({0;1;2;3;4;5;6;7;8;9},$A340&amp;"0123456789")))</f>
        <v>570</v>
      </c>
      <c r="F340" t="str">
        <f t="shared" si="78"/>
        <v>11</v>
      </c>
      <c r="G340" t="str">
        <f t="shared" si="79"/>
        <v>W</v>
      </c>
      <c r="H340" t="str">
        <f t="shared" si="80"/>
        <v>Canada-11</v>
      </c>
      <c r="J340" t="s">
        <v>905</v>
      </c>
      <c r="K340" t="s">
        <v>1522</v>
      </c>
      <c r="L340">
        <v>570</v>
      </c>
      <c r="M340">
        <v>11</v>
      </c>
      <c r="N340" t="s">
        <v>1532</v>
      </c>
      <c r="O340" t="s">
        <v>1587</v>
      </c>
    </row>
    <row r="341" spans="1:15" x14ac:dyDescent="0.3">
      <c r="A341" t="str">
        <f>'Case 3 data'!A340</f>
        <v>Canada175-11W</v>
      </c>
      <c r="B341" t="str">
        <f>'Case 3 data'!B340</f>
        <v>Regan</v>
      </c>
      <c r="C341" t="str">
        <f>'Case 3 data'!C340</f>
        <v>Key</v>
      </c>
      <c r="D341" t="str" cm="1">
        <f t="array" ref="D341">LEFT($A341,MIN(FIND({0;1;2;3;4;5;6;7;8;9},$A341&amp;"0123456789"))-1)</f>
        <v>Canada</v>
      </c>
      <c r="E341" t="str" cm="1">
        <f t="array" ref="E341">MID($A341,MIN(FIND({0;1;2;3;4;5;6;7;8;9},$A341&amp;"0123456789")),FIND("-",$A341)-MIN(FIND({0;1;2;3;4;5;6;7;8;9},$A341&amp;"0123456789")))</f>
        <v>175</v>
      </c>
      <c r="F341" t="str">
        <f t="shared" si="78"/>
        <v>11</v>
      </c>
      <c r="G341" t="str">
        <f t="shared" si="79"/>
        <v>W</v>
      </c>
      <c r="H341" t="str">
        <f t="shared" si="80"/>
        <v>Canada-11</v>
      </c>
      <c r="J341" t="s">
        <v>906</v>
      </c>
      <c r="K341" t="s">
        <v>1523</v>
      </c>
      <c r="L341">
        <v>175</v>
      </c>
      <c r="M341">
        <v>11</v>
      </c>
      <c r="N341" t="s">
        <v>1532</v>
      </c>
      <c r="O341" t="s">
        <v>1580</v>
      </c>
    </row>
    <row r="342" spans="1:15" x14ac:dyDescent="0.3">
      <c r="A342" t="str">
        <f>'Case 3 data'!A341</f>
        <v>US106-6W</v>
      </c>
      <c r="B342" t="str">
        <f>'Case 3 data'!B341</f>
        <v>Diane</v>
      </c>
      <c r="C342" t="str">
        <f>'Case 3 data'!C341</f>
        <v>Allen</v>
      </c>
      <c r="D342" t="str" cm="1">
        <f t="array" ref="D342">LEFT($A342,MIN(FIND({0;1;2;3;4;5;6;7;8;9},$A342&amp;"0123456789"))-1)</f>
        <v>US</v>
      </c>
      <c r="E342" t="str" cm="1">
        <f t="array" ref="E342">MID($A342,MIN(FIND({0;1;2;3;4;5;6;7;8;9},$A342&amp;"0123456789")),FIND("-",$A342)-MIN(FIND({0;1;2;3;4;5;6;7;8;9},$A342&amp;"0123456789")))</f>
        <v>106</v>
      </c>
      <c r="F342" t="str">
        <f t="shared" si="78"/>
        <v>6</v>
      </c>
      <c r="G342" t="str">
        <f t="shared" si="79"/>
        <v>W</v>
      </c>
      <c r="H342" t="str">
        <f t="shared" si="80"/>
        <v>US-6</v>
      </c>
      <c r="J342" t="s">
        <v>909</v>
      </c>
      <c r="K342" t="s">
        <v>1523</v>
      </c>
      <c r="L342">
        <v>106</v>
      </c>
      <c r="M342">
        <v>6</v>
      </c>
      <c r="N342" t="s">
        <v>1532</v>
      </c>
      <c r="O342" t="s">
        <v>1540</v>
      </c>
    </row>
    <row r="343" spans="1:15" x14ac:dyDescent="0.3">
      <c r="A343" t="str">
        <f>'Case 3 data'!A342</f>
        <v>Japan511-6Mo</v>
      </c>
      <c r="B343" t="str">
        <f>'Case 3 data'!B342</f>
        <v>Cindi</v>
      </c>
      <c r="C343" t="str">
        <f>'Case 3 data'!C342</f>
        <v>Mcclanahan</v>
      </c>
      <c r="D343" t="str" cm="1">
        <f t="array" ref="D343">LEFT($A343,MIN(FIND({0;1;2;3;4;5;6;7;8;9},$A343&amp;"0123456789"))-1)</f>
        <v>Japan</v>
      </c>
      <c r="E343" t="str" cm="1">
        <f t="array" ref="E343">MID($A343,MIN(FIND({0;1;2;3;4;5;6;7;8;9},$A343&amp;"0123456789")),FIND("-",$A343)-MIN(FIND({0;1;2;3;4;5;6;7;8;9},$A343&amp;"0123456789")))</f>
        <v>511</v>
      </c>
      <c r="F343" t="str">
        <f t="shared" si="78"/>
        <v>6</v>
      </c>
      <c r="G343" t="str">
        <f t="shared" si="79"/>
        <v>Mo</v>
      </c>
      <c r="H343" t="str">
        <f t="shared" si="80"/>
        <v>Japan-6</v>
      </c>
      <c r="J343" t="s">
        <v>911</v>
      </c>
      <c r="K343" t="s">
        <v>1521</v>
      </c>
      <c r="L343">
        <v>511</v>
      </c>
      <c r="M343">
        <v>6</v>
      </c>
      <c r="N343" t="s">
        <v>1530</v>
      </c>
      <c r="O343" t="s">
        <v>1561</v>
      </c>
    </row>
    <row r="344" spans="1:15" x14ac:dyDescent="0.3">
      <c r="A344" t="str">
        <f>'Case 3 data'!A343</f>
        <v>ENG537-12W</v>
      </c>
      <c r="B344" t="str">
        <f>'Case 3 data'!B343</f>
        <v>Keeley</v>
      </c>
      <c r="C344" t="str">
        <f>'Case 3 data'!C343</f>
        <v>Correia</v>
      </c>
      <c r="D344" t="str" cm="1">
        <f t="array" ref="D344">LEFT($A344,MIN(FIND({0;1;2;3;4;5;6;7;8;9},$A344&amp;"0123456789"))-1)</f>
        <v>ENG</v>
      </c>
      <c r="E344" t="str" cm="1">
        <f t="array" ref="E344">MID($A344,MIN(FIND({0;1;2;3;4;5;6;7;8;9},$A344&amp;"0123456789")),FIND("-",$A344)-MIN(FIND({0;1;2;3;4;5;6;7;8;9},$A344&amp;"0123456789")))</f>
        <v>537</v>
      </c>
      <c r="F344" t="str">
        <f t="shared" si="78"/>
        <v>12</v>
      </c>
      <c r="G344" t="str">
        <f t="shared" si="79"/>
        <v>W</v>
      </c>
      <c r="H344" t="str">
        <f t="shared" si="80"/>
        <v>ENG-12</v>
      </c>
      <c r="J344" t="s">
        <v>914</v>
      </c>
      <c r="K344" t="str">
        <f t="shared" ref="K344:K407" si="85">LEFT(A344,3)</f>
        <v>ENG</v>
      </c>
      <c r="L344">
        <v>537</v>
      </c>
      <c r="M344">
        <v>12</v>
      </c>
      <c r="N344" t="s">
        <v>1532</v>
      </c>
      <c r="O344" t="s">
        <v>1550</v>
      </c>
    </row>
    <row r="345" spans="1:15" x14ac:dyDescent="0.3">
      <c r="A345" t="str">
        <f>'Case 3 data'!A344</f>
        <v>ARG484-5W</v>
      </c>
      <c r="B345" t="str">
        <f>'Case 3 data'!B344</f>
        <v>Andrew</v>
      </c>
      <c r="C345" t="str">
        <f>'Case 3 data'!C344</f>
        <v>Bennett</v>
      </c>
      <c r="D345" t="str" cm="1">
        <f t="array" ref="D345">LEFT($A345,MIN(FIND({0;1;2;3;4;5;6;7;8;9},$A345&amp;"0123456789"))-1)</f>
        <v>ARG</v>
      </c>
      <c r="E345" t="str" cm="1">
        <f t="array" ref="E345">MID($A345,MIN(FIND({0;1;2;3;4;5;6;7;8;9},$A345&amp;"0123456789")),FIND("-",$A345)-MIN(FIND({0;1;2;3;4;5;6;7;8;9},$A345&amp;"0123456789")))</f>
        <v>484</v>
      </c>
      <c r="F345" t="str">
        <f t="shared" si="78"/>
        <v>5</v>
      </c>
      <c r="G345" t="str">
        <f t="shared" si="79"/>
        <v>W</v>
      </c>
      <c r="H345" t="str">
        <f t="shared" si="80"/>
        <v>ARG-5</v>
      </c>
      <c r="J345" t="s">
        <v>917</v>
      </c>
      <c r="K345" t="s">
        <v>1522</v>
      </c>
      <c r="L345">
        <v>484</v>
      </c>
      <c r="M345">
        <v>5</v>
      </c>
      <c r="N345" t="s">
        <v>1532</v>
      </c>
      <c r="O345" t="s">
        <v>1539</v>
      </c>
    </row>
    <row r="346" spans="1:15" x14ac:dyDescent="0.3">
      <c r="A346" t="str">
        <f>'Case 3 data'!A345</f>
        <v>ARG435-17M</v>
      </c>
      <c r="B346" t="str">
        <f>'Case 3 data'!B345</f>
        <v>Wynona</v>
      </c>
      <c r="C346" t="str">
        <f>'Case 3 data'!C345</f>
        <v>Neville</v>
      </c>
      <c r="D346" t="str" cm="1">
        <f t="array" ref="D346">LEFT($A346,MIN(FIND({0;1;2;3;4;5;6;7;8;9},$A346&amp;"0123456789"))-1)</f>
        <v>ARG</v>
      </c>
      <c r="E346" t="str" cm="1">
        <f t="array" ref="E346">MID($A346,MIN(FIND({0;1;2;3;4;5;6;7;8;9},$A346&amp;"0123456789")),FIND("-",$A346)-MIN(FIND({0;1;2;3;4;5;6;7;8;9},$A346&amp;"0123456789")))</f>
        <v>435</v>
      </c>
      <c r="F346" t="str">
        <f t="shared" si="78"/>
        <v>17</v>
      </c>
      <c r="G346" t="str">
        <f t="shared" si="79"/>
        <v>M</v>
      </c>
      <c r="H346" t="str">
        <f t="shared" si="80"/>
        <v>ARG-17</v>
      </c>
      <c r="J346" t="s">
        <v>919</v>
      </c>
      <c r="K346" t="s">
        <v>1523</v>
      </c>
      <c r="L346">
        <v>435</v>
      </c>
      <c r="M346">
        <v>17</v>
      </c>
      <c r="N346" t="s">
        <v>1531</v>
      </c>
      <c r="O346" t="s">
        <v>1572</v>
      </c>
    </row>
    <row r="347" spans="1:15" x14ac:dyDescent="0.3">
      <c r="A347" t="str">
        <f>'Case 3 data'!A346</f>
        <v>AUS391-6M</v>
      </c>
      <c r="B347" t="str">
        <f>'Case 3 data'!B346</f>
        <v>Mark</v>
      </c>
      <c r="C347" t="str">
        <f>'Case 3 data'!C346</f>
        <v>Long</v>
      </c>
      <c r="D347" t="str" cm="1">
        <f t="array" ref="D347">LEFT($A347,MIN(FIND({0;1;2;3;4;5;6;7;8;9},$A347&amp;"0123456789"))-1)</f>
        <v>AUS</v>
      </c>
      <c r="E347" t="str" cm="1">
        <f t="array" ref="E347">MID($A347,MIN(FIND({0;1;2;3;4;5;6;7;8;9},$A347&amp;"0123456789")),FIND("-",$A347)-MIN(FIND({0;1;2;3;4;5;6;7;8;9},$A347&amp;"0123456789")))</f>
        <v>391</v>
      </c>
      <c r="F347" t="str">
        <f t="shared" si="78"/>
        <v>6</v>
      </c>
      <c r="G347" t="str">
        <f t="shared" si="79"/>
        <v>M</v>
      </c>
      <c r="H347" t="str">
        <f t="shared" si="80"/>
        <v>AUS-6</v>
      </c>
      <c r="J347" t="s">
        <v>922</v>
      </c>
      <c r="K347" t="s">
        <v>1523</v>
      </c>
      <c r="L347">
        <v>391</v>
      </c>
      <c r="M347">
        <v>6</v>
      </c>
      <c r="N347" t="s">
        <v>1531</v>
      </c>
      <c r="O347" t="s">
        <v>1540</v>
      </c>
    </row>
    <row r="348" spans="1:15" x14ac:dyDescent="0.3">
      <c r="A348" t="str">
        <f>'Case 3 data'!A347</f>
        <v>GER251-14Mo</v>
      </c>
      <c r="B348" t="str">
        <f>'Case 3 data'!B347</f>
        <v>Anthony</v>
      </c>
      <c r="C348" t="str">
        <f>'Case 3 data'!C347</f>
        <v>Nelson</v>
      </c>
      <c r="D348" t="str" cm="1">
        <f t="array" ref="D348">LEFT($A348,MIN(FIND({0;1;2;3;4;5;6;7;8;9},$A348&amp;"0123456789"))-1)</f>
        <v>GER</v>
      </c>
      <c r="E348" t="str" cm="1">
        <f t="array" ref="E348">MID($A348,MIN(FIND({0;1;2;3;4;5;6;7;8;9},$A348&amp;"0123456789")),FIND("-",$A348)-MIN(FIND({0;1;2;3;4;5;6;7;8;9},$A348&amp;"0123456789")))</f>
        <v>251</v>
      </c>
      <c r="F348" t="str">
        <f t="shared" si="78"/>
        <v>14</v>
      </c>
      <c r="G348" t="str">
        <f t="shared" si="79"/>
        <v>Mo</v>
      </c>
      <c r="H348" t="str">
        <f t="shared" si="80"/>
        <v>GER-14</v>
      </c>
      <c r="J348" t="s">
        <v>924</v>
      </c>
      <c r="K348" t="s">
        <v>1521</v>
      </c>
      <c r="L348">
        <v>251</v>
      </c>
      <c r="M348">
        <v>14</v>
      </c>
      <c r="N348" t="s">
        <v>1530</v>
      </c>
      <c r="O348" t="s">
        <v>1565</v>
      </c>
    </row>
    <row r="349" spans="1:15" x14ac:dyDescent="0.3">
      <c r="A349" t="str">
        <f>'Case 3 data'!A348</f>
        <v>Japan176-10Mo</v>
      </c>
      <c r="B349" t="str">
        <f>'Case 3 data'!B348</f>
        <v>Lynn</v>
      </c>
      <c r="C349" t="str">
        <f>'Case 3 data'!C348</f>
        <v>Brady</v>
      </c>
      <c r="D349" t="str" cm="1">
        <f t="array" ref="D349">LEFT($A349,MIN(FIND({0;1;2;3;4;5;6;7;8;9},$A349&amp;"0123456789"))-1)</f>
        <v>Japan</v>
      </c>
      <c r="E349" t="str" cm="1">
        <f t="array" ref="E349">MID($A349,MIN(FIND({0;1;2;3;4;5;6;7;8;9},$A349&amp;"0123456789")),FIND("-",$A349)-MIN(FIND({0;1;2;3;4;5;6;7;8;9},$A349&amp;"0123456789")))</f>
        <v>176</v>
      </c>
      <c r="F349" t="str">
        <f t="shared" si="78"/>
        <v>10</v>
      </c>
      <c r="G349" t="str">
        <f t="shared" si="79"/>
        <v>Mo</v>
      </c>
      <c r="H349" t="str">
        <f t="shared" si="80"/>
        <v>Japan-10</v>
      </c>
      <c r="J349" t="s">
        <v>925</v>
      </c>
      <c r="K349" t="str">
        <f t="shared" ref="K349:K412" si="86">LEFT(A349,3)</f>
        <v>Jap</v>
      </c>
      <c r="L349">
        <v>176</v>
      </c>
      <c r="M349">
        <v>10</v>
      </c>
      <c r="N349" t="s">
        <v>1530</v>
      </c>
      <c r="O349" t="s">
        <v>1594</v>
      </c>
    </row>
    <row r="350" spans="1:15" x14ac:dyDescent="0.3">
      <c r="A350" t="str">
        <f>'Case 3 data'!A349</f>
        <v>Japan61-11W</v>
      </c>
      <c r="B350" t="str">
        <f>'Case 3 data'!B349</f>
        <v>Kristi</v>
      </c>
      <c r="C350" t="str">
        <f>'Case 3 data'!C349</f>
        <v>Wilkerson</v>
      </c>
      <c r="D350" t="str" cm="1">
        <f t="array" ref="D350">LEFT($A350,MIN(FIND({0;1;2;3;4;5;6;7;8;9},$A350&amp;"0123456789"))-1)</f>
        <v>Japan</v>
      </c>
      <c r="E350" t="str" cm="1">
        <f t="array" ref="E350">MID($A350,MIN(FIND({0;1;2;3;4;5;6;7;8;9},$A350&amp;"0123456789")),FIND("-",$A350)-MIN(FIND({0;1;2;3;4;5;6;7;8;9},$A350&amp;"0123456789")))</f>
        <v>61</v>
      </c>
      <c r="F350" t="str">
        <f t="shared" si="78"/>
        <v>11</v>
      </c>
      <c r="G350" t="str">
        <f t="shared" si="79"/>
        <v>W</v>
      </c>
      <c r="H350" t="str">
        <f t="shared" si="80"/>
        <v>Japan-11</v>
      </c>
      <c r="J350" t="s">
        <v>928</v>
      </c>
      <c r="K350" t="s">
        <v>1522</v>
      </c>
      <c r="L350">
        <v>61</v>
      </c>
      <c r="M350">
        <v>11</v>
      </c>
      <c r="N350" t="s">
        <v>1532</v>
      </c>
      <c r="O350" t="s">
        <v>1587</v>
      </c>
    </row>
    <row r="351" spans="1:15" x14ac:dyDescent="0.3">
      <c r="A351" t="str">
        <f>'Case 3 data'!A350</f>
        <v>AUS410-15W</v>
      </c>
      <c r="B351" t="str">
        <f>'Case 3 data'!B350</f>
        <v>Jean</v>
      </c>
      <c r="C351" t="str">
        <f>'Case 3 data'!C350</f>
        <v>Williams</v>
      </c>
      <c r="D351" t="str" cm="1">
        <f t="array" ref="D351">LEFT($A351,MIN(FIND({0;1;2;3;4;5;6;7;8;9},$A351&amp;"0123456789"))-1)</f>
        <v>AUS</v>
      </c>
      <c r="E351" t="str" cm="1">
        <f t="array" ref="E351">MID($A351,MIN(FIND({0;1;2;3;4;5;6;7;8;9},$A351&amp;"0123456789")),FIND("-",$A351)-MIN(FIND({0;1;2;3;4;5;6;7;8;9},$A351&amp;"0123456789")))</f>
        <v>410</v>
      </c>
      <c r="F351" t="str">
        <f t="shared" si="78"/>
        <v>15</v>
      </c>
      <c r="G351" t="str">
        <f t="shared" si="79"/>
        <v>W</v>
      </c>
      <c r="H351" t="str">
        <f t="shared" si="80"/>
        <v>AUS-15</v>
      </c>
      <c r="J351" t="s">
        <v>931</v>
      </c>
      <c r="K351" t="s">
        <v>1523</v>
      </c>
      <c r="L351">
        <v>410</v>
      </c>
      <c r="M351">
        <v>15</v>
      </c>
      <c r="N351" t="s">
        <v>1532</v>
      </c>
      <c r="O351" t="s">
        <v>1558</v>
      </c>
    </row>
    <row r="352" spans="1:15" x14ac:dyDescent="0.3">
      <c r="A352" t="str">
        <f>'Case 3 data'!A351</f>
        <v>Japan596-10M</v>
      </c>
      <c r="B352" t="str">
        <f>'Case 3 data'!B351</f>
        <v>Kimberly</v>
      </c>
      <c r="C352" t="str">
        <f>'Case 3 data'!C351</f>
        <v>Hernandez</v>
      </c>
      <c r="D352" t="str" cm="1">
        <f t="array" ref="D352">LEFT($A352,MIN(FIND({0;1;2;3;4;5;6;7;8;9},$A352&amp;"0123456789"))-1)</f>
        <v>Japan</v>
      </c>
      <c r="E352" t="str" cm="1">
        <f t="array" ref="E352">MID($A352,MIN(FIND({0;1;2;3;4;5;6;7;8;9},$A352&amp;"0123456789")),FIND("-",$A352)-MIN(FIND({0;1;2;3;4;5;6;7;8;9},$A352&amp;"0123456789")))</f>
        <v>596</v>
      </c>
      <c r="F352" t="str">
        <f t="shared" si="78"/>
        <v>10</v>
      </c>
      <c r="G352" t="str">
        <f t="shared" si="79"/>
        <v>M</v>
      </c>
      <c r="H352" t="str">
        <f t="shared" si="80"/>
        <v>Japan-10</v>
      </c>
      <c r="J352" t="s">
        <v>933</v>
      </c>
      <c r="K352" t="s">
        <v>1523</v>
      </c>
      <c r="L352">
        <v>596</v>
      </c>
      <c r="M352">
        <v>10</v>
      </c>
      <c r="N352" t="s">
        <v>1531</v>
      </c>
      <c r="O352" t="s">
        <v>1545</v>
      </c>
    </row>
    <row r="353" spans="1:15" x14ac:dyDescent="0.3">
      <c r="A353" t="str">
        <f>'Case 3 data'!A352</f>
        <v>MEX353-4M</v>
      </c>
      <c r="B353" t="str">
        <f>'Case 3 data'!B352</f>
        <v>Geneva</v>
      </c>
      <c r="C353" t="str">
        <f>'Case 3 data'!C352</f>
        <v>Ryan</v>
      </c>
      <c r="D353" t="str" cm="1">
        <f t="array" ref="D353">LEFT($A353,MIN(FIND({0;1;2;3;4;5;6;7;8;9},$A353&amp;"0123456789"))-1)</f>
        <v>MEX</v>
      </c>
      <c r="E353" t="str" cm="1">
        <f t="array" ref="E353">MID($A353,MIN(FIND({0;1;2;3;4;5;6;7;8;9},$A353&amp;"0123456789")),FIND("-",$A353)-MIN(FIND({0;1;2;3;4;5;6;7;8;9},$A353&amp;"0123456789")))</f>
        <v>353</v>
      </c>
      <c r="F353" t="str">
        <f t="shared" si="78"/>
        <v>4</v>
      </c>
      <c r="G353" t="str">
        <f t="shared" si="79"/>
        <v>M</v>
      </c>
      <c r="H353" t="str">
        <f t="shared" si="80"/>
        <v>MEX-4</v>
      </c>
      <c r="J353" t="s">
        <v>935</v>
      </c>
      <c r="K353" t="s">
        <v>1521</v>
      </c>
      <c r="L353">
        <v>353</v>
      </c>
      <c r="M353">
        <v>4</v>
      </c>
      <c r="N353" t="s">
        <v>1531</v>
      </c>
      <c r="O353" t="s">
        <v>1537</v>
      </c>
    </row>
    <row r="354" spans="1:15" x14ac:dyDescent="0.3">
      <c r="A354" t="str">
        <f>'Case 3 data'!A353</f>
        <v>ENG46-16M</v>
      </c>
      <c r="B354" t="str">
        <f>'Case 3 data'!B353</f>
        <v>Caroyln</v>
      </c>
      <c r="C354" t="str">
        <f>'Case 3 data'!C353</f>
        <v>Kerr</v>
      </c>
      <c r="D354" t="str" cm="1">
        <f t="array" ref="D354">LEFT($A354,MIN(FIND({0;1;2;3;4;5;6;7;8;9},$A354&amp;"0123456789"))-1)</f>
        <v>ENG</v>
      </c>
      <c r="E354" t="str" cm="1">
        <f t="array" ref="E354">MID($A354,MIN(FIND({0;1;2;3;4;5;6;7;8;9},$A354&amp;"0123456789")),FIND("-",$A354)-MIN(FIND({0;1;2;3;4;5;6;7;8;9},$A354&amp;"0123456789")))</f>
        <v>46</v>
      </c>
      <c r="F354" t="str">
        <f t="shared" si="78"/>
        <v>16</v>
      </c>
      <c r="G354" t="str">
        <f t="shared" si="79"/>
        <v>M</v>
      </c>
      <c r="H354" t="str">
        <f t="shared" si="80"/>
        <v>ENG-16</v>
      </c>
      <c r="J354" t="s">
        <v>937</v>
      </c>
      <c r="K354" t="str">
        <f t="shared" ref="K354:K417" si="87">LEFT(A354,3)</f>
        <v>ENG</v>
      </c>
      <c r="L354">
        <v>46</v>
      </c>
      <c r="M354">
        <v>16</v>
      </c>
      <c r="N354" t="s">
        <v>1531</v>
      </c>
      <c r="O354" t="s">
        <v>1628</v>
      </c>
    </row>
    <row r="355" spans="1:15" x14ac:dyDescent="0.3">
      <c r="A355" t="str">
        <f>'Case 3 data'!A354</f>
        <v>GER202-10M</v>
      </c>
      <c r="B355" t="str">
        <f>'Case 3 data'!B354</f>
        <v>Lizabeth</v>
      </c>
      <c r="C355" t="str">
        <f>'Case 3 data'!C354</f>
        <v>Perron</v>
      </c>
      <c r="D355" t="str" cm="1">
        <f t="array" ref="D355">LEFT($A355,MIN(FIND({0;1;2;3;4;5;6;7;8;9},$A355&amp;"0123456789"))-1)</f>
        <v>GER</v>
      </c>
      <c r="E355" t="str" cm="1">
        <f t="array" ref="E355">MID($A355,MIN(FIND({0;1;2;3;4;5;6;7;8;9},$A355&amp;"0123456789")),FIND("-",$A355)-MIN(FIND({0;1;2;3;4;5;6;7;8;9},$A355&amp;"0123456789")))</f>
        <v>202</v>
      </c>
      <c r="F355" t="str">
        <f t="shared" si="78"/>
        <v>10</v>
      </c>
      <c r="G355" t="str">
        <f t="shared" si="79"/>
        <v>M</v>
      </c>
      <c r="H355" t="str">
        <f t="shared" si="80"/>
        <v>GER-10</v>
      </c>
      <c r="J355" t="s">
        <v>940</v>
      </c>
      <c r="K355" t="s">
        <v>1522</v>
      </c>
      <c r="L355">
        <v>202</v>
      </c>
      <c r="M355">
        <v>10</v>
      </c>
      <c r="N355" t="s">
        <v>1531</v>
      </c>
      <c r="O355" t="s">
        <v>1551</v>
      </c>
    </row>
    <row r="356" spans="1:15" x14ac:dyDescent="0.3">
      <c r="A356" t="str">
        <f>'Case 3 data'!A355</f>
        <v>MEX224-16Mo</v>
      </c>
      <c r="B356" t="str">
        <f>'Case 3 data'!B355</f>
        <v>Wayne</v>
      </c>
      <c r="C356" t="str">
        <f>'Case 3 data'!C355</f>
        <v>Bryant</v>
      </c>
      <c r="D356" t="str" cm="1">
        <f t="array" ref="D356">LEFT($A356,MIN(FIND({0;1;2;3;4;5;6;7;8;9},$A356&amp;"0123456789"))-1)</f>
        <v>MEX</v>
      </c>
      <c r="E356" t="str" cm="1">
        <f t="array" ref="E356">MID($A356,MIN(FIND({0;1;2;3;4;5;6;7;8;9},$A356&amp;"0123456789")),FIND("-",$A356)-MIN(FIND({0;1;2;3;4;5;6;7;8;9},$A356&amp;"0123456789")))</f>
        <v>224</v>
      </c>
      <c r="F356" t="str">
        <f t="shared" si="78"/>
        <v>16</v>
      </c>
      <c r="G356" t="str">
        <f t="shared" si="79"/>
        <v>Mo</v>
      </c>
      <c r="H356" t="str">
        <f t="shared" si="80"/>
        <v>MEX-16</v>
      </c>
      <c r="J356" t="s">
        <v>943</v>
      </c>
      <c r="K356" t="s">
        <v>1523</v>
      </c>
      <c r="L356">
        <v>224</v>
      </c>
      <c r="M356">
        <v>16</v>
      </c>
      <c r="N356" t="s">
        <v>1530</v>
      </c>
      <c r="O356" t="s">
        <v>1570</v>
      </c>
    </row>
    <row r="357" spans="1:15" x14ac:dyDescent="0.3">
      <c r="A357" t="str">
        <f>'Case 3 data'!A356</f>
        <v>US281-3Mo</v>
      </c>
      <c r="B357" t="str">
        <f>'Case 3 data'!B356</f>
        <v>Sarah</v>
      </c>
      <c r="C357" t="str">
        <f>'Case 3 data'!C356</f>
        <v>Hill</v>
      </c>
      <c r="D357" t="str" cm="1">
        <f t="array" ref="D357">LEFT($A357,MIN(FIND({0;1;2;3;4;5;6;7;8;9},$A357&amp;"0123456789"))-1)</f>
        <v>US</v>
      </c>
      <c r="E357" t="str" cm="1">
        <f t="array" ref="E357">MID($A357,MIN(FIND({0;1;2;3;4;5;6;7;8;9},$A357&amp;"0123456789")),FIND("-",$A357)-MIN(FIND({0;1;2;3;4;5;6;7;8;9},$A357&amp;"0123456789")))</f>
        <v>281</v>
      </c>
      <c r="F357" t="str">
        <f t="shared" si="78"/>
        <v>3</v>
      </c>
      <c r="G357" t="str">
        <f t="shared" si="79"/>
        <v>Mo</v>
      </c>
      <c r="H357" t="str">
        <f t="shared" si="80"/>
        <v>US-3</v>
      </c>
      <c r="J357" t="s">
        <v>944</v>
      </c>
      <c r="K357" t="s">
        <v>1523</v>
      </c>
      <c r="L357">
        <v>281</v>
      </c>
      <c r="M357">
        <v>3</v>
      </c>
      <c r="N357" t="s">
        <v>1530</v>
      </c>
      <c r="O357" t="s">
        <v>1552</v>
      </c>
    </row>
    <row r="358" spans="1:15" x14ac:dyDescent="0.3">
      <c r="A358" t="str">
        <f>'Case 3 data'!A357</f>
        <v>MEX549-9M</v>
      </c>
      <c r="B358" t="str">
        <f>'Case 3 data'!B357</f>
        <v>Donnie</v>
      </c>
      <c r="C358" t="str">
        <f>'Case 3 data'!C357</f>
        <v>Martinez</v>
      </c>
      <c r="D358" t="str" cm="1">
        <f t="array" ref="D358">LEFT($A358,MIN(FIND({0;1;2;3;4;5;6;7;8;9},$A358&amp;"0123456789"))-1)</f>
        <v>MEX</v>
      </c>
      <c r="E358" t="str" cm="1">
        <f t="array" ref="E358">MID($A358,MIN(FIND({0;1;2;3;4;5;6;7;8;9},$A358&amp;"0123456789")),FIND("-",$A358)-MIN(FIND({0;1;2;3;4;5;6;7;8;9},$A358&amp;"0123456789")))</f>
        <v>549</v>
      </c>
      <c r="F358" t="str">
        <f t="shared" si="78"/>
        <v>9</v>
      </c>
      <c r="G358" t="str">
        <f t="shared" si="79"/>
        <v>M</v>
      </c>
      <c r="H358" t="str">
        <f t="shared" si="80"/>
        <v>MEX-9</v>
      </c>
      <c r="J358" t="s">
        <v>946</v>
      </c>
      <c r="K358" t="s">
        <v>1521</v>
      </c>
      <c r="L358">
        <v>549</v>
      </c>
      <c r="M358">
        <v>9</v>
      </c>
      <c r="N358" t="s">
        <v>1531</v>
      </c>
      <c r="O358" t="s">
        <v>1559</v>
      </c>
    </row>
    <row r="359" spans="1:15" x14ac:dyDescent="0.3">
      <c r="A359" t="str">
        <f>'Case 3 data'!A358</f>
        <v>AUS62-1Mo</v>
      </c>
      <c r="B359" t="str">
        <f>'Case 3 data'!B358</f>
        <v>Randall</v>
      </c>
      <c r="C359" t="str">
        <f>'Case 3 data'!C358</f>
        <v>Osborne</v>
      </c>
      <c r="D359" t="str" cm="1">
        <f t="array" ref="D359">LEFT($A359,MIN(FIND({0;1;2;3;4;5;6;7;8;9},$A359&amp;"0123456789"))-1)</f>
        <v>AUS</v>
      </c>
      <c r="E359" t="str" cm="1">
        <f t="array" ref="E359">MID($A359,MIN(FIND({0;1;2;3;4;5;6;7;8;9},$A359&amp;"0123456789")),FIND("-",$A359)-MIN(FIND({0;1;2;3;4;5;6;7;8;9},$A359&amp;"0123456789")))</f>
        <v>62</v>
      </c>
      <c r="F359" t="str">
        <f t="shared" si="78"/>
        <v>1</v>
      </c>
      <c r="G359" t="str">
        <f t="shared" si="79"/>
        <v>Mo</v>
      </c>
      <c r="H359" t="str">
        <f t="shared" si="80"/>
        <v>AUS-1</v>
      </c>
      <c r="J359" t="s">
        <v>948</v>
      </c>
      <c r="K359" t="str">
        <f t="shared" ref="K359:K422" si="88">LEFT(A359,3)</f>
        <v>AUS</v>
      </c>
      <c r="L359">
        <v>62</v>
      </c>
      <c r="M359">
        <v>1</v>
      </c>
      <c r="N359" t="s">
        <v>1530</v>
      </c>
      <c r="O359" t="s">
        <v>1563</v>
      </c>
    </row>
    <row r="360" spans="1:15" x14ac:dyDescent="0.3">
      <c r="A360" t="str">
        <f>'Case 3 data'!A359</f>
        <v>Canada66-16W</v>
      </c>
      <c r="B360" t="str">
        <f>'Case 3 data'!B359</f>
        <v>Ilda</v>
      </c>
      <c r="C360" t="str">
        <f>'Case 3 data'!C359</f>
        <v>Mcadams</v>
      </c>
      <c r="D360" t="str" cm="1">
        <f t="array" ref="D360">LEFT($A360,MIN(FIND({0;1;2;3;4;5;6;7;8;9},$A360&amp;"0123456789"))-1)</f>
        <v>Canada</v>
      </c>
      <c r="E360" t="str" cm="1">
        <f t="array" ref="E360">MID($A360,MIN(FIND({0;1;2;3;4;5;6;7;8;9},$A360&amp;"0123456789")),FIND("-",$A360)-MIN(FIND({0;1;2;3;4;5;6;7;8;9},$A360&amp;"0123456789")))</f>
        <v>66</v>
      </c>
      <c r="F360" t="str">
        <f t="shared" si="78"/>
        <v>16</v>
      </c>
      <c r="G360" t="str">
        <f t="shared" si="79"/>
        <v>W</v>
      </c>
      <c r="H360" t="str">
        <f t="shared" si="80"/>
        <v>Canada-16</v>
      </c>
      <c r="J360" t="s">
        <v>951</v>
      </c>
      <c r="K360" t="s">
        <v>1522</v>
      </c>
      <c r="L360">
        <v>66</v>
      </c>
      <c r="M360">
        <v>16</v>
      </c>
      <c r="N360" t="s">
        <v>1532</v>
      </c>
      <c r="O360" t="s">
        <v>1595</v>
      </c>
    </row>
    <row r="361" spans="1:15" x14ac:dyDescent="0.3">
      <c r="A361" t="str">
        <f>'Case 3 data'!A360</f>
        <v>ARG393-6Mo</v>
      </c>
      <c r="B361" t="str">
        <f>'Case 3 data'!B360</f>
        <v>Katherine</v>
      </c>
      <c r="C361" t="str">
        <f>'Case 3 data'!C360</f>
        <v>Lee</v>
      </c>
      <c r="D361" t="str" cm="1">
        <f t="array" ref="D361">LEFT($A361,MIN(FIND({0;1;2;3;4;5;6;7;8;9},$A361&amp;"0123456789"))-1)</f>
        <v>ARG</v>
      </c>
      <c r="E361" t="str" cm="1">
        <f t="array" ref="E361">MID($A361,MIN(FIND({0;1;2;3;4;5;6;7;8;9},$A361&amp;"0123456789")),FIND("-",$A361)-MIN(FIND({0;1;2;3;4;5;6;7;8;9},$A361&amp;"0123456789")))</f>
        <v>393</v>
      </c>
      <c r="F361" t="str">
        <f t="shared" si="78"/>
        <v>6</v>
      </c>
      <c r="G361" t="str">
        <f t="shared" si="79"/>
        <v>Mo</v>
      </c>
      <c r="H361" t="str">
        <f t="shared" si="80"/>
        <v>ARG-6</v>
      </c>
      <c r="J361" t="s">
        <v>954</v>
      </c>
      <c r="K361" t="s">
        <v>1523</v>
      </c>
      <c r="L361">
        <v>393</v>
      </c>
      <c r="M361">
        <v>6</v>
      </c>
      <c r="N361" t="s">
        <v>1530</v>
      </c>
      <c r="O361" t="s">
        <v>1540</v>
      </c>
    </row>
    <row r="362" spans="1:15" x14ac:dyDescent="0.3">
      <c r="A362" t="str">
        <f>'Case 3 data'!A361</f>
        <v>ENG153-8W</v>
      </c>
      <c r="B362" t="str">
        <f>'Case 3 data'!B361</f>
        <v>Yvette</v>
      </c>
      <c r="C362" t="str">
        <f>'Case 3 data'!C361</f>
        <v>Walsh</v>
      </c>
      <c r="D362" t="str" cm="1">
        <f t="array" ref="D362">LEFT($A362,MIN(FIND({0;1;2;3;4;5;6;7;8;9},$A362&amp;"0123456789"))-1)</f>
        <v>ENG</v>
      </c>
      <c r="E362" t="str" cm="1">
        <f t="array" ref="E362">MID($A362,MIN(FIND({0;1;2;3;4;5;6;7;8;9},$A362&amp;"0123456789")),FIND("-",$A362)-MIN(FIND({0;1;2;3;4;5;6;7;8;9},$A362&amp;"0123456789")))</f>
        <v>153</v>
      </c>
      <c r="F362" t="str">
        <f t="shared" si="78"/>
        <v>8</v>
      </c>
      <c r="G362" t="str">
        <f t="shared" si="79"/>
        <v>W</v>
      </c>
      <c r="H362" t="str">
        <f t="shared" si="80"/>
        <v>ENG-8</v>
      </c>
      <c r="J362" t="s">
        <v>956</v>
      </c>
      <c r="K362" t="s">
        <v>1523</v>
      </c>
      <c r="L362">
        <v>153</v>
      </c>
      <c r="M362">
        <v>8</v>
      </c>
      <c r="N362" t="s">
        <v>1532</v>
      </c>
      <c r="O362" t="s">
        <v>1574</v>
      </c>
    </row>
    <row r="363" spans="1:15" x14ac:dyDescent="0.3">
      <c r="A363" t="str">
        <f>'Case 3 data'!A362</f>
        <v>ENG380-14W</v>
      </c>
      <c r="B363" t="str">
        <f>'Case 3 data'!B362</f>
        <v>Heather</v>
      </c>
      <c r="C363" t="str">
        <f>'Case 3 data'!C362</f>
        <v>Young</v>
      </c>
      <c r="D363" t="str" cm="1">
        <f t="array" ref="D363">LEFT($A363,MIN(FIND({0;1;2;3;4;5;6;7;8;9},$A363&amp;"0123456789"))-1)</f>
        <v>ENG</v>
      </c>
      <c r="E363" t="str" cm="1">
        <f t="array" ref="E363">MID($A363,MIN(FIND({0;1;2;3;4;5;6;7;8;9},$A363&amp;"0123456789")),FIND("-",$A363)-MIN(FIND({0;1;2;3;4;5;6;7;8;9},$A363&amp;"0123456789")))</f>
        <v>380</v>
      </c>
      <c r="F363" t="str">
        <f t="shared" si="78"/>
        <v>14</v>
      </c>
      <c r="G363" t="str">
        <f t="shared" si="79"/>
        <v>W</v>
      </c>
      <c r="H363" t="str">
        <f t="shared" si="80"/>
        <v>ENG-14</v>
      </c>
      <c r="J363" t="s">
        <v>958</v>
      </c>
      <c r="K363" t="s">
        <v>1521</v>
      </c>
      <c r="L363">
        <v>380</v>
      </c>
      <c r="M363">
        <v>14</v>
      </c>
      <c r="N363" t="s">
        <v>1532</v>
      </c>
      <c r="O363" t="s">
        <v>1565</v>
      </c>
    </row>
    <row r="364" spans="1:15" x14ac:dyDescent="0.3">
      <c r="A364" t="str">
        <f>'Case 3 data'!A363</f>
        <v>ENG318-9Mo</v>
      </c>
      <c r="B364" t="str">
        <f>'Case 3 data'!B363</f>
        <v>Christine</v>
      </c>
      <c r="C364" t="str">
        <f>'Case 3 data'!C363</f>
        <v>Bishop</v>
      </c>
      <c r="D364" t="str" cm="1">
        <f t="array" ref="D364">LEFT($A364,MIN(FIND({0;1;2;3;4;5;6;7;8;9},$A364&amp;"0123456789"))-1)</f>
        <v>ENG</v>
      </c>
      <c r="E364" t="str" cm="1">
        <f t="array" ref="E364">MID($A364,MIN(FIND({0;1;2;3;4;5;6;7;8;9},$A364&amp;"0123456789")),FIND("-",$A364)-MIN(FIND({0;1;2;3;4;5;6;7;8;9},$A364&amp;"0123456789")))</f>
        <v>318</v>
      </c>
      <c r="F364" t="str">
        <f t="shared" si="78"/>
        <v>9</v>
      </c>
      <c r="G364" t="str">
        <f t="shared" si="79"/>
        <v>Mo</v>
      </c>
      <c r="H364" t="str">
        <f t="shared" si="80"/>
        <v>ENG-9</v>
      </c>
      <c r="J364" t="s">
        <v>960</v>
      </c>
      <c r="K364" t="str">
        <f t="shared" ref="K364:K427" si="89">LEFT(A364,3)</f>
        <v>ENG</v>
      </c>
      <c r="L364">
        <v>318</v>
      </c>
      <c r="M364">
        <v>9</v>
      </c>
      <c r="N364" t="s">
        <v>1530</v>
      </c>
      <c r="O364" t="s">
        <v>1547</v>
      </c>
    </row>
    <row r="365" spans="1:15" x14ac:dyDescent="0.3">
      <c r="A365" t="str">
        <f>'Case 3 data'!A364</f>
        <v>AUS472-2W</v>
      </c>
      <c r="B365" t="str">
        <f>'Case 3 data'!B364</f>
        <v>Jeanette</v>
      </c>
      <c r="C365" t="str">
        <f>'Case 3 data'!C364</f>
        <v>Knight</v>
      </c>
      <c r="D365" t="str" cm="1">
        <f t="array" ref="D365">LEFT($A365,MIN(FIND({0;1;2;3;4;5;6;7;8;9},$A365&amp;"0123456789"))-1)</f>
        <v>AUS</v>
      </c>
      <c r="E365" t="str" cm="1">
        <f t="array" ref="E365">MID($A365,MIN(FIND({0;1;2;3;4;5;6;7;8;9},$A365&amp;"0123456789")),FIND("-",$A365)-MIN(FIND({0;1;2;3;4;5;6;7;8;9},$A365&amp;"0123456789")))</f>
        <v>472</v>
      </c>
      <c r="F365" t="str">
        <f t="shared" si="78"/>
        <v>2</v>
      </c>
      <c r="G365" t="str">
        <f t="shared" si="79"/>
        <v>W</v>
      </c>
      <c r="H365" t="str">
        <f t="shared" si="80"/>
        <v>AUS-2</v>
      </c>
      <c r="J365" t="s">
        <v>963</v>
      </c>
      <c r="K365" t="s">
        <v>1522</v>
      </c>
      <c r="L365">
        <v>472</v>
      </c>
      <c r="M365">
        <v>2</v>
      </c>
      <c r="N365" t="s">
        <v>1532</v>
      </c>
      <c r="O365" t="s">
        <v>1534</v>
      </c>
    </row>
    <row r="366" spans="1:15" x14ac:dyDescent="0.3">
      <c r="A366" t="str">
        <f>'Case 3 data'!A365</f>
        <v>ENG460-5W</v>
      </c>
      <c r="B366" t="str">
        <f>'Case 3 data'!B365</f>
        <v>Fred</v>
      </c>
      <c r="C366" t="str">
        <f>'Case 3 data'!C365</f>
        <v>Henderson</v>
      </c>
      <c r="D366" t="str" cm="1">
        <f t="array" ref="D366">LEFT($A366,MIN(FIND({0;1;2;3;4;5;6;7;8;9},$A366&amp;"0123456789"))-1)</f>
        <v>ENG</v>
      </c>
      <c r="E366" t="str" cm="1">
        <f t="array" ref="E366">MID($A366,MIN(FIND({0;1;2;3;4;5;6;7;8;9},$A366&amp;"0123456789")),FIND("-",$A366)-MIN(FIND({0;1;2;3;4;5;6;7;8;9},$A366&amp;"0123456789")))</f>
        <v>460</v>
      </c>
      <c r="F366" t="str">
        <f t="shared" si="78"/>
        <v>5</v>
      </c>
      <c r="G366" t="str">
        <f t="shared" si="79"/>
        <v>W</v>
      </c>
      <c r="H366" t="str">
        <f t="shared" si="80"/>
        <v>ENG-5</v>
      </c>
      <c r="J366" t="s">
        <v>966</v>
      </c>
      <c r="K366" t="s">
        <v>1523</v>
      </c>
      <c r="L366">
        <v>460</v>
      </c>
      <c r="M366">
        <v>5</v>
      </c>
      <c r="N366" t="s">
        <v>1532</v>
      </c>
      <c r="O366" t="s">
        <v>1577</v>
      </c>
    </row>
    <row r="367" spans="1:15" x14ac:dyDescent="0.3">
      <c r="A367" t="str">
        <f>'Case 3 data'!A366</f>
        <v>Japan420-11M</v>
      </c>
      <c r="B367" t="str">
        <f>'Case 3 data'!B366</f>
        <v>Garrett</v>
      </c>
      <c r="C367" t="str">
        <f>'Case 3 data'!C366</f>
        <v>Bishop</v>
      </c>
      <c r="D367" t="str" cm="1">
        <f t="array" ref="D367">LEFT($A367,MIN(FIND({0;1;2;3;4;5;6;7;8;9},$A367&amp;"0123456789"))-1)</f>
        <v>Japan</v>
      </c>
      <c r="E367" t="str" cm="1">
        <f t="array" ref="E367">MID($A367,MIN(FIND({0;1;2;3;4;5;6;7;8;9},$A367&amp;"0123456789")),FIND("-",$A367)-MIN(FIND({0;1;2;3;4;5;6;7;8;9},$A367&amp;"0123456789")))</f>
        <v>420</v>
      </c>
      <c r="F367" t="str">
        <f t="shared" si="78"/>
        <v>11</v>
      </c>
      <c r="G367" t="str">
        <f t="shared" si="79"/>
        <v>M</v>
      </c>
      <c r="H367" t="str">
        <f t="shared" si="80"/>
        <v>Japan-11</v>
      </c>
      <c r="J367" t="s">
        <v>968</v>
      </c>
      <c r="K367" t="s">
        <v>1523</v>
      </c>
      <c r="L367">
        <v>420</v>
      </c>
      <c r="M367">
        <v>11</v>
      </c>
      <c r="N367" t="s">
        <v>1531</v>
      </c>
      <c r="O367" t="s">
        <v>1580</v>
      </c>
    </row>
    <row r="368" spans="1:15" x14ac:dyDescent="0.3">
      <c r="A368" t="str">
        <f>'Case 3 data'!A367</f>
        <v>Canada189-14Mo</v>
      </c>
      <c r="B368" t="str">
        <f>'Case 3 data'!B367</f>
        <v>Henry</v>
      </c>
      <c r="C368" t="str">
        <f>'Case 3 data'!C367</f>
        <v>Miller</v>
      </c>
      <c r="D368" t="str" cm="1">
        <f t="array" ref="D368">LEFT($A368,MIN(FIND({0;1;2;3;4;5;6;7;8;9},$A368&amp;"0123456789"))-1)</f>
        <v>Canada</v>
      </c>
      <c r="E368" t="str" cm="1">
        <f t="array" ref="E368">MID($A368,MIN(FIND({0;1;2;3;4;5;6;7;8;9},$A368&amp;"0123456789")),FIND("-",$A368)-MIN(FIND({0;1;2;3;4;5;6;7;8;9},$A368&amp;"0123456789")))</f>
        <v>189</v>
      </c>
      <c r="F368" t="str">
        <f t="shared" si="78"/>
        <v>14</v>
      </c>
      <c r="G368" t="str">
        <f t="shared" si="79"/>
        <v>Mo</v>
      </c>
      <c r="H368" t="str">
        <f t="shared" si="80"/>
        <v>Canada-14</v>
      </c>
      <c r="J368" t="s">
        <v>970</v>
      </c>
      <c r="K368" t="s">
        <v>1521</v>
      </c>
      <c r="L368">
        <v>189</v>
      </c>
      <c r="M368">
        <v>14</v>
      </c>
      <c r="N368" t="s">
        <v>1530</v>
      </c>
      <c r="O368" t="s">
        <v>1565</v>
      </c>
    </row>
    <row r="369" spans="1:15" x14ac:dyDescent="0.3">
      <c r="A369" t="str">
        <f>'Case 3 data'!A368</f>
        <v>ENG54-4W</v>
      </c>
      <c r="B369" t="str">
        <f>'Case 3 data'!B368</f>
        <v>Orlando</v>
      </c>
      <c r="C369" t="str">
        <f>'Case 3 data'!C368</f>
        <v>Montgomery</v>
      </c>
      <c r="D369" t="str" cm="1">
        <f t="array" ref="D369">LEFT($A369,MIN(FIND({0;1;2;3;4;5;6;7;8;9},$A369&amp;"0123456789"))-1)</f>
        <v>ENG</v>
      </c>
      <c r="E369" t="str" cm="1">
        <f t="array" ref="E369">MID($A369,MIN(FIND({0;1;2;3;4;5;6;7;8;9},$A369&amp;"0123456789")),FIND("-",$A369)-MIN(FIND({0;1;2;3;4;5;6;7;8;9},$A369&amp;"0123456789")))</f>
        <v>54</v>
      </c>
      <c r="F369" t="str">
        <f t="shared" si="78"/>
        <v>4</v>
      </c>
      <c r="G369" t="str">
        <f t="shared" si="79"/>
        <v>W</v>
      </c>
      <c r="H369" t="str">
        <f t="shared" si="80"/>
        <v>ENG-4</v>
      </c>
      <c r="J369" t="s">
        <v>971</v>
      </c>
      <c r="K369" t="str">
        <f t="shared" ref="K369:K432" si="90">LEFT(A369,3)</f>
        <v>ENG</v>
      </c>
      <c r="L369">
        <v>54</v>
      </c>
      <c r="M369">
        <v>4</v>
      </c>
      <c r="N369" t="s">
        <v>1532</v>
      </c>
      <c r="O369" t="s">
        <v>1630</v>
      </c>
    </row>
    <row r="370" spans="1:15" x14ac:dyDescent="0.3">
      <c r="A370" t="str">
        <f>'Case 3 data'!A369</f>
        <v>ARG383-5M</v>
      </c>
      <c r="B370" t="str">
        <f>'Case 3 data'!B369</f>
        <v>Marylin</v>
      </c>
      <c r="C370" t="str">
        <f>'Case 3 data'!C369</f>
        <v>Burch</v>
      </c>
      <c r="D370" t="str" cm="1">
        <f t="array" ref="D370">LEFT($A370,MIN(FIND({0;1;2;3;4;5;6;7;8;9},$A370&amp;"0123456789"))-1)</f>
        <v>ARG</v>
      </c>
      <c r="E370" t="str" cm="1">
        <f t="array" ref="E370">MID($A370,MIN(FIND({0;1;2;3;4;5;6;7;8;9},$A370&amp;"0123456789")),FIND("-",$A370)-MIN(FIND({0;1;2;3;4;5;6;7;8;9},$A370&amp;"0123456789")))</f>
        <v>383</v>
      </c>
      <c r="F370" t="str">
        <f t="shared" si="78"/>
        <v>5</v>
      </c>
      <c r="G370" t="str">
        <f t="shared" si="79"/>
        <v>M</v>
      </c>
      <c r="H370" t="str">
        <f t="shared" si="80"/>
        <v>ARG-5</v>
      </c>
      <c r="J370" t="s">
        <v>974</v>
      </c>
      <c r="K370" t="s">
        <v>1522</v>
      </c>
      <c r="L370">
        <v>383</v>
      </c>
      <c r="M370">
        <v>5</v>
      </c>
      <c r="N370" t="s">
        <v>1531</v>
      </c>
      <c r="O370" t="s">
        <v>1539</v>
      </c>
    </row>
    <row r="371" spans="1:15" x14ac:dyDescent="0.3">
      <c r="A371" t="str">
        <f>'Case 3 data'!A370</f>
        <v>Japan515-5W</v>
      </c>
      <c r="B371" t="str">
        <f>'Case 3 data'!B370</f>
        <v>Bradford</v>
      </c>
      <c r="C371" t="str">
        <f>'Case 3 data'!C370</f>
        <v>Jackson</v>
      </c>
      <c r="D371" t="str" cm="1">
        <f t="array" ref="D371">LEFT($A371,MIN(FIND({0;1;2;3;4;5;6;7;8;9},$A371&amp;"0123456789"))-1)</f>
        <v>Japan</v>
      </c>
      <c r="E371" t="str" cm="1">
        <f t="array" ref="E371">MID($A371,MIN(FIND({0;1;2;3;4;5;6;7;8;9},$A371&amp;"0123456789")),FIND("-",$A371)-MIN(FIND({0;1;2;3;4;5;6;7;8;9},$A371&amp;"0123456789")))</f>
        <v>515</v>
      </c>
      <c r="F371" t="str">
        <f t="shared" si="78"/>
        <v>5</v>
      </c>
      <c r="G371" t="str">
        <f t="shared" si="79"/>
        <v>W</v>
      </c>
      <c r="H371" t="str">
        <f t="shared" si="80"/>
        <v>Japan-5</v>
      </c>
      <c r="J371" t="s">
        <v>977</v>
      </c>
      <c r="K371" t="s">
        <v>1523</v>
      </c>
      <c r="L371">
        <v>515</v>
      </c>
      <c r="M371">
        <v>5</v>
      </c>
      <c r="N371" t="s">
        <v>1532</v>
      </c>
      <c r="O371" t="s">
        <v>1577</v>
      </c>
    </row>
    <row r="372" spans="1:15" x14ac:dyDescent="0.3">
      <c r="A372" t="str">
        <f>'Case 3 data'!A371</f>
        <v>GER433-13W</v>
      </c>
      <c r="B372" t="str">
        <f>'Case 3 data'!B371</f>
        <v>Waldo</v>
      </c>
      <c r="C372" t="str">
        <f>'Case 3 data'!C371</f>
        <v>Hoyle</v>
      </c>
      <c r="D372" t="str" cm="1">
        <f t="array" ref="D372">LEFT($A372,MIN(FIND({0;1;2;3;4;5;6;7;8;9},$A372&amp;"0123456789"))-1)</f>
        <v>GER</v>
      </c>
      <c r="E372" t="str" cm="1">
        <f t="array" ref="E372">MID($A372,MIN(FIND({0;1;2;3;4;5;6;7;8;9},$A372&amp;"0123456789")),FIND("-",$A372)-MIN(FIND({0;1;2;3;4;5;6;7;8;9},$A372&amp;"0123456789")))</f>
        <v>433</v>
      </c>
      <c r="F372" t="str">
        <f t="shared" si="78"/>
        <v>13</v>
      </c>
      <c r="G372" t="str">
        <f t="shared" si="79"/>
        <v>W</v>
      </c>
      <c r="H372" t="str">
        <f t="shared" si="80"/>
        <v>GER-13</v>
      </c>
      <c r="J372" t="s">
        <v>980</v>
      </c>
      <c r="K372" t="s">
        <v>1523</v>
      </c>
      <c r="L372">
        <v>433</v>
      </c>
      <c r="M372">
        <v>13</v>
      </c>
      <c r="N372" t="s">
        <v>1532</v>
      </c>
      <c r="O372" t="s">
        <v>1553</v>
      </c>
    </row>
    <row r="373" spans="1:15" x14ac:dyDescent="0.3">
      <c r="A373" t="str">
        <f>'Case 3 data'!A372</f>
        <v>ARG252-12W</v>
      </c>
      <c r="B373" t="str">
        <f>'Case 3 data'!B372</f>
        <v>Spencer</v>
      </c>
      <c r="C373" t="str">
        <f>'Case 3 data'!C372</f>
        <v>Lucas</v>
      </c>
      <c r="D373" t="str" cm="1">
        <f t="array" ref="D373">LEFT($A373,MIN(FIND({0;1;2;3;4;5;6;7;8;9},$A373&amp;"0123456789"))-1)</f>
        <v>ARG</v>
      </c>
      <c r="E373" t="str" cm="1">
        <f t="array" ref="E373">MID($A373,MIN(FIND({0;1;2;3;4;5;6;7;8;9},$A373&amp;"0123456789")),FIND("-",$A373)-MIN(FIND({0;1;2;3;4;5;6;7;8;9},$A373&amp;"0123456789")))</f>
        <v>252</v>
      </c>
      <c r="F373" t="str">
        <f t="shared" si="78"/>
        <v>12</v>
      </c>
      <c r="G373" t="str">
        <f t="shared" si="79"/>
        <v>W</v>
      </c>
      <c r="H373" t="str">
        <f t="shared" si="80"/>
        <v>ARG-12</v>
      </c>
      <c r="J373" t="s">
        <v>982</v>
      </c>
      <c r="K373" t="s">
        <v>1521</v>
      </c>
      <c r="L373">
        <v>252</v>
      </c>
      <c r="M373">
        <v>12</v>
      </c>
      <c r="N373" t="s">
        <v>1532</v>
      </c>
      <c r="O373" t="s">
        <v>1614</v>
      </c>
    </row>
    <row r="374" spans="1:15" x14ac:dyDescent="0.3">
      <c r="A374" t="str">
        <f>'Case 3 data'!A373</f>
        <v>AUS478-1M</v>
      </c>
      <c r="B374" t="str">
        <f>'Case 3 data'!B373</f>
        <v>Herlinda</v>
      </c>
      <c r="C374" t="str">
        <f>'Case 3 data'!C373</f>
        <v>Millard</v>
      </c>
      <c r="D374" t="str" cm="1">
        <f t="array" ref="D374">LEFT($A374,MIN(FIND({0;1;2;3;4;5;6;7;8;9},$A374&amp;"0123456789"))-1)</f>
        <v>AUS</v>
      </c>
      <c r="E374" t="str" cm="1">
        <f t="array" ref="E374">MID($A374,MIN(FIND({0;1;2;3;4;5;6;7;8;9},$A374&amp;"0123456789")),FIND("-",$A374)-MIN(FIND({0;1;2;3;4;5;6;7;8;9},$A374&amp;"0123456789")))</f>
        <v>478</v>
      </c>
      <c r="F374" t="str">
        <f t="shared" si="78"/>
        <v>1</v>
      </c>
      <c r="G374" t="str">
        <f t="shared" si="79"/>
        <v>M</v>
      </c>
      <c r="H374" t="str">
        <f t="shared" si="80"/>
        <v>AUS-1</v>
      </c>
      <c r="J374" t="s">
        <v>984</v>
      </c>
      <c r="K374" t="str">
        <f t="shared" ref="K374:K437" si="91">LEFT(A374,3)</f>
        <v>AUS</v>
      </c>
      <c r="L374">
        <v>478</v>
      </c>
      <c r="M374">
        <v>1</v>
      </c>
      <c r="N374" t="s">
        <v>1531</v>
      </c>
      <c r="O374" t="s">
        <v>1563</v>
      </c>
    </row>
    <row r="375" spans="1:15" x14ac:dyDescent="0.3">
      <c r="A375" t="str">
        <f>'Case 3 data'!A374</f>
        <v>MEX556-17W</v>
      </c>
      <c r="B375" t="str">
        <f>'Case 3 data'!B374</f>
        <v>Lucilla</v>
      </c>
      <c r="C375" t="str">
        <f>'Case 3 data'!C374</f>
        <v>Dickens</v>
      </c>
      <c r="D375" t="str" cm="1">
        <f t="array" ref="D375">LEFT($A375,MIN(FIND({0;1;2;3;4;5;6;7;8;9},$A375&amp;"0123456789"))-1)</f>
        <v>MEX</v>
      </c>
      <c r="E375" t="str" cm="1">
        <f t="array" ref="E375">MID($A375,MIN(FIND({0;1;2;3;4;5;6;7;8;9},$A375&amp;"0123456789")),FIND("-",$A375)-MIN(FIND({0;1;2;3;4;5;6;7;8;9},$A375&amp;"0123456789")))</f>
        <v>556</v>
      </c>
      <c r="F375" t="str">
        <f t="shared" si="78"/>
        <v>17</v>
      </c>
      <c r="G375" t="str">
        <f t="shared" si="79"/>
        <v>W</v>
      </c>
      <c r="H375" t="str">
        <f t="shared" si="80"/>
        <v>MEX-17</v>
      </c>
      <c r="J375" t="s">
        <v>987</v>
      </c>
      <c r="K375" t="s">
        <v>1522</v>
      </c>
      <c r="L375">
        <v>556</v>
      </c>
      <c r="M375">
        <v>17</v>
      </c>
      <c r="N375" t="s">
        <v>1532</v>
      </c>
      <c r="O375" t="s">
        <v>1579</v>
      </c>
    </row>
    <row r="376" spans="1:15" x14ac:dyDescent="0.3">
      <c r="A376" t="str">
        <f>'Case 3 data'!A375</f>
        <v>Japan264-1M</v>
      </c>
      <c r="B376" t="str">
        <f>'Case 3 data'!B375</f>
        <v>Marilyn</v>
      </c>
      <c r="C376" t="str">
        <f>'Case 3 data'!C375</f>
        <v>Horton</v>
      </c>
      <c r="D376" t="str" cm="1">
        <f t="array" ref="D376">LEFT($A376,MIN(FIND({0;1;2;3;4;5;6;7;8;9},$A376&amp;"0123456789"))-1)</f>
        <v>Japan</v>
      </c>
      <c r="E376" t="str" cm="1">
        <f t="array" ref="E376">MID($A376,MIN(FIND({0;1;2;3;4;5;6;7;8;9},$A376&amp;"0123456789")),FIND("-",$A376)-MIN(FIND({0;1;2;3;4;5;6;7;8;9},$A376&amp;"0123456789")))</f>
        <v>264</v>
      </c>
      <c r="F376" t="str">
        <f t="shared" si="78"/>
        <v>1</v>
      </c>
      <c r="G376" t="str">
        <f t="shared" si="79"/>
        <v>M</v>
      </c>
      <c r="H376" t="str">
        <f t="shared" si="80"/>
        <v>Japan-1</v>
      </c>
      <c r="J376" t="s">
        <v>989</v>
      </c>
      <c r="K376" t="s">
        <v>1523</v>
      </c>
      <c r="L376">
        <v>264</v>
      </c>
      <c r="M376">
        <v>1</v>
      </c>
      <c r="N376" t="s">
        <v>1531</v>
      </c>
      <c r="O376" t="s">
        <v>1536</v>
      </c>
    </row>
    <row r="377" spans="1:15" x14ac:dyDescent="0.3">
      <c r="A377" t="str">
        <f>'Case 3 data'!A376</f>
        <v>ARG244-8W</v>
      </c>
      <c r="B377" t="str">
        <f>'Case 3 data'!B376</f>
        <v>Adelia</v>
      </c>
      <c r="C377" t="str">
        <f>'Case 3 data'!C376</f>
        <v>Bachman</v>
      </c>
      <c r="D377" t="str" cm="1">
        <f t="array" ref="D377">LEFT($A377,MIN(FIND({0;1;2;3;4;5;6;7;8;9},$A377&amp;"0123456789"))-1)</f>
        <v>ARG</v>
      </c>
      <c r="E377" t="str" cm="1">
        <f t="array" ref="E377">MID($A377,MIN(FIND({0;1;2;3;4;5;6;7;8;9},$A377&amp;"0123456789")),FIND("-",$A377)-MIN(FIND({0;1;2;3;4;5;6;7;8;9},$A377&amp;"0123456789")))</f>
        <v>244</v>
      </c>
      <c r="F377" t="str">
        <f t="shared" si="78"/>
        <v>8</v>
      </c>
      <c r="G377" t="str">
        <f t="shared" si="79"/>
        <v>W</v>
      </c>
      <c r="H377" t="str">
        <f t="shared" si="80"/>
        <v>ARG-8</v>
      </c>
      <c r="J377" t="s">
        <v>992</v>
      </c>
      <c r="K377" t="s">
        <v>1523</v>
      </c>
      <c r="L377">
        <v>244</v>
      </c>
      <c r="M377">
        <v>8</v>
      </c>
      <c r="N377" t="s">
        <v>1532</v>
      </c>
      <c r="O377" t="s">
        <v>1574</v>
      </c>
    </row>
    <row r="378" spans="1:15" x14ac:dyDescent="0.3">
      <c r="A378" t="str">
        <f>'Case 3 data'!A377</f>
        <v>Canada321-12M</v>
      </c>
      <c r="B378" t="str">
        <f>'Case 3 data'!B377</f>
        <v>Joseph</v>
      </c>
      <c r="C378" t="str">
        <f>'Case 3 data'!C377</f>
        <v>Peterson</v>
      </c>
      <c r="D378" t="str" cm="1">
        <f t="array" ref="D378">LEFT($A378,MIN(FIND({0;1;2;3;4;5;6;7;8;9},$A378&amp;"0123456789"))-1)</f>
        <v>Canada</v>
      </c>
      <c r="E378" t="str" cm="1">
        <f t="array" ref="E378">MID($A378,MIN(FIND({0;1;2;3;4;5;6;7;8;9},$A378&amp;"0123456789")),FIND("-",$A378)-MIN(FIND({0;1;2;3;4;5;6;7;8;9},$A378&amp;"0123456789")))</f>
        <v>321</v>
      </c>
      <c r="F378" t="str">
        <f t="shared" si="78"/>
        <v>12</v>
      </c>
      <c r="G378" t="str">
        <f t="shared" si="79"/>
        <v>M</v>
      </c>
      <c r="H378" t="str">
        <f t="shared" si="80"/>
        <v>Canada-12</v>
      </c>
      <c r="J378" t="s">
        <v>995</v>
      </c>
      <c r="K378" t="s">
        <v>1521</v>
      </c>
      <c r="L378">
        <v>321</v>
      </c>
      <c r="M378">
        <v>12</v>
      </c>
      <c r="N378" t="s">
        <v>1531</v>
      </c>
      <c r="O378" t="s">
        <v>1614</v>
      </c>
    </row>
    <row r="379" spans="1:15" x14ac:dyDescent="0.3">
      <c r="A379" t="str">
        <f>'Case 3 data'!A378</f>
        <v>ARG343-15W</v>
      </c>
      <c r="B379" t="str">
        <f>'Case 3 data'!B378</f>
        <v>Alexis</v>
      </c>
      <c r="C379" t="str">
        <f>'Case 3 data'!C378</f>
        <v>Hayes</v>
      </c>
      <c r="D379" t="str" cm="1">
        <f t="array" ref="D379">LEFT($A379,MIN(FIND({0;1;2;3;4;5;6;7;8;9},$A379&amp;"0123456789"))-1)</f>
        <v>ARG</v>
      </c>
      <c r="E379" t="str" cm="1">
        <f t="array" ref="E379">MID($A379,MIN(FIND({0;1;2;3;4;5;6;7;8;9},$A379&amp;"0123456789")),FIND("-",$A379)-MIN(FIND({0;1;2;3;4;5;6;7;8;9},$A379&amp;"0123456789")))</f>
        <v>343</v>
      </c>
      <c r="F379" t="str">
        <f t="shared" si="78"/>
        <v>15</v>
      </c>
      <c r="G379" t="str">
        <f t="shared" si="79"/>
        <v>W</v>
      </c>
      <c r="H379" t="str">
        <f t="shared" si="80"/>
        <v>ARG-15</v>
      </c>
      <c r="J379" t="s">
        <v>997</v>
      </c>
      <c r="K379" t="str">
        <f t="shared" ref="K379:K442" si="92">LEFT(A379,3)</f>
        <v>ARG</v>
      </c>
      <c r="L379">
        <v>343</v>
      </c>
      <c r="M379">
        <v>15</v>
      </c>
      <c r="N379" t="s">
        <v>1532</v>
      </c>
      <c r="O379" t="s">
        <v>1631</v>
      </c>
    </row>
    <row r="380" spans="1:15" x14ac:dyDescent="0.3">
      <c r="A380" t="str">
        <f>'Case 3 data'!A379</f>
        <v>ENG109-8W</v>
      </c>
      <c r="B380" t="str">
        <f>'Case 3 data'!B379</f>
        <v>Evelyn</v>
      </c>
      <c r="C380" t="str">
        <f>'Case 3 data'!C379</f>
        <v>Bass</v>
      </c>
      <c r="D380" t="str" cm="1">
        <f t="array" ref="D380">LEFT($A380,MIN(FIND({0;1;2;3;4;5;6;7;8;9},$A380&amp;"0123456789"))-1)</f>
        <v>ENG</v>
      </c>
      <c r="E380" t="str" cm="1">
        <f t="array" ref="E380">MID($A380,MIN(FIND({0;1;2;3;4;5;6;7;8;9},$A380&amp;"0123456789")),FIND("-",$A380)-MIN(FIND({0;1;2;3;4;5;6;7;8;9},$A380&amp;"0123456789")))</f>
        <v>109</v>
      </c>
      <c r="F380" t="str">
        <f t="shared" si="78"/>
        <v>8</v>
      </c>
      <c r="G380" t="str">
        <f t="shared" si="79"/>
        <v>W</v>
      </c>
      <c r="H380" t="str">
        <f t="shared" si="80"/>
        <v>ENG-8</v>
      </c>
      <c r="J380" t="s">
        <v>1000</v>
      </c>
      <c r="K380" t="s">
        <v>1522</v>
      </c>
      <c r="L380">
        <v>109</v>
      </c>
      <c r="M380">
        <v>8</v>
      </c>
      <c r="N380" t="s">
        <v>1532</v>
      </c>
      <c r="O380" t="s">
        <v>1543</v>
      </c>
    </row>
    <row r="381" spans="1:15" x14ac:dyDescent="0.3">
      <c r="A381" t="str">
        <f>'Case 3 data'!A380</f>
        <v>GER35-1M</v>
      </c>
      <c r="B381" t="str">
        <f>'Case 3 data'!B380</f>
        <v>Janice</v>
      </c>
      <c r="C381" t="str">
        <f>'Case 3 data'!C380</f>
        <v>Garcia</v>
      </c>
      <c r="D381" t="str" cm="1">
        <f t="array" ref="D381">LEFT($A381,MIN(FIND({0;1;2;3;4;5;6;7;8;9},$A381&amp;"0123456789"))-1)</f>
        <v>GER</v>
      </c>
      <c r="E381" t="str" cm="1">
        <f t="array" ref="E381">MID($A381,MIN(FIND({0;1;2;3;4;5;6;7;8;9},$A381&amp;"0123456789")),FIND("-",$A381)-MIN(FIND({0;1;2;3;4;5;6;7;8;9},$A381&amp;"0123456789")))</f>
        <v>35</v>
      </c>
      <c r="F381" t="str">
        <f t="shared" si="78"/>
        <v>1</v>
      </c>
      <c r="G381" t="str">
        <f t="shared" si="79"/>
        <v>M</v>
      </c>
      <c r="H381" t="str">
        <f t="shared" si="80"/>
        <v>GER-1</v>
      </c>
      <c r="J381" t="s">
        <v>1002</v>
      </c>
      <c r="K381" t="s">
        <v>1523</v>
      </c>
      <c r="L381">
        <v>35</v>
      </c>
      <c r="M381">
        <v>1</v>
      </c>
      <c r="N381" t="s">
        <v>1531</v>
      </c>
      <c r="O381" t="s">
        <v>1536</v>
      </c>
    </row>
    <row r="382" spans="1:15" x14ac:dyDescent="0.3">
      <c r="A382" t="str">
        <f>'Case 3 data'!A381</f>
        <v>ARG347-17W</v>
      </c>
      <c r="B382" t="str">
        <f>'Case 3 data'!B381</f>
        <v>Cheryl</v>
      </c>
      <c r="C382" t="str">
        <f>'Case 3 data'!C381</f>
        <v>Davis</v>
      </c>
      <c r="D382" t="str" cm="1">
        <f t="array" ref="D382">LEFT($A382,MIN(FIND({0;1;2;3;4;5;6;7;8;9},$A382&amp;"0123456789"))-1)</f>
        <v>ARG</v>
      </c>
      <c r="E382" t="str" cm="1">
        <f t="array" ref="E382">MID($A382,MIN(FIND({0;1;2;3;4;5;6;7;8;9},$A382&amp;"0123456789")),FIND("-",$A382)-MIN(FIND({0;1;2;3;4;5;6;7;8;9},$A382&amp;"0123456789")))</f>
        <v>347</v>
      </c>
      <c r="F382" t="str">
        <f t="shared" si="78"/>
        <v>17</v>
      </c>
      <c r="G382" t="str">
        <f t="shared" si="79"/>
        <v>W</v>
      </c>
      <c r="H382" t="str">
        <f t="shared" si="80"/>
        <v>ARG-17</v>
      </c>
      <c r="J382" t="s">
        <v>1004</v>
      </c>
      <c r="K382" t="s">
        <v>1523</v>
      </c>
      <c r="L382">
        <v>347</v>
      </c>
      <c r="M382">
        <v>17</v>
      </c>
      <c r="N382" t="s">
        <v>1532</v>
      </c>
      <c r="O382" t="s">
        <v>1572</v>
      </c>
    </row>
    <row r="383" spans="1:15" x14ac:dyDescent="0.3">
      <c r="A383" t="str">
        <f>'Case 3 data'!A382</f>
        <v>ARG506-8W</v>
      </c>
      <c r="B383" t="str">
        <f>'Case 3 data'!B382</f>
        <v>Ryan</v>
      </c>
      <c r="C383" t="str">
        <f>'Case 3 data'!C382</f>
        <v>Butler</v>
      </c>
      <c r="D383" t="str" cm="1">
        <f t="array" ref="D383">LEFT($A383,MIN(FIND({0;1;2;3;4;5;6;7;8;9},$A383&amp;"0123456789"))-1)</f>
        <v>ARG</v>
      </c>
      <c r="E383" t="str" cm="1">
        <f t="array" ref="E383">MID($A383,MIN(FIND({0;1;2;3;4;5;6;7;8;9},$A383&amp;"0123456789")),FIND("-",$A383)-MIN(FIND({0;1;2;3;4;5;6;7;8;9},$A383&amp;"0123456789")))</f>
        <v>506</v>
      </c>
      <c r="F383" t="str">
        <f t="shared" si="78"/>
        <v>8</v>
      </c>
      <c r="G383" t="str">
        <f t="shared" si="79"/>
        <v>W</v>
      </c>
      <c r="H383" t="str">
        <f t="shared" si="80"/>
        <v>ARG-8</v>
      </c>
      <c r="J383" t="s">
        <v>1005</v>
      </c>
      <c r="K383" t="s">
        <v>1521</v>
      </c>
      <c r="L383">
        <v>506</v>
      </c>
      <c r="M383">
        <v>8</v>
      </c>
      <c r="N383" t="s">
        <v>1532</v>
      </c>
      <c r="O383" t="s">
        <v>1612</v>
      </c>
    </row>
    <row r="384" spans="1:15" x14ac:dyDescent="0.3">
      <c r="A384" t="str">
        <f>'Case 3 data'!A383</f>
        <v>ARG279-6Mo</v>
      </c>
      <c r="B384" t="str">
        <f>'Case 3 data'!B383</f>
        <v>Chris</v>
      </c>
      <c r="C384" t="str">
        <f>'Case 3 data'!C383</f>
        <v>Smith</v>
      </c>
      <c r="D384" t="str" cm="1">
        <f t="array" ref="D384">LEFT($A384,MIN(FIND({0;1;2;3;4;5;6;7;8;9},$A384&amp;"0123456789"))-1)</f>
        <v>ARG</v>
      </c>
      <c r="E384" t="str" cm="1">
        <f t="array" ref="E384">MID($A384,MIN(FIND({0;1;2;3;4;5;6;7;8;9},$A384&amp;"0123456789")),FIND("-",$A384)-MIN(FIND({0;1;2;3;4;5;6;7;8;9},$A384&amp;"0123456789")))</f>
        <v>279</v>
      </c>
      <c r="F384" t="str">
        <f t="shared" si="78"/>
        <v>6</v>
      </c>
      <c r="G384" t="str">
        <f t="shared" si="79"/>
        <v>Mo</v>
      </c>
      <c r="H384" t="str">
        <f t="shared" si="80"/>
        <v>ARG-6</v>
      </c>
      <c r="J384" t="s">
        <v>1006</v>
      </c>
      <c r="K384" t="str">
        <f t="shared" ref="K384:K447" si="93">LEFT(A384,3)</f>
        <v>ARG</v>
      </c>
      <c r="L384">
        <v>279</v>
      </c>
      <c r="M384">
        <v>6</v>
      </c>
      <c r="N384" t="s">
        <v>1530</v>
      </c>
      <c r="O384" t="s">
        <v>1601</v>
      </c>
    </row>
    <row r="385" spans="1:15" x14ac:dyDescent="0.3">
      <c r="A385" t="str">
        <f>'Case 3 data'!A384</f>
        <v>AUS42-12M</v>
      </c>
      <c r="B385" t="str">
        <f>'Case 3 data'!B384</f>
        <v>Ruth</v>
      </c>
      <c r="C385" t="str">
        <f>'Case 3 data'!C384</f>
        <v>Morris</v>
      </c>
      <c r="D385" t="str" cm="1">
        <f t="array" ref="D385">LEFT($A385,MIN(FIND({0;1;2;3;4;5;6;7;8;9},$A385&amp;"0123456789"))-1)</f>
        <v>AUS</v>
      </c>
      <c r="E385" t="str" cm="1">
        <f t="array" ref="E385">MID($A385,MIN(FIND({0;1;2;3;4;5;6;7;8;9},$A385&amp;"0123456789")),FIND("-",$A385)-MIN(FIND({0;1;2;3;4;5;6;7;8;9},$A385&amp;"0123456789")))</f>
        <v>42</v>
      </c>
      <c r="F385" t="str">
        <f t="shared" si="78"/>
        <v>12</v>
      </c>
      <c r="G385" t="str">
        <f t="shared" si="79"/>
        <v>M</v>
      </c>
      <c r="H385" t="str">
        <f t="shared" si="80"/>
        <v>AUS-12</v>
      </c>
      <c r="J385" t="s">
        <v>1007</v>
      </c>
      <c r="K385" t="s">
        <v>1522</v>
      </c>
      <c r="L385">
        <v>42</v>
      </c>
      <c r="M385">
        <v>12</v>
      </c>
      <c r="N385" t="s">
        <v>1531</v>
      </c>
      <c r="O385" t="s">
        <v>1627</v>
      </c>
    </row>
    <row r="386" spans="1:15" x14ac:dyDescent="0.3">
      <c r="A386" t="str">
        <f>'Case 3 data'!A385</f>
        <v>MEX115-11M</v>
      </c>
      <c r="B386" t="str">
        <f>'Case 3 data'!B385</f>
        <v>Kirk</v>
      </c>
      <c r="C386" t="str">
        <f>'Case 3 data'!C385</f>
        <v>Waters</v>
      </c>
      <c r="D386" t="str" cm="1">
        <f t="array" ref="D386">LEFT($A386,MIN(FIND({0;1;2;3;4;5;6;7;8;9},$A386&amp;"0123456789"))-1)</f>
        <v>MEX</v>
      </c>
      <c r="E386" t="str" cm="1">
        <f t="array" ref="E386">MID($A386,MIN(FIND({0;1;2;3;4;5;6;7;8;9},$A386&amp;"0123456789")),FIND("-",$A386)-MIN(FIND({0;1;2;3;4;5;6;7;8;9},$A386&amp;"0123456789")))</f>
        <v>115</v>
      </c>
      <c r="F386" t="str">
        <f t="shared" si="78"/>
        <v>11</v>
      </c>
      <c r="G386" t="str">
        <f t="shared" si="79"/>
        <v>M</v>
      </c>
      <c r="H386" t="str">
        <f t="shared" si="80"/>
        <v>MEX-11</v>
      </c>
      <c r="J386" t="s">
        <v>1009</v>
      </c>
      <c r="K386" t="s">
        <v>1523</v>
      </c>
      <c r="L386">
        <v>115</v>
      </c>
      <c r="M386">
        <v>11</v>
      </c>
      <c r="N386" t="s">
        <v>1531</v>
      </c>
      <c r="O386" t="s">
        <v>1580</v>
      </c>
    </row>
    <row r="387" spans="1:15" x14ac:dyDescent="0.3">
      <c r="A387" t="str">
        <f>'Case 3 data'!A386</f>
        <v>Japan65-2W</v>
      </c>
      <c r="B387" t="str">
        <f>'Case 3 data'!B386</f>
        <v>Tiera</v>
      </c>
      <c r="C387" t="str">
        <f>'Case 3 data'!C386</f>
        <v>Jolley</v>
      </c>
      <c r="D387" t="str" cm="1">
        <f t="array" ref="D387">LEFT($A387,MIN(FIND({0;1;2;3;4;5;6;7;8;9},$A387&amp;"0123456789"))-1)</f>
        <v>Japan</v>
      </c>
      <c r="E387" t="str" cm="1">
        <f t="array" ref="E387">MID($A387,MIN(FIND({0;1;2;3;4;5;6;7;8;9},$A387&amp;"0123456789")),FIND("-",$A387)-MIN(FIND({0;1;2;3;4;5;6;7;8;9},$A387&amp;"0123456789")))</f>
        <v>65</v>
      </c>
      <c r="F387" t="str">
        <f t="shared" si="78"/>
        <v>2</v>
      </c>
      <c r="G387" t="str">
        <f t="shared" si="79"/>
        <v>W</v>
      </c>
      <c r="H387" t="str">
        <f t="shared" si="80"/>
        <v>Japan-2</v>
      </c>
      <c r="J387" t="s">
        <v>1011</v>
      </c>
      <c r="K387" t="s">
        <v>1523</v>
      </c>
      <c r="L387">
        <v>65</v>
      </c>
      <c r="M387">
        <v>2</v>
      </c>
      <c r="N387" t="s">
        <v>1532</v>
      </c>
      <c r="O387" t="s">
        <v>1535</v>
      </c>
    </row>
    <row r="388" spans="1:15" x14ac:dyDescent="0.3">
      <c r="A388" t="str">
        <f>'Case 3 data'!A387</f>
        <v>US530-17M</v>
      </c>
      <c r="B388" t="str">
        <f>'Case 3 data'!B387</f>
        <v>Marilynn</v>
      </c>
      <c r="C388" t="str">
        <f>'Case 3 data'!C387</f>
        <v>Pyle</v>
      </c>
      <c r="D388" t="str" cm="1">
        <f t="array" ref="D388">LEFT($A388,MIN(FIND({0;1;2;3;4;5;6;7;8;9},$A388&amp;"0123456789"))-1)</f>
        <v>US</v>
      </c>
      <c r="E388" t="str" cm="1">
        <f t="array" ref="E388">MID($A388,MIN(FIND({0;1;2;3;4;5;6;7;8;9},$A388&amp;"0123456789")),FIND("-",$A388)-MIN(FIND({0;1;2;3;4;5;6;7;8;9},$A388&amp;"0123456789")))</f>
        <v>530</v>
      </c>
      <c r="F388" t="str">
        <f t="shared" ref="F388:F451" si="94">MID($A388,FIND("-",$A388)+1,LEN($A388)-FIND("-",$A388)-LEN($G388))</f>
        <v>17</v>
      </c>
      <c r="G388" t="str">
        <f t="shared" ref="G388:G451" si="95">IF(RIGHT($A388,2)="Mo","Mo",RIGHT($A388,1))</f>
        <v>M</v>
      </c>
      <c r="H388" t="str">
        <f t="shared" ref="H388:H451" si="96">D388&amp;"-"&amp;F388</f>
        <v>US-17</v>
      </c>
      <c r="J388" t="s">
        <v>1014</v>
      </c>
      <c r="K388" t="s">
        <v>1521</v>
      </c>
      <c r="L388">
        <v>530</v>
      </c>
      <c r="M388">
        <v>17</v>
      </c>
      <c r="N388" t="s">
        <v>1531</v>
      </c>
      <c r="O388" t="s">
        <v>1586</v>
      </c>
    </row>
    <row r="389" spans="1:15" x14ac:dyDescent="0.3">
      <c r="A389" t="str">
        <f>'Case 3 data'!A388</f>
        <v>ENG578-17M</v>
      </c>
      <c r="B389" t="str">
        <f>'Case 3 data'!B388</f>
        <v>Elvira</v>
      </c>
      <c r="C389" t="str">
        <f>'Case 3 data'!C388</f>
        <v>Reynolds</v>
      </c>
      <c r="D389" t="str" cm="1">
        <f t="array" ref="D389">LEFT($A389,MIN(FIND({0;1;2;3;4;5;6;7;8;9},$A389&amp;"0123456789"))-1)</f>
        <v>ENG</v>
      </c>
      <c r="E389" t="str" cm="1">
        <f t="array" ref="E389">MID($A389,MIN(FIND({0;1;2;3;4;5;6;7;8;9},$A389&amp;"0123456789")),FIND("-",$A389)-MIN(FIND({0;1;2;3;4;5;6;7;8;9},$A389&amp;"0123456789")))</f>
        <v>578</v>
      </c>
      <c r="F389" t="str">
        <f t="shared" si="94"/>
        <v>17</v>
      </c>
      <c r="G389" t="str">
        <f t="shared" si="95"/>
        <v>M</v>
      </c>
      <c r="H389" t="str">
        <f t="shared" si="96"/>
        <v>ENG-17</v>
      </c>
      <c r="J389" t="s">
        <v>1017</v>
      </c>
      <c r="K389" t="str">
        <f t="shared" ref="K389:K452" si="97">LEFT(A389,3)</f>
        <v>ENG</v>
      </c>
      <c r="L389">
        <v>578</v>
      </c>
      <c r="M389">
        <v>17</v>
      </c>
      <c r="N389" t="s">
        <v>1531</v>
      </c>
      <c r="O389" t="s">
        <v>1632</v>
      </c>
    </row>
    <row r="390" spans="1:15" x14ac:dyDescent="0.3">
      <c r="A390" t="str">
        <f>'Case 3 data'!A389</f>
        <v>US126-4M</v>
      </c>
      <c r="B390" t="str">
        <f>'Case 3 data'!B389</f>
        <v>Lizeth</v>
      </c>
      <c r="C390" t="str">
        <f>'Case 3 data'!C389</f>
        <v>Adame</v>
      </c>
      <c r="D390" t="str" cm="1">
        <f t="array" ref="D390">LEFT($A390,MIN(FIND({0;1;2;3;4;5;6;7;8;9},$A390&amp;"0123456789"))-1)</f>
        <v>US</v>
      </c>
      <c r="E390" t="str" cm="1">
        <f t="array" ref="E390">MID($A390,MIN(FIND({0;1;2;3;4;5;6;7;8;9},$A390&amp;"0123456789")),FIND("-",$A390)-MIN(FIND({0;1;2;3;4;5;6;7;8;9},$A390&amp;"0123456789")))</f>
        <v>126</v>
      </c>
      <c r="F390" t="str">
        <f t="shared" si="94"/>
        <v>4</v>
      </c>
      <c r="G390" t="str">
        <f t="shared" si="95"/>
        <v>M</v>
      </c>
      <c r="H390" t="str">
        <f t="shared" si="96"/>
        <v>US-4</v>
      </c>
      <c r="J390" t="s">
        <v>1020</v>
      </c>
      <c r="K390" t="s">
        <v>1522</v>
      </c>
      <c r="L390">
        <v>126</v>
      </c>
      <c r="M390">
        <v>4</v>
      </c>
      <c r="N390" t="s">
        <v>1531</v>
      </c>
      <c r="O390" t="s">
        <v>1573</v>
      </c>
    </row>
    <row r="391" spans="1:15" x14ac:dyDescent="0.3">
      <c r="A391" t="str">
        <f>'Case 3 data'!A390</f>
        <v>AUS482-12W</v>
      </c>
      <c r="B391" t="str">
        <f>'Case 3 data'!B390</f>
        <v>Joe</v>
      </c>
      <c r="C391" t="str">
        <f>'Case 3 data'!C390</f>
        <v>Russell</v>
      </c>
      <c r="D391" t="str" cm="1">
        <f t="array" ref="D391">LEFT($A391,MIN(FIND({0;1;2;3;4;5;6;7;8;9},$A391&amp;"0123456789"))-1)</f>
        <v>AUS</v>
      </c>
      <c r="E391" t="str" cm="1">
        <f t="array" ref="E391">MID($A391,MIN(FIND({0;1;2;3;4;5;6;7;8;9},$A391&amp;"0123456789")),FIND("-",$A391)-MIN(FIND({0;1;2;3;4;5;6;7;8;9},$A391&amp;"0123456789")))</f>
        <v>482</v>
      </c>
      <c r="F391" t="str">
        <f t="shared" si="94"/>
        <v>12</v>
      </c>
      <c r="G391" t="str">
        <f t="shared" si="95"/>
        <v>W</v>
      </c>
      <c r="H391" t="str">
        <f t="shared" si="96"/>
        <v>AUS-12</v>
      </c>
      <c r="J391" t="s">
        <v>1023</v>
      </c>
      <c r="K391" t="s">
        <v>1523</v>
      </c>
      <c r="L391">
        <v>482</v>
      </c>
      <c r="M391">
        <v>12</v>
      </c>
      <c r="N391" t="s">
        <v>1532</v>
      </c>
      <c r="O391" t="s">
        <v>1567</v>
      </c>
    </row>
    <row r="392" spans="1:15" x14ac:dyDescent="0.3">
      <c r="A392" t="str">
        <f>'Case 3 data'!A391</f>
        <v>ENG120-11W</v>
      </c>
      <c r="B392" t="str">
        <f>'Case 3 data'!B391</f>
        <v>Ashley</v>
      </c>
      <c r="C392" t="str">
        <f>'Case 3 data'!C391</f>
        <v>Russell</v>
      </c>
      <c r="D392" t="str" cm="1">
        <f t="array" ref="D392">LEFT($A392,MIN(FIND({0;1;2;3;4;5;6;7;8;9},$A392&amp;"0123456789"))-1)</f>
        <v>ENG</v>
      </c>
      <c r="E392" t="str" cm="1">
        <f t="array" ref="E392">MID($A392,MIN(FIND({0;1;2;3;4;5;6;7;8;9},$A392&amp;"0123456789")),FIND("-",$A392)-MIN(FIND({0;1;2;3;4;5;6;7;8;9},$A392&amp;"0123456789")))</f>
        <v>120</v>
      </c>
      <c r="F392" t="str">
        <f t="shared" si="94"/>
        <v>11</v>
      </c>
      <c r="G392" t="str">
        <f t="shared" si="95"/>
        <v>W</v>
      </c>
      <c r="H392" t="str">
        <f t="shared" si="96"/>
        <v>ENG-11</v>
      </c>
      <c r="J392" t="s">
        <v>1024</v>
      </c>
      <c r="K392" t="s">
        <v>1523</v>
      </c>
      <c r="L392">
        <v>120</v>
      </c>
      <c r="M392">
        <v>11</v>
      </c>
      <c r="N392" t="s">
        <v>1532</v>
      </c>
      <c r="O392" t="s">
        <v>1580</v>
      </c>
    </row>
    <row r="393" spans="1:15" x14ac:dyDescent="0.3">
      <c r="A393" t="str">
        <f>'Case 3 data'!A392</f>
        <v>Japan448-3Mo</v>
      </c>
      <c r="B393" t="str">
        <f>'Case 3 data'!B392</f>
        <v>Azzie</v>
      </c>
      <c r="C393" t="str">
        <f>'Case 3 data'!C392</f>
        <v>Boston</v>
      </c>
      <c r="D393" t="str" cm="1">
        <f t="array" ref="D393">LEFT($A393,MIN(FIND({0;1;2;3;4;5;6;7;8;9},$A393&amp;"0123456789"))-1)</f>
        <v>Japan</v>
      </c>
      <c r="E393" t="str" cm="1">
        <f t="array" ref="E393">MID($A393,MIN(FIND({0;1;2;3;4;5;6;7;8;9},$A393&amp;"0123456789")),FIND("-",$A393)-MIN(FIND({0;1;2;3;4;5;6;7;8;9},$A393&amp;"0123456789")))</f>
        <v>448</v>
      </c>
      <c r="F393" t="str">
        <f t="shared" si="94"/>
        <v>3</v>
      </c>
      <c r="G393" t="str">
        <f t="shared" si="95"/>
        <v>Mo</v>
      </c>
      <c r="H393" t="str">
        <f t="shared" si="96"/>
        <v>Japan-3</v>
      </c>
      <c r="J393" t="s">
        <v>1025</v>
      </c>
      <c r="K393" t="s">
        <v>1521</v>
      </c>
      <c r="L393">
        <v>448</v>
      </c>
      <c r="M393">
        <v>3</v>
      </c>
      <c r="N393" t="s">
        <v>1530</v>
      </c>
      <c r="O393" t="s">
        <v>1533</v>
      </c>
    </row>
    <row r="394" spans="1:15" x14ac:dyDescent="0.3">
      <c r="A394" t="str">
        <f>'Case 3 data'!A393</f>
        <v>ENG350-2W</v>
      </c>
      <c r="B394" t="str">
        <f>'Case 3 data'!B393</f>
        <v>Frederica</v>
      </c>
      <c r="C394" t="str">
        <f>'Case 3 data'!C393</f>
        <v>House</v>
      </c>
      <c r="D394" t="str" cm="1">
        <f t="array" ref="D394">LEFT($A394,MIN(FIND({0;1;2;3;4;5;6;7;8;9},$A394&amp;"0123456789"))-1)</f>
        <v>ENG</v>
      </c>
      <c r="E394" t="str" cm="1">
        <f t="array" ref="E394">MID($A394,MIN(FIND({0;1;2;3;4;5;6;7;8;9},$A394&amp;"0123456789")),FIND("-",$A394)-MIN(FIND({0;1;2;3;4;5;6;7;8;9},$A394&amp;"0123456789")))</f>
        <v>350</v>
      </c>
      <c r="F394" t="str">
        <f t="shared" si="94"/>
        <v>2</v>
      </c>
      <c r="G394" t="str">
        <f t="shared" si="95"/>
        <v>W</v>
      </c>
      <c r="H394" t="str">
        <f t="shared" si="96"/>
        <v>ENG-2</v>
      </c>
      <c r="J394" t="s">
        <v>1028</v>
      </c>
      <c r="K394" t="str">
        <f t="shared" ref="K394:K457" si="98">LEFT(A394,3)</f>
        <v>ENG</v>
      </c>
      <c r="L394">
        <v>350</v>
      </c>
      <c r="M394">
        <v>2</v>
      </c>
      <c r="N394" t="s">
        <v>1532</v>
      </c>
      <c r="O394" t="s">
        <v>1556</v>
      </c>
    </row>
    <row r="395" spans="1:15" x14ac:dyDescent="0.3">
      <c r="A395" t="str">
        <f>'Case 3 data'!A394</f>
        <v>US595-2W</v>
      </c>
      <c r="B395" t="str">
        <f>'Case 3 data'!B394</f>
        <v>Nicole</v>
      </c>
      <c r="C395" t="str">
        <f>'Case 3 data'!C394</f>
        <v>Diaz</v>
      </c>
      <c r="D395" t="str" cm="1">
        <f t="array" ref="D395">LEFT($A395,MIN(FIND({0;1;2;3;4;5;6;7;8;9},$A395&amp;"0123456789"))-1)</f>
        <v>US</v>
      </c>
      <c r="E395" t="str" cm="1">
        <f t="array" ref="E395">MID($A395,MIN(FIND({0;1;2;3;4;5;6;7;8;9},$A395&amp;"0123456789")),FIND("-",$A395)-MIN(FIND({0;1;2;3;4;5;6;7;8;9},$A395&amp;"0123456789")))</f>
        <v>595</v>
      </c>
      <c r="F395" t="str">
        <f t="shared" si="94"/>
        <v>2</v>
      </c>
      <c r="G395" t="str">
        <f t="shared" si="95"/>
        <v>W</v>
      </c>
      <c r="H395" t="str">
        <f t="shared" si="96"/>
        <v>US-2</v>
      </c>
      <c r="J395" t="s">
        <v>1031</v>
      </c>
      <c r="K395" t="s">
        <v>1522</v>
      </c>
      <c r="L395">
        <v>595</v>
      </c>
      <c r="M395">
        <v>2</v>
      </c>
      <c r="N395" t="s">
        <v>1532</v>
      </c>
      <c r="O395" t="s">
        <v>1534</v>
      </c>
    </row>
    <row r="396" spans="1:15" x14ac:dyDescent="0.3">
      <c r="A396" t="str">
        <f>'Case 3 data'!A395</f>
        <v>AUS225-10Mo</v>
      </c>
      <c r="B396" t="str">
        <f>'Case 3 data'!B395</f>
        <v>Edmundo</v>
      </c>
      <c r="C396" t="str">
        <f>'Case 3 data'!C395</f>
        <v>Beckham</v>
      </c>
      <c r="D396" t="str" cm="1">
        <f t="array" ref="D396">LEFT($A396,MIN(FIND({0;1;2;3;4;5;6;7;8;9},$A396&amp;"0123456789"))-1)</f>
        <v>AUS</v>
      </c>
      <c r="E396" t="str" cm="1">
        <f t="array" ref="E396">MID($A396,MIN(FIND({0;1;2;3;4;5;6;7;8;9},$A396&amp;"0123456789")),FIND("-",$A396)-MIN(FIND({0;1;2;3;4;5;6;7;8;9},$A396&amp;"0123456789")))</f>
        <v>225</v>
      </c>
      <c r="F396" t="str">
        <f t="shared" si="94"/>
        <v>10</v>
      </c>
      <c r="G396" t="str">
        <f t="shared" si="95"/>
        <v>Mo</v>
      </c>
      <c r="H396" t="str">
        <f t="shared" si="96"/>
        <v>AUS-10</v>
      </c>
      <c r="J396" t="s">
        <v>1034</v>
      </c>
      <c r="K396" t="s">
        <v>1523</v>
      </c>
      <c r="L396">
        <v>225</v>
      </c>
      <c r="M396">
        <v>10</v>
      </c>
      <c r="N396" t="s">
        <v>1530</v>
      </c>
      <c r="O396" t="s">
        <v>1545</v>
      </c>
    </row>
    <row r="397" spans="1:15" x14ac:dyDescent="0.3">
      <c r="A397" t="str">
        <f>'Case 3 data'!A396</f>
        <v>ARG375-13Mo</v>
      </c>
      <c r="B397" t="str">
        <f>'Case 3 data'!B396</f>
        <v>Gena</v>
      </c>
      <c r="C397" t="str">
        <f>'Case 3 data'!C396</f>
        <v>Barajas</v>
      </c>
      <c r="D397" t="str" cm="1">
        <f t="array" ref="D397">LEFT($A397,MIN(FIND({0;1;2;3;4;5;6;7;8;9},$A397&amp;"0123456789"))-1)</f>
        <v>ARG</v>
      </c>
      <c r="E397" t="str" cm="1">
        <f t="array" ref="E397">MID($A397,MIN(FIND({0;1;2;3;4;5;6;7;8;9},$A397&amp;"0123456789")),FIND("-",$A397)-MIN(FIND({0;1;2;3;4;5;6;7;8;9},$A397&amp;"0123456789")))</f>
        <v>375</v>
      </c>
      <c r="F397" t="str">
        <f t="shared" si="94"/>
        <v>13</v>
      </c>
      <c r="G397" t="str">
        <f t="shared" si="95"/>
        <v>Mo</v>
      </c>
      <c r="H397" t="str">
        <f t="shared" si="96"/>
        <v>ARG-13</v>
      </c>
      <c r="J397" t="s">
        <v>1036</v>
      </c>
      <c r="K397" t="s">
        <v>1523</v>
      </c>
      <c r="L397">
        <v>375</v>
      </c>
      <c r="M397">
        <v>13</v>
      </c>
      <c r="N397" t="s">
        <v>1530</v>
      </c>
      <c r="O397" t="s">
        <v>1553</v>
      </c>
    </row>
    <row r="398" spans="1:15" x14ac:dyDescent="0.3">
      <c r="A398" t="str">
        <f>'Case 3 data'!A397</f>
        <v>MEX415-8W</v>
      </c>
      <c r="B398" t="str">
        <f>'Case 3 data'!B397</f>
        <v>Alma</v>
      </c>
      <c r="C398" t="str">
        <f>'Case 3 data'!C397</f>
        <v>Stephens</v>
      </c>
      <c r="D398" t="str" cm="1">
        <f t="array" ref="D398">LEFT($A398,MIN(FIND({0;1;2;3;4;5;6;7;8;9},$A398&amp;"0123456789"))-1)</f>
        <v>MEX</v>
      </c>
      <c r="E398" t="str" cm="1">
        <f t="array" ref="E398">MID($A398,MIN(FIND({0;1;2;3;4;5;6;7;8;9},$A398&amp;"0123456789")),FIND("-",$A398)-MIN(FIND({0;1;2;3;4;5;6;7;8;9},$A398&amp;"0123456789")))</f>
        <v>415</v>
      </c>
      <c r="F398" t="str">
        <f t="shared" si="94"/>
        <v>8</v>
      </c>
      <c r="G398" t="str">
        <f t="shared" si="95"/>
        <v>W</v>
      </c>
      <c r="H398" t="str">
        <f t="shared" si="96"/>
        <v>MEX-8</v>
      </c>
      <c r="J398" t="s">
        <v>1039</v>
      </c>
      <c r="K398" t="s">
        <v>1521</v>
      </c>
      <c r="L398">
        <v>415</v>
      </c>
      <c r="M398">
        <v>8</v>
      </c>
      <c r="N398" t="s">
        <v>1532</v>
      </c>
      <c r="O398" t="s">
        <v>1612</v>
      </c>
    </row>
    <row r="399" spans="1:15" x14ac:dyDescent="0.3">
      <c r="A399" t="str">
        <f>'Case 3 data'!A398</f>
        <v>MEX443-12Mo</v>
      </c>
      <c r="B399" t="str">
        <f>'Case 3 data'!B398</f>
        <v>Sarah</v>
      </c>
      <c r="C399" t="str">
        <f>'Case 3 data'!C398</f>
        <v>Powell</v>
      </c>
      <c r="D399" t="str" cm="1">
        <f t="array" ref="D399">LEFT($A399,MIN(FIND({0;1;2;3;4;5;6;7;8;9},$A399&amp;"0123456789"))-1)</f>
        <v>MEX</v>
      </c>
      <c r="E399" t="str" cm="1">
        <f t="array" ref="E399">MID($A399,MIN(FIND({0;1;2;3;4;5;6;7;8;9},$A399&amp;"0123456789")),FIND("-",$A399)-MIN(FIND({0;1;2;3;4;5;6;7;8;9},$A399&amp;"0123456789")))</f>
        <v>443</v>
      </c>
      <c r="F399" t="str">
        <f t="shared" si="94"/>
        <v>12</v>
      </c>
      <c r="G399" t="str">
        <f t="shared" si="95"/>
        <v>Mo</v>
      </c>
      <c r="H399" t="str">
        <f t="shared" si="96"/>
        <v>MEX-12</v>
      </c>
      <c r="J399" t="s">
        <v>1041</v>
      </c>
      <c r="K399" t="str">
        <f t="shared" ref="K399:K462" si="99">LEFT(A399,3)</f>
        <v>MEX</v>
      </c>
      <c r="L399">
        <v>443</v>
      </c>
      <c r="M399">
        <v>12</v>
      </c>
      <c r="N399" t="s">
        <v>1530</v>
      </c>
      <c r="O399" t="s">
        <v>1633</v>
      </c>
    </row>
    <row r="400" spans="1:15" x14ac:dyDescent="0.3">
      <c r="A400" t="str">
        <f>'Case 3 data'!A399</f>
        <v>ENG3-2W</v>
      </c>
      <c r="B400" t="str">
        <f>'Case 3 data'!B399</f>
        <v>Rebecca</v>
      </c>
      <c r="C400" t="str">
        <f>'Case 3 data'!C399</f>
        <v>Turner</v>
      </c>
      <c r="D400" t="str" cm="1">
        <f t="array" ref="D400">LEFT($A400,MIN(FIND({0;1;2;3;4;5;6;7;8;9},$A400&amp;"0123456789"))-1)</f>
        <v>ENG</v>
      </c>
      <c r="E400" t="str" cm="1">
        <f t="array" ref="E400">MID($A400,MIN(FIND({0;1;2;3;4;5;6;7;8;9},$A400&amp;"0123456789")),FIND("-",$A400)-MIN(FIND({0;1;2;3;4;5;6;7;8;9},$A400&amp;"0123456789")))</f>
        <v>3</v>
      </c>
      <c r="F400" t="str">
        <f t="shared" si="94"/>
        <v>2</v>
      </c>
      <c r="G400" t="str">
        <f t="shared" si="95"/>
        <v>W</v>
      </c>
      <c r="H400" t="str">
        <f t="shared" si="96"/>
        <v>ENG-2</v>
      </c>
      <c r="J400" t="s">
        <v>1042</v>
      </c>
      <c r="K400" t="s">
        <v>1522</v>
      </c>
      <c r="L400">
        <v>3</v>
      </c>
      <c r="M400">
        <v>2</v>
      </c>
      <c r="N400" t="s">
        <v>1532</v>
      </c>
      <c r="O400" t="s">
        <v>1534</v>
      </c>
    </row>
    <row r="401" spans="1:15" x14ac:dyDescent="0.3">
      <c r="A401" t="str">
        <f>'Case 3 data'!A400</f>
        <v>ENG483-6Mo</v>
      </c>
      <c r="B401" t="str">
        <f>'Case 3 data'!B400</f>
        <v>Meredith</v>
      </c>
      <c r="C401" t="str">
        <f>'Case 3 data'!C400</f>
        <v>Estrada</v>
      </c>
      <c r="D401" t="str" cm="1">
        <f t="array" ref="D401">LEFT($A401,MIN(FIND({0;1;2;3;4;5;6;7;8;9},$A401&amp;"0123456789"))-1)</f>
        <v>ENG</v>
      </c>
      <c r="E401" t="str" cm="1">
        <f t="array" ref="E401">MID($A401,MIN(FIND({0;1;2;3;4;5;6;7;8;9},$A401&amp;"0123456789")),FIND("-",$A401)-MIN(FIND({0;1;2;3;4;5;6;7;8;9},$A401&amp;"0123456789")))</f>
        <v>483</v>
      </c>
      <c r="F401" t="str">
        <f t="shared" si="94"/>
        <v>6</v>
      </c>
      <c r="G401" t="str">
        <f t="shared" si="95"/>
        <v>Mo</v>
      </c>
      <c r="H401" t="str">
        <f t="shared" si="96"/>
        <v>ENG-6</v>
      </c>
      <c r="J401" t="s">
        <v>1043</v>
      </c>
      <c r="K401" t="s">
        <v>1523</v>
      </c>
      <c r="L401">
        <v>483</v>
      </c>
      <c r="M401">
        <v>6</v>
      </c>
      <c r="N401" t="s">
        <v>1530</v>
      </c>
      <c r="O401" t="s">
        <v>1540</v>
      </c>
    </row>
    <row r="402" spans="1:15" x14ac:dyDescent="0.3">
      <c r="A402" t="str">
        <f>'Case 3 data'!A401</f>
        <v>Canada344-11Mo</v>
      </c>
      <c r="B402" t="str">
        <f>'Case 3 data'!B401</f>
        <v>Kurtis</v>
      </c>
      <c r="C402" t="str">
        <f>'Case 3 data'!C401</f>
        <v>Farris</v>
      </c>
      <c r="D402" t="str" cm="1">
        <f t="array" ref="D402">LEFT($A402,MIN(FIND({0;1;2;3;4;5;6;7;8;9},$A402&amp;"0123456789"))-1)</f>
        <v>Canada</v>
      </c>
      <c r="E402" t="str" cm="1">
        <f t="array" ref="E402">MID($A402,MIN(FIND({0;1;2;3;4;5;6;7;8;9},$A402&amp;"0123456789")),FIND("-",$A402)-MIN(FIND({0;1;2;3;4;5;6;7;8;9},$A402&amp;"0123456789")))</f>
        <v>344</v>
      </c>
      <c r="F402" t="str">
        <f t="shared" si="94"/>
        <v>11</v>
      </c>
      <c r="G402" t="str">
        <f t="shared" si="95"/>
        <v>Mo</v>
      </c>
      <c r="H402" t="str">
        <f t="shared" si="96"/>
        <v>Canada-11</v>
      </c>
      <c r="J402" t="s">
        <v>1046</v>
      </c>
      <c r="K402" t="s">
        <v>1523</v>
      </c>
      <c r="L402">
        <v>344</v>
      </c>
      <c r="M402">
        <v>11</v>
      </c>
      <c r="N402" t="s">
        <v>1530</v>
      </c>
      <c r="O402" t="s">
        <v>1580</v>
      </c>
    </row>
    <row r="403" spans="1:15" x14ac:dyDescent="0.3">
      <c r="A403" t="str">
        <f>'Case 3 data'!A402</f>
        <v>ARG136-1W</v>
      </c>
      <c r="B403" t="str">
        <f>'Case 3 data'!B402</f>
        <v>Todd</v>
      </c>
      <c r="C403" t="str">
        <f>'Case 3 data'!C402</f>
        <v>Campbell</v>
      </c>
      <c r="D403" t="str" cm="1">
        <f t="array" ref="D403">LEFT($A403,MIN(FIND({0;1;2;3;4;5;6;7;8;9},$A403&amp;"0123456789"))-1)</f>
        <v>ARG</v>
      </c>
      <c r="E403" t="str" cm="1">
        <f t="array" ref="E403">MID($A403,MIN(FIND({0;1;2;3;4;5;6;7;8;9},$A403&amp;"0123456789")),FIND("-",$A403)-MIN(FIND({0;1;2;3;4;5;6;7;8;9},$A403&amp;"0123456789")))</f>
        <v>136</v>
      </c>
      <c r="F403" t="str">
        <f t="shared" si="94"/>
        <v>1</v>
      </c>
      <c r="G403" t="str">
        <f t="shared" si="95"/>
        <v>W</v>
      </c>
      <c r="H403" t="str">
        <f t="shared" si="96"/>
        <v>ARG-1</v>
      </c>
      <c r="J403" t="s">
        <v>1049</v>
      </c>
      <c r="K403" t="s">
        <v>1521</v>
      </c>
      <c r="L403">
        <v>136</v>
      </c>
      <c r="M403">
        <v>1</v>
      </c>
      <c r="N403" t="s">
        <v>1532</v>
      </c>
      <c r="O403" t="s">
        <v>1583</v>
      </c>
    </row>
    <row r="404" spans="1:15" x14ac:dyDescent="0.3">
      <c r="A404" t="str">
        <f>'Case 3 data'!A403</f>
        <v>Canada357-14M</v>
      </c>
      <c r="B404" t="str">
        <f>'Case 3 data'!B403</f>
        <v>Jonathon</v>
      </c>
      <c r="C404" t="str">
        <f>'Case 3 data'!C403</f>
        <v>Dunn</v>
      </c>
      <c r="D404" t="str" cm="1">
        <f t="array" ref="D404">LEFT($A404,MIN(FIND({0;1;2;3;4;5;6;7;8;9},$A404&amp;"0123456789"))-1)</f>
        <v>Canada</v>
      </c>
      <c r="E404" t="str" cm="1">
        <f t="array" ref="E404">MID($A404,MIN(FIND({0;1;2;3;4;5;6;7;8;9},$A404&amp;"0123456789")),FIND("-",$A404)-MIN(FIND({0;1;2;3;4;5;6;7;8;9},$A404&amp;"0123456789")))</f>
        <v>357</v>
      </c>
      <c r="F404" t="str">
        <f t="shared" si="94"/>
        <v>14</v>
      </c>
      <c r="G404" t="str">
        <f t="shared" si="95"/>
        <v>M</v>
      </c>
      <c r="H404" t="str">
        <f t="shared" si="96"/>
        <v>Canada-14</v>
      </c>
      <c r="J404" t="s">
        <v>1051</v>
      </c>
      <c r="K404" t="str">
        <f t="shared" ref="K404:K435" si="100">LEFT(A404,3)</f>
        <v>Can</v>
      </c>
      <c r="L404">
        <v>357</v>
      </c>
      <c r="M404">
        <v>14</v>
      </c>
      <c r="N404" t="s">
        <v>1531</v>
      </c>
      <c r="O404" t="s">
        <v>1634</v>
      </c>
    </row>
    <row r="405" spans="1:15" x14ac:dyDescent="0.3">
      <c r="A405" t="str">
        <f>'Case 3 data'!A404</f>
        <v>US15-13W</v>
      </c>
      <c r="B405" t="str">
        <f>'Case 3 data'!B404</f>
        <v>Shery</v>
      </c>
      <c r="C405" t="str">
        <f>'Case 3 data'!C404</f>
        <v>Ludwig</v>
      </c>
      <c r="D405" t="str" cm="1">
        <f t="array" ref="D405">LEFT($A405,MIN(FIND({0;1;2;3;4;5;6;7;8;9},$A405&amp;"0123456789"))-1)</f>
        <v>US</v>
      </c>
      <c r="E405" t="str" cm="1">
        <f t="array" ref="E405">MID($A405,MIN(FIND({0;1;2;3;4;5;6;7;8;9},$A405&amp;"0123456789")),FIND("-",$A405)-MIN(FIND({0;1;2;3;4;5;6;7;8;9},$A405&amp;"0123456789")))</f>
        <v>15</v>
      </c>
      <c r="F405" t="str">
        <f t="shared" si="94"/>
        <v>13</v>
      </c>
      <c r="G405" t="str">
        <f t="shared" si="95"/>
        <v>W</v>
      </c>
      <c r="H405" t="str">
        <f t="shared" si="96"/>
        <v>US-13</v>
      </c>
      <c r="J405" t="s">
        <v>1054</v>
      </c>
      <c r="K405" t="s">
        <v>1522</v>
      </c>
      <c r="L405">
        <v>15</v>
      </c>
      <c r="M405">
        <v>13</v>
      </c>
      <c r="N405" t="s">
        <v>1532</v>
      </c>
      <c r="O405" t="s">
        <v>1605</v>
      </c>
    </row>
    <row r="406" spans="1:15" x14ac:dyDescent="0.3">
      <c r="A406" t="str">
        <f>'Case 3 data'!A405</f>
        <v>Japan216-5M</v>
      </c>
      <c r="B406" t="str">
        <f>'Case 3 data'!B405</f>
        <v>Scotty</v>
      </c>
      <c r="C406" t="str">
        <f>'Case 3 data'!C405</f>
        <v>Lerma</v>
      </c>
      <c r="D406" t="str" cm="1">
        <f t="array" ref="D406">LEFT($A406,MIN(FIND({0;1;2;3;4;5;6;7;8;9},$A406&amp;"0123456789"))-1)</f>
        <v>Japan</v>
      </c>
      <c r="E406" t="str" cm="1">
        <f t="array" ref="E406">MID($A406,MIN(FIND({0;1;2;3;4;5;6;7;8;9},$A406&amp;"0123456789")),FIND("-",$A406)-MIN(FIND({0;1;2;3;4;5;6;7;8;9},$A406&amp;"0123456789")))</f>
        <v>216</v>
      </c>
      <c r="F406" t="str">
        <f t="shared" si="94"/>
        <v>5</v>
      </c>
      <c r="G406" t="str">
        <f t="shared" si="95"/>
        <v>M</v>
      </c>
      <c r="H406" t="str">
        <f t="shared" si="96"/>
        <v>Japan-5</v>
      </c>
      <c r="J406" t="s">
        <v>1057</v>
      </c>
      <c r="K406" t="s">
        <v>1523</v>
      </c>
      <c r="L406">
        <v>216</v>
      </c>
      <c r="M406">
        <v>5</v>
      </c>
      <c r="N406" t="s">
        <v>1531</v>
      </c>
      <c r="O406" t="s">
        <v>1577</v>
      </c>
    </row>
    <row r="407" spans="1:15" x14ac:dyDescent="0.3">
      <c r="A407" t="str">
        <f>'Case 3 data'!A406</f>
        <v>ARG400-10M</v>
      </c>
      <c r="B407" t="str">
        <f>'Case 3 data'!B406</f>
        <v>Isreal</v>
      </c>
      <c r="C407" t="str">
        <f>'Case 3 data'!C406</f>
        <v>Childress</v>
      </c>
      <c r="D407" t="str" cm="1">
        <f t="array" ref="D407">LEFT($A407,MIN(FIND({0;1;2;3;4;5;6;7;8;9},$A407&amp;"0123456789"))-1)</f>
        <v>ARG</v>
      </c>
      <c r="E407" t="str" cm="1">
        <f t="array" ref="E407">MID($A407,MIN(FIND({0;1;2;3;4;5;6;7;8;9},$A407&amp;"0123456789")),FIND("-",$A407)-MIN(FIND({0;1;2;3;4;5;6;7;8;9},$A407&amp;"0123456789")))</f>
        <v>400</v>
      </c>
      <c r="F407" t="str">
        <f t="shared" si="94"/>
        <v>10</v>
      </c>
      <c r="G407" t="str">
        <f t="shared" si="95"/>
        <v>M</v>
      </c>
      <c r="H407" t="str">
        <f t="shared" si="96"/>
        <v>ARG-10</v>
      </c>
      <c r="J407" t="s">
        <v>1060</v>
      </c>
      <c r="K407" t="s">
        <v>1523</v>
      </c>
      <c r="L407">
        <v>400</v>
      </c>
      <c r="M407">
        <v>10</v>
      </c>
      <c r="N407" t="s">
        <v>1531</v>
      </c>
      <c r="O407" t="s">
        <v>1545</v>
      </c>
    </row>
    <row r="408" spans="1:15" x14ac:dyDescent="0.3">
      <c r="A408" t="str">
        <f>'Case 3 data'!A407</f>
        <v>Canada411-7W</v>
      </c>
      <c r="B408" t="str">
        <f>'Case 3 data'!B407</f>
        <v>Alethea</v>
      </c>
      <c r="C408" t="str">
        <f>'Case 3 data'!C407</f>
        <v>Humphreys</v>
      </c>
      <c r="D408" t="str" cm="1">
        <f t="array" ref="D408">LEFT($A408,MIN(FIND({0;1;2;3;4;5;6;7;8;9},$A408&amp;"0123456789"))-1)</f>
        <v>Canada</v>
      </c>
      <c r="E408" t="str" cm="1">
        <f t="array" ref="E408">MID($A408,MIN(FIND({0;1;2;3;4;5;6;7;8;9},$A408&amp;"0123456789")),FIND("-",$A408)-MIN(FIND({0;1;2;3;4;5;6;7;8;9},$A408&amp;"0123456789")))</f>
        <v>411</v>
      </c>
      <c r="F408" t="str">
        <f t="shared" si="94"/>
        <v>7</v>
      </c>
      <c r="G408" t="str">
        <f t="shared" si="95"/>
        <v>W</v>
      </c>
      <c r="H408" t="str">
        <f t="shared" si="96"/>
        <v>Canada-7</v>
      </c>
      <c r="J408" t="s">
        <v>1063</v>
      </c>
      <c r="K408" t="s">
        <v>1521</v>
      </c>
      <c r="L408">
        <v>411</v>
      </c>
      <c r="M408">
        <v>7</v>
      </c>
      <c r="N408" t="s">
        <v>1532</v>
      </c>
      <c r="O408" t="s">
        <v>1593</v>
      </c>
    </row>
    <row r="409" spans="1:15" x14ac:dyDescent="0.3">
      <c r="A409" t="str">
        <f>'Case 3 data'!A408</f>
        <v>Canada307-5W</v>
      </c>
      <c r="B409" t="str">
        <f>'Case 3 data'!B408</f>
        <v>Caleb</v>
      </c>
      <c r="C409" t="str">
        <f>'Case 3 data'!C408</f>
        <v>Mendez</v>
      </c>
      <c r="D409" t="str" cm="1">
        <f t="array" ref="D409">LEFT($A409,MIN(FIND({0;1;2;3;4;5;6;7;8;9},$A409&amp;"0123456789"))-1)</f>
        <v>Canada</v>
      </c>
      <c r="E409" t="str" cm="1">
        <f t="array" ref="E409">MID($A409,MIN(FIND({0;1;2;3;4;5;6;7;8;9},$A409&amp;"0123456789")),FIND("-",$A409)-MIN(FIND({0;1;2;3;4;5;6;7;8;9},$A409&amp;"0123456789")))</f>
        <v>307</v>
      </c>
      <c r="F409" t="str">
        <f t="shared" si="94"/>
        <v>5</v>
      </c>
      <c r="G409" t="str">
        <f t="shared" si="95"/>
        <v>W</v>
      </c>
      <c r="H409" t="str">
        <f t="shared" si="96"/>
        <v>Canada-5</v>
      </c>
      <c r="J409" t="s">
        <v>1066</v>
      </c>
      <c r="K409" t="str">
        <f t="shared" ref="K409:K440" si="101">LEFT(A409,3)</f>
        <v>Can</v>
      </c>
      <c r="L409">
        <v>307</v>
      </c>
      <c r="M409">
        <v>5</v>
      </c>
      <c r="N409" t="s">
        <v>1532</v>
      </c>
      <c r="O409" t="s">
        <v>1602</v>
      </c>
    </row>
    <row r="410" spans="1:15" x14ac:dyDescent="0.3">
      <c r="A410" t="str">
        <f>'Case 3 data'!A409</f>
        <v>US340-15Mo</v>
      </c>
      <c r="B410" t="str">
        <f>'Case 3 data'!B409</f>
        <v>Kevin</v>
      </c>
      <c r="C410" t="str">
        <f>'Case 3 data'!C409</f>
        <v>Jenkins</v>
      </c>
      <c r="D410" t="str" cm="1">
        <f t="array" ref="D410">LEFT($A410,MIN(FIND({0;1;2;3;4;5;6;7;8;9},$A410&amp;"0123456789"))-1)</f>
        <v>US</v>
      </c>
      <c r="E410" t="str" cm="1">
        <f t="array" ref="E410">MID($A410,MIN(FIND({0;1;2;3;4;5;6;7;8;9},$A410&amp;"0123456789")),FIND("-",$A410)-MIN(FIND({0;1;2;3;4;5;6;7;8;9},$A410&amp;"0123456789")))</f>
        <v>340</v>
      </c>
      <c r="F410" t="str">
        <f t="shared" si="94"/>
        <v>15</v>
      </c>
      <c r="G410" t="str">
        <f t="shared" si="95"/>
        <v>Mo</v>
      </c>
      <c r="H410" t="str">
        <f t="shared" si="96"/>
        <v>US-15</v>
      </c>
      <c r="J410" t="s">
        <v>1069</v>
      </c>
      <c r="K410" t="s">
        <v>1522</v>
      </c>
      <c r="L410">
        <v>340</v>
      </c>
      <c r="M410">
        <v>15</v>
      </c>
      <c r="N410" t="s">
        <v>1530</v>
      </c>
      <c r="O410" t="s">
        <v>1608</v>
      </c>
    </row>
    <row r="411" spans="1:15" x14ac:dyDescent="0.3">
      <c r="A411" t="str">
        <f>'Case 3 data'!A410</f>
        <v>ARG416-17W</v>
      </c>
      <c r="B411" t="str">
        <f>'Case 3 data'!B410</f>
        <v>Noel</v>
      </c>
      <c r="C411" t="str">
        <f>'Case 3 data'!C410</f>
        <v>Caldwell</v>
      </c>
      <c r="D411" t="str" cm="1">
        <f t="array" ref="D411">LEFT($A411,MIN(FIND({0;1;2;3;4;5;6;7;8;9},$A411&amp;"0123456789"))-1)</f>
        <v>ARG</v>
      </c>
      <c r="E411" t="str" cm="1">
        <f t="array" ref="E411">MID($A411,MIN(FIND({0;1;2;3;4;5;6;7;8;9},$A411&amp;"0123456789")),FIND("-",$A411)-MIN(FIND({0;1;2;3;4;5;6;7;8;9},$A411&amp;"0123456789")))</f>
        <v>416</v>
      </c>
      <c r="F411" t="str">
        <f t="shared" si="94"/>
        <v>17</v>
      </c>
      <c r="G411" t="str">
        <f t="shared" si="95"/>
        <v>W</v>
      </c>
      <c r="H411" t="str">
        <f t="shared" si="96"/>
        <v>ARG-17</v>
      </c>
      <c r="J411" t="s">
        <v>1072</v>
      </c>
      <c r="K411" t="s">
        <v>1523</v>
      </c>
      <c r="L411">
        <v>416</v>
      </c>
      <c r="M411">
        <v>17</v>
      </c>
      <c r="N411" t="s">
        <v>1532</v>
      </c>
      <c r="O411" t="s">
        <v>1572</v>
      </c>
    </row>
    <row r="412" spans="1:15" x14ac:dyDescent="0.3">
      <c r="A412" t="str">
        <f>'Case 3 data'!A411</f>
        <v>AUS487-8Mo</v>
      </c>
      <c r="B412" t="str">
        <f>'Case 3 data'!B411</f>
        <v>Jermaine</v>
      </c>
      <c r="C412" t="str">
        <f>'Case 3 data'!C411</f>
        <v>Rodriquez</v>
      </c>
      <c r="D412" t="str" cm="1">
        <f t="array" ref="D412">LEFT($A412,MIN(FIND({0;1;2;3;4;5;6;7;8;9},$A412&amp;"0123456789"))-1)</f>
        <v>AUS</v>
      </c>
      <c r="E412" t="str" cm="1">
        <f t="array" ref="E412">MID($A412,MIN(FIND({0;1;2;3;4;5;6;7;8;9},$A412&amp;"0123456789")),FIND("-",$A412)-MIN(FIND({0;1;2;3;4;5;6;7;8;9},$A412&amp;"0123456789")))</f>
        <v>487</v>
      </c>
      <c r="F412" t="str">
        <f t="shared" si="94"/>
        <v>8</v>
      </c>
      <c r="G412" t="str">
        <f t="shared" si="95"/>
        <v>Mo</v>
      </c>
      <c r="H412" t="str">
        <f t="shared" si="96"/>
        <v>AUS-8</v>
      </c>
      <c r="J412" t="s">
        <v>1075</v>
      </c>
      <c r="K412" t="s">
        <v>1523</v>
      </c>
      <c r="L412">
        <v>487</v>
      </c>
      <c r="M412">
        <v>8</v>
      </c>
      <c r="N412" t="s">
        <v>1530</v>
      </c>
      <c r="O412" t="s">
        <v>1574</v>
      </c>
    </row>
    <row r="413" spans="1:15" x14ac:dyDescent="0.3">
      <c r="A413" t="str">
        <f>'Case 3 data'!A412</f>
        <v>Japan486-14W</v>
      </c>
      <c r="B413" t="str">
        <f>'Case 3 data'!B412</f>
        <v>Tabitha</v>
      </c>
      <c r="C413" t="str">
        <f>'Case 3 data'!C412</f>
        <v>Sullivan</v>
      </c>
      <c r="D413" t="str" cm="1">
        <f t="array" ref="D413">LEFT($A413,MIN(FIND({0;1;2;3;4;5;6;7;8;9},$A413&amp;"0123456789"))-1)</f>
        <v>Japan</v>
      </c>
      <c r="E413" t="str" cm="1">
        <f t="array" ref="E413">MID($A413,MIN(FIND({0;1;2;3;4;5;6;7;8;9},$A413&amp;"0123456789")),FIND("-",$A413)-MIN(FIND({0;1;2;3;4;5;6;7;8;9},$A413&amp;"0123456789")))</f>
        <v>486</v>
      </c>
      <c r="F413" t="str">
        <f t="shared" si="94"/>
        <v>14</v>
      </c>
      <c r="G413" t="str">
        <f t="shared" si="95"/>
        <v>W</v>
      </c>
      <c r="H413" t="str">
        <f t="shared" si="96"/>
        <v>Japan-14</v>
      </c>
      <c r="J413" t="s">
        <v>1078</v>
      </c>
      <c r="K413" t="s">
        <v>1521</v>
      </c>
      <c r="L413">
        <v>486</v>
      </c>
      <c r="M413">
        <v>14</v>
      </c>
      <c r="N413" t="s">
        <v>1532</v>
      </c>
      <c r="O413" t="s">
        <v>1565</v>
      </c>
    </row>
    <row r="414" spans="1:15" x14ac:dyDescent="0.3">
      <c r="A414" t="str">
        <f>'Case 3 data'!A413</f>
        <v>AUS84-2Mo</v>
      </c>
      <c r="B414" t="str">
        <f>'Case 3 data'!B413</f>
        <v>Tamara</v>
      </c>
      <c r="C414" t="str">
        <f>'Case 3 data'!C413</f>
        <v>Sims</v>
      </c>
      <c r="D414" t="str" cm="1">
        <f t="array" ref="D414">LEFT($A414,MIN(FIND({0;1;2;3;4;5;6;7;8;9},$A414&amp;"0123456789"))-1)</f>
        <v>AUS</v>
      </c>
      <c r="E414" t="str" cm="1">
        <f t="array" ref="E414">MID($A414,MIN(FIND({0;1;2;3;4;5;6;7;8;9},$A414&amp;"0123456789")),FIND("-",$A414)-MIN(FIND({0;1;2;3;4;5;6;7;8;9},$A414&amp;"0123456789")))</f>
        <v>84</v>
      </c>
      <c r="F414" t="str">
        <f t="shared" si="94"/>
        <v>2</v>
      </c>
      <c r="G414" t="str">
        <f t="shared" si="95"/>
        <v>Mo</v>
      </c>
      <c r="H414" t="str">
        <f t="shared" si="96"/>
        <v>AUS-2</v>
      </c>
      <c r="J414" t="s">
        <v>1081</v>
      </c>
      <c r="K414" t="str">
        <f t="shared" ref="K414:K445" si="102">LEFT(A414,3)</f>
        <v>AUS</v>
      </c>
      <c r="L414">
        <v>84</v>
      </c>
      <c r="M414">
        <v>2</v>
      </c>
      <c r="N414" t="s">
        <v>1530</v>
      </c>
      <c r="O414" t="s">
        <v>1534</v>
      </c>
    </row>
    <row r="415" spans="1:15" x14ac:dyDescent="0.3">
      <c r="A415" t="str">
        <f>'Case 3 data'!A414</f>
        <v>Canada300-7Mo</v>
      </c>
      <c r="B415" t="str">
        <f>'Case 3 data'!B414</f>
        <v>Chrissy</v>
      </c>
      <c r="C415" t="str">
        <f>'Case 3 data'!C414</f>
        <v>Hadden</v>
      </c>
      <c r="D415" t="str" cm="1">
        <f t="array" ref="D415">LEFT($A415,MIN(FIND({0;1;2;3;4;5;6;7;8;9},$A415&amp;"0123456789"))-1)</f>
        <v>Canada</v>
      </c>
      <c r="E415" t="str" cm="1">
        <f t="array" ref="E415">MID($A415,MIN(FIND({0;1;2;3;4;5;6;7;8;9},$A415&amp;"0123456789")),FIND("-",$A415)-MIN(FIND({0;1;2;3;4;5;6;7;8;9},$A415&amp;"0123456789")))</f>
        <v>300</v>
      </c>
      <c r="F415" t="str">
        <f t="shared" si="94"/>
        <v>7</v>
      </c>
      <c r="G415" t="str">
        <f t="shared" si="95"/>
        <v>Mo</v>
      </c>
      <c r="H415" t="str">
        <f t="shared" si="96"/>
        <v>Canada-7</v>
      </c>
      <c r="J415" t="s">
        <v>1084</v>
      </c>
      <c r="K415" t="s">
        <v>1522</v>
      </c>
      <c r="L415">
        <v>300</v>
      </c>
      <c r="M415">
        <v>7</v>
      </c>
      <c r="N415" t="s">
        <v>1530</v>
      </c>
      <c r="O415" t="s">
        <v>1548</v>
      </c>
    </row>
    <row r="416" spans="1:15" x14ac:dyDescent="0.3">
      <c r="A416" t="str">
        <f>'Case 3 data'!A415</f>
        <v>Japan317-9M</v>
      </c>
      <c r="B416" t="str">
        <f>'Case 3 data'!B415</f>
        <v>Joseph</v>
      </c>
      <c r="C416" t="str">
        <f>'Case 3 data'!C415</f>
        <v>Wilson</v>
      </c>
      <c r="D416" t="str" cm="1">
        <f t="array" ref="D416">LEFT($A416,MIN(FIND({0;1;2;3;4;5;6;7;8;9},$A416&amp;"0123456789"))-1)</f>
        <v>Japan</v>
      </c>
      <c r="E416" t="str" cm="1">
        <f t="array" ref="E416">MID($A416,MIN(FIND({0;1;2;3;4;5;6;7;8;9},$A416&amp;"0123456789")),FIND("-",$A416)-MIN(FIND({0;1;2;3;4;5;6;7;8;9},$A416&amp;"0123456789")))</f>
        <v>317</v>
      </c>
      <c r="F416" t="str">
        <f t="shared" si="94"/>
        <v>9</v>
      </c>
      <c r="G416" t="str">
        <f t="shared" si="95"/>
        <v>M</v>
      </c>
      <c r="H416" t="str">
        <f t="shared" si="96"/>
        <v>Japan-9</v>
      </c>
      <c r="J416" t="s">
        <v>1087</v>
      </c>
      <c r="K416" t="s">
        <v>1523</v>
      </c>
      <c r="L416">
        <v>317</v>
      </c>
      <c r="M416">
        <v>9</v>
      </c>
      <c r="N416" t="s">
        <v>1531</v>
      </c>
      <c r="O416" t="s">
        <v>1544</v>
      </c>
    </row>
    <row r="417" spans="1:15" x14ac:dyDescent="0.3">
      <c r="A417" t="str">
        <f>'Case 3 data'!A416</f>
        <v>Japan372-2W</v>
      </c>
      <c r="B417" t="str">
        <f>'Case 3 data'!B416</f>
        <v>Brianna</v>
      </c>
      <c r="C417" t="str">
        <f>'Case 3 data'!C416</f>
        <v>Seitz</v>
      </c>
      <c r="D417" t="str" cm="1">
        <f t="array" ref="D417">LEFT($A417,MIN(FIND({0;1;2;3;4;5;6;7;8;9},$A417&amp;"0123456789"))-1)</f>
        <v>Japan</v>
      </c>
      <c r="E417" t="str" cm="1">
        <f t="array" ref="E417">MID($A417,MIN(FIND({0;1;2;3;4;5;6;7;8;9},$A417&amp;"0123456789")),FIND("-",$A417)-MIN(FIND({0;1;2;3;4;5;6;7;8;9},$A417&amp;"0123456789")))</f>
        <v>372</v>
      </c>
      <c r="F417" t="str">
        <f t="shared" si="94"/>
        <v>2</v>
      </c>
      <c r="G417" t="str">
        <f t="shared" si="95"/>
        <v>W</v>
      </c>
      <c r="H417" t="str">
        <f t="shared" si="96"/>
        <v>Japan-2</v>
      </c>
      <c r="J417" t="s">
        <v>1089</v>
      </c>
      <c r="K417" t="s">
        <v>1523</v>
      </c>
      <c r="L417">
        <v>372</v>
      </c>
      <c r="M417">
        <v>2</v>
      </c>
      <c r="N417" t="s">
        <v>1532</v>
      </c>
      <c r="O417" t="s">
        <v>1535</v>
      </c>
    </row>
    <row r="418" spans="1:15" x14ac:dyDescent="0.3">
      <c r="A418" t="str">
        <f>'Case 3 data'!A417</f>
        <v>Japan522-13M</v>
      </c>
      <c r="B418" t="str">
        <f>'Case 3 data'!B417</f>
        <v>Kenia</v>
      </c>
      <c r="C418" t="str">
        <f>'Case 3 data'!C417</f>
        <v>Craft</v>
      </c>
      <c r="D418" t="str" cm="1">
        <f t="array" ref="D418">LEFT($A418,MIN(FIND({0;1;2;3;4;5;6;7;8;9},$A418&amp;"0123456789"))-1)</f>
        <v>Japan</v>
      </c>
      <c r="E418" t="str" cm="1">
        <f t="array" ref="E418">MID($A418,MIN(FIND({0;1;2;3;4;5;6;7;8;9},$A418&amp;"0123456789")),FIND("-",$A418)-MIN(FIND({0;1;2;3;4;5;6;7;8;9},$A418&amp;"0123456789")))</f>
        <v>522</v>
      </c>
      <c r="F418" t="str">
        <f t="shared" si="94"/>
        <v>13</v>
      </c>
      <c r="G418" t="str">
        <f t="shared" si="95"/>
        <v>M</v>
      </c>
      <c r="H418" t="str">
        <f t="shared" si="96"/>
        <v>Japan-13</v>
      </c>
      <c r="J418" t="s">
        <v>1092</v>
      </c>
      <c r="K418" t="s">
        <v>1521</v>
      </c>
      <c r="L418">
        <v>522</v>
      </c>
      <c r="M418">
        <v>13</v>
      </c>
      <c r="N418" t="s">
        <v>1531</v>
      </c>
      <c r="O418" t="s">
        <v>1571</v>
      </c>
    </row>
    <row r="419" spans="1:15" x14ac:dyDescent="0.3">
      <c r="A419" t="str">
        <f>'Case 3 data'!A418</f>
        <v>ARG173-12M</v>
      </c>
      <c r="B419" t="str">
        <f>'Case 3 data'!B418</f>
        <v>Teresita</v>
      </c>
      <c r="C419" t="str">
        <f>'Case 3 data'!C418</f>
        <v>Schafer</v>
      </c>
      <c r="D419" t="str" cm="1">
        <f t="array" ref="D419">LEFT($A419,MIN(FIND({0;1;2;3;4;5;6;7;8;9},$A419&amp;"0123456789"))-1)</f>
        <v>ARG</v>
      </c>
      <c r="E419" t="str" cm="1">
        <f t="array" ref="E419">MID($A419,MIN(FIND({0;1;2;3;4;5;6;7;8;9},$A419&amp;"0123456789")),FIND("-",$A419)-MIN(FIND({0;1;2;3;4;5;6;7;8;9},$A419&amp;"0123456789")))</f>
        <v>173</v>
      </c>
      <c r="F419" t="str">
        <f t="shared" si="94"/>
        <v>12</v>
      </c>
      <c r="G419" t="str">
        <f t="shared" si="95"/>
        <v>M</v>
      </c>
      <c r="H419" t="str">
        <f t="shared" si="96"/>
        <v>ARG-12</v>
      </c>
      <c r="J419" t="s">
        <v>1095</v>
      </c>
      <c r="K419" t="str">
        <f t="shared" ref="K419:K450" si="103">LEFT(A419,3)</f>
        <v>ARG</v>
      </c>
      <c r="L419">
        <v>173</v>
      </c>
      <c r="M419">
        <v>12</v>
      </c>
      <c r="N419" t="s">
        <v>1531</v>
      </c>
      <c r="O419" t="s">
        <v>1635</v>
      </c>
    </row>
    <row r="420" spans="1:15" x14ac:dyDescent="0.3">
      <c r="A420" t="str">
        <f>'Case 3 data'!A419</f>
        <v>Japan170-17W</v>
      </c>
      <c r="B420" t="str">
        <f>'Case 3 data'!B419</f>
        <v>Irene</v>
      </c>
      <c r="C420" t="str">
        <f>'Case 3 data'!C419</f>
        <v>Price</v>
      </c>
      <c r="D420" t="str" cm="1">
        <f t="array" ref="D420">LEFT($A420,MIN(FIND({0;1;2;3;4;5;6;7;8;9},$A420&amp;"0123456789"))-1)</f>
        <v>Japan</v>
      </c>
      <c r="E420" t="str" cm="1">
        <f t="array" ref="E420">MID($A420,MIN(FIND({0;1;2;3;4;5;6;7;8;9},$A420&amp;"0123456789")),FIND("-",$A420)-MIN(FIND({0;1;2;3;4;5;6;7;8;9},$A420&amp;"0123456789")))</f>
        <v>170</v>
      </c>
      <c r="F420" t="str">
        <f t="shared" si="94"/>
        <v>17</v>
      </c>
      <c r="G420" t="str">
        <f t="shared" si="95"/>
        <v>W</v>
      </c>
      <c r="H420" t="str">
        <f t="shared" si="96"/>
        <v>Japan-17</v>
      </c>
      <c r="J420" t="s">
        <v>1097</v>
      </c>
      <c r="K420" t="s">
        <v>1522</v>
      </c>
      <c r="L420">
        <v>170</v>
      </c>
      <c r="M420">
        <v>17</v>
      </c>
      <c r="N420" t="s">
        <v>1532</v>
      </c>
      <c r="O420" t="s">
        <v>1579</v>
      </c>
    </row>
    <row r="421" spans="1:15" x14ac:dyDescent="0.3">
      <c r="A421" t="str">
        <f>'Case 3 data'!A420</f>
        <v>MEX180-16W</v>
      </c>
      <c r="B421" t="str">
        <f>'Case 3 data'!B420</f>
        <v>Albert</v>
      </c>
      <c r="C421" t="str">
        <f>'Case 3 data'!C420</f>
        <v>Martinez</v>
      </c>
      <c r="D421" t="str" cm="1">
        <f t="array" ref="D421">LEFT($A421,MIN(FIND({0;1;2;3;4;5;6;7;8;9},$A421&amp;"0123456789"))-1)</f>
        <v>MEX</v>
      </c>
      <c r="E421" t="str" cm="1">
        <f t="array" ref="E421">MID($A421,MIN(FIND({0;1;2;3;4;5;6;7;8;9},$A421&amp;"0123456789")),FIND("-",$A421)-MIN(FIND({0;1;2;3;4;5;6;7;8;9},$A421&amp;"0123456789")))</f>
        <v>180</v>
      </c>
      <c r="F421" t="str">
        <f t="shared" si="94"/>
        <v>16</v>
      </c>
      <c r="G421" t="str">
        <f t="shared" si="95"/>
        <v>W</v>
      </c>
      <c r="H421" t="str">
        <f t="shared" si="96"/>
        <v>MEX-16</v>
      </c>
      <c r="J421" t="s">
        <v>1099</v>
      </c>
      <c r="K421" t="s">
        <v>1523</v>
      </c>
      <c r="L421">
        <v>180</v>
      </c>
      <c r="M421">
        <v>16</v>
      </c>
      <c r="N421" t="s">
        <v>1532</v>
      </c>
      <c r="O421" t="s">
        <v>1570</v>
      </c>
    </row>
    <row r="422" spans="1:15" x14ac:dyDescent="0.3">
      <c r="A422" t="str">
        <f>'Case 3 data'!A421</f>
        <v>AUS589-8Mo</v>
      </c>
      <c r="B422" t="str">
        <f>'Case 3 data'!B421</f>
        <v>Lana</v>
      </c>
      <c r="C422" t="str">
        <f>'Case 3 data'!C421</f>
        <v>Hill</v>
      </c>
      <c r="D422" t="str" cm="1">
        <f t="array" ref="D422">LEFT($A422,MIN(FIND({0;1;2;3;4;5;6;7;8;9},$A422&amp;"0123456789"))-1)</f>
        <v>AUS</v>
      </c>
      <c r="E422" t="str" cm="1">
        <f t="array" ref="E422">MID($A422,MIN(FIND({0;1;2;3;4;5;6;7;8;9},$A422&amp;"0123456789")),FIND("-",$A422)-MIN(FIND({0;1;2;3;4;5;6;7;8;9},$A422&amp;"0123456789")))</f>
        <v>589</v>
      </c>
      <c r="F422" t="str">
        <f t="shared" si="94"/>
        <v>8</v>
      </c>
      <c r="G422" t="str">
        <f t="shared" si="95"/>
        <v>Mo</v>
      </c>
      <c r="H422" t="str">
        <f t="shared" si="96"/>
        <v>AUS-8</v>
      </c>
      <c r="J422" t="s">
        <v>1100</v>
      </c>
      <c r="K422" t="s">
        <v>1523</v>
      </c>
      <c r="L422">
        <v>589</v>
      </c>
      <c r="M422">
        <v>8</v>
      </c>
      <c r="N422" t="s">
        <v>1530</v>
      </c>
      <c r="O422" t="s">
        <v>1574</v>
      </c>
    </row>
    <row r="423" spans="1:15" x14ac:dyDescent="0.3">
      <c r="A423" t="str">
        <f>'Case 3 data'!A422</f>
        <v>AUS82-1W</v>
      </c>
      <c r="B423" t="str">
        <f>'Case 3 data'!B422</f>
        <v>Nieves</v>
      </c>
      <c r="C423" t="str">
        <f>'Case 3 data'!C422</f>
        <v>Dew</v>
      </c>
      <c r="D423" t="str" cm="1">
        <f t="array" ref="D423">LEFT($A423,MIN(FIND({0;1;2;3;4;5;6;7;8;9},$A423&amp;"0123456789"))-1)</f>
        <v>AUS</v>
      </c>
      <c r="E423" t="str" cm="1">
        <f t="array" ref="E423">MID($A423,MIN(FIND({0;1;2;3;4;5;6;7;8;9},$A423&amp;"0123456789")),FIND("-",$A423)-MIN(FIND({0;1;2;3;4;5;6;7;8;9},$A423&amp;"0123456789")))</f>
        <v>82</v>
      </c>
      <c r="F423" t="str">
        <f t="shared" si="94"/>
        <v>1</v>
      </c>
      <c r="G423" t="str">
        <f t="shared" si="95"/>
        <v>W</v>
      </c>
      <c r="H423" t="str">
        <f t="shared" si="96"/>
        <v>AUS-1</v>
      </c>
      <c r="J423" t="s">
        <v>1102</v>
      </c>
      <c r="K423" t="s">
        <v>1521</v>
      </c>
      <c r="L423">
        <v>82</v>
      </c>
      <c r="M423">
        <v>1</v>
      </c>
      <c r="N423" t="s">
        <v>1532</v>
      </c>
      <c r="O423" t="s">
        <v>1583</v>
      </c>
    </row>
    <row r="424" spans="1:15" x14ac:dyDescent="0.3">
      <c r="A424" t="str">
        <f>'Case 3 data'!A423</f>
        <v>ENG285-5W</v>
      </c>
      <c r="B424" t="str">
        <f>'Case 3 data'!B423</f>
        <v>Stacey</v>
      </c>
      <c r="C424" t="str">
        <f>'Case 3 data'!C423</f>
        <v>Alexander</v>
      </c>
      <c r="D424" t="str" cm="1">
        <f t="array" ref="D424">LEFT($A424,MIN(FIND({0;1;2;3;4;5;6;7;8;9},$A424&amp;"0123456789"))-1)</f>
        <v>ENG</v>
      </c>
      <c r="E424" t="str" cm="1">
        <f t="array" ref="E424">MID($A424,MIN(FIND({0;1;2;3;4;5;6;7;8;9},$A424&amp;"0123456789")),FIND("-",$A424)-MIN(FIND({0;1;2;3;4;5;6;7;8;9},$A424&amp;"0123456789")))</f>
        <v>285</v>
      </c>
      <c r="F424" t="str">
        <f t="shared" si="94"/>
        <v>5</v>
      </c>
      <c r="G424" t="str">
        <f t="shared" si="95"/>
        <v>W</v>
      </c>
      <c r="H424" t="str">
        <f t="shared" si="96"/>
        <v>ENG-5</v>
      </c>
      <c r="J424" t="s">
        <v>1105</v>
      </c>
      <c r="K424" t="str">
        <f t="shared" ref="K424:K455" si="104">LEFT(A424,3)</f>
        <v>ENG</v>
      </c>
      <c r="L424">
        <v>285</v>
      </c>
      <c r="M424">
        <v>5</v>
      </c>
      <c r="N424" t="s">
        <v>1532</v>
      </c>
      <c r="O424" t="s">
        <v>1636</v>
      </c>
    </row>
    <row r="425" spans="1:15" x14ac:dyDescent="0.3">
      <c r="A425" t="str">
        <f>'Case 3 data'!A424</f>
        <v>AUS140-13Mo</v>
      </c>
      <c r="B425" t="str">
        <f>'Case 3 data'!B424</f>
        <v>Kenneth</v>
      </c>
      <c r="C425" t="str">
        <f>'Case 3 data'!C424</f>
        <v>Taylor</v>
      </c>
      <c r="D425" t="str" cm="1">
        <f t="array" ref="D425">LEFT($A425,MIN(FIND({0;1;2;3;4;5;6;7;8;9},$A425&amp;"0123456789"))-1)</f>
        <v>AUS</v>
      </c>
      <c r="E425" t="str" cm="1">
        <f t="array" ref="E425">MID($A425,MIN(FIND({0;1;2;3;4;5;6;7;8;9},$A425&amp;"0123456789")),FIND("-",$A425)-MIN(FIND({0;1;2;3;4;5;6;7;8;9},$A425&amp;"0123456789")))</f>
        <v>140</v>
      </c>
      <c r="F425" t="str">
        <f t="shared" si="94"/>
        <v>13</v>
      </c>
      <c r="G425" t="str">
        <f t="shared" si="95"/>
        <v>Mo</v>
      </c>
      <c r="H425" t="str">
        <f t="shared" si="96"/>
        <v>AUS-13</v>
      </c>
      <c r="J425" t="s">
        <v>1107</v>
      </c>
      <c r="K425" t="s">
        <v>1522</v>
      </c>
      <c r="L425">
        <v>140</v>
      </c>
      <c r="M425">
        <v>13</v>
      </c>
      <c r="N425" t="s">
        <v>1530</v>
      </c>
      <c r="O425" t="s">
        <v>1605</v>
      </c>
    </row>
    <row r="426" spans="1:15" x14ac:dyDescent="0.3">
      <c r="A426" t="str">
        <f>'Case 3 data'!A425</f>
        <v>MEX467-2W</v>
      </c>
      <c r="B426" t="str">
        <f>'Case 3 data'!B425</f>
        <v>Diana</v>
      </c>
      <c r="C426" t="str">
        <f>'Case 3 data'!C425</f>
        <v>Davis</v>
      </c>
      <c r="D426" t="str" cm="1">
        <f t="array" ref="D426">LEFT($A426,MIN(FIND({0;1;2;3;4;5;6;7;8;9},$A426&amp;"0123456789"))-1)</f>
        <v>MEX</v>
      </c>
      <c r="E426" t="str" cm="1">
        <f t="array" ref="E426">MID($A426,MIN(FIND({0;1;2;3;4;5;6;7;8;9},$A426&amp;"0123456789")),FIND("-",$A426)-MIN(FIND({0;1;2;3;4;5;6;7;8;9},$A426&amp;"0123456789")))</f>
        <v>467</v>
      </c>
      <c r="F426" t="str">
        <f t="shared" si="94"/>
        <v>2</v>
      </c>
      <c r="G426" t="str">
        <f t="shared" si="95"/>
        <v>W</v>
      </c>
      <c r="H426" t="str">
        <f t="shared" si="96"/>
        <v>MEX-2</v>
      </c>
      <c r="J426" t="s">
        <v>1110</v>
      </c>
      <c r="K426" t="s">
        <v>1523</v>
      </c>
      <c r="L426">
        <v>467</v>
      </c>
      <c r="M426">
        <v>2</v>
      </c>
      <c r="N426" t="s">
        <v>1532</v>
      </c>
      <c r="O426" t="s">
        <v>1535</v>
      </c>
    </row>
    <row r="427" spans="1:15" x14ac:dyDescent="0.3">
      <c r="A427" t="str">
        <f>'Case 3 data'!A426</f>
        <v>MEX461-15W</v>
      </c>
      <c r="B427" t="str">
        <f>'Case 3 data'!B426</f>
        <v>Shirl</v>
      </c>
      <c r="C427" t="str">
        <f>'Case 3 data'!C426</f>
        <v>Whitt</v>
      </c>
      <c r="D427" t="str" cm="1">
        <f t="array" ref="D427">LEFT($A427,MIN(FIND({0;1;2;3;4;5;6;7;8;9},$A427&amp;"0123456789"))-1)</f>
        <v>MEX</v>
      </c>
      <c r="E427" t="str" cm="1">
        <f t="array" ref="E427">MID($A427,MIN(FIND({0;1;2;3;4;5;6;7;8;9},$A427&amp;"0123456789")),FIND("-",$A427)-MIN(FIND({0;1;2;3;4;5;6;7;8;9},$A427&amp;"0123456789")))</f>
        <v>461</v>
      </c>
      <c r="F427" t="str">
        <f t="shared" si="94"/>
        <v>15</v>
      </c>
      <c r="G427" t="str">
        <f t="shared" si="95"/>
        <v>W</v>
      </c>
      <c r="H427" t="str">
        <f t="shared" si="96"/>
        <v>MEX-15</v>
      </c>
      <c r="J427" t="s">
        <v>1112</v>
      </c>
      <c r="K427" t="s">
        <v>1523</v>
      </c>
      <c r="L427">
        <v>461</v>
      </c>
      <c r="M427">
        <v>15</v>
      </c>
      <c r="N427" t="s">
        <v>1532</v>
      </c>
      <c r="O427" t="s">
        <v>1558</v>
      </c>
    </row>
    <row r="428" spans="1:15" x14ac:dyDescent="0.3">
      <c r="A428" t="str">
        <f>'Case 3 data'!A427</f>
        <v>GER434-1Mo</v>
      </c>
      <c r="B428" t="str">
        <f>'Case 3 data'!B427</f>
        <v>Catherine</v>
      </c>
      <c r="C428" t="str">
        <f>'Case 3 data'!C427</f>
        <v>Roberts</v>
      </c>
      <c r="D428" t="str" cm="1">
        <f t="array" ref="D428">LEFT($A428,MIN(FIND({0;1;2;3;4;5;6;7;8;9},$A428&amp;"0123456789"))-1)</f>
        <v>GER</v>
      </c>
      <c r="E428" t="str" cm="1">
        <f t="array" ref="E428">MID($A428,MIN(FIND({0;1;2;3;4;5;6;7;8;9},$A428&amp;"0123456789")),FIND("-",$A428)-MIN(FIND({0;1;2;3;4;5;6;7;8;9},$A428&amp;"0123456789")))</f>
        <v>434</v>
      </c>
      <c r="F428" t="str">
        <f t="shared" si="94"/>
        <v>1</v>
      </c>
      <c r="G428" t="str">
        <f t="shared" si="95"/>
        <v>Mo</v>
      </c>
      <c r="H428" t="str">
        <f t="shared" si="96"/>
        <v>GER-1</v>
      </c>
      <c r="J428" t="s">
        <v>1115</v>
      </c>
      <c r="K428" t="s">
        <v>1521</v>
      </c>
      <c r="L428">
        <v>434</v>
      </c>
      <c r="M428">
        <v>1</v>
      </c>
      <c r="N428" t="s">
        <v>1530</v>
      </c>
      <c r="O428" t="s">
        <v>1583</v>
      </c>
    </row>
    <row r="429" spans="1:15" x14ac:dyDescent="0.3">
      <c r="A429" t="str">
        <f>'Case 3 data'!A428</f>
        <v>US151-15Mo</v>
      </c>
      <c r="B429" t="str">
        <f>'Case 3 data'!B428</f>
        <v>Kevin</v>
      </c>
      <c r="C429" t="str">
        <f>'Case 3 data'!C428</f>
        <v>Cobb</v>
      </c>
      <c r="D429" t="str" cm="1">
        <f t="array" ref="D429">LEFT($A429,MIN(FIND({0;1;2;3;4;5;6;7;8;9},$A429&amp;"0123456789"))-1)</f>
        <v>US</v>
      </c>
      <c r="E429" t="str" cm="1">
        <f t="array" ref="E429">MID($A429,MIN(FIND({0;1;2;3;4;5;6;7;8;9},$A429&amp;"0123456789")),FIND("-",$A429)-MIN(FIND({0;1;2;3;4;5;6;7;8;9},$A429&amp;"0123456789")))</f>
        <v>151</v>
      </c>
      <c r="F429" t="str">
        <f t="shared" si="94"/>
        <v>15</v>
      </c>
      <c r="G429" t="str">
        <f t="shared" si="95"/>
        <v>Mo</v>
      </c>
      <c r="H429" t="str">
        <f t="shared" si="96"/>
        <v>US-15</v>
      </c>
      <c r="J429" t="s">
        <v>1117</v>
      </c>
      <c r="K429" t="str">
        <f t="shared" ref="K429:K460" si="105">LEFT(A429,3)</f>
        <v>US1</v>
      </c>
      <c r="L429">
        <v>151</v>
      </c>
      <c r="M429">
        <v>15</v>
      </c>
      <c r="N429" t="s">
        <v>1530</v>
      </c>
      <c r="O429" t="s">
        <v>1637</v>
      </c>
    </row>
    <row r="430" spans="1:15" x14ac:dyDescent="0.3">
      <c r="A430" t="str">
        <f>'Case 3 data'!A429</f>
        <v>US519-3Mo</v>
      </c>
      <c r="B430" t="str">
        <f>'Case 3 data'!B429</f>
        <v>Remona</v>
      </c>
      <c r="C430" t="str">
        <f>'Case 3 data'!C429</f>
        <v>Jarrett</v>
      </c>
      <c r="D430" t="str" cm="1">
        <f t="array" ref="D430">LEFT($A430,MIN(FIND({0;1;2;3;4;5;6;7;8;9},$A430&amp;"0123456789"))-1)</f>
        <v>US</v>
      </c>
      <c r="E430" t="str" cm="1">
        <f t="array" ref="E430">MID($A430,MIN(FIND({0;1;2;3;4;5;6;7;8;9},$A430&amp;"0123456789")),FIND("-",$A430)-MIN(FIND({0;1;2;3;4;5;6;7;8;9},$A430&amp;"0123456789")))</f>
        <v>519</v>
      </c>
      <c r="F430" t="str">
        <f t="shared" si="94"/>
        <v>3</v>
      </c>
      <c r="G430" t="str">
        <f t="shared" si="95"/>
        <v>Mo</v>
      </c>
      <c r="H430" t="str">
        <f t="shared" si="96"/>
        <v>US-3</v>
      </c>
      <c r="J430" t="s">
        <v>1118</v>
      </c>
      <c r="K430" t="s">
        <v>1522</v>
      </c>
      <c r="L430">
        <v>519</v>
      </c>
      <c r="M430">
        <v>3</v>
      </c>
      <c r="N430" t="s">
        <v>1530</v>
      </c>
      <c r="O430" t="s">
        <v>1576</v>
      </c>
    </row>
    <row r="431" spans="1:15" x14ac:dyDescent="0.3">
      <c r="A431" t="str">
        <f>'Case 3 data'!A430</f>
        <v>MEX374-10W</v>
      </c>
      <c r="B431" t="str">
        <f>'Case 3 data'!B430</f>
        <v>Dede</v>
      </c>
      <c r="C431" t="str">
        <f>'Case 3 data'!C430</f>
        <v>Potts</v>
      </c>
      <c r="D431" t="str" cm="1">
        <f t="array" ref="D431">LEFT($A431,MIN(FIND({0;1;2;3;4;5;6;7;8;9},$A431&amp;"0123456789"))-1)</f>
        <v>MEX</v>
      </c>
      <c r="E431" t="str" cm="1">
        <f t="array" ref="E431">MID($A431,MIN(FIND({0;1;2;3;4;5;6;7;8;9},$A431&amp;"0123456789")),FIND("-",$A431)-MIN(FIND({0;1;2;3;4;5;6;7;8;9},$A431&amp;"0123456789")))</f>
        <v>374</v>
      </c>
      <c r="F431" t="str">
        <f t="shared" si="94"/>
        <v>10</v>
      </c>
      <c r="G431" t="str">
        <f t="shared" si="95"/>
        <v>W</v>
      </c>
      <c r="H431" t="str">
        <f t="shared" si="96"/>
        <v>MEX-10</v>
      </c>
      <c r="J431" t="s">
        <v>1121</v>
      </c>
      <c r="K431" t="s">
        <v>1523</v>
      </c>
      <c r="L431">
        <v>374</v>
      </c>
      <c r="M431">
        <v>10</v>
      </c>
      <c r="N431" t="s">
        <v>1532</v>
      </c>
      <c r="O431" t="s">
        <v>1545</v>
      </c>
    </row>
    <row r="432" spans="1:15" x14ac:dyDescent="0.3">
      <c r="A432" t="str">
        <f>'Case 3 data'!A431</f>
        <v>GER381-4W</v>
      </c>
      <c r="B432" t="str">
        <f>'Case 3 data'!B431</f>
        <v>Shelia</v>
      </c>
      <c r="C432" t="str">
        <f>'Case 3 data'!C431</f>
        <v>Owens</v>
      </c>
      <c r="D432" t="str" cm="1">
        <f t="array" ref="D432">LEFT($A432,MIN(FIND({0;1;2;3;4;5;6;7;8;9},$A432&amp;"0123456789"))-1)</f>
        <v>GER</v>
      </c>
      <c r="E432" t="str" cm="1">
        <f t="array" ref="E432">MID($A432,MIN(FIND({0;1;2;3;4;5;6;7;8;9},$A432&amp;"0123456789")),FIND("-",$A432)-MIN(FIND({0;1;2;3;4;5;6;7;8;9},$A432&amp;"0123456789")))</f>
        <v>381</v>
      </c>
      <c r="F432" t="str">
        <f t="shared" si="94"/>
        <v>4</v>
      </c>
      <c r="G432" t="str">
        <f t="shared" si="95"/>
        <v>W</v>
      </c>
      <c r="H432" t="str">
        <f t="shared" si="96"/>
        <v>GER-4</v>
      </c>
      <c r="J432" t="s">
        <v>1124</v>
      </c>
      <c r="K432" t="s">
        <v>1523</v>
      </c>
      <c r="L432">
        <v>381</v>
      </c>
      <c r="M432">
        <v>4</v>
      </c>
      <c r="N432" t="s">
        <v>1532</v>
      </c>
      <c r="O432" t="s">
        <v>1564</v>
      </c>
    </row>
    <row r="433" spans="1:15" x14ac:dyDescent="0.3">
      <c r="A433" t="str">
        <f>'Case 3 data'!A432</f>
        <v>US348-14W</v>
      </c>
      <c r="B433" t="str">
        <f>'Case 3 data'!B432</f>
        <v>Jean</v>
      </c>
      <c r="C433" t="str">
        <f>'Case 3 data'!C432</f>
        <v>Gonzalez</v>
      </c>
      <c r="D433" t="str" cm="1">
        <f t="array" ref="D433">LEFT($A433,MIN(FIND({0;1;2;3;4;5;6;7;8;9},$A433&amp;"0123456789"))-1)</f>
        <v>US</v>
      </c>
      <c r="E433" t="str" cm="1">
        <f t="array" ref="E433">MID($A433,MIN(FIND({0;1;2;3;4;5;6;7;8;9},$A433&amp;"0123456789")),FIND("-",$A433)-MIN(FIND({0;1;2;3;4;5;6;7;8;9},$A433&amp;"0123456789")))</f>
        <v>348</v>
      </c>
      <c r="F433" t="str">
        <f t="shared" si="94"/>
        <v>14</v>
      </c>
      <c r="G433" t="str">
        <f t="shared" si="95"/>
        <v>W</v>
      </c>
      <c r="H433" t="str">
        <f t="shared" si="96"/>
        <v>US-14</v>
      </c>
      <c r="J433" t="s">
        <v>1127</v>
      </c>
      <c r="K433" t="s">
        <v>1521</v>
      </c>
      <c r="L433">
        <v>348</v>
      </c>
      <c r="M433">
        <v>14</v>
      </c>
      <c r="N433" t="s">
        <v>1532</v>
      </c>
      <c r="O433" t="s">
        <v>1565</v>
      </c>
    </row>
    <row r="434" spans="1:15" x14ac:dyDescent="0.3">
      <c r="A434" t="str">
        <f>'Case 3 data'!A433</f>
        <v>Canada268-15M</v>
      </c>
      <c r="B434" t="str">
        <f>'Case 3 data'!B433</f>
        <v>Martin</v>
      </c>
      <c r="C434" t="str">
        <f>'Case 3 data'!C433</f>
        <v>Carpenter</v>
      </c>
      <c r="D434" t="str" cm="1">
        <f t="array" ref="D434">LEFT($A434,MIN(FIND({0;1;2;3;4;5;6;7;8;9},$A434&amp;"0123456789"))-1)</f>
        <v>Canada</v>
      </c>
      <c r="E434" t="str" cm="1">
        <f t="array" ref="E434">MID($A434,MIN(FIND({0;1;2;3;4;5;6;7;8;9},$A434&amp;"0123456789")),FIND("-",$A434)-MIN(FIND({0;1;2;3;4;5;6;7;8;9},$A434&amp;"0123456789")))</f>
        <v>268</v>
      </c>
      <c r="F434" t="str">
        <f t="shared" si="94"/>
        <v>15</v>
      </c>
      <c r="G434" t="str">
        <f t="shared" si="95"/>
        <v>M</v>
      </c>
      <c r="H434" t="str">
        <f t="shared" si="96"/>
        <v>Canada-15</v>
      </c>
      <c r="J434" t="s">
        <v>1128</v>
      </c>
      <c r="K434" t="str">
        <f t="shared" ref="K434:K465" si="106">LEFT(A434,3)</f>
        <v>Can</v>
      </c>
      <c r="L434">
        <v>268</v>
      </c>
      <c r="M434">
        <v>15</v>
      </c>
      <c r="N434" t="s">
        <v>1531</v>
      </c>
      <c r="O434" t="s">
        <v>1638</v>
      </c>
    </row>
    <row r="435" spans="1:15" x14ac:dyDescent="0.3">
      <c r="A435" t="str">
        <f>'Case 3 data'!A434</f>
        <v>MEX304-4M</v>
      </c>
      <c r="B435" t="str">
        <f>'Case 3 data'!B434</f>
        <v>Roy</v>
      </c>
      <c r="C435" t="str">
        <f>'Case 3 data'!C434</f>
        <v>Jones</v>
      </c>
      <c r="D435" t="str" cm="1">
        <f t="array" ref="D435">LEFT($A435,MIN(FIND({0;1;2;3;4;5;6;7;8;9},$A435&amp;"0123456789"))-1)</f>
        <v>MEX</v>
      </c>
      <c r="E435" t="str" cm="1">
        <f t="array" ref="E435">MID($A435,MIN(FIND({0;1;2;3;4;5;6;7;8;9},$A435&amp;"0123456789")),FIND("-",$A435)-MIN(FIND({0;1;2;3;4;5;6;7;8;9},$A435&amp;"0123456789")))</f>
        <v>304</v>
      </c>
      <c r="F435" t="str">
        <f t="shared" si="94"/>
        <v>4</v>
      </c>
      <c r="G435" t="str">
        <f t="shared" si="95"/>
        <v>M</v>
      </c>
      <c r="H435" t="str">
        <f t="shared" si="96"/>
        <v>MEX-4</v>
      </c>
      <c r="J435" t="s">
        <v>1130</v>
      </c>
      <c r="K435" t="s">
        <v>1522</v>
      </c>
      <c r="L435">
        <v>304</v>
      </c>
      <c r="M435">
        <v>4</v>
      </c>
      <c r="N435" t="s">
        <v>1531</v>
      </c>
      <c r="O435" t="s">
        <v>1573</v>
      </c>
    </row>
    <row r="436" spans="1:15" x14ac:dyDescent="0.3">
      <c r="A436" t="str">
        <f>'Case 3 data'!A435</f>
        <v>MEX547-3W</v>
      </c>
      <c r="B436" t="str">
        <f>'Case 3 data'!B435</f>
        <v>Amanda</v>
      </c>
      <c r="C436" t="str">
        <f>'Case 3 data'!C435</f>
        <v>Wilson</v>
      </c>
      <c r="D436" t="str" cm="1">
        <f t="array" ref="D436">LEFT($A436,MIN(FIND({0;1;2;3;4;5;6;7;8;9},$A436&amp;"0123456789"))-1)</f>
        <v>MEX</v>
      </c>
      <c r="E436" t="str" cm="1">
        <f t="array" ref="E436">MID($A436,MIN(FIND({0;1;2;3;4;5;6;7;8;9},$A436&amp;"0123456789")),FIND("-",$A436)-MIN(FIND({0;1;2;3;4;5;6;7;8;9},$A436&amp;"0123456789")))</f>
        <v>547</v>
      </c>
      <c r="F436" t="str">
        <f t="shared" si="94"/>
        <v>3</v>
      </c>
      <c r="G436" t="str">
        <f t="shared" si="95"/>
        <v>W</v>
      </c>
      <c r="H436" t="str">
        <f t="shared" si="96"/>
        <v>MEX-3</v>
      </c>
      <c r="J436" t="s">
        <v>1132</v>
      </c>
      <c r="K436" t="s">
        <v>1523</v>
      </c>
      <c r="L436">
        <v>547</v>
      </c>
      <c r="M436">
        <v>3</v>
      </c>
      <c r="N436" t="s">
        <v>1532</v>
      </c>
      <c r="O436" t="s">
        <v>1552</v>
      </c>
    </row>
    <row r="437" spans="1:15" x14ac:dyDescent="0.3">
      <c r="A437" t="str">
        <f>'Case 3 data'!A436</f>
        <v>AUS178-5W</v>
      </c>
      <c r="B437" t="str">
        <f>'Case 3 data'!B436</f>
        <v>Andrew</v>
      </c>
      <c r="C437" t="str">
        <f>'Case 3 data'!C436</f>
        <v>Allison</v>
      </c>
      <c r="D437" t="str" cm="1">
        <f t="array" ref="D437">LEFT($A437,MIN(FIND({0;1;2;3;4;5;6;7;8;9},$A437&amp;"0123456789"))-1)</f>
        <v>AUS</v>
      </c>
      <c r="E437" t="str" cm="1">
        <f t="array" ref="E437">MID($A437,MIN(FIND({0;1;2;3;4;5;6;7;8;9},$A437&amp;"0123456789")),FIND("-",$A437)-MIN(FIND({0;1;2;3;4;5;6;7;8;9},$A437&amp;"0123456789")))</f>
        <v>178</v>
      </c>
      <c r="F437" t="str">
        <f t="shared" si="94"/>
        <v>5</v>
      </c>
      <c r="G437" t="str">
        <f t="shared" si="95"/>
        <v>W</v>
      </c>
      <c r="H437" t="str">
        <f t="shared" si="96"/>
        <v>AUS-5</v>
      </c>
      <c r="J437" t="s">
        <v>1134</v>
      </c>
      <c r="K437" t="s">
        <v>1523</v>
      </c>
      <c r="L437">
        <v>178</v>
      </c>
      <c r="M437">
        <v>5</v>
      </c>
      <c r="N437" t="s">
        <v>1532</v>
      </c>
      <c r="O437" t="s">
        <v>1577</v>
      </c>
    </row>
    <row r="438" spans="1:15" x14ac:dyDescent="0.3">
      <c r="A438" t="str">
        <f>'Case 3 data'!A437</f>
        <v>Canada96-16W</v>
      </c>
      <c r="B438" t="str">
        <f>'Case 3 data'!B437</f>
        <v>Sabrina</v>
      </c>
      <c r="C438" t="str">
        <f>'Case 3 data'!C437</f>
        <v>Rodriguez</v>
      </c>
      <c r="D438" t="str" cm="1">
        <f t="array" ref="D438">LEFT($A438,MIN(FIND({0;1;2;3;4;5;6;7;8;9},$A438&amp;"0123456789"))-1)</f>
        <v>Canada</v>
      </c>
      <c r="E438" t="str" cm="1">
        <f t="array" ref="E438">MID($A438,MIN(FIND({0;1;2;3;4;5;6;7;8;9},$A438&amp;"0123456789")),FIND("-",$A438)-MIN(FIND({0;1;2;3;4;5;6;7;8;9},$A438&amp;"0123456789")))</f>
        <v>96</v>
      </c>
      <c r="F438" t="str">
        <f t="shared" si="94"/>
        <v>16</v>
      </c>
      <c r="G438" t="str">
        <f t="shared" si="95"/>
        <v>W</v>
      </c>
      <c r="H438" t="str">
        <f t="shared" si="96"/>
        <v>Canada-16</v>
      </c>
      <c r="J438" t="s">
        <v>1136</v>
      </c>
      <c r="K438" t="s">
        <v>1521</v>
      </c>
      <c r="L438">
        <v>96</v>
      </c>
      <c r="M438">
        <v>16</v>
      </c>
      <c r="N438" t="s">
        <v>1532</v>
      </c>
      <c r="O438" t="s">
        <v>1578</v>
      </c>
    </row>
    <row r="439" spans="1:15" x14ac:dyDescent="0.3">
      <c r="A439" t="str">
        <f>'Case 3 data'!A438</f>
        <v>Japan365-13M</v>
      </c>
      <c r="B439" t="str">
        <f>'Case 3 data'!B438</f>
        <v>Laurie</v>
      </c>
      <c r="C439" t="str">
        <f>'Case 3 data'!C438</f>
        <v>Bowman</v>
      </c>
      <c r="D439" t="str" cm="1">
        <f t="array" ref="D439">LEFT($A439,MIN(FIND({0;1;2;3;4;5;6;7;8;9},$A439&amp;"0123456789"))-1)</f>
        <v>Japan</v>
      </c>
      <c r="E439" t="str" cm="1">
        <f t="array" ref="E439">MID($A439,MIN(FIND({0;1;2;3;4;5;6;7;8;9},$A439&amp;"0123456789")),FIND("-",$A439)-MIN(FIND({0;1;2;3;4;5;6;7;8;9},$A439&amp;"0123456789")))</f>
        <v>365</v>
      </c>
      <c r="F439" t="str">
        <f t="shared" si="94"/>
        <v>13</v>
      </c>
      <c r="G439" t="str">
        <f t="shared" si="95"/>
        <v>M</v>
      </c>
      <c r="H439" t="str">
        <f t="shared" si="96"/>
        <v>Japan-13</v>
      </c>
      <c r="J439" t="s">
        <v>1138</v>
      </c>
      <c r="K439" t="str">
        <f t="shared" ref="K439:K470" si="107">LEFT(A439,3)</f>
        <v>Jap</v>
      </c>
      <c r="L439">
        <v>365</v>
      </c>
      <c r="M439">
        <v>13</v>
      </c>
      <c r="N439" t="s">
        <v>1531</v>
      </c>
      <c r="O439" t="s">
        <v>1639</v>
      </c>
    </row>
    <row r="440" spans="1:15" x14ac:dyDescent="0.3">
      <c r="A440" t="str">
        <f>'Case 3 data'!A439</f>
        <v>ARG499-13M</v>
      </c>
      <c r="B440" t="str">
        <f>'Case 3 data'!B439</f>
        <v>Nettie</v>
      </c>
      <c r="C440" t="str">
        <f>'Case 3 data'!C439</f>
        <v>George</v>
      </c>
      <c r="D440" t="str" cm="1">
        <f t="array" ref="D440">LEFT($A440,MIN(FIND({0;1;2;3;4;5;6;7;8;9},$A440&amp;"0123456789"))-1)</f>
        <v>ARG</v>
      </c>
      <c r="E440" t="str" cm="1">
        <f t="array" ref="E440">MID($A440,MIN(FIND({0;1;2;3;4;5;6;7;8;9},$A440&amp;"0123456789")),FIND("-",$A440)-MIN(FIND({0;1;2;3;4;5;6;7;8;9},$A440&amp;"0123456789")))</f>
        <v>499</v>
      </c>
      <c r="F440" t="str">
        <f t="shared" si="94"/>
        <v>13</v>
      </c>
      <c r="G440" t="str">
        <f t="shared" si="95"/>
        <v>M</v>
      </c>
      <c r="H440" t="str">
        <f t="shared" si="96"/>
        <v>ARG-13</v>
      </c>
      <c r="J440" t="s">
        <v>1141</v>
      </c>
      <c r="K440" t="s">
        <v>1522</v>
      </c>
      <c r="L440">
        <v>499</v>
      </c>
      <c r="M440">
        <v>13</v>
      </c>
      <c r="N440" t="s">
        <v>1531</v>
      </c>
      <c r="O440" t="s">
        <v>1605</v>
      </c>
    </row>
    <row r="441" spans="1:15" x14ac:dyDescent="0.3">
      <c r="A441" t="str">
        <f>'Case 3 data'!A440</f>
        <v>ARG148-2M</v>
      </c>
      <c r="B441" t="str">
        <f>'Case 3 data'!B440</f>
        <v>Leroy</v>
      </c>
      <c r="C441" t="str">
        <f>'Case 3 data'!C440</f>
        <v>Mclaughlin</v>
      </c>
      <c r="D441" t="str" cm="1">
        <f t="array" ref="D441">LEFT($A441,MIN(FIND({0;1;2;3;4;5;6;7;8;9},$A441&amp;"0123456789"))-1)</f>
        <v>ARG</v>
      </c>
      <c r="E441" t="str" cm="1">
        <f t="array" ref="E441">MID($A441,MIN(FIND({0;1;2;3;4;5;6;7;8;9},$A441&amp;"0123456789")),FIND("-",$A441)-MIN(FIND({0;1;2;3;4;5;6;7;8;9},$A441&amp;"0123456789")))</f>
        <v>148</v>
      </c>
      <c r="F441" t="str">
        <f t="shared" si="94"/>
        <v>2</v>
      </c>
      <c r="G441" t="str">
        <f t="shared" si="95"/>
        <v>M</v>
      </c>
      <c r="H441" t="str">
        <f t="shared" si="96"/>
        <v>ARG-2</v>
      </c>
      <c r="J441" t="s">
        <v>1143</v>
      </c>
      <c r="K441" t="s">
        <v>1523</v>
      </c>
      <c r="L441">
        <v>148</v>
      </c>
      <c r="M441">
        <v>2</v>
      </c>
      <c r="N441" t="s">
        <v>1531</v>
      </c>
      <c r="O441" t="s">
        <v>1535</v>
      </c>
    </row>
    <row r="442" spans="1:15" x14ac:dyDescent="0.3">
      <c r="A442" t="str">
        <f>'Case 3 data'!A441</f>
        <v>ARG239-17M</v>
      </c>
      <c r="B442" t="str">
        <f>'Case 3 data'!B441</f>
        <v>Gloria</v>
      </c>
      <c r="C442" t="str">
        <f>'Case 3 data'!C441</f>
        <v>Roberts</v>
      </c>
      <c r="D442" t="str" cm="1">
        <f t="array" ref="D442">LEFT($A442,MIN(FIND({0;1;2;3;4;5;6;7;8;9},$A442&amp;"0123456789"))-1)</f>
        <v>ARG</v>
      </c>
      <c r="E442" t="str" cm="1">
        <f t="array" ref="E442">MID($A442,MIN(FIND({0;1;2;3;4;5;6;7;8;9},$A442&amp;"0123456789")),FIND("-",$A442)-MIN(FIND({0;1;2;3;4;5;6;7;8;9},$A442&amp;"0123456789")))</f>
        <v>239</v>
      </c>
      <c r="F442" t="str">
        <f t="shared" si="94"/>
        <v>17</v>
      </c>
      <c r="G442" t="str">
        <f t="shared" si="95"/>
        <v>M</v>
      </c>
      <c r="H442" t="str">
        <f t="shared" si="96"/>
        <v>ARG-17</v>
      </c>
      <c r="J442" t="s">
        <v>1146</v>
      </c>
      <c r="K442" t="s">
        <v>1523</v>
      </c>
      <c r="L442">
        <v>239</v>
      </c>
      <c r="M442">
        <v>17</v>
      </c>
      <c r="N442" t="s">
        <v>1531</v>
      </c>
      <c r="O442" t="s">
        <v>1572</v>
      </c>
    </row>
    <row r="443" spans="1:15" x14ac:dyDescent="0.3">
      <c r="A443" t="str">
        <f>'Case 3 data'!A442</f>
        <v>Japan25-17Mo</v>
      </c>
      <c r="B443" t="str">
        <f>'Case 3 data'!B442</f>
        <v>Kayla</v>
      </c>
      <c r="C443" t="str">
        <f>'Case 3 data'!C442</f>
        <v>Ingram</v>
      </c>
      <c r="D443" t="str" cm="1">
        <f t="array" ref="D443">LEFT($A443,MIN(FIND({0;1;2;3;4;5;6;7;8;9},$A443&amp;"0123456789"))-1)</f>
        <v>Japan</v>
      </c>
      <c r="E443" t="str" cm="1">
        <f t="array" ref="E443">MID($A443,MIN(FIND({0;1;2;3;4;5;6;7;8;9},$A443&amp;"0123456789")),FIND("-",$A443)-MIN(FIND({0;1;2;3;4;5;6;7;8;9},$A443&amp;"0123456789")))</f>
        <v>25</v>
      </c>
      <c r="F443" t="str">
        <f t="shared" si="94"/>
        <v>17</v>
      </c>
      <c r="G443" t="str">
        <f t="shared" si="95"/>
        <v>Mo</v>
      </c>
      <c r="H443" t="str">
        <f t="shared" si="96"/>
        <v>Japan-17</v>
      </c>
      <c r="J443" t="s">
        <v>1148</v>
      </c>
      <c r="K443" t="s">
        <v>1521</v>
      </c>
      <c r="L443">
        <v>25</v>
      </c>
      <c r="M443">
        <v>17</v>
      </c>
      <c r="N443" t="s">
        <v>1530</v>
      </c>
      <c r="O443" t="s">
        <v>1586</v>
      </c>
    </row>
    <row r="444" spans="1:15" x14ac:dyDescent="0.3">
      <c r="A444" t="str">
        <f>'Case 3 data'!A443</f>
        <v>GER191-15W</v>
      </c>
      <c r="B444" t="str">
        <f>'Case 3 data'!B443</f>
        <v>Kelvin</v>
      </c>
      <c r="C444" t="str">
        <f>'Case 3 data'!C443</f>
        <v>Jordan</v>
      </c>
      <c r="D444" t="str" cm="1">
        <f t="array" ref="D444">LEFT($A444,MIN(FIND({0;1;2;3;4;5;6;7;8;9},$A444&amp;"0123456789"))-1)</f>
        <v>GER</v>
      </c>
      <c r="E444" t="str" cm="1">
        <f t="array" ref="E444">MID($A444,MIN(FIND({0;1;2;3;4;5;6;7;8;9},$A444&amp;"0123456789")),FIND("-",$A444)-MIN(FIND({0;1;2;3;4;5;6;7;8;9},$A444&amp;"0123456789")))</f>
        <v>191</v>
      </c>
      <c r="F444" t="str">
        <f t="shared" si="94"/>
        <v>15</v>
      </c>
      <c r="G444" t="str">
        <f t="shared" si="95"/>
        <v>W</v>
      </c>
      <c r="H444" t="str">
        <f t="shared" si="96"/>
        <v>GER-15</v>
      </c>
      <c r="J444" t="s">
        <v>1151</v>
      </c>
      <c r="K444" t="str">
        <f t="shared" ref="K444:K475" si="108">LEFT(A444,3)</f>
        <v>GER</v>
      </c>
      <c r="L444">
        <v>191</v>
      </c>
      <c r="M444">
        <v>15</v>
      </c>
      <c r="N444" t="s">
        <v>1532</v>
      </c>
      <c r="O444" t="s">
        <v>1558</v>
      </c>
    </row>
    <row r="445" spans="1:15" x14ac:dyDescent="0.3">
      <c r="A445" t="str">
        <f>'Case 3 data'!A444</f>
        <v>ARG9-9Mo</v>
      </c>
      <c r="B445" t="str">
        <f>'Case 3 data'!B444</f>
        <v>Jeremy</v>
      </c>
      <c r="C445" t="str">
        <f>'Case 3 data'!C444</f>
        <v>Ramirez</v>
      </c>
      <c r="D445" t="str" cm="1">
        <f t="array" ref="D445">LEFT($A445,MIN(FIND({0;1;2;3;4;5;6;7;8;9},$A445&amp;"0123456789"))-1)</f>
        <v>ARG</v>
      </c>
      <c r="E445" t="str" cm="1">
        <f t="array" ref="E445">MID($A445,MIN(FIND({0;1;2;3;4;5;6;7;8;9},$A445&amp;"0123456789")),FIND("-",$A445)-MIN(FIND({0;1;2;3;4;5;6;7;8;9},$A445&amp;"0123456789")))</f>
        <v>9</v>
      </c>
      <c r="F445" t="str">
        <f t="shared" si="94"/>
        <v>9</v>
      </c>
      <c r="G445" t="str">
        <f t="shared" si="95"/>
        <v>Mo</v>
      </c>
      <c r="H445" t="str">
        <f t="shared" si="96"/>
        <v>ARG-9</v>
      </c>
      <c r="J445" t="s">
        <v>1154</v>
      </c>
      <c r="K445" t="s">
        <v>1522</v>
      </c>
      <c r="L445">
        <v>9</v>
      </c>
      <c r="M445">
        <v>9</v>
      </c>
      <c r="N445" t="s">
        <v>1530</v>
      </c>
      <c r="O445" t="s">
        <v>1557</v>
      </c>
    </row>
    <row r="446" spans="1:15" x14ac:dyDescent="0.3">
      <c r="A446" t="str">
        <f>'Case 3 data'!A445</f>
        <v>ENG334-7Mo</v>
      </c>
      <c r="B446" t="str">
        <f>'Case 3 data'!B445</f>
        <v>Douglas</v>
      </c>
      <c r="C446" t="str">
        <f>'Case 3 data'!C445</f>
        <v>Lopez</v>
      </c>
      <c r="D446" t="str" cm="1">
        <f t="array" ref="D446">LEFT($A446,MIN(FIND({0;1;2;3;4;5;6;7;8;9},$A446&amp;"0123456789"))-1)</f>
        <v>ENG</v>
      </c>
      <c r="E446" t="str" cm="1">
        <f t="array" ref="E446">MID($A446,MIN(FIND({0;1;2;3;4;5;6;7;8;9},$A446&amp;"0123456789")),FIND("-",$A446)-MIN(FIND({0;1;2;3;4;5;6;7;8;9},$A446&amp;"0123456789")))</f>
        <v>334</v>
      </c>
      <c r="F446" t="str">
        <f t="shared" si="94"/>
        <v>7</v>
      </c>
      <c r="G446" t="str">
        <f t="shared" si="95"/>
        <v>Mo</v>
      </c>
      <c r="H446" t="str">
        <f t="shared" si="96"/>
        <v>ENG-7</v>
      </c>
      <c r="J446" t="s">
        <v>1155</v>
      </c>
      <c r="K446" t="s">
        <v>1523</v>
      </c>
      <c r="L446">
        <v>334</v>
      </c>
      <c r="M446">
        <v>7</v>
      </c>
      <c r="N446" t="s">
        <v>1530</v>
      </c>
      <c r="O446" t="s">
        <v>1582</v>
      </c>
    </row>
    <row r="447" spans="1:15" x14ac:dyDescent="0.3">
      <c r="A447" t="str">
        <f>'Case 3 data'!A446</f>
        <v>ENG4-5M</v>
      </c>
      <c r="B447" t="str">
        <f>'Case 3 data'!B446</f>
        <v>Myra</v>
      </c>
      <c r="C447" t="str">
        <f>'Case 3 data'!C446</f>
        <v>Bryant</v>
      </c>
      <c r="D447" t="str" cm="1">
        <f t="array" ref="D447">LEFT($A447,MIN(FIND({0;1;2;3;4;5;6;7;8;9},$A447&amp;"0123456789"))-1)</f>
        <v>ENG</v>
      </c>
      <c r="E447" t="str" cm="1">
        <f t="array" ref="E447">MID($A447,MIN(FIND({0;1;2;3;4;5;6;7;8;9},$A447&amp;"0123456789")),FIND("-",$A447)-MIN(FIND({0;1;2;3;4;5;6;7;8;9},$A447&amp;"0123456789")))</f>
        <v>4</v>
      </c>
      <c r="F447" t="str">
        <f t="shared" si="94"/>
        <v>5</v>
      </c>
      <c r="G447" t="str">
        <f t="shared" si="95"/>
        <v>M</v>
      </c>
      <c r="H447" t="str">
        <f t="shared" si="96"/>
        <v>ENG-5</v>
      </c>
      <c r="J447" t="s">
        <v>1157</v>
      </c>
      <c r="K447" t="s">
        <v>1523</v>
      </c>
      <c r="L447">
        <v>4</v>
      </c>
      <c r="M447">
        <v>5</v>
      </c>
      <c r="N447" t="s">
        <v>1531</v>
      </c>
      <c r="O447" t="s">
        <v>1577</v>
      </c>
    </row>
    <row r="448" spans="1:15" x14ac:dyDescent="0.3">
      <c r="A448" t="str">
        <f>'Case 3 data'!A447</f>
        <v>MEX212-6Mo</v>
      </c>
      <c r="B448" t="str">
        <f>'Case 3 data'!B447</f>
        <v>Kari</v>
      </c>
      <c r="C448" t="str">
        <f>'Case 3 data'!C447</f>
        <v>Nichols</v>
      </c>
      <c r="D448" t="str" cm="1">
        <f t="array" ref="D448">LEFT($A448,MIN(FIND({0;1;2;3;4;5;6;7;8;9},$A448&amp;"0123456789"))-1)</f>
        <v>MEX</v>
      </c>
      <c r="E448" t="str" cm="1">
        <f t="array" ref="E448">MID($A448,MIN(FIND({0;1;2;3;4;5;6;7;8;9},$A448&amp;"0123456789")),FIND("-",$A448)-MIN(FIND({0;1;2;3;4;5;6;7;8;9},$A448&amp;"0123456789")))</f>
        <v>212</v>
      </c>
      <c r="F448" t="str">
        <f t="shared" si="94"/>
        <v>6</v>
      </c>
      <c r="G448" t="str">
        <f t="shared" si="95"/>
        <v>Mo</v>
      </c>
      <c r="H448" t="str">
        <f t="shared" si="96"/>
        <v>MEX-6</v>
      </c>
      <c r="J448" t="s">
        <v>1159</v>
      </c>
      <c r="K448" t="s">
        <v>1521</v>
      </c>
      <c r="L448">
        <v>212</v>
      </c>
      <c r="M448">
        <v>6</v>
      </c>
      <c r="N448" t="s">
        <v>1530</v>
      </c>
      <c r="O448" t="s">
        <v>1561</v>
      </c>
    </row>
    <row r="449" spans="1:15" x14ac:dyDescent="0.3">
      <c r="A449" t="str">
        <f>'Case 3 data'!A448</f>
        <v>AUS78-7W</v>
      </c>
      <c r="B449" t="str">
        <f>'Case 3 data'!B448</f>
        <v>Eric</v>
      </c>
      <c r="C449" t="str">
        <f>'Case 3 data'!C448</f>
        <v>Lewis</v>
      </c>
      <c r="D449" t="str" cm="1">
        <f t="array" ref="D449">LEFT($A449,MIN(FIND({0;1;2;3;4;5;6;7;8;9},$A449&amp;"0123456789"))-1)</f>
        <v>AUS</v>
      </c>
      <c r="E449" t="str" cm="1">
        <f t="array" ref="E449">MID($A449,MIN(FIND({0;1;2;3;4;5;6;7;8;9},$A449&amp;"0123456789")),FIND("-",$A449)-MIN(FIND({0;1;2;3;4;5;6;7;8;9},$A449&amp;"0123456789")))</f>
        <v>78</v>
      </c>
      <c r="F449" t="str">
        <f t="shared" si="94"/>
        <v>7</v>
      </c>
      <c r="G449" t="str">
        <f t="shared" si="95"/>
        <v>W</v>
      </c>
      <c r="H449" t="str">
        <f t="shared" si="96"/>
        <v>AUS-7</v>
      </c>
      <c r="J449" t="s">
        <v>1162</v>
      </c>
      <c r="K449" t="str">
        <f t="shared" ref="K449:K480" si="109">LEFT(A449,3)</f>
        <v>AUS</v>
      </c>
      <c r="L449">
        <v>78</v>
      </c>
      <c r="M449">
        <v>7</v>
      </c>
      <c r="N449" t="s">
        <v>1532</v>
      </c>
      <c r="O449" t="s">
        <v>1548</v>
      </c>
    </row>
    <row r="450" spans="1:15" x14ac:dyDescent="0.3">
      <c r="A450" t="str">
        <f>'Case 3 data'!A449</f>
        <v>MEX402-10W</v>
      </c>
      <c r="B450" t="str">
        <f>'Case 3 data'!B449</f>
        <v>Glenda</v>
      </c>
      <c r="C450" t="str">
        <f>'Case 3 data'!C449</f>
        <v>Thomas</v>
      </c>
      <c r="D450" t="str" cm="1">
        <f t="array" ref="D450">LEFT($A450,MIN(FIND({0;1;2;3;4;5;6;7;8;9},$A450&amp;"0123456789"))-1)</f>
        <v>MEX</v>
      </c>
      <c r="E450" t="str" cm="1">
        <f t="array" ref="E450">MID($A450,MIN(FIND({0;1;2;3;4;5;6;7;8;9},$A450&amp;"0123456789")),FIND("-",$A450)-MIN(FIND({0;1;2;3;4;5;6;7;8;9},$A450&amp;"0123456789")))</f>
        <v>402</v>
      </c>
      <c r="F450" t="str">
        <f t="shared" si="94"/>
        <v>10</v>
      </c>
      <c r="G450" t="str">
        <f t="shared" si="95"/>
        <v>W</v>
      </c>
      <c r="H450" t="str">
        <f t="shared" si="96"/>
        <v>MEX-10</v>
      </c>
      <c r="J450" t="s">
        <v>1164</v>
      </c>
      <c r="K450" t="s">
        <v>1522</v>
      </c>
      <c r="L450">
        <v>402</v>
      </c>
      <c r="M450">
        <v>10</v>
      </c>
      <c r="N450" t="s">
        <v>1532</v>
      </c>
      <c r="O450" t="s">
        <v>1551</v>
      </c>
    </row>
    <row r="451" spans="1:15" x14ac:dyDescent="0.3">
      <c r="A451" t="str">
        <f>'Case 3 data'!A450</f>
        <v>MEX507-17W</v>
      </c>
      <c r="B451" t="str">
        <f>'Case 3 data'!B450</f>
        <v>Opal</v>
      </c>
      <c r="C451" t="str">
        <f>'Case 3 data'!C450</f>
        <v>Malone</v>
      </c>
      <c r="D451" t="str" cm="1">
        <f t="array" ref="D451">LEFT($A451,MIN(FIND({0;1;2;3;4;5;6;7;8;9},$A451&amp;"0123456789"))-1)</f>
        <v>MEX</v>
      </c>
      <c r="E451" t="str" cm="1">
        <f t="array" ref="E451">MID($A451,MIN(FIND({0;1;2;3;4;5;6;7;8;9},$A451&amp;"0123456789")),FIND("-",$A451)-MIN(FIND({0;1;2;3;4;5;6;7;8;9},$A451&amp;"0123456789")))</f>
        <v>507</v>
      </c>
      <c r="F451" t="str">
        <f t="shared" si="94"/>
        <v>17</v>
      </c>
      <c r="G451" t="str">
        <f t="shared" si="95"/>
        <v>W</v>
      </c>
      <c r="H451" t="str">
        <f t="shared" si="96"/>
        <v>MEX-17</v>
      </c>
      <c r="J451" t="s">
        <v>1166</v>
      </c>
      <c r="K451" t="s">
        <v>1523</v>
      </c>
      <c r="L451">
        <v>507</v>
      </c>
      <c r="M451">
        <v>17</v>
      </c>
      <c r="N451" t="s">
        <v>1532</v>
      </c>
      <c r="O451" t="s">
        <v>1572</v>
      </c>
    </row>
    <row r="452" spans="1:15" x14ac:dyDescent="0.3">
      <c r="A452" t="str">
        <f>'Case 3 data'!A451</f>
        <v>Japan59-11W</v>
      </c>
      <c r="B452" t="str">
        <f>'Case 3 data'!B451</f>
        <v>Lillie</v>
      </c>
      <c r="C452" t="str">
        <f>'Case 3 data'!C451</f>
        <v>May</v>
      </c>
      <c r="D452" t="str" cm="1">
        <f t="array" ref="D452">LEFT($A452,MIN(FIND({0;1;2;3;4;5;6;7;8;9},$A452&amp;"0123456789"))-1)</f>
        <v>Japan</v>
      </c>
      <c r="E452" t="str" cm="1">
        <f t="array" ref="E452">MID($A452,MIN(FIND({0;1;2;3;4;5;6;7;8;9},$A452&amp;"0123456789")),FIND("-",$A452)-MIN(FIND({0;1;2;3;4;5;6;7;8;9},$A452&amp;"0123456789")))</f>
        <v>59</v>
      </c>
      <c r="F452" t="str">
        <f t="shared" ref="F452:F515" si="110">MID($A452,FIND("-",$A452)+1,LEN($A452)-FIND("-",$A452)-LEN($G452))</f>
        <v>11</v>
      </c>
      <c r="G452" t="str">
        <f t="shared" ref="G452:G515" si="111">IF(RIGHT($A452,2)="Mo","Mo",RIGHT($A452,1))</f>
        <v>W</v>
      </c>
      <c r="H452" t="str">
        <f t="shared" ref="H452:H515" si="112">D452&amp;"-"&amp;F452</f>
        <v>Japan-11</v>
      </c>
      <c r="J452" t="s">
        <v>1169</v>
      </c>
      <c r="K452" t="s">
        <v>1523</v>
      </c>
      <c r="L452">
        <v>59</v>
      </c>
      <c r="M452">
        <v>11</v>
      </c>
      <c r="N452" t="s">
        <v>1532</v>
      </c>
      <c r="O452" t="s">
        <v>1580</v>
      </c>
    </row>
    <row r="453" spans="1:15" x14ac:dyDescent="0.3">
      <c r="A453" t="str">
        <f>'Case 3 data'!A452</f>
        <v>Canada128-14W</v>
      </c>
      <c r="B453" t="str">
        <f>'Case 3 data'!B452</f>
        <v>Johnny</v>
      </c>
      <c r="C453" t="str">
        <f>'Case 3 data'!C452</f>
        <v>Young</v>
      </c>
      <c r="D453" t="str" cm="1">
        <f t="array" ref="D453">LEFT($A453,MIN(FIND({0;1;2;3;4;5;6;7;8;9},$A453&amp;"0123456789"))-1)</f>
        <v>Canada</v>
      </c>
      <c r="E453" t="str" cm="1">
        <f t="array" ref="E453">MID($A453,MIN(FIND({0;1;2;3;4;5;6;7;8;9},$A453&amp;"0123456789")),FIND("-",$A453)-MIN(FIND({0;1;2;3;4;5;6;7;8;9},$A453&amp;"0123456789")))</f>
        <v>128</v>
      </c>
      <c r="F453" t="str">
        <f t="shared" si="110"/>
        <v>14</v>
      </c>
      <c r="G453" t="str">
        <f t="shared" si="111"/>
        <v>W</v>
      </c>
      <c r="H453" t="str">
        <f t="shared" si="112"/>
        <v>Canada-14</v>
      </c>
      <c r="J453" t="s">
        <v>1172</v>
      </c>
      <c r="K453" t="s">
        <v>1521</v>
      </c>
      <c r="L453">
        <v>128</v>
      </c>
      <c r="M453">
        <v>14</v>
      </c>
      <c r="N453" t="s">
        <v>1532</v>
      </c>
      <c r="O453" t="s">
        <v>1565</v>
      </c>
    </row>
    <row r="454" spans="1:15" x14ac:dyDescent="0.3">
      <c r="A454" t="str">
        <f>'Case 3 data'!A453</f>
        <v>Canada262-15Mo</v>
      </c>
      <c r="B454" t="str">
        <f>'Case 3 data'!B453</f>
        <v>Jason</v>
      </c>
      <c r="C454" t="str">
        <f>'Case 3 data'!C453</f>
        <v>Pearson</v>
      </c>
      <c r="D454" t="str" cm="1">
        <f t="array" ref="D454">LEFT($A454,MIN(FIND({0;1;2;3;4;5;6;7;8;9},$A454&amp;"0123456789"))-1)</f>
        <v>Canada</v>
      </c>
      <c r="E454" t="str" cm="1">
        <f t="array" ref="E454">MID($A454,MIN(FIND({0;1;2;3;4;5;6;7;8;9},$A454&amp;"0123456789")),FIND("-",$A454)-MIN(FIND({0;1;2;3;4;5;6;7;8;9},$A454&amp;"0123456789")))</f>
        <v>262</v>
      </c>
      <c r="F454" t="str">
        <f t="shared" si="110"/>
        <v>15</v>
      </c>
      <c r="G454" t="str">
        <f t="shared" si="111"/>
        <v>Mo</v>
      </c>
      <c r="H454" t="str">
        <f t="shared" si="112"/>
        <v>Canada-15</v>
      </c>
      <c r="J454" t="s">
        <v>1173</v>
      </c>
      <c r="K454" t="str">
        <f t="shared" ref="K454:K485" si="113">LEFT(A454,3)</f>
        <v>Can</v>
      </c>
      <c r="L454">
        <v>262</v>
      </c>
      <c r="M454">
        <v>15</v>
      </c>
      <c r="N454" t="s">
        <v>1530</v>
      </c>
      <c r="O454" t="s">
        <v>1638</v>
      </c>
    </row>
    <row r="455" spans="1:15" x14ac:dyDescent="0.3">
      <c r="A455" t="str">
        <f>'Case 3 data'!A454</f>
        <v>AUS214-11Mo</v>
      </c>
      <c r="B455" t="str">
        <f>'Case 3 data'!B454</f>
        <v>Toni</v>
      </c>
      <c r="C455" t="str">
        <f>'Case 3 data'!C454</f>
        <v>Quinn</v>
      </c>
      <c r="D455" t="str" cm="1">
        <f t="array" ref="D455">LEFT($A455,MIN(FIND({0;1;2;3;4;5;6;7;8;9},$A455&amp;"0123456789"))-1)</f>
        <v>AUS</v>
      </c>
      <c r="E455" t="str" cm="1">
        <f t="array" ref="E455">MID($A455,MIN(FIND({0;1;2;3;4;5;6;7;8;9},$A455&amp;"0123456789")),FIND("-",$A455)-MIN(FIND({0;1;2;3;4;5;6;7;8;9},$A455&amp;"0123456789")))</f>
        <v>214</v>
      </c>
      <c r="F455" t="str">
        <f t="shared" si="110"/>
        <v>11</v>
      </c>
      <c r="G455" t="str">
        <f t="shared" si="111"/>
        <v>Mo</v>
      </c>
      <c r="H455" t="str">
        <f t="shared" si="112"/>
        <v>AUS-11</v>
      </c>
      <c r="J455" t="s">
        <v>1176</v>
      </c>
      <c r="K455" t="s">
        <v>1522</v>
      </c>
      <c r="L455">
        <v>214</v>
      </c>
      <c r="M455">
        <v>11</v>
      </c>
      <c r="N455" t="s">
        <v>1530</v>
      </c>
      <c r="O455" t="s">
        <v>1587</v>
      </c>
    </row>
    <row r="456" spans="1:15" x14ac:dyDescent="0.3">
      <c r="A456" t="str">
        <f>'Case 3 data'!A455</f>
        <v>GER479-10W</v>
      </c>
      <c r="B456" t="str">
        <f>'Case 3 data'!B455</f>
        <v>Brian</v>
      </c>
      <c r="C456" t="str">
        <f>'Case 3 data'!C455</f>
        <v>Ross</v>
      </c>
      <c r="D456" t="str" cm="1">
        <f t="array" ref="D456">LEFT($A456,MIN(FIND({0;1;2;3;4;5;6;7;8;9},$A456&amp;"0123456789"))-1)</f>
        <v>GER</v>
      </c>
      <c r="E456" t="str" cm="1">
        <f t="array" ref="E456">MID($A456,MIN(FIND({0;1;2;3;4;5;6;7;8;9},$A456&amp;"0123456789")),FIND("-",$A456)-MIN(FIND({0;1;2;3;4;5;6;7;8;9},$A456&amp;"0123456789")))</f>
        <v>479</v>
      </c>
      <c r="F456" t="str">
        <f t="shared" si="110"/>
        <v>10</v>
      </c>
      <c r="G456" t="str">
        <f t="shared" si="111"/>
        <v>W</v>
      </c>
      <c r="H456" t="str">
        <f t="shared" si="112"/>
        <v>GER-10</v>
      </c>
      <c r="J456" t="s">
        <v>1179</v>
      </c>
      <c r="K456" t="s">
        <v>1523</v>
      </c>
      <c r="L456">
        <v>479</v>
      </c>
      <c r="M456">
        <v>10</v>
      </c>
      <c r="N456" t="s">
        <v>1532</v>
      </c>
      <c r="O456" t="s">
        <v>1545</v>
      </c>
    </row>
    <row r="457" spans="1:15" x14ac:dyDescent="0.3">
      <c r="A457" t="str">
        <f>'Case 3 data'!A456</f>
        <v>MEX422-1Mo</v>
      </c>
      <c r="B457" t="str">
        <f>'Case 3 data'!B456</f>
        <v>Byron</v>
      </c>
      <c r="C457" t="str">
        <f>'Case 3 data'!C456</f>
        <v>Watson</v>
      </c>
      <c r="D457" t="str" cm="1">
        <f t="array" ref="D457">LEFT($A457,MIN(FIND({0;1;2;3;4;5;6;7;8;9},$A457&amp;"0123456789"))-1)</f>
        <v>MEX</v>
      </c>
      <c r="E457" t="str" cm="1">
        <f t="array" ref="E457">MID($A457,MIN(FIND({0;1;2;3;4;5;6;7;8;9},$A457&amp;"0123456789")),FIND("-",$A457)-MIN(FIND({0;1;2;3;4;5;6;7;8;9},$A457&amp;"0123456789")))</f>
        <v>422</v>
      </c>
      <c r="F457" t="str">
        <f t="shared" si="110"/>
        <v>1</v>
      </c>
      <c r="G457" t="str">
        <f t="shared" si="111"/>
        <v>Mo</v>
      </c>
      <c r="H457" t="str">
        <f t="shared" si="112"/>
        <v>MEX-1</v>
      </c>
      <c r="J457" t="s">
        <v>1181</v>
      </c>
      <c r="K457" t="s">
        <v>1523</v>
      </c>
      <c r="L457">
        <v>422</v>
      </c>
      <c r="M457">
        <v>1</v>
      </c>
      <c r="N457" t="s">
        <v>1530</v>
      </c>
      <c r="O457" t="s">
        <v>1536</v>
      </c>
    </row>
    <row r="458" spans="1:15" x14ac:dyDescent="0.3">
      <c r="A458" t="str">
        <f>'Case 3 data'!A457</f>
        <v>Canada296-7W</v>
      </c>
      <c r="B458" t="str">
        <f>'Case 3 data'!B457</f>
        <v>Shawn</v>
      </c>
      <c r="C458" t="str">
        <f>'Case 3 data'!C457</f>
        <v>Vargas</v>
      </c>
      <c r="D458" t="str" cm="1">
        <f t="array" ref="D458">LEFT($A458,MIN(FIND({0;1;2;3;4;5;6;7;8;9},$A458&amp;"0123456789"))-1)</f>
        <v>Canada</v>
      </c>
      <c r="E458" t="str" cm="1">
        <f t="array" ref="E458">MID($A458,MIN(FIND({0;1;2;3;4;5;6;7;8;9},$A458&amp;"0123456789")),FIND("-",$A458)-MIN(FIND({0;1;2;3;4;5;6;7;8;9},$A458&amp;"0123456789")))</f>
        <v>296</v>
      </c>
      <c r="F458" t="str">
        <f t="shared" si="110"/>
        <v>7</v>
      </c>
      <c r="G458" t="str">
        <f t="shared" si="111"/>
        <v>W</v>
      </c>
      <c r="H458" t="str">
        <f t="shared" si="112"/>
        <v>Canada-7</v>
      </c>
      <c r="J458" t="s">
        <v>1183</v>
      </c>
      <c r="K458" t="s">
        <v>1521</v>
      </c>
      <c r="L458">
        <v>296</v>
      </c>
      <c r="M458">
        <v>7</v>
      </c>
      <c r="N458" t="s">
        <v>1532</v>
      </c>
      <c r="O458" t="s">
        <v>1593</v>
      </c>
    </row>
    <row r="459" spans="1:15" x14ac:dyDescent="0.3">
      <c r="A459" t="str">
        <f>'Case 3 data'!A458</f>
        <v>Japan273-11M</v>
      </c>
      <c r="B459" t="str">
        <f>'Case 3 data'!B458</f>
        <v>Denise</v>
      </c>
      <c r="C459" t="str">
        <f>'Case 3 data'!C458</f>
        <v>Hughes</v>
      </c>
      <c r="D459" t="str" cm="1">
        <f t="array" ref="D459">LEFT($A459,MIN(FIND({0;1;2;3;4;5;6;7;8;9},$A459&amp;"0123456789"))-1)</f>
        <v>Japan</v>
      </c>
      <c r="E459" t="str" cm="1">
        <f t="array" ref="E459">MID($A459,MIN(FIND({0;1;2;3;4;5;6;7;8;9},$A459&amp;"0123456789")),FIND("-",$A459)-MIN(FIND({0;1;2;3;4;5;6;7;8;9},$A459&amp;"0123456789")))</f>
        <v>273</v>
      </c>
      <c r="F459" t="str">
        <f t="shared" si="110"/>
        <v>11</v>
      </c>
      <c r="G459" t="str">
        <f t="shared" si="111"/>
        <v>M</v>
      </c>
      <c r="H459" t="str">
        <f t="shared" si="112"/>
        <v>Japan-11</v>
      </c>
      <c r="J459" t="s">
        <v>1185</v>
      </c>
      <c r="K459" t="str">
        <f t="shared" ref="K459:K490" si="114">LEFT(A459,3)</f>
        <v>Jap</v>
      </c>
      <c r="L459">
        <v>273</v>
      </c>
      <c r="M459">
        <v>11</v>
      </c>
      <c r="N459" t="s">
        <v>1531</v>
      </c>
      <c r="O459" t="s">
        <v>1640</v>
      </c>
    </row>
    <row r="460" spans="1:15" x14ac:dyDescent="0.3">
      <c r="A460" t="str">
        <f>'Case 3 data'!A459</f>
        <v>US521-15Mo</v>
      </c>
      <c r="B460" t="str">
        <f>'Case 3 data'!B459</f>
        <v>Jamie</v>
      </c>
      <c r="C460" t="str">
        <f>'Case 3 data'!C459</f>
        <v>Welch</v>
      </c>
      <c r="D460" t="str" cm="1">
        <f t="array" ref="D460">LEFT($A460,MIN(FIND({0;1;2;3;4;5;6;7;8;9},$A460&amp;"0123456789"))-1)</f>
        <v>US</v>
      </c>
      <c r="E460" t="str" cm="1">
        <f t="array" ref="E460">MID($A460,MIN(FIND({0;1;2;3;4;5;6;7;8;9},$A460&amp;"0123456789")),FIND("-",$A460)-MIN(FIND({0;1;2;3;4;5;6;7;8;9},$A460&amp;"0123456789")))</f>
        <v>521</v>
      </c>
      <c r="F460" t="str">
        <f t="shared" si="110"/>
        <v>15</v>
      </c>
      <c r="G460" t="str">
        <f t="shared" si="111"/>
        <v>Mo</v>
      </c>
      <c r="H460" t="str">
        <f t="shared" si="112"/>
        <v>US-15</v>
      </c>
      <c r="J460" t="s">
        <v>1187</v>
      </c>
      <c r="K460" t="s">
        <v>1522</v>
      </c>
      <c r="L460">
        <v>521</v>
      </c>
      <c r="M460">
        <v>15</v>
      </c>
      <c r="N460" t="s">
        <v>1530</v>
      </c>
      <c r="O460" t="s">
        <v>1608</v>
      </c>
    </row>
    <row r="461" spans="1:15" x14ac:dyDescent="0.3">
      <c r="A461" t="str">
        <f>'Case 3 data'!A460</f>
        <v>Canada192-5M</v>
      </c>
      <c r="B461" t="str">
        <f>'Case 3 data'!B460</f>
        <v>Arthur</v>
      </c>
      <c r="C461" t="str">
        <f>'Case 3 data'!C460</f>
        <v>Harris</v>
      </c>
      <c r="D461" t="str" cm="1">
        <f t="array" ref="D461">LEFT($A461,MIN(FIND({0;1;2;3;4;5;6;7;8;9},$A461&amp;"0123456789"))-1)</f>
        <v>Canada</v>
      </c>
      <c r="E461" t="str" cm="1">
        <f t="array" ref="E461">MID($A461,MIN(FIND({0;1;2;3;4;5;6;7;8;9},$A461&amp;"0123456789")),FIND("-",$A461)-MIN(FIND({0;1;2;3;4;5;6;7;8;9},$A461&amp;"0123456789")))</f>
        <v>192</v>
      </c>
      <c r="F461" t="str">
        <f t="shared" si="110"/>
        <v>5</v>
      </c>
      <c r="G461" t="str">
        <f t="shared" si="111"/>
        <v>M</v>
      </c>
      <c r="H461" t="str">
        <f t="shared" si="112"/>
        <v>Canada-5</v>
      </c>
      <c r="J461" t="s">
        <v>1190</v>
      </c>
      <c r="K461" t="s">
        <v>1523</v>
      </c>
      <c r="L461">
        <v>192</v>
      </c>
      <c r="M461">
        <v>5</v>
      </c>
      <c r="N461" t="s">
        <v>1531</v>
      </c>
      <c r="O461" t="s">
        <v>1577</v>
      </c>
    </row>
    <row r="462" spans="1:15" x14ac:dyDescent="0.3">
      <c r="A462" t="str">
        <f>'Case 3 data'!A461</f>
        <v>ARG325-17W</v>
      </c>
      <c r="B462" t="str">
        <f>'Case 3 data'!B461</f>
        <v>Bobby</v>
      </c>
      <c r="C462" t="str">
        <f>'Case 3 data'!C461</f>
        <v>James</v>
      </c>
      <c r="D462" t="str" cm="1">
        <f t="array" ref="D462">LEFT($A462,MIN(FIND({0;1;2;3;4;5;6;7;8;9},$A462&amp;"0123456789"))-1)</f>
        <v>ARG</v>
      </c>
      <c r="E462" t="str" cm="1">
        <f t="array" ref="E462">MID($A462,MIN(FIND({0;1;2;3;4;5;6;7;8;9},$A462&amp;"0123456789")),FIND("-",$A462)-MIN(FIND({0;1;2;3;4;5;6;7;8;9},$A462&amp;"0123456789")))</f>
        <v>325</v>
      </c>
      <c r="F462" t="str">
        <f t="shared" si="110"/>
        <v>17</v>
      </c>
      <c r="G462" t="str">
        <f t="shared" si="111"/>
        <v>W</v>
      </c>
      <c r="H462" t="str">
        <f t="shared" si="112"/>
        <v>ARG-17</v>
      </c>
      <c r="J462" t="s">
        <v>1192</v>
      </c>
      <c r="K462" t="s">
        <v>1523</v>
      </c>
      <c r="L462">
        <v>325</v>
      </c>
      <c r="M462">
        <v>17</v>
      </c>
      <c r="N462" t="s">
        <v>1532</v>
      </c>
      <c r="O462" t="s">
        <v>1572</v>
      </c>
    </row>
    <row r="463" spans="1:15" x14ac:dyDescent="0.3">
      <c r="A463" t="str">
        <f>'Case 3 data'!A462</f>
        <v>AUS352-6Mo</v>
      </c>
      <c r="B463" t="str">
        <f>'Case 3 data'!B462</f>
        <v>Donald</v>
      </c>
      <c r="C463" t="str">
        <f>'Case 3 data'!C462</f>
        <v>Thompson</v>
      </c>
      <c r="D463" t="str" cm="1">
        <f t="array" ref="D463">LEFT($A463,MIN(FIND({0;1;2;3;4;5;6;7;8;9},$A463&amp;"0123456789"))-1)</f>
        <v>AUS</v>
      </c>
      <c r="E463" t="str" cm="1">
        <f t="array" ref="E463">MID($A463,MIN(FIND({0;1;2;3;4;5;6;7;8;9},$A463&amp;"0123456789")),FIND("-",$A463)-MIN(FIND({0;1;2;3;4;5;6;7;8;9},$A463&amp;"0123456789")))</f>
        <v>352</v>
      </c>
      <c r="F463" t="str">
        <f t="shared" si="110"/>
        <v>6</v>
      </c>
      <c r="G463" t="str">
        <f t="shared" si="111"/>
        <v>Mo</v>
      </c>
      <c r="H463" t="str">
        <f t="shared" si="112"/>
        <v>AUS-6</v>
      </c>
      <c r="J463" t="s">
        <v>1194</v>
      </c>
      <c r="K463" t="s">
        <v>1521</v>
      </c>
      <c r="L463">
        <v>352</v>
      </c>
      <c r="M463">
        <v>6</v>
      </c>
      <c r="N463" t="s">
        <v>1530</v>
      </c>
      <c r="O463" t="s">
        <v>1561</v>
      </c>
    </row>
    <row r="464" spans="1:15" x14ac:dyDescent="0.3">
      <c r="A464" t="str">
        <f>'Case 3 data'!A463</f>
        <v>Japan256-2W</v>
      </c>
      <c r="B464" t="str">
        <f>'Case 3 data'!B463</f>
        <v>Beatrice</v>
      </c>
      <c r="C464" t="str">
        <f>'Case 3 data'!C463</f>
        <v>Alvarado</v>
      </c>
      <c r="D464" t="str" cm="1">
        <f t="array" ref="D464">LEFT($A464,MIN(FIND({0;1;2;3;4;5;6;7;8;9},$A464&amp;"0123456789"))-1)</f>
        <v>Japan</v>
      </c>
      <c r="E464" t="str" cm="1">
        <f t="array" ref="E464">MID($A464,MIN(FIND({0;1;2;3;4;5;6;7;8;9},$A464&amp;"0123456789")),FIND("-",$A464)-MIN(FIND({0;1;2;3;4;5;6;7;8;9},$A464&amp;"0123456789")))</f>
        <v>256</v>
      </c>
      <c r="F464" t="str">
        <f t="shared" si="110"/>
        <v>2</v>
      </c>
      <c r="G464" t="str">
        <f t="shared" si="111"/>
        <v>W</v>
      </c>
      <c r="H464" t="str">
        <f t="shared" si="112"/>
        <v>Japan-2</v>
      </c>
      <c r="J464" t="s">
        <v>1196</v>
      </c>
      <c r="K464" t="str">
        <f t="shared" ref="K464:K495" si="115">LEFT(A464,3)</f>
        <v>Jap</v>
      </c>
      <c r="L464">
        <v>256</v>
      </c>
      <c r="M464">
        <v>2</v>
      </c>
      <c r="N464" t="s">
        <v>1532</v>
      </c>
      <c r="O464" t="s">
        <v>1641</v>
      </c>
    </row>
    <row r="465" spans="1:15" x14ac:dyDescent="0.3">
      <c r="A465" t="str">
        <f>'Case 3 data'!A464</f>
        <v>ARG157-1W</v>
      </c>
      <c r="B465" t="str">
        <f>'Case 3 data'!B464</f>
        <v>Emily</v>
      </c>
      <c r="C465" t="str">
        <f>'Case 3 data'!C464</f>
        <v>Nash</v>
      </c>
      <c r="D465" t="str" cm="1">
        <f t="array" ref="D465">LEFT($A465,MIN(FIND({0;1;2;3;4;5;6;7;8;9},$A465&amp;"0123456789"))-1)</f>
        <v>ARG</v>
      </c>
      <c r="E465" t="str" cm="1">
        <f t="array" ref="E465">MID($A465,MIN(FIND({0;1;2;3;4;5;6;7;8;9},$A465&amp;"0123456789")),FIND("-",$A465)-MIN(FIND({0;1;2;3;4;5;6;7;8;9},$A465&amp;"0123456789")))</f>
        <v>157</v>
      </c>
      <c r="F465" t="str">
        <f t="shared" si="110"/>
        <v>1</v>
      </c>
      <c r="G465" t="str">
        <f t="shared" si="111"/>
        <v>W</v>
      </c>
      <c r="H465" t="str">
        <f t="shared" si="112"/>
        <v>ARG-1</v>
      </c>
      <c r="J465" t="s">
        <v>1199</v>
      </c>
      <c r="K465" t="s">
        <v>1522</v>
      </c>
      <c r="L465">
        <v>157</v>
      </c>
      <c r="M465">
        <v>1</v>
      </c>
      <c r="N465" t="s">
        <v>1532</v>
      </c>
      <c r="O465" t="s">
        <v>1563</v>
      </c>
    </row>
    <row r="466" spans="1:15" x14ac:dyDescent="0.3">
      <c r="A466" t="str">
        <f>'Case 3 data'!A465</f>
        <v>GER267-5W</v>
      </c>
      <c r="B466" t="str">
        <f>'Case 3 data'!B465</f>
        <v>Joline</v>
      </c>
      <c r="C466" t="str">
        <f>'Case 3 data'!C465</f>
        <v>Chin</v>
      </c>
      <c r="D466" t="str" cm="1">
        <f t="array" ref="D466">LEFT($A466,MIN(FIND({0;1;2;3;4;5;6;7;8;9},$A466&amp;"0123456789"))-1)</f>
        <v>GER</v>
      </c>
      <c r="E466" t="str" cm="1">
        <f t="array" ref="E466">MID($A466,MIN(FIND({0;1;2;3;4;5;6;7;8;9},$A466&amp;"0123456789")),FIND("-",$A466)-MIN(FIND({0;1;2;3;4;5;6;7;8;9},$A466&amp;"0123456789")))</f>
        <v>267</v>
      </c>
      <c r="F466" t="str">
        <f t="shared" si="110"/>
        <v>5</v>
      </c>
      <c r="G466" t="str">
        <f t="shared" si="111"/>
        <v>W</v>
      </c>
      <c r="H466" t="str">
        <f t="shared" si="112"/>
        <v>GER-5</v>
      </c>
      <c r="J466" t="s">
        <v>1202</v>
      </c>
      <c r="K466" t="s">
        <v>1523</v>
      </c>
      <c r="L466">
        <v>267</v>
      </c>
      <c r="M466">
        <v>5</v>
      </c>
      <c r="N466" t="s">
        <v>1532</v>
      </c>
      <c r="O466" t="s">
        <v>1577</v>
      </c>
    </row>
    <row r="467" spans="1:15" x14ac:dyDescent="0.3">
      <c r="A467" t="str">
        <f>'Case 3 data'!A466</f>
        <v>MEX47-2W</v>
      </c>
      <c r="B467" t="str">
        <f>'Case 3 data'!B466</f>
        <v>Cleora</v>
      </c>
      <c r="C467" t="str">
        <f>'Case 3 data'!C466</f>
        <v>Concepcion</v>
      </c>
      <c r="D467" t="str" cm="1">
        <f t="array" ref="D467">LEFT($A467,MIN(FIND({0;1;2;3;4;5;6;7;8;9},$A467&amp;"0123456789"))-1)</f>
        <v>MEX</v>
      </c>
      <c r="E467" t="str" cm="1">
        <f t="array" ref="E467">MID($A467,MIN(FIND({0;1;2;3;4;5;6;7;8;9},$A467&amp;"0123456789")),FIND("-",$A467)-MIN(FIND({0;1;2;3;4;5;6;7;8;9},$A467&amp;"0123456789")))</f>
        <v>47</v>
      </c>
      <c r="F467" t="str">
        <f t="shared" si="110"/>
        <v>2</v>
      </c>
      <c r="G467" t="str">
        <f t="shared" si="111"/>
        <v>W</v>
      </c>
      <c r="H467" t="str">
        <f t="shared" si="112"/>
        <v>MEX-2</v>
      </c>
      <c r="J467" t="s">
        <v>1205</v>
      </c>
      <c r="K467" t="s">
        <v>1523</v>
      </c>
      <c r="L467">
        <v>47</v>
      </c>
      <c r="M467">
        <v>2</v>
      </c>
      <c r="N467" t="s">
        <v>1532</v>
      </c>
      <c r="O467" t="s">
        <v>1535</v>
      </c>
    </row>
    <row r="468" spans="1:15" x14ac:dyDescent="0.3">
      <c r="A468" t="str">
        <f>'Case 3 data'!A467</f>
        <v>AUS437-7M</v>
      </c>
      <c r="B468" t="str">
        <f>'Case 3 data'!B467</f>
        <v>Donetta</v>
      </c>
      <c r="C468" t="str">
        <f>'Case 3 data'!C467</f>
        <v>Walls</v>
      </c>
      <c r="D468" t="str" cm="1">
        <f t="array" ref="D468">LEFT($A468,MIN(FIND({0;1;2;3;4;5;6;7;8;9},$A468&amp;"0123456789"))-1)</f>
        <v>AUS</v>
      </c>
      <c r="E468" t="str" cm="1">
        <f t="array" ref="E468">MID($A468,MIN(FIND({0;1;2;3;4;5;6;7;8;9},$A468&amp;"0123456789")),FIND("-",$A468)-MIN(FIND({0;1;2;3;4;5;6;7;8;9},$A468&amp;"0123456789")))</f>
        <v>437</v>
      </c>
      <c r="F468" t="str">
        <f t="shared" si="110"/>
        <v>7</v>
      </c>
      <c r="G468" t="str">
        <f t="shared" si="111"/>
        <v>M</v>
      </c>
      <c r="H468" t="str">
        <f t="shared" si="112"/>
        <v>AUS-7</v>
      </c>
      <c r="J468" t="s">
        <v>1208</v>
      </c>
      <c r="K468" t="s">
        <v>1521</v>
      </c>
      <c r="L468">
        <v>437</v>
      </c>
      <c r="M468">
        <v>7</v>
      </c>
      <c r="N468" t="s">
        <v>1531</v>
      </c>
      <c r="O468" t="s">
        <v>1593</v>
      </c>
    </row>
    <row r="469" spans="1:15" x14ac:dyDescent="0.3">
      <c r="A469" t="str">
        <f>'Case 3 data'!A468</f>
        <v>US149-2W</v>
      </c>
      <c r="B469" t="str">
        <f>'Case 3 data'!B468</f>
        <v>Brady</v>
      </c>
      <c r="C469" t="str">
        <f>'Case 3 data'!C468</f>
        <v>Trent</v>
      </c>
      <c r="D469" t="str" cm="1">
        <f t="array" ref="D469">LEFT($A469,MIN(FIND({0;1;2;3;4;5;6;7;8;9},$A469&amp;"0123456789"))-1)</f>
        <v>US</v>
      </c>
      <c r="E469" t="str" cm="1">
        <f t="array" ref="E469">MID($A469,MIN(FIND({0;1;2;3;4;5;6;7;8;9},$A469&amp;"0123456789")),FIND("-",$A469)-MIN(FIND({0;1;2;3;4;5;6;7;8;9},$A469&amp;"0123456789")))</f>
        <v>149</v>
      </c>
      <c r="F469" t="str">
        <f t="shared" si="110"/>
        <v>2</v>
      </c>
      <c r="G469" t="str">
        <f t="shared" si="111"/>
        <v>W</v>
      </c>
      <c r="H469" t="str">
        <f t="shared" si="112"/>
        <v>US-2</v>
      </c>
      <c r="J469" t="s">
        <v>1211</v>
      </c>
      <c r="K469" t="str">
        <f t="shared" ref="K469:K500" si="116">LEFT(A469,3)</f>
        <v>US1</v>
      </c>
      <c r="L469">
        <v>149</v>
      </c>
      <c r="M469">
        <v>2</v>
      </c>
      <c r="N469" t="s">
        <v>1532</v>
      </c>
      <c r="O469" t="s">
        <v>1642</v>
      </c>
    </row>
    <row r="470" spans="1:15" x14ac:dyDescent="0.3">
      <c r="A470" t="str">
        <f>'Case 3 data'!A469</f>
        <v>US185-16W</v>
      </c>
      <c r="B470" t="str">
        <f>'Case 3 data'!B469</f>
        <v>Nicholas</v>
      </c>
      <c r="C470" t="str">
        <f>'Case 3 data'!C469</f>
        <v>Washington</v>
      </c>
      <c r="D470" t="str" cm="1">
        <f t="array" ref="D470">LEFT($A470,MIN(FIND({0;1;2;3;4;5;6;7;8;9},$A470&amp;"0123456789"))-1)</f>
        <v>US</v>
      </c>
      <c r="E470" t="str" cm="1">
        <f t="array" ref="E470">MID($A470,MIN(FIND({0;1;2;3;4;5;6;7;8;9},$A470&amp;"0123456789")),FIND("-",$A470)-MIN(FIND({0;1;2;3;4;5;6;7;8;9},$A470&amp;"0123456789")))</f>
        <v>185</v>
      </c>
      <c r="F470" t="str">
        <f t="shared" si="110"/>
        <v>16</v>
      </c>
      <c r="G470" t="str">
        <f t="shared" si="111"/>
        <v>W</v>
      </c>
      <c r="H470" t="str">
        <f t="shared" si="112"/>
        <v>US-16</v>
      </c>
      <c r="J470" t="s">
        <v>1213</v>
      </c>
      <c r="K470" t="s">
        <v>1522</v>
      </c>
      <c r="L470">
        <v>185</v>
      </c>
      <c r="M470">
        <v>16</v>
      </c>
      <c r="N470" t="s">
        <v>1532</v>
      </c>
      <c r="O470" t="s">
        <v>1595</v>
      </c>
    </row>
    <row r="471" spans="1:15" x14ac:dyDescent="0.3">
      <c r="A471" t="str">
        <f>'Case 3 data'!A470</f>
        <v>ENG288-14M</v>
      </c>
      <c r="B471" t="str">
        <f>'Case 3 data'!B470</f>
        <v>Boyce</v>
      </c>
      <c r="C471" t="str">
        <f>'Case 3 data'!C470</f>
        <v>Carlisle</v>
      </c>
      <c r="D471" t="str" cm="1">
        <f t="array" ref="D471">LEFT($A471,MIN(FIND({0;1;2;3;4;5;6;7;8;9},$A471&amp;"0123456789"))-1)</f>
        <v>ENG</v>
      </c>
      <c r="E471" t="str" cm="1">
        <f t="array" ref="E471">MID($A471,MIN(FIND({0;1;2;3;4;5;6;7;8;9},$A471&amp;"0123456789")),FIND("-",$A471)-MIN(FIND({0;1;2;3;4;5;6;7;8;9},$A471&amp;"0123456789")))</f>
        <v>288</v>
      </c>
      <c r="F471" t="str">
        <f t="shared" si="110"/>
        <v>14</v>
      </c>
      <c r="G471" t="str">
        <f t="shared" si="111"/>
        <v>M</v>
      </c>
      <c r="H471" t="str">
        <f t="shared" si="112"/>
        <v>ENG-14</v>
      </c>
      <c r="J471" t="s">
        <v>1215</v>
      </c>
      <c r="K471" t="s">
        <v>1523</v>
      </c>
      <c r="L471">
        <v>288</v>
      </c>
      <c r="M471">
        <v>14</v>
      </c>
      <c r="N471" t="s">
        <v>1531</v>
      </c>
      <c r="O471" t="s">
        <v>1560</v>
      </c>
    </row>
    <row r="472" spans="1:15" x14ac:dyDescent="0.3">
      <c r="A472" t="str">
        <f>'Case 3 data'!A471</f>
        <v>GER190-3W</v>
      </c>
      <c r="B472" t="str">
        <f>'Case 3 data'!B471</f>
        <v>Jody</v>
      </c>
      <c r="C472" t="str">
        <f>'Case 3 data'!C471</f>
        <v>Barnes</v>
      </c>
      <c r="D472" t="str" cm="1">
        <f t="array" ref="D472">LEFT($A472,MIN(FIND({0;1;2;3;4;5;6;7;8;9},$A472&amp;"0123456789"))-1)</f>
        <v>GER</v>
      </c>
      <c r="E472" t="str" cm="1">
        <f t="array" ref="E472">MID($A472,MIN(FIND({0;1;2;3;4;5;6;7;8;9},$A472&amp;"0123456789")),FIND("-",$A472)-MIN(FIND({0;1;2;3;4;5;6;7;8;9},$A472&amp;"0123456789")))</f>
        <v>190</v>
      </c>
      <c r="F472" t="str">
        <f t="shared" si="110"/>
        <v>3</v>
      </c>
      <c r="G472" t="str">
        <f t="shared" si="111"/>
        <v>W</v>
      </c>
      <c r="H472" t="str">
        <f t="shared" si="112"/>
        <v>GER-3</v>
      </c>
      <c r="J472" t="s">
        <v>1218</v>
      </c>
      <c r="K472" t="s">
        <v>1523</v>
      </c>
      <c r="L472">
        <v>190</v>
      </c>
      <c r="M472">
        <v>3</v>
      </c>
      <c r="N472" t="s">
        <v>1532</v>
      </c>
      <c r="O472" t="s">
        <v>1552</v>
      </c>
    </row>
    <row r="473" spans="1:15" x14ac:dyDescent="0.3">
      <c r="A473" t="str">
        <f>'Case 3 data'!A472</f>
        <v>MEX591-7Mo</v>
      </c>
      <c r="B473" t="str">
        <f>'Case 3 data'!B472</f>
        <v>Lynne</v>
      </c>
      <c r="C473" t="str">
        <f>'Case 3 data'!C472</f>
        <v>Flores</v>
      </c>
      <c r="D473" t="str" cm="1">
        <f t="array" ref="D473">LEFT($A473,MIN(FIND({0;1;2;3;4;5;6;7;8;9},$A473&amp;"0123456789"))-1)</f>
        <v>MEX</v>
      </c>
      <c r="E473" t="str" cm="1">
        <f t="array" ref="E473">MID($A473,MIN(FIND({0;1;2;3;4;5;6;7;8;9},$A473&amp;"0123456789")),FIND("-",$A473)-MIN(FIND({0;1;2;3;4;5;6;7;8;9},$A473&amp;"0123456789")))</f>
        <v>591</v>
      </c>
      <c r="F473" t="str">
        <f t="shared" si="110"/>
        <v>7</v>
      </c>
      <c r="G473" t="str">
        <f t="shared" si="111"/>
        <v>Mo</v>
      </c>
      <c r="H473" t="str">
        <f t="shared" si="112"/>
        <v>MEX-7</v>
      </c>
      <c r="J473" t="s">
        <v>1220</v>
      </c>
      <c r="K473" t="s">
        <v>1521</v>
      </c>
      <c r="L473">
        <v>591</v>
      </c>
      <c r="M473">
        <v>7</v>
      </c>
      <c r="N473" t="s">
        <v>1530</v>
      </c>
      <c r="O473" t="s">
        <v>1593</v>
      </c>
    </row>
    <row r="474" spans="1:15" x14ac:dyDescent="0.3">
      <c r="A474" t="str">
        <f>'Case 3 data'!A473</f>
        <v>Japan172-13M</v>
      </c>
      <c r="B474" t="str">
        <f>'Case 3 data'!B473</f>
        <v>Phyllis</v>
      </c>
      <c r="C474" t="str">
        <f>'Case 3 data'!C473</f>
        <v>Thomas</v>
      </c>
      <c r="D474" t="str" cm="1">
        <f t="array" ref="D474">LEFT($A474,MIN(FIND({0;1;2;3;4;5;6;7;8;9},$A474&amp;"0123456789"))-1)</f>
        <v>Japan</v>
      </c>
      <c r="E474" t="str" cm="1">
        <f t="array" ref="E474">MID($A474,MIN(FIND({0;1;2;3;4;5;6;7;8;9},$A474&amp;"0123456789")),FIND("-",$A474)-MIN(FIND({0;1;2;3;4;5;6;7;8;9},$A474&amp;"0123456789")))</f>
        <v>172</v>
      </c>
      <c r="F474" t="str">
        <f t="shared" si="110"/>
        <v>13</v>
      </c>
      <c r="G474" t="str">
        <f t="shared" si="111"/>
        <v>M</v>
      </c>
      <c r="H474" t="str">
        <f t="shared" si="112"/>
        <v>Japan-13</v>
      </c>
      <c r="J474" t="s">
        <v>1222</v>
      </c>
      <c r="K474" t="str">
        <f t="shared" ref="K474:K505" si="117">LEFT(A474,3)</f>
        <v>Jap</v>
      </c>
      <c r="L474">
        <v>172</v>
      </c>
      <c r="M474">
        <v>13</v>
      </c>
      <c r="N474" t="s">
        <v>1531</v>
      </c>
      <c r="O474" t="s">
        <v>1639</v>
      </c>
    </row>
    <row r="475" spans="1:15" x14ac:dyDescent="0.3">
      <c r="A475" t="str">
        <f>'Case 3 data'!A474</f>
        <v>ARG234-17W</v>
      </c>
      <c r="B475" t="str">
        <f>'Case 3 data'!B474</f>
        <v>Clarence</v>
      </c>
      <c r="C475" t="str">
        <f>'Case 3 data'!C474</f>
        <v>Turner</v>
      </c>
      <c r="D475" t="str" cm="1">
        <f t="array" ref="D475">LEFT($A475,MIN(FIND({0;1;2;3;4;5;6;7;8;9},$A475&amp;"0123456789"))-1)</f>
        <v>ARG</v>
      </c>
      <c r="E475" t="str" cm="1">
        <f t="array" ref="E475">MID($A475,MIN(FIND({0;1;2;3;4;5;6;7;8;9},$A475&amp;"0123456789")),FIND("-",$A475)-MIN(FIND({0;1;2;3;4;5;6;7;8;9},$A475&amp;"0123456789")))</f>
        <v>234</v>
      </c>
      <c r="F475" t="str">
        <f t="shared" si="110"/>
        <v>17</v>
      </c>
      <c r="G475" t="str">
        <f t="shared" si="111"/>
        <v>W</v>
      </c>
      <c r="H475" t="str">
        <f t="shared" si="112"/>
        <v>ARG-17</v>
      </c>
      <c r="J475" t="s">
        <v>1224</v>
      </c>
      <c r="K475" t="s">
        <v>1522</v>
      </c>
      <c r="L475">
        <v>234</v>
      </c>
      <c r="M475">
        <v>17</v>
      </c>
      <c r="N475" t="s">
        <v>1532</v>
      </c>
      <c r="O475" t="s">
        <v>1579</v>
      </c>
    </row>
    <row r="476" spans="1:15" x14ac:dyDescent="0.3">
      <c r="A476" t="str">
        <f>'Case 3 data'!A475</f>
        <v>US310-4Mo</v>
      </c>
      <c r="B476" t="str">
        <f>'Case 3 data'!B475</f>
        <v>Caroline</v>
      </c>
      <c r="C476" t="str">
        <f>'Case 3 data'!C475</f>
        <v>Sharp</v>
      </c>
      <c r="D476" t="str" cm="1">
        <f t="array" ref="D476">LEFT($A476,MIN(FIND({0;1;2;3;4;5;6;7;8;9},$A476&amp;"0123456789"))-1)</f>
        <v>US</v>
      </c>
      <c r="E476" t="str" cm="1">
        <f t="array" ref="E476">MID($A476,MIN(FIND({0;1;2;3;4;5;6;7;8;9},$A476&amp;"0123456789")),FIND("-",$A476)-MIN(FIND({0;1;2;3;4;5;6;7;8;9},$A476&amp;"0123456789")))</f>
        <v>310</v>
      </c>
      <c r="F476" t="str">
        <f t="shared" si="110"/>
        <v>4</v>
      </c>
      <c r="G476" t="str">
        <f t="shared" si="111"/>
        <v>Mo</v>
      </c>
      <c r="H476" t="str">
        <f t="shared" si="112"/>
        <v>US-4</v>
      </c>
      <c r="J476" t="s">
        <v>1225</v>
      </c>
      <c r="K476" t="s">
        <v>1523</v>
      </c>
      <c r="L476">
        <v>310</v>
      </c>
      <c r="M476">
        <v>4</v>
      </c>
      <c r="N476" t="s">
        <v>1530</v>
      </c>
      <c r="O476" t="s">
        <v>1564</v>
      </c>
    </row>
    <row r="477" spans="1:15" x14ac:dyDescent="0.3">
      <c r="A477" t="str">
        <f>'Case 3 data'!A476</f>
        <v>Canada575-11W</v>
      </c>
      <c r="B477" t="str">
        <f>'Case 3 data'!B476</f>
        <v>Tijuana</v>
      </c>
      <c r="C477" t="str">
        <f>'Case 3 data'!C476</f>
        <v>Leblanc</v>
      </c>
      <c r="D477" t="str" cm="1">
        <f t="array" ref="D477">LEFT($A477,MIN(FIND({0;1;2;3;4;5;6;7;8;9},$A477&amp;"0123456789"))-1)</f>
        <v>Canada</v>
      </c>
      <c r="E477" t="str" cm="1">
        <f t="array" ref="E477">MID($A477,MIN(FIND({0;1;2;3;4;5;6;7;8;9},$A477&amp;"0123456789")),FIND("-",$A477)-MIN(FIND({0;1;2;3;4;5;6;7;8;9},$A477&amp;"0123456789")))</f>
        <v>575</v>
      </c>
      <c r="F477" t="str">
        <f t="shared" si="110"/>
        <v>11</v>
      </c>
      <c r="G477" t="str">
        <f t="shared" si="111"/>
        <v>W</v>
      </c>
      <c r="H477" t="str">
        <f t="shared" si="112"/>
        <v>Canada-11</v>
      </c>
      <c r="J477" t="s">
        <v>1228</v>
      </c>
      <c r="K477" t="s">
        <v>1523</v>
      </c>
      <c r="L477">
        <v>575</v>
      </c>
      <c r="M477">
        <v>11</v>
      </c>
      <c r="N477" t="s">
        <v>1532</v>
      </c>
      <c r="O477" t="s">
        <v>1580</v>
      </c>
    </row>
    <row r="478" spans="1:15" x14ac:dyDescent="0.3">
      <c r="A478" t="str">
        <f>'Case 3 data'!A477</f>
        <v>ARG544-4W</v>
      </c>
      <c r="B478" t="str">
        <f>'Case 3 data'!B477</f>
        <v>Jeanna</v>
      </c>
      <c r="C478" t="str">
        <f>'Case 3 data'!C477</f>
        <v>Sawyers</v>
      </c>
      <c r="D478" t="str" cm="1">
        <f t="array" ref="D478">LEFT($A478,MIN(FIND({0;1;2;3;4;5;6;7;8;9},$A478&amp;"0123456789"))-1)</f>
        <v>ARG</v>
      </c>
      <c r="E478" t="str" cm="1">
        <f t="array" ref="E478">MID($A478,MIN(FIND({0;1;2;3;4;5;6;7;8;9},$A478&amp;"0123456789")),FIND("-",$A478)-MIN(FIND({0;1;2;3;4;5;6;7;8;9},$A478&amp;"0123456789")))</f>
        <v>544</v>
      </c>
      <c r="F478" t="str">
        <f t="shared" si="110"/>
        <v>4</v>
      </c>
      <c r="G478" t="str">
        <f t="shared" si="111"/>
        <v>W</v>
      </c>
      <c r="H478" t="str">
        <f t="shared" si="112"/>
        <v>ARG-4</v>
      </c>
      <c r="J478" t="s">
        <v>1231</v>
      </c>
      <c r="K478" t="s">
        <v>1521</v>
      </c>
      <c r="L478">
        <v>544</v>
      </c>
      <c r="M478">
        <v>4</v>
      </c>
      <c r="N478" t="s">
        <v>1532</v>
      </c>
      <c r="O478" t="s">
        <v>1537</v>
      </c>
    </row>
    <row r="479" spans="1:15" x14ac:dyDescent="0.3">
      <c r="A479" t="str">
        <f>'Case 3 data'!A478</f>
        <v>ARG124-13W</v>
      </c>
      <c r="B479" t="str">
        <f>'Case 3 data'!B478</f>
        <v>Chauncey</v>
      </c>
      <c r="C479" t="str">
        <f>'Case 3 data'!C478</f>
        <v>Bottoms</v>
      </c>
      <c r="D479" t="str" cm="1">
        <f t="array" ref="D479">LEFT($A479,MIN(FIND({0;1;2;3;4;5;6;7;8;9},$A479&amp;"0123456789"))-1)</f>
        <v>ARG</v>
      </c>
      <c r="E479" t="str" cm="1">
        <f t="array" ref="E479">MID($A479,MIN(FIND({0;1;2;3;4;5;6;7;8;9},$A479&amp;"0123456789")),FIND("-",$A479)-MIN(FIND({0;1;2;3;4;5;6;7;8;9},$A479&amp;"0123456789")))</f>
        <v>124</v>
      </c>
      <c r="F479" t="str">
        <f t="shared" si="110"/>
        <v>13</v>
      </c>
      <c r="G479" t="str">
        <f t="shared" si="111"/>
        <v>W</v>
      </c>
      <c r="H479" t="str">
        <f t="shared" si="112"/>
        <v>ARG-13</v>
      </c>
      <c r="J479" t="s">
        <v>1234</v>
      </c>
      <c r="K479" t="str">
        <f t="shared" ref="K479:K510" si="118">LEFT(A479,3)</f>
        <v>ARG</v>
      </c>
      <c r="L479">
        <v>124</v>
      </c>
      <c r="M479">
        <v>13</v>
      </c>
      <c r="N479" t="s">
        <v>1532</v>
      </c>
      <c r="O479" t="s">
        <v>1643</v>
      </c>
    </row>
    <row r="480" spans="1:15" x14ac:dyDescent="0.3">
      <c r="A480" t="str">
        <f>'Case 3 data'!A479</f>
        <v>MEX376-12W</v>
      </c>
      <c r="B480" t="str">
        <f>'Case 3 data'!B479</f>
        <v>Kelley</v>
      </c>
      <c r="C480" t="str">
        <f>'Case 3 data'!C479</f>
        <v>Palmer</v>
      </c>
      <c r="D480" t="str" cm="1">
        <f t="array" ref="D480">LEFT($A480,MIN(FIND({0;1;2;3;4;5;6;7;8;9},$A480&amp;"0123456789"))-1)</f>
        <v>MEX</v>
      </c>
      <c r="E480" t="str" cm="1">
        <f t="array" ref="E480">MID($A480,MIN(FIND({0;1;2;3;4;5;6;7;8;9},$A480&amp;"0123456789")),FIND("-",$A480)-MIN(FIND({0;1;2;3;4;5;6;7;8;9},$A480&amp;"0123456789")))</f>
        <v>376</v>
      </c>
      <c r="F480" t="str">
        <f t="shared" si="110"/>
        <v>12</v>
      </c>
      <c r="G480" t="str">
        <f t="shared" si="111"/>
        <v>W</v>
      </c>
      <c r="H480" t="str">
        <f t="shared" si="112"/>
        <v>MEX-12</v>
      </c>
      <c r="J480" t="s">
        <v>1237</v>
      </c>
      <c r="K480" t="s">
        <v>1522</v>
      </c>
      <c r="L480">
        <v>376</v>
      </c>
      <c r="M480">
        <v>12</v>
      </c>
      <c r="N480" t="s">
        <v>1532</v>
      </c>
      <c r="O480" t="s">
        <v>1627</v>
      </c>
    </row>
    <row r="481" spans="1:15" x14ac:dyDescent="0.3">
      <c r="A481" t="str">
        <f>'Case 3 data'!A480</f>
        <v>GER164-5Mo</v>
      </c>
      <c r="B481" t="str">
        <f>'Case 3 data'!B480</f>
        <v>Janice</v>
      </c>
      <c r="C481" t="str">
        <f>'Case 3 data'!C480</f>
        <v>Moore</v>
      </c>
      <c r="D481" t="str" cm="1">
        <f t="array" ref="D481">LEFT($A481,MIN(FIND({0;1;2;3;4;5;6;7;8;9},$A481&amp;"0123456789"))-1)</f>
        <v>GER</v>
      </c>
      <c r="E481" t="str" cm="1">
        <f t="array" ref="E481">MID($A481,MIN(FIND({0;1;2;3;4;5;6;7;8;9},$A481&amp;"0123456789")),FIND("-",$A481)-MIN(FIND({0;1;2;3;4;5;6;7;8;9},$A481&amp;"0123456789")))</f>
        <v>164</v>
      </c>
      <c r="F481" t="str">
        <f t="shared" si="110"/>
        <v>5</v>
      </c>
      <c r="G481" t="str">
        <f t="shared" si="111"/>
        <v>Mo</v>
      </c>
      <c r="H481" t="str">
        <f t="shared" si="112"/>
        <v>GER-5</v>
      </c>
      <c r="J481" t="s">
        <v>1240</v>
      </c>
      <c r="K481" t="s">
        <v>1523</v>
      </c>
      <c r="L481">
        <v>164</v>
      </c>
      <c r="M481">
        <v>5</v>
      </c>
      <c r="N481" t="s">
        <v>1530</v>
      </c>
      <c r="O481" t="s">
        <v>1577</v>
      </c>
    </row>
    <row r="482" spans="1:15" x14ac:dyDescent="0.3">
      <c r="A482" t="str">
        <f>'Case 3 data'!A481</f>
        <v>AUS384-3W</v>
      </c>
      <c r="B482" t="str">
        <f>'Case 3 data'!B481</f>
        <v>Bradford</v>
      </c>
      <c r="C482" t="str">
        <f>'Case 3 data'!C481</f>
        <v>Potter</v>
      </c>
      <c r="D482" t="str" cm="1">
        <f t="array" ref="D482">LEFT($A482,MIN(FIND({0;1;2;3;4;5;6;7;8;9},$A482&amp;"0123456789"))-1)</f>
        <v>AUS</v>
      </c>
      <c r="E482" t="str" cm="1">
        <f t="array" ref="E482">MID($A482,MIN(FIND({0;1;2;3;4;5;6;7;8;9},$A482&amp;"0123456789")),FIND("-",$A482)-MIN(FIND({0;1;2;3;4;5;6;7;8;9},$A482&amp;"0123456789")))</f>
        <v>384</v>
      </c>
      <c r="F482" t="str">
        <f t="shared" si="110"/>
        <v>3</v>
      </c>
      <c r="G482" t="str">
        <f t="shared" si="111"/>
        <v>W</v>
      </c>
      <c r="H482" t="str">
        <f t="shared" si="112"/>
        <v>AUS-3</v>
      </c>
      <c r="J482" t="s">
        <v>1242</v>
      </c>
      <c r="K482" t="s">
        <v>1523</v>
      </c>
      <c r="L482">
        <v>384</v>
      </c>
      <c r="M482">
        <v>3</v>
      </c>
      <c r="N482" t="s">
        <v>1532</v>
      </c>
      <c r="O482" t="s">
        <v>1552</v>
      </c>
    </row>
    <row r="483" spans="1:15" x14ac:dyDescent="0.3">
      <c r="A483" t="str">
        <f>'Case 3 data'!A482</f>
        <v>US523-7M</v>
      </c>
      <c r="B483" t="str">
        <f>'Case 3 data'!B482</f>
        <v>Kathryn</v>
      </c>
      <c r="C483" t="str">
        <f>'Case 3 data'!C482</f>
        <v>Bailey</v>
      </c>
      <c r="D483" t="str" cm="1">
        <f t="array" ref="D483">LEFT($A483,MIN(FIND({0;1;2;3;4;5;6;7;8;9},$A483&amp;"0123456789"))-1)</f>
        <v>US</v>
      </c>
      <c r="E483" t="str" cm="1">
        <f t="array" ref="E483">MID($A483,MIN(FIND({0;1;2;3;4;5;6;7;8;9},$A483&amp;"0123456789")),FIND("-",$A483)-MIN(FIND({0;1;2;3;4;5;6;7;8;9},$A483&amp;"0123456789")))</f>
        <v>523</v>
      </c>
      <c r="F483" t="str">
        <f t="shared" si="110"/>
        <v>7</v>
      </c>
      <c r="G483" t="str">
        <f t="shared" si="111"/>
        <v>M</v>
      </c>
      <c r="H483" t="str">
        <f t="shared" si="112"/>
        <v>US-7</v>
      </c>
      <c r="J483" t="s">
        <v>1244</v>
      </c>
      <c r="K483" t="s">
        <v>1521</v>
      </c>
      <c r="L483">
        <v>523</v>
      </c>
      <c r="M483">
        <v>7</v>
      </c>
      <c r="N483" t="s">
        <v>1531</v>
      </c>
      <c r="O483" t="s">
        <v>1593</v>
      </c>
    </row>
    <row r="484" spans="1:15" x14ac:dyDescent="0.3">
      <c r="A484" t="str">
        <f>'Case 3 data'!A483</f>
        <v>ENG53-2M</v>
      </c>
      <c r="B484" t="str">
        <f>'Case 3 data'!B483</f>
        <v>Lori</v>
      </c>
      <c r="C484" t="str">
        <f>'Case 3 data'!C483</f>
        <v>Robinson</v>
      </c>
      <c r="D484" t="str" cm="1">
        <f t="array" ref="D484">LEFT($A484,MIN(FIND({0;1;2;3;4;5;6;7;8;9},$A484&amp;"0123456789"))-1)</f>
        <v>ENG</v>
      </c>
      <c r="E484" t="str" cm="1">
        <f t="array" ref="E484">MID($A484,MIN(FIND({0;1;2;3;4;5;6;7;8;9},$A484&amp;"0123456789")),FIND("-",$A484)-MIN(FIND({0;1;2;3;4;5;6;7;8;9},$A484&amp;"0123456789")))</f>
        <v>53</v>
      </c>
      <c r="F484" t="str">
        <f t="shared" si="110"/>
        <v>2</v>
      </c>
      <c r="G484" t="str">
        <f t="shared" si="111"/>
        <v>M</v>
      </c>
      <c r="H484" t="str">
        <f t="shared" si="112"/>
        <v>ENG-2</v>
      </c>
      <c r="J484" t="s">
        <v>1246</v>
      </c>
      <c r="K484" t="str">
        <f t="shared" ref="K484:K515" si="119">LEFT(A484,3)</f>
        <v>ENG</v>
      </c>
      <c r="L484">
        <v>53</v>
      </c>
      <c r="M484">
        <v>2</v>
      </c>
      <c r="N484" t="s">
        <v>1531</v>
      </c>
      <c r="O484" t="s">
        <v>1556</v>
      </c>
    </row>
    <row r="485" spans="1:15" x14ac:dyDescent="0.3">
      <c r="A485" t="str">
        <f>'Case 3 data'!A484</f>
        <v>ENG560-15W</v>
      </c>
      <c r="B485" t="str">
        <f>'Case 3 data'!B484</f>
        <v>Melissa</v>
      </c>
      <c r="C485" t="str">
        <f>'Case 3 data'!C484</f>
        <v>Stewart</v>
      </c>
      <c r="D485" t="str" cm="1">
        <f t="array" ref="D485">LEFT($A485,MIN(FIND({0;1;2;3;4;5;6;7;8;9},$A485&amp;"0123456789"))-1)</f>
        <v>ENG</v>
      </c>
      <c r="E485" t="str" cm="1">
        <f t="array" ref="E485">MID($A485,MIN(FIND({0;1;2;3;4;5;6;7;8;9},$A485&amp;"0123456789")),FIND("-",$A485)-MIN(FIND({0;1;2;3;4;5;6;7;8;9},$A485&amp;"0123456789")))</f>
        <v>560</v>
      </c>
      <c r="F485" t="str">
        <f t="shared" si="110"/>
        <v>15</v>
      </c>
      <c r="G485" t="str">
        <f t="shared" si="111"/>
        <v>W</v>
      </c>
      <c r="H485" t="str">
        <f t="shared" si="112"/>
        <v>ENG-15</v>
      </c>
      <c r="J485" t="s">
        <v>1247</v>
      </c>
      <c r="K485" t="s">
        <v>1522</v>
      </c>
      <c r="L485">
        <v>560</v>
      </c>
      <c r="M485">
        <v>15</v>
      </c>
      <c r="N485" t="s">
        <v>1532</v>
      </c>
      <c r="O485" t="s">
        <v>1608</v>
      </c>
    </row>
    <row r="486" spans="1:15" x14ac:dyDescent="0.3">
      <c r="A486" t="str">
        <f>'Case 3 data'!A485</f>
        <v>US133-1M</v>
      </c>
      <c r="B486" t="str">
        <f>'Case 3 data'!B485</f>
        <v>Genevive</v>
      </c>
      <c r="C486" t="str">
        <f>'Case 3 data'!C485</f>
        <v>Mejia</v>
      </c>
      <c r="D486" t="str" cm="1">
        <f t="array" ref="D486">LEFT($A486,MIN(FIND({0;1;2;3;4;5;6;7;8;9},$A486&amp;"0123456789"))-1)</f>
        <v>US</v>
      </c>
      <c r="E486" t="str" cm="1">
        <f t="array" ref="E486">MID($A486,MIN(FIND({0;1;2;3;4;5;6;7;8;9},$A486&amp;"0123456789")),FIND("-",$A486)-MIN(FIND({0;1;2;3;4;5;6;7;8;9},$A486&amp;"0123456789")))</f>
        <v>133</v>
      </c>
      <c r="F486" t="str">
        <f t="shared" si="110"/>
        <v>1</v>
      </c>
      <c r="G486" t="str">
        <f t="shared" si="111"/>
        <v>M</v>
      </c>
      <c r="H486" t="str">
        <f t="shared" si="112"/>
        <v>US-1</v>
      </c>
      <c r="J486" t="s">
        <v>1249</v>
      </c>
      <c r="K486" t="s">
        <v>1523</v>
      </c>
      <c r="L486">
        <v>133</v>
      </c>
      <c r="M486">
        <v>1</v>
      </c>
      <c r="N486" t="s">
        <v>1531</v>
      </c>
      <c r="O486" t="s">
        <v>1536</v>
      </c>
    </row>
    <row r="487" spans="1:15" x14ac:dyDescent="0.3">
      <c r="A487" t="str">
        <f>'Case 3 data'!A486</f>
        <v>ENG232-11W</v>
      </c>
      <c r="B487" t="str">
        <f>'Case 3 data'!B486</f>
        <v>Irene</v>
      </c>
      <c r="C487" t="str">
        <f>'Case 3 data'!C486</f>
        <v>Lopez</v>
      </c>
      <c r="D487" t="str" cm="1">
        <f t="array" ref="D487">LEFT($A487,MIN(FIND({0;1;2;3;4;5;6;7;8;9},$A487&amp;"0123456789"))-1)</f>
        <v>ENG</v>
      </c>
      <c r="E487" t="str" cm="1">
        <f t="array" ref="E487">MID($A487,MIN(FIND({0;1;2;3;4;5;6;7;8;9},$A487&amp;"0123456789")),FIND("-",$A487)-MIN(FIND({0;1;2;3;4;5;6;7;8;9},$A487&amp;"0123456789")))</f>
        <v>232</v>
      </c>
      <c r="F487" t="str">
        <f t="shared" si="110"/>
        <v>11</v>
      </c>
      <c r="G487" t="str">
        <f t="shared" si="111"/>
        <v>W</v>
      </c>
      <c r="H487" t="str">
        <f t="shared" si="112"/>
        <v>ENG-11</v>
      </c>
      <c r="J487" t="s">
        <v>1252</v>
      </c>
      <c r="K487" t="s">
        <v>1523</v>
      </c>
      <c r="L487">
        <v>232</v>
      </c>
      <c r="M487">
        <v>11</v>
      </c>
      <c r="N487" t="s">
        <v>1532</v>
      </c>
      <c r="O487" t="s">
        <v>1580</v>
      </c>
    </row>
    <row r="488" spans="1:15" x14ac:dyDescent="0.3">
      <c r="A488" t="str">
        <f>'Case 3 data'!A487</f>
        <v>ARG283-9M</v>
      </c>
      <c r="B488" t="str">
        <f>'Case 3 data'!B487</f>
        <v>Patty</v>
      </c>
      <c r="C488" t="str">
        <f>'Case 3 data'!C487</f>
        <v>Jimenez</v>
      </c>
      <c r="D488" t="str" cm="1">
        <f t="array" ref="D488">LEFT($A488,MIN(FIND({0;1;2;3;4;5;6;7;8;9},$A488&amp;"0123456789"))-1)</f>
        <v>ARG</v>
      </c>
      <c r="E488" t="str" cm="1">
        <f t="array" ref="E488">MID($A488,MIN(FIND({0;1;2;3;4;5;6;7;8;9},$A488&amp;"0123456789")),FIND("-",$A488)-MIN(FIND({0;1;2;3;4;5;6;7;8;9},$A488&amp;"0123456789")))</f>
        <v>283</v>
      </c>
      <c r="F488" t="str">
        <f t="shared" si="110"/>
        <v>9</v>
      </c>
      <c r="G488" t="str">
        <f t="shared" si="111"/>
        <v>M</v>
      </c>
      <c r="H488" t="str">
        <f t="shared" si="112"/>
        <v>ARG-9</v>
      </c>
      <c r="J488" t="s">
        <v>1253</v>
      </c>
      <c r="K488" t="s">
        <v>1521</v>
      </c>
      <c r="L488">
        <v>283</v>
      </c>
      <c r="M488">
        <v>9</v>
      </c>
      <c r="N488" t="s">
        <v>1531</v>
      </c>
      <c r="O488" t="s">
        <v>1559</v>
      </c>
    </row>
    <row r="489" spans="1:15" x14ac:dyDescent="0.3">
      <c r="A489" t="str">
        <f>'Case 3 data'!A488</f>
        <v>US228-16Mo</v>
      </c>
      <c r="B489" t="str">
        <f>'Case 3 data'!B488</f>
        <v>Lindsey</v>
      </c>
      <c r="C489" t="str">
        <f>'Case 3 data'!C488</f>
        <v>Warren</v>
      </c>
      <c r="D489" t="str" cm="1">
        <f t="array" ref="D489">LEFT($A489,MIN(FIND({0;1;2;3;4;5;6;7;8;9},$A489&amp;"0123456789"))-1)</f>
        <v>US</v>
      </c>
      <c r="E489" t="str" cm="1">
        <f t="array" ref="E489">MID($A489,MIN(FIND({0;1;2;3;4;5;6;7;8;9},$A489&amp;"0123456789")),FIND("-",$A489)-MIN(FIND({0;1;2;3;4;5;6;7;8;9},$A489&amp;"0123456789")))</f>
        <v>228</v>
      </c>
      <c r="F489" t="str">
        <f t="shared" si="110"/>
        <v>16</v>
      </c>
      <c r="G489" t="str">
        <f t="shared" si="111"/>
        <v>Mo</v>
      </c>
      <c r="H489" t="str">
        <f t="shared" si="112"/>
        <v>US-16</v>
      </c>
      <c r="J489" t="s">
        <v>1256</v>
      </c>
      <c r="K489" t="str">
        <f t="shared" ref="K489:K520" si="120">LEFT(A489,3)</f>
        <v>US2</v>
      </c>
      <c r="L489">
        <v>228</v>
      </c>
      <c r="M489">
        <v>16</v>
      </c>
      <c r="N489" t="s">
        <v>1530</v>
      </c>
      <c r="O489" t="s">
        <v>1644</v>
      </c>
    </row>
    <row r="490" spans="1:15" x14ac:dyDescent="0.3">
      <c r="A490" t="str">
        <f>'Case 3 data'!A489</f>
        <v>MEX577-15M</v>
      </c>
      <c r="B490" t="str">
        <f>'Case 3 data'!B489</f>
        <v>Randy</v>
      </c>
      <c r="C490" t="str">
        <f>'Case 3 data'!C489</f>
        <v>Baker</v>
      </c>
      <c r="D490" t="str" cm="1">
        <f t="array" ref="D490">LEFT($A490,MIN(FIND({0;1;2;3;4;5;6;7;8;9},$A490&amp;"0123456789"))-1)</f>
        <v>MEX</v>
      </c>
      <c r="E490" t="str" cm="1">
        <f t="array" ref="E490">MID($A490,MIN(FIND({0;1;2;3;4;5;6;7;8;9},$A490&amp;"0123456789")),FIND("-",$A490)-MIN(FIND({0;1;2;3;4;5;6;7;8;9},$A490&amp;"0123456789")))</f>
        <v>577</v>
      </c>
      <c r="F490" t="str">
        <f t="shared" si="110"/>
        <v>15</v>
      </c>
      <c r="G490" t="str">
        <f t="shared" si="111"/>
        <v>M</v>
      </c>
      <c r="H490" t="str">
        <f t="shared" si="112"/>
        <v>MEX-15</v>
      </c>
      <c r="J490" t="s">
        <v>1258</v>
      </c>
      <c r="K490" t="s">
        <v>1522</v>
      </c>
      <c r="L490">
        <v>577</v>
      </c>
      <c r="M490">
        <v>15</v>
      </c>
      <c r="N490" t="s">
        <v>1531</v>
      </c>
      <c r="O490" t="s">
        <v>1608</v>
      </c>
    </row>
    <row r="491" spans="1:15" x14ac:dyDescent="0.3">
      <c r="A491" t="str">
        <f>'Case 3 data'!A490</f>
        <v>US74-13M</v>
      </c>
      <c r="B491" t="str">
        <f>'Case 3 data'!B490</f>
        <v>Kayleigh</v>
      </c>
      <c r="C491" t="str">
        <f>'Case 3 data'!C490</f>
        <v>Goss</v>
      </c>
      <c r="D491" t="str" cm="1">
        <f t="array" ref="D491">LEFT($A491,MIN(FIND({0;1;2;3;4;5;6;7;8;9},$A491&amp;"0123456789"))-1)</f>
        <v>US</v>
      </c>
      <c r="E491" t="str" cm="1">
        <f t="array" ref="E491">MID($A491,MIN(FIND({0;1;2;3;4;5;6;7;8;9},$A491&amp;"0123456789")),FIND("-",$A491)-MIN(FIND({0;1;2;3;4;5;6;7;8;9},$A491&amp;"0123456789")))</f>
        <v>74</v>
      </c>
      <c r="F491" t="str">
        <f t="shared" si="110"/>
        <v>13</v>
      </c>
      <c r="G491" t="str">
        <f t="shared" si="111"/>
        <v>M</v>
      </c>
      <c r="H491" t="str">
        <f t="shared" si="112"/>
        <v>US-13</v>
      </c>
      <c r="J491" t="s">
        <v>1259</v>
      </c>
      <c r="K491" t="s">
        <v>1523</v>
      </c>
      <c r="L491">
        <v>74</v>
      </c>
      <c r="M491">
        <v>13</v>
      </c>
      <c r="N491" t="s">
        <v>1531</v>
      </c>
      <c r="O491" t="s">
        <v>1553</v>
      </c>
    </row>
    <row r="492" spans="1:15" x14ac:dyDescent="0.3">
      <c r="A492" t="str">
        <f>'Case 3 data'!A491</f>
        <v>Japan436-16W</v>
      </c>
      <c r="B492" t="str">
        <f>'Case 3 data'!B491</f>
        <v>Priscilla</v>
      </c>
      <c r="C492" t="str">
        <f>'Case 3 data'!C491</f>
        <v>Chavez</v>
      </c>
      <c r="D492" t="str" cm="1">
        <f t="array" ref="D492">LEFT($A492,MIN(FIND({0;1;2;3;4;5;6;7;8;9},$A492&amp;"0123456789"))-1)</f>
        <v>Japan</v>
      </c>
      <c r="E492" t="str" cm="1">
        <f t="array" ref="E492">MID($A492,MIN(FIND({0;1;2;3;4;5;6;7;8;9},$A492&amp;"0123456789")),FIND("-",$A492)-MIN(FIND({0;1;2;3;4;5;6;7;8;9},$A492&amp;"0123456789")))</f>
        <v>436</v>
      </c>
      <c r="F492" t="str">
        <f t="shared" si="110"/>
        <v>16</v>
      </c>
      <c r="G492" t="str">
        <f t="shared" si="111"/>
        <v>W</v>
      </c>
      <c r="H492" t="str">
        <f t="shared" si="112"/>
        <v>Japan-16</v>
      </c>
      <c r="J492" t="s">
        <v>1262</v>
      </c>
      <c r="K492" t="s">
        <v>1523</v>
      </c>
      <c r="L492">
        <v>436</v>
      </c>
      <c r="M492">
        <v>16</v>
      </c>
      <c r="N492" t="s">
        <v>1532</v>
      </c>
      <c r="O492" t="s">
        <v>1570</v>
      </c>
    </row>
    <row r="493" spans="1:15" x14ac:dyDescent="0.3">
      <c r="A493" t="str">
        <f>'Case 3 data'!A492</f>
        <v>ARG548-10W</v>
      </c>
      <c r="B493" t="str">
        <f>'Case 3 data'!B492</f>
        <v>Mabel</v>
      </c>
      <c r="C493" t="str">
        <f>'Case 3 data'!C492</f>
        <v>Schwartz</v>
      </c>
      <c r="D493" t="str" cm="1">
        <f t="array" ref="D493">LEFT($A493,MIN(FIND({0;1;2;3;4;5;6;7;8;9},$A493&amp;"0123456789"))-1)</f>
        <v>ARG</v>
      </c>
      <c r="E493" t="str" cm="1">
        <f t="array" ref="E493">MID($A493,MIN(FIND({0;1;2;3;4;5;6;7;8;9},$A493&amp;"0123456789")),FIND("-",$A493)-MIN(FIND({0;1;2;3;4;5;6;7;8;9},$A493&amp;"0123456789")))</f>
        <v>548</v>
      </c>
      <c r="F493" t="str">
        <f t="shared" si="110"/>
        <v>10</v>
      </c>
      <c r="G493" t="str">
        <f t="shared" si="111"/>
        <v>W</v>
      </c>
      <c r="H493" t="str">
        <f t="shared" si="112"/>
        <v>ARG-10</v>
      </c>
      <c r="J493" t="s">
        <v>1265</v>
      </c>
      <c r="K493" t="s">
        <v>1521</v>
      </c>
      <c r="L493">
        <v>548</v>
      </c>
      <c r="M493">
        <v>10</v>
      </c>
      <c r="N493" t="s">
        <v>1532</v>
      </c>
      <c r="O493" t="s">
        <v>1554</v>
      </c>
    </row>
    <row r="494" spans="1:15" x14ac:dyDescent="0.3">
      <c r="A494" t="str">
        <f>'Case 3 data'!A493</f>
        <v>ENG293-9Mo</v>
      </c>
      <c r="B494" t="str">
        <f>'Case 3 data'!B493</f>
        <v>Zona</v>
      </c>
      <c r="C494" t="str">
        <f>'Case 3 data'!C493</f>
        <v>Sykes</v>
      </c>
      <c r="D494" t="str" cm="1">
        <f t="array" ref="D494">LEFT($A494,MIN(FIND({0;1;2;3;4;5;6;7;8;9},$A494&amp;"0123456789"))-1)</f>
        <v>ENG</v>
      </c>
      <c r="E494" t="str" cm="1">
        <f t="array" ref="E494">MID($A494,MIN(FIND({0;1;2;3;4;5;6;7;8;9},$A494&amp;"0123456789")),FIND("-",$A494)-MIN(FIND({0;1;2;3;4;5;6;7;8;9},$A494&amp;"0123456789")))</f>
        <v>293</v>
      </c>
      <c r="F494" t="str">
        <f t="shared" si="110"/>
        <v>9</v>
      </c>
      <c r="G494" t="str">
        <f t="shared" si="111"/>
        <v>Mo</v>
      </c>
      <c r="H494" t="str">
        <f t="shared" si="112"/>
        <v>ENG-9</v>
      </c>
      <c r="J494" t="s">
        <v>1268</v>
      </c>
      <c r="K494" t="str">
        <f t="shared" ref="K494:K525" si="121">LEFT(A494,3)</f>
        <v>ENG</v>
      </c>
      <c r="L494">
        <v>293</v>
      </c>
      <c r="M494">
        <v>9</v>
      </c>
      <c r="N494" t="s">
        <v>1530</v>
      </c>
      <c r="O494" t="s">
        <v>1547</v>
      </c>
    </row>
    <row r="495" spans="1:15" x14ac:dyDescent="0.3">
      <c r="A495" t="str">
        <f>'Case 3 data'!A494</f>
        <v>ENG263-7W</v>
      </c>
      <c r="B495" t="str">
        <f>'Case 3 data'!B494</f>
        <v>Angelena</v>
      </c>
      <c r="C495" t="str">
        <f>'Case 3 data'!C494</f>
        <v>Loftis</v>
      </c>
      <c r="D495" t="str" cm="1">
        <f t="array" ref="D495">LEFT($A495,MIN(FIND({0;1;2;3;4;5;6;7;8;9},$A495&amp;"0123456789"))-1)</f>
        <v>ENG</v>
      </c>
      <c r="E495" t="str" cm="1">
        <f t="array" ref="E495">MID($A495,MIN(FIND({0;1;2;3;4;5;6;7;8;9},$A495&amp;"0123456789")),FIND("-",$A495)-MIN(FIND({0;1;2;3;4;5;6;7;8;9},$A495&amp;"0123456789")))</f>
        <v>263</v>
      </c>
      <c r="F495" t="str">
        <f t="shared" si="110"/>
        <v>7</v>
      </c>
      <c r="G495" t="str">
        <f t="shared" si="111"/>
        <v>W</v>
      </c>
      <c r="H495" t="str">
        <f t="shared" si="112"/>
        <v>ENG-7</v>
      </c>
      <c r="J495" t="s">
        <v>1271</v>
      </c>
      <c r="K495" t="s">
        <v>1522</v>
      </c>
      <c r="L495">
        <v>263</v>
      </c>
      <c r="M495">
        <v>7</v>
      </c>
      <c r="N495" t="s">
        <v>1532</v>
      </c>
      <c r="O495" t="s">
        <v>1548</v>
      </c>
    </row>
    <row r="496" spans="1:15" x14ac:dyDescent="0.3">
      <c r="A496" t="str">
        <f>'Case 3 data'!A495</f>
        <v>Japan364-3W</v>
      </c>
      <c r="B496" t="str">
        <f>'Case 3 data'!B495</f>
        <v>Michael</v>
      </c>
      <c r="C496" t="str">
        <f>'Case 3 data'!C495</f>
        <v>Cook</v>
      </c>
      <c r="D496" t="str" cm="1">
        <f t="array" ref="D496">LEFT($A496,MIN(FIND({0;1;2;3;4;5;6;7;8;9},$A496&amp;"0123456789"))-1)</f>
        <v>Japan</v>
      </c>
      <c r="E496" t="str" cm="1">
        <f t="array" ref="E496">MID($A496,MIN(FIND({0;1;2;3;4;5;6;7;8;9},$A496&amp;"0123456789")),FIND("-",$A496)-MIN(FIND({0;1;2;3;4;5;6;7;8;9},$A496&amp;"0123456789")))</f>
        <v>364</v>
      </c>
      <c r="F496" t="str">
        <f t="shared" si="110"/>
        <v>3</v>
      </c>
      <c r="G496" t="str">
        <f t="shared" si="111"/>
        <v>W</v>
      </c>
      <c r="H496" t="str">
        <f t="shared" si="112"/>
        <v>Japan-3</v>
      </c>
      <c r="J496" t="s">
        <v>1274</v>
      </c>
      <c r="K496" t="s">
        <v>1523</v>
      </c>
      <c r="L496">
        <v>364</v>
      </c>
      <c r="M496">
        <v>3</v>
      </c>
      <c r="N496" t="s">
        <v>1532</v>
      </c>
      <c r="O496" t="s">
        <v>1552</v>
      </c>
    </row>
    <row r="497" spans="1:15" x14ac:dyDescent="0.3">
      <c r="A497" t="str">
        <f>'Case 3 data'!A496</f>
        <v>MEX72-12Mo</v>
      </c>
      <c r="B497" t="str">
        <f>'Case 3 data'!B496</f>
        <v>Kurt</v>
      </c>
      <c r="C497" t="str">
        <f>'Case 3 data'!C496</f>
        <v>Dennis</v>
      </c>
      <c r="D497" t="str" cm="1">
        <f t="array" ref="D497">LEFT($A497,MIN(FIND({0;1;2;3;4;5;6;7;8;9},$A497&amp;"0123456789"))-1)</f>
        <v>MEX</v>
      </c>
      <c r="E497" t="str" cm="1">
        <f t="array" ref="E497">MID($A497,MIN(FIND({0;1;2;3;4;5;6;7;8;9},$A497&amp;"0123456789")),FIND("-",$A497)-MIN(FIND({0;1;2;3;4;5;6;7;8;9},$A497&amp;"0123456789")))</f>
        <v>72</v>
      </c>
      <c r="F497" t="str">
        <f t="shared" si="110"/>
        <v>12</v>
      </c>
      <c r="G497" t="str">
        <f t="shared" si="111"/>
        <v>Mo</v>
      </c>
      <c r="H497" t="str">
        <f t="shared" si="112"/>
        <v>MEX-12</v>
      </c>
      <c r="J497" t="s">
        <v>1276</v>
      </c>
      <c r="K497" t="s">
        <v>1523</v>
      </c>
      <c r="L497">
        <v>72</v>
      </c>
      <c r="M497">
        <v>12</v>
      </c>
      <c r="N497" t="s">
        <v>1530</v>
      </c>
      <c r="O497" t="s">
        <v>1567</v>
      </c>
    </row>
    <row r="498" spans="1:15" x14ac:dyDescent="0.3">
      <c r="A498" t="str">
        <f>'Case 3 data'!A497</f>
        <v>Canada488-4M</v>
      </c>
      <c r="B498" t="str">
        <f>'Case 3 data'!B497</f>
        <v>Mercedes</v>
      </c>
      <c r="C498" t="str">
        <f>'Case 3 data'!C497</f>
        <v>Herrera</v>
      </c>
      <c r="D498" t="str" cm="1">
        <f t="array" ref="D498">LEFT($A498,MIN(FIND({0;1;2;3;4;5;6;7;8;9},$A498&amp;"0123456789"))-1)</f>
        <v>Canada</v>
      </c>
      <c r="E498" t="str" cm="1">
        <f t="array" ref="E498">MID($A498,MIN(FIND({0;1;2;3;4;5;6;7;8;9},$A498&amp;"0123456789")),FIND("-",$A498)-MIN(FIND({0;1;2;3;4;5;6;7;8;9},$A498&amp;"0123456789")))</f>
        <v>488</v>
      </c>
      <c r="F498" t="str">
        <f t="shared" si="110"/>
        <v>4</v>
      </c>
      <c r="G498" t="str">
        <f t="shared" si="111"/>
        <v>M</v>
      </c>
      <c r="H498" t="str">
        <f t="shared" si="112"/>
        <v>Canada-4</v>
      </c>
      <c r="J498" t="s">
        <v>1279</v>
      </c>
      <c r="K498" t="s">
        <v>1521</v>
      </c>
      <c r="L498">
        <v>488</v>
      </c>
      <c r="M498">
        <v>4</v>
      </c>
      <c r="N498" t="s">
        <v>1531</v>
      </c>
      <c r="O498" t="s">
        <v>1537</v>
      </c>
    </row>
    <row r="499" spans="1:15" x14ac:dyDescent="0.3">
      <c r="A499" t="str">
        <f>'Case 3 data'!A498</f>
        <v>Japan395-5W</v>
      </c>
      <c r="B499" t="str">
        <f>'Case 3 data'!B498</f>
        <v>Adella</v>
      </c>
      <c r="C499" t="str">
        <f>'Case 3 data'!C498</f>
        <v>Hargis</v>
      </c>
      <c r="D499" t="str" cm="1">
        <f t="array" ref="D499">LEFT($A499,MIN(FIND({0;1;2;3;4;5;6;7;8;9},$A499&amp;"0123456789"))-1)</f>
        <v>Japan</v>
      </c>
      <c r="E499" t="str" cm="1">
        <f t="array" ref="E499">MID($A499,MIN(FIND({0;1;2;3;4;5;6;7;8;9},$A499&amp;"0123456789")),FIND("-",$A499)-MIN(FIND({0;1;2;3;4;5;6;7;8;9},$A499&amp;"0123456789")))</f>
        <v>395</v>
      </c>
      <c r="F499" t="str">
        <f t="shared" si="110"/>
        <v>5</v>
      </c>
      <c r="G499" t="str">
        <f t="shared" si="111"/>
        <v>W</v>
      </c>
      <c r="H499" t="str">
        <f t="shared" si="112"/>
        <v>Japan-5</v>
      </c>
      <c r="J499" t="s">
        <v>1282</v>
      </c>
      <c r="K499" t="str">
        <f t="shared" ref="K499:K530" si="122">LEFT(A499,3)</f>
        <v>Jap</v>
      </c>
      <c r="L499">
        <v>395</v>
      </c>
      <c r="M499">
        <v>5</v>
      </c>
      <c r="N499" t="s">
        <v>1532</v>
      </c>
      <c r="O499" t="s">
        <v>1622</v>
      </c>
    </row>
    <row r="500" spans="1:15" x14ac:dyDescent="0.3">
      <c r="A500" t="str">
        <f>'Case 3 data'!A499</f>
        <v>Canada564-13W</v>
      </c>
      <c r="B500" t="str">
        <f>'Case 3 data'!B499</f>
        <v>Valeri</v>
      </c>
      <c r="C500" t="str">
        <f>'Case 3 data'!C499</f>
        <v>Kimball</v>
      </c>
      <c r="D500" t="str" cm="1">
        <f t="array" ref="D500">LEFT($A500,MIN(FIND({0;1;2;3;4;5;6;7;8;9},$A500&amp;"0123456789"))-1)</f>
        <v>Canada</v>
      </c>
      <c r="E500" t="str" cm="1">
        <f t="array" ref="E500">MID($A500,MIN(FIND({0;1;2;3;4;5;6;7;8;9},$A500&amp;"0123456789")),FIND("-",$A500)-MIN(FIND({0;1;2;3;4;5;6;7;8;9},$A500&amp;"0123456789")))</f>
        <v>564</v>
      </c>
      <c r="F500" t="str">
        <f t="shared" si="110"/>
        <v>13</v>
      </c>
      <c r="G500" t="str">
        <f t="shared" si="111"/>
        <v>W</v>
      </c>
      <c r="H500" t="str">
        <f t="shared" si="112"/>
        <v>Canada-13</v>
      </c>
      <c r="J500" t="s">
        <v>1285</v>
      </c>
      <c r="K500" t="s">
        <v>1522</v>
      </c>
      <c r="L500">
        <v>564</v>
      </c>
      <c r="M500">
        <v>13</v>
      </c>
      <c r="N500" t="s">
        <v>1532</v>
      </c>
      <c r="O500" t="s">
        <v>1605</v>
      </c>
    </row>
    <row r="501" spans="1:15" x14ac:dyDescent="0.3">
      <c r="A501" t="str">
        <f>'Case 3 data'!A500</f>
        <v>AUS29-3Mo</v>
      </c>
      <c r="B501" t="str">
        <f>'Case 3 data'!B500</f>
        <v>Israel</v>
      </c>
      <c r="C501" t="str">
        <f>'Case 3 data'!C500</f>
        <v>Lewis</v>
      </c>
      <c r="D501" t="str" cm="1">
        <f t="array" ref="D501">LEFT($A501,MIN(FIND({0;1;2;3;4;5;6;7;8;9},$A501&amp;"0123456789"))-1)</f>
        <v>AUS</v>
      </c>
      <c r="E501" t="str" cm="1">
        <f t="array" ref="E501">MID($A501,MIN(FIND({0;1;2;3;4;5;6;7;8;9},$A501&amp;"0123456789")),FIND("-",$A501)-MIN(FIND({0;1;2;3;4;5;6;7;8;9},$A501&amp;"0123456789")))</f>
        <v>29</v>
      </c>
      <c r="F501" t="str">
        <f t="shared" si="110"/>
        <v>3</v>
      </c>
      <c r="G501" t="str">
        <f t="shared" si="111"/>
        <v>Mo</v>
      </c>
      <c r="H501" t="str">
        <f t="shared" si="112"/>
        <v>AUS-3</v>
      </c>
      <c r="J501" t="s">
        <v>1288</v>
      </c>
      <c r="K501" t="s">
        <v>1523</v>
      </c>
      <c r="L501">
        <v>29</v>
      </c>
      <c r="M501">
        <v>3</v>
      </c>
      <c r="N501" t="s">
        <v>1530</v>
      </c>
      <c r="O501" t="s">
        <v>1552</v>
      </c>
    </row>
    <row r="502" spans="1:15" x14ac:dyDescent="0.3">
      <c r="A502" t="str">
        <f>'Case 3 data'!A501</f>
        <v>Canada510-6M</v>
      </c>
      <c r="B502" t="str">
        <f>'Case 3 data'!B501</f>
        <v>Ruth</v>
      </c>
      <c r="C502" t="str">
        <f>'Case 3 data'!C501</f>
        <v>Brown</v>
      </c>
      <c r="D502" t="str" cm="1">
        <f t="array" ref="D502">LEFT($A502,MIN(FIND({0;1;2;3;4;5;6;7;8;9},$A502&amp;"0123456789"))-1)</f>
        <v>Canada</v>
      </c>
      <c r="E502" t="str" cm="1">
        <f t="array" ref="E502">MID($A502,MIN(FIND({0;1;2;3;4;5;6;7;8;9},$A502&amp;"0123456789")),FIND("-",$A502)-MIN(FIND({0;1;2;3;4;5;6;7;8;9},$A502&amp;"0123456789")))</f>
        <v>510</v>
      </c>
      <c r="F502" t="str">
        <f t="shared" si="110"/>
        <v>6</v>
      </c>
      <c r="G502" t="str">
        <f t="shared" si="111"/>
        <v>M</v>
      </c>
      <c r="H502" t="str">
        <f t="shared" si="112"/>
        <v>Canada-6</v>
      </c>
      <c r="J502" t="s">
        <v>1290</v>
      </c>
      <c r="K502" t="s">
        <v>1523</v>
      </c>
      <c r="L502">
        <v>510</v>
      </c>
      <c r="M502">
        <v>6</v>
      </c>
      <c r="N502" t="s">
        <v>1531</v>
      </c>
      <c r="O502" t="s">
        <v>1540</v>
      </c>
    </row>
    <row r="503" spans="1:15" x14ac:dyDescent="0.3">
      <c r="A503" t="str">
        <f>'Case 3 data'!A502</f>
        <v>Japan470-11M</v>
      </c>
      <c r="B503" t="str">
        <f>'Case 3 data'!B502</f>
        <v>Maryanna</v>
      </c>
      <c r="C503" t="str">
        <f>'Case 3 data'!C502</f>
        <v>Schroeder</v>
      </c>
      <c r="D503" t="str" cm="1">
        <f t="array" ref="D503">LEFT($A503,MIN(FIND({0;1;2;3;4;5;6;7;8;9},$A503&amp;"0123456789"))-1)</f>
        <v>Japan</v>
      </c>
      <c r="E503" t="str" cm="1">
        <f t="array" ref="E503">MID($A503,MIN(FIND({0;1;2;3;4;5;6;7;8;9},$A503&amp;"0123456789")),FIND("-",$A503)-MIN(FIND({0;1;2;3;4;5;6;7;8;9},$A503&amp;"0123456789")))</f>
        <v>470</v>
      </c>
      <c r="F503" t="str">
        <f t="shared" si="110"/>
        <v>11</v>
      </c>
      <c r="G503" t="str">
        <f t="shared" si="111"/>
        <v>M</v>
      </c>
      <c r="H503" t="str">
        <f t="shared" si="112"/>
        <v>Japan-11</v>
      </c>
      <c r="J503" t="s">
        <v>1291</v>
      </c>
      <c r="K503" t="s">
        <v>1521</v>
      </c>
      <c r="L503">
        <v>470</v>
      </c>
      <c r="M503">
        <v>11</v>
      </c>
      <c r="N503" t="s">
        <v>1531</v>
      </c>
      <c r="O503" t="s">
        <v>1549</v>
      </c>
    </row>
    <row r="504" spans="1:15" x14ac:dyDescent="0.3">
      <c r="A504" t="str">
        <f>'Case 3 data'!A503</f>
        <v>GER95-9W</v>
      </c>
      <c r="B504" t="str">
        <f>'Case 3 data'!B503</f>
        <v>Elbert</v>
      </c>
      <c r="C504" t="str">
        <f>'Case 3 data'!C503</f>
        <v>Paul</v>
      </c>
      <c r="D504" t="str" cm="1">
        <f t="array" ref="D504">LEFT($A504,MIN(FIND({0;1;2;3;4;5;6;7;8;9},$A504&amp;"0123456789"))-1)</f>
        <v>GER</v>
      </c>
      <c r="E504" t="str" cm="1">
        <f t="array" ref="E504">MID($A504,MIN(FIND({0;1;2;3;4;5;6;7;8;9},$A504&amp;"0123456789")),FIND("-",$A504)-MIN(FIND({0;1;2;3;4;5;6;7;8;9},$A504&amp;"0123456789")))</f>
        <v>95</v>
      </c>
      <c r="F504" t="str">
        <f t="shared" si="110"/>
        <v>9</v>
      </c>
      <c r="G504" t="str">
        <f t="shared" si="111"/>
        <v>W</v>
      </c>
      <c r="H504" t="str">
        <f t="shared" si="112"/>
        <v>GER-9</v>
      </c>
      <c r="J504" t="s">
        <v>1294</v>
      </c>
      <c r="K504" t="str">
        <f t="shared" ref="K504:K535" si="123">LEFT(A504,3)</f>
        <v>GER</v>
      </c>
      <c r="L504">
        <v>95</v>
      </c>
      <c r="M504">
        <v>9</v>
      </c>
      <c r="N504" t="s">
        <v>1532</v>
      </c>
      <c r="O504" t="s">
        <v>1544</v>
      </c>
    </row>
    <row r="505" spans="1:15" x14ac:dyDescent="0.3">
      <c r="A505" t="str">
        <f>'Case 3 data'!A504</f>
        <v>ARG354-2M</v>
      </c>
      <c r="B505" t="str">
        <f>'Case 3 data'!B504</f>
        <v>Issac</v>
      </c>
      <c r="C505" t="str">
        <f>'Case 3 data'!C504</f>
        <v>Nagy</v>
      </c>
      <c r="D505" t="str" cm="1">
        <f t="array" ref="D505">LEFT($A505,MIN(FIND({0;1;2;3;4;5;6;7;8;9},$A505&amp;"0123456789"))-1)</f>
        <v>ARG</v>
      </c>
      <c r="E505" t="str" cm="1">
        <f t="array" ref="E505">MID($A505,MIN(FIND({0;1;2;3;4;5;6;7;8;9},$A505&amp;"0123456789")),FIND("-",$A505)-MIN(FIND({0;1;2;3;4;5;6;7;8;9},$A505&amp;"0123456789")))</f>
        <v>354</v>
      </c>
      <c r="F505" t="str">
        <f t="shared" si="110"/>
        <v>2</v>
      </c>
      <c r="G505" t="str">
        <f t="shared" si="111"/>
        <v>M</v>
      </c>
      <c r="H505" t="str">
        <f t="shared" si="112"/>
        <v>ARG-2</v>
      </c>
      <c r="J505" t="s">
        <v>1297</v>
      </c>
      <c r="K505" t="s">
        <v>1522</v>
      </c>
      <c r="L505">
        <v>354</v>
      </c>
      <c r="M505">
        <v>2</v>
      </c>
      <c r="N505" t="s">
        <v>1531</v>
      </c>
      <c r="O505" t="s">
        <v>1534</v>
      </c>
    </row>
    <row r="506" spans="1:15" x14ac:dyDescent="0.3">
      <c r="A506" t="str">
        <f>'Case 3 data'!A505</f>
        <v>AUS70-9Mo</v>
      </c>
      <c r="B506" t="str">
        <f>'Case 3 data'!B505</f>
        <v>Trudie</v>
      </c>
      <c r="C506" t="str">
        <f>'Case 3 data'!C505</f>
        <v>Waite</v>
      </c>
      <c r="D506" t="str" cm="1">
        <f t="array" ref="D506">LEFT($A506,MIN(FIND({0;1;2;3;4;5;6;7;8;9},$A506&amp;"0123456789"))-1)</f>
        <v>AUS</v>
      </c>
      <c r="E506" t="str" cm="1">
        <f t="array" ref="E506">MID($A506,MIN(FIND({0;1;2;3;4;5;6;7;8;9},$A506&amp;"0123456789")),FIND("-",$A506)-MIN(FIND({0;1;2;3;4;5;6;7;8;9},$A506&amp;"0123456789")))</f>
        <v>70</v>
      </c>
      <c r="F506" t="str">
        <f t="shared" si="110"/>
        <v>9</v>
      </c>
      <c r="G506" t="str">
        <f t="shared" si="111"/>
        <v>Mo</v>
      </c>
      <c r="H506" t="str">
        <f t="shared" si="112"/>
        <v>AUS-9</v>
      </c>
      <c r="J506" t="s">
        <v>1300</v>
      </c>
      <c r="K506" t="s">
        <v>1523</v>
      </c>
      <c r="L506">
        <v>70</v>
      </c>
      <c r="M506">
        <v>9</v>
      </c>
      <c r="N506" t="s">
        <v>1530</v>
      </c>
      <c r="O506" t="s">
        <v>1544</v>
      </c>
    </row>
    <row r="507" spans="1:15" x14ac:dyDescent="0.3">
      <c r="A507" t="str">
        <f>'Case 3 data'!A506</f>
        <v>Japan361-16Mo</v>
      </c>
      <c r="B507" t="str">
        <f>'Case 3 data'!B506</f>
        <v>Jerrod</v>
      </c>
      <c r="C507" t="str">
        <f>'Case 3 data'!C506</f>
        <v>Easter</v>
      </c>
      <c r="D507" t="str" cm="1">
        <f t="array" ref="D507">LEFT($A507,MIN(FIND({0;1;2;3;4;5;6;7;8;9},$A507&amp;"0123456789"))-1)</f>
        <v>Japan</v>
      </c>
      <c r="E507" t="str" cm="1">
        <f t="array" ref="E507">MID($A507,MIN(FIND({0;1;2;3;4;5;6;7;8;9},$A507&amp;"0123456789")),FIND("-",$A507)-MIN(FIND({0;1;2;3;4;5;6;7;8;9},$A507&amp;"0123456789")))</f>
        <v>361</v>
      </c>
      <c r="F507" t="str">
        <f t="shared" si="110"/>
        <v>16</v>
      </c>
      <c r="G507" t="str">
        <f t="shared" si="111"/>
        <v>Mo</v>
      </c>
      <c r="H507" t="str">
        <f t="shared" si="112"/>
        <v>Japan-16</v>
      </c>
      <c r="J507" t="s">
        <v>1303</v>
      </c>
      <c r="K507" t="s">
        <v>1523</v>
      </c>
      <c r="L507">
        <v>361</v>
      </c>
      <c r="M507">
        <v>16</v>
      </c>
      <c r="N507" t="s">
        <v>1530</v>
      </c>
      <c r="O507" t="s">
        <v>1570</v>
      </c>
    </row>
    <row r="508" spans="1:15" x14ac:dyDescent="0.3">
      <c r="A508" t="str">
        <f>'Case 3 data'!A507</f>
        <v>ARG266-13W</v>
      </c>
      <c r="B508" t="str">
        <f>'Case 3 data'!B507</f>
        <v>Kelly</v>
      </c>
      <c r="C508" t="str">
        <f>'Case 3 data'!C507</f>
        <v>Jackson</v>
      </c>
      <c r="D508" t="str" cm="1">
        <f t="array" ref="D508">LEFT($A508,MIN(FIND({0;1;2;3;4;5;6;7;8;9},$A508&amp;"0123456789"))-1)</f>
        <v>ARG</v>
      </c>
      <c r="E508" t="str" cm="1">
        <f t="array" ref="E508">MID($A508,MIN(FIND({0;1;2;3;4;5;6;7;8;9},$A508&amp;"0123456789")),FIND("-",$A508)-MIN(FIND({0;1;2;3;4;5;6;7;8;9},$A508&amp;"0123456789")))</f>
        <v>266</v>
      </c>
      <c r="F508" t="str">
        <f t="shared" si="110"/>
        <v>13</v>
      </c>
      <c r="G508" t="str">
        <f t="shared" si="111"/>
        <v>W</v>
      </c>
      <c r="H508" t="str">
        <f t="shared" si="112"/>
        <v>ARG-13</v>
      </c>
      <c r="J508" t="s">
        <v>1306</v>
      </c>
      <c r="K508" t="s">
        <v>1521</v>
      </c>
      <c r="L508">
        <v>266</v>
      </c>
      <c r="M508">
        <v>13</v>
      </c>
      <c r="N508" t="s">
        <v>1532</v>
      </c>
      <c r="O508" t="s">
        <v>1571</v>
      </c>
    </row>
    <row r="509" spans="1:15" x14ac:dyDescent="0.3">
      <c r="A509" t="str">
        <f>'Case 3 data'!A508</f>
        <v>ARG413-8M</v>
      </c>
      <c r="B509" t="str">
        <f>'Case 3 data'!B508</f>
        <v>Martin</v>
      </c>
      <c r="C509" t="str">
        <f>'Case 3 data'!C508</f>
        <v>Wright</v>
      </c>
      <c r="D509" t="str" cm="1">
        <f t="array" ref="D509">LEFT($A509,MIN(FIND({0;1;2;3;4;5;6;7;8;9},$A509&amp;"0123456789"))-1)</f>
        <v>ARG</v>
      </c>
      <c r="E509" t="str" cm="1">
        <f t="array" ref="E509">MID($A509,MIN(FIND({0;1;2;3;4;5;6;7;8;9},$A509&amp;"0123456789")),FIND("-",$A509)-MIN(FIND({0;1;2;3;4;5;6;7;8;9},$A509&amp;"0123456789")))</f>
        <v>413</v>
      </c>
      <c r="F509" t="str">
        <f t="shared" si="110"/>
        <v>8</v>
      </c>
      <c r="G509" t="str">
        <f t="shared" si="111"/>
        <v>M</v>
      </c>
      <c r="H509" t="str">
        <f t="shared" si="112"/>
        <v>ARG-8</v>
      </c>
      <c r="J509" t="s">
        <v>1307</v>
      </c>
      <c r="K509" t="str">
        <f t="shared" ref="K509:K540" si="124">LEFT(A509,3)</f>
        <v>ARG</v>
      </c>
      <c r="L509">
        <v>413</v>
      </c>
      <c r="M509">
        <v>8</v>
      </c>
      <c r="N509" t="s">
        <v>1531</v>
      </c>
      <c r="O509" t="s">
        <v>1645</v>
      </c>
    </row>
    <row r="510" spans="1:15" x14ac:dyDescent="0.3">
      <c r="A510" t="str">
        <f>'Case 3 data'!A509</f>
        <v>AUS245-10M</v>
      </c>
      <c r="B510" t="str">
        <f>'Case 3 data'!B509</f>
        <v>Gerald</v>
      </c>
      <c r="C510" t="str">
        <f>'Case 3 data'!C509</f>
        <v>Taylor</v>
      </c>
      <c r="D510" t="str" cm="1">
        <f t="array" ref="D510">LEFT($A510,MIN(FIND({0;1;2;3;4;5;6;7;8;9},$A510&amp;"0123456789"))-1)</f>
        <v>AUS</v>
      </c>
      <c r="E510" t="str" cm="1">
        <f t="array" ref="E510">MID($A510,MIN(FIND({0;1;2;3;4;5;6;7;8;9},$A510&amp;"0123456789")),FIND("-",$A510)-MIN(FIND({0;1;2;3;4;5;6;7;8;9},$A510&amp;"0123456789")))</f>
        <v>245</v>
      </c>
      <c r="F510" t="str">
        <f t="shared" si="110"/>
        <v>10</v>
      </c>
      <c r="G510" t="str">
        <f t="shared" si="111"/>
        <v>M</v>
      </c>
      <c r="H510" t="str">
        <f t="shared" si="112"/>
        <v>AUS-10</v>
      </c>
      <c r="J510" t="s">
        <v>1308</v>
      </c>
      <c r="K510" t="s">
        <v>1522</v>
      </c>
      <c r="L510">
        <v>245</v>
      </c>
      <c r="M510">
        <v>10</v>
      </c>
      <c r="N510" t="s">
        <v>1531</v>
      </c>
      <c r="O510" t="s">
        <v>1551</v>
      </c>
    </row>
    <row r="511" spans="1:15" x14ac:dyDescent="0.3">
      <c r="A511" t="str">
        <f>'Case 3 data'!A510</f>
        <v>Canada31-11Mo</v>
      </c>
      <c r="B511" t="str">
        <f>'Case 3 data'!B510</f>
        <v>Terri</v>
      </c>
      <c r="C511" t="str">
        <f>'Case 3 data'!C510</f>
        <v>Higgins</v>
      </c>
      <c r="D511" t="str" cm="1">
        <f t="array" ref="D511">LEFT($A511,MIN(FIND({0;1;2;3;4;5;6;7;8;9},$A511&amp;"0123456789"))-1)</f>
        <v>Canada</v>
      </c>
      <c r="E511" t="str" cm="1">
        <f t="array" ref="E511">MID($A511,MIN(FIND({0;1;2;3;4;5;6;7;8;9},$A511&amp;"0123456789")),FIND("-",$A511)-MIN(FIND({0;1;2;3;4;5;6;7;8;9},$A511&amp;"0123456789")))</f>
        <v>31</v>
      </c>
      <c r="F511" t="str">
        <f t="shared" si="110"/>
        <v>11</v>
      </c>
      <c r="G511" t="str">
        <f t="shared" si="111"/>
        <v>Mo</v>
      </c>
      <c r="H511" t="str">
        <f t="shared" si="112"/>
        <v>Canada-11</v>
      </c>
      <c r="J511" t="s">
        <v>1310</v>
      </c>
      <c r="K511" t="s">
        <v>1523</v>
      </c>
      <c r="L511">
        <v>31</v>
      </c>
      <c r="M511">
        <v>11</v>
      </c>
      <c r="N511" t="s">
        <v>1530</v>
      </c>
      <c r="O511" t="s">
        <v>1580</v>
      </c>
    </row>
    <row r="512" spans="1:15" x14ac:dyDescent="0.3">
      <c r="A512" t="str">
        <f>'Case 3 data'!A511</f>
        <v>Japan412-10Mo</v>
      </c>
      <c r="B512" t="str">
        <f>'Case 3 data'!B511</f>
        <v>Mercy</v>
      </c>
      <c r="C512" t="str">
        <f>'Case 3 data'!C511</f>
        <v>Solano</v>
      </c>
      <c r="D512" t="str" cm="1">
        <f t="array" ref="D512">LEFT($A512,MIN(FIND({0;1;2;3;4;5;6;7;8;9},$A512&amp;"0123456789"))-1)</f>
        <v>Japan</v>
      </c>
      <c r="E512" t="str" cm="1">
        <f t="array" ref="E512">MID($A512,MIN(FIND({0;1;2;3;4;5;6;7;8;9},$A512&amp;"0123456789")),FIND("-",$A512)-MIN(FIND({0;1;2;3;4;5;6;7;8;9},$A512&amp;"0123456789")))</f>
        <v>412</v>
      </c>
      <c r="F512" t="str">
        <f t="shared" si="110"/>
        <v>10</v>
      </c>
      <c r="G512" t="str">
        <f t="shared" si="111"/>
        <v>Mo</v>
      </c>
      <c r="H512" t="str">
        <f t="shared" si="112"/>
        <v>Japan-10</v>
      </c>
      <c r="J512" t="s">
        <v>1313</v>
      </c>
      <c r="K512" t="s">
        <v>1523</v>
      </c>
      <c r="L512">
        <v>412</v>
      </c>
      <c r="M512">
        <v>10</v>
      </c>
      <c r="N512" t="s">
        <v>1530</v>
      </c>
      <c r="O512" t="s">
        <v>1545</v>
      </c>
    </row>
    <row r="513" spans="1:15" x14ac:dyDescent="0.3">
      <c r="A513" t="str">
        <f>'Case 3 data'!A512</f>
        <v>Japan382-9Mo</v>
      </c>
      <c r="B513" t="str">
        <f>'Case 3 data'!B512</f>
        <v>Devora</v>
      </c>
      <c r="C513" t="str">
        <f>'Case 3 data'!C512</f>
        <v>Braxton</v>
      </c>
      <c r="D513" t="str" cm="1">
        <f t="array" ref="D513">LEFT($A513,MIN(FIND({0;1;2;3;4;5;6;7;8;9},$A513&amp;"0123456789"))-1)</f>
        <v>Japan</v>
      </c>
      <c r="E513" t="str" cm="1">
        <f t="array" ref="E513">MID($A513,MIN(FIND({0;1;2;3;4;5;6;7;8;9},$A513&amp;"0123456789")),FIND("-",$A513)-MIN(FIND({0;1;2;3;4;5;6;7;8;9},$A513&amp;"0123456789")))</f>
        <v>382</v>
      </c>
      <c r="F513" t="str">
        <f t="shared" si="110"/>
        <v>9</v>
      </c>
      <c r="G513" t="str">
        <f t="shared" si="111"/>
        <v>Mo</v>
      </c>
      <c r="H513" t="str">
        <f t="shared" si="112"/>
        <v>Japan-9</v>
      </c>
      <c r="J513" t="s">
        <v>1316</v>
      </c>
      <c r="K513" t="s">
        <v>1521</v>
      </c>
      <c r="L513">
        <v>382</v>
      </c>
      <c r="M513">
        <v>9</v>
      </c>
      <c r="N513" t="s">
        <v>1530</v>
      </c>
      <c r="O513" t="s">
        <v>1559</v>
      </c>
    </row>
    <row r="514" spans="1:15" x14ac:dyDescent="0.3">
      <c r="A514" t="str">
        <f>'Case 3 data'!A513</f>
        <v>Canada403-13W</v>
      </c>
      <c r="B514" t="str">
        <f>'Case 3 data'!B513</f>
        <v>Lakiesha</v>
      </c>
      <c r="C514" t="str">
        <f>'Case 3 data'!C513</f>
        <v>Lange</v>
      </c>
      <c r="D514" t="str" cm="1">
        <f t="array" ref="D514">LEFT($A514,MIN(FIND({0;1;2;3;4;5;6;7;8;9},$A514&amp;"0123456789"))-1)</f>
        <v>Canada</v>
      </c>
      <c r="E514" t="str" cm="1">
        <f t="array" ref="E514">MID($A514,MIN(FIND({0;1;2;3;4;5;6;7;8;9},$A514&amp;"0123456789")),FIND("-",$A514)-MIN(FIND({0;1;2;3;4;5;6;7;8;9},$A514&amp;"0123456789")))</f>
        <v>403</v>
      </c>
      <c r="F514" t="str">
        <f t="shared" si="110"/>
        <v>13</v>
      </c>
      <c r="G514" t="str">
        <f t="shared" si="111"/>
        <v>W</v>
      </c>
      <c r="H514" t="str">
        <f t="shared" si="112"/>
        <v>Canada-13</v>
      </c>
      <c r="J514" t="s">
        <v>1319</v>
      </c>
      <c r="K514" t="str">
        <f t="shared" ref="K514:K545" si="125">LEFT(A514,3)</f>
        <v>Can</v>
      </c>
      <c r="L514">
        <v>403</v>
      </c>
      <c r="M514">
        <v>13</v>
      </c>
      <c r="N514" t="s">
        <v>1532</v>
      </c>
      <c r="O514" t="s">
        <v>1646</v>
      </c>
    </row>
    <row r="515" spans="1:15" x14ac:dyDescent="0.3">
      <c r="A515" t="str">
        <f>'Case 3 data'!A514</f>
        <v>MEX68-13M</v>
      </c>
      <c r="B515" t="str">
        <f>'Case 3 data'!B514</f>
        <v>Kasandra</v>
      </c>
      <c r="C515" t="str">
        <f>'Case 3 data'!C514</f>
        <v>Strange</v>
      </c>
      <c r="D515" t="str" cm="1">
        <f t="array" ref="D515">LEFT($A515,MIN(FIND({0;1;2;3;4;5;6;7;8;9},$A515&amp;"0123456789"))-1)</f>
        <v>MEX</v>
      </c>
      <c r="E515" t="str" cm="1">
        <f t="array" ref="E515">MID($A515,MIN(FIND({0;1;2;3;4;5;6;7;8;9},$A515&amp;"0123456789")),FIND("-",$A515)-MIN(FIND({0;1;2;3;4;5;6;7;8;9},$A515&amp;"0123456789")))</f>
        <v>68</v>
      </c>
      <c r="F515" t="str">
        <f t="shared" si="110"/>
        <v>13</v>
      </c>
      <c r="G515" t="str">
        <f t="shared" si="111"/>
        <v>M</v>
      </c>
      <c r="H515" t="str">
        <f t="shared" si="112"/>
        <v>MEX-13</v>
      </c>
      <c r="J515" t="s">
        <v>1322</v>
      </c>
      <c r="K515" t="s">
        <v>1522</v>
      </c>
      <c r="L515">
        <v>68</v>
      </c>
      <c r="M515">
        <v>13</v>
      </c>
      <c r="N515" t="s">
        <v>1531</v>
      </c>
      <c r="O515" t="s">
        <v>1605</v>
      </c>
    </row>
    <row r="516" spans="1:15" x14ac:dyDescent="0.3">
      <c r="A516" t="str">
        <f>'Case 3 data'!A515</f>
        <v>ARG414-12W</v>
      </c>
      <c r="B516" t="str">
        <f>'Case 3 data'!B515</f>
        <v>Caitlin</v>
      </c>
      <c r="C516" t="str">
        <f>'Case 3 data'!C515</f>
        <v>Utley</v>
      </c>
      <c r="D516" t="str" cm="1">
        <f t="array" ref="D516">LEFT($A516,MIN(FIND({0;1;2;3;4;5;6;7;8;9},$A516&amp;"0123456789"))-1)</f>
        <v>ARG</v>
      </c>
      <c r="E516" t="str" cm="1">
        <f t="array" ref="E516">MID($A516,MIN(FIND({0;1;2;3;4;5;6;7;8;9},$A516&amp;"0123456789")),FIND("-",$A516)-MIN(FIND({0;1;2;3;4;5;6;7;8;9},$A516&amp;"0123456789")))</f>
        <v>414</v>
      </c>
      <c r="F516" t="str">
        <f t="shared" ref="F516:F579" si="126">MID($A516,FIND("-",$A516)+1,LEN($A516)-FIND("-",$A516)-LEN($G516))</f>
        <v>12</v>
      </c>
      <c r="G516" t="str">
        <f t="shared" ref="G516:G579" si="127">IF(RIGHT($A516,2)="Mo","Mo",RIGHT($A516,1))</f>
        <v>W</v>
      </c>
      <c r="H516" t="str">
        <f t="shared" ref="H516:H579" si="128">D516&amp;"-"&amp;F516</f>
        <v>ARG-12</v>
      </c>
      <c r="J516" t="s">
        <v>1325</v>
      </c>
      <c r="K516" t="s">
        <v>1523</v>
      </c>
      <c r="L516">
        <v>414</v>
      </c>
      <c r="M516">
        <v>12</v>
      </c>
      <c r="N516" t="s">
        <v>1532</v>
      </c>
      <c r="O516" t="s">
        <v>1567</v>
      </c>
    </row>
    <row r="517" spans="1:15" x14ac:dyDescent="0.3">
      <c r="A517" t="str">
        <f>'Case 3 data'!A516</f>
        <v>ARG451-1Mo</v>
      </c>
      <c r="B517" t="str">
        <f>'Case 3 data'!B516</f>
        <v>Jennifer</v>
      </c>
      <c r="C517" t="str">
        <f>'Case 3 data'!C516</f>
        <v>Thomas</v>
      </c>
      <c r="D517" t="str" cm="1">
        <f t="array" ref="D517">LEFT($A517,MIN(FIND({0;1;2;3;4;5;6;7;8;9},$A517&amp;"0123456789"))-1)</f>
        <v>ARG</v>
      </c>
      <c r="E517" t="str" cm="1">
        <f t="array" ref="E517">MID($A517,MIN(FIND({0;1;2;3;4;5;6;7;8;9},$A517&amp;"0123456789")),FIND("-",$A517)-MIN(FIND({0;1;2;3;4;5;6;7;8;9},$A517&amp;"0123456789")))</f>
        <v>451</v>
      </c>
      <c r="F517" t="str">
        <f t="shared" si="126"/>
        <v>1</v>
      </c>
      <c r="G517" t="str">
        <f t="shared" si="127"/>
        <v>Mo</v>
      </c>
      <c r="H517" t="str">
        <f t="shared" si="128"/>
        <v>ARG-1</v>
      </c>
      <c r="J517" t="s">
        <v>1328</v>
      </c>
      <c r="K517" t="s">
        <v>1523</v>
      </c>
      <c r="L517">
        <v>451</v>
      </c>
      <c r="M517">
        <v>1</v>
      </c>
      <c r="N517" t="s">
        <v>1530</v>
      </c>
      <c r="O517" t="s">
        <v>1536</v>
      </c>
    </row>
    <row r="518" spans="1:15" x14ac:dyDescent="0.3">
      <c r="A518" t="str">
        <f>'Case 3 data'!A517</f>
        <v>ENG51-6W</v>
      </c>
      <c r="B518" t="str">
        <f>'Case 3 data'!B517</f>
        <v>Joline</v>
      </c>
      <c r="C518" t="str">
        <f>'Case 3 data'!C517</f>
        <v>Catalano</v>
      </c>
      <c r="D518" t="str" cm="1">
        <f t="array" ref="D518">LEFT($A518,MIN(FIND({0;1;2;3;4;5;6;7;8;9},$A518&amp;"0123456789"))-1)</f>
        <v>ENG</v>
      </c>
      <c r="E518" t="str" cm="1">
        <f t="array" ref="E518">MID($A518,MIN(FIND({0;1;2;3;4;5;6;7;8;9},$A518&amp;"0123456789")),FIND("-",$A518)-MIN(FIND({0;1;2;3;4;5;6;7;8;9},$A518&amp;"0123456789")))</f>
        <v>51</v>
      </c>
      <c r="F518" t="str">
        <f t="shared" si="126"/>
        <v>6</v>
      </c>
      <c r="G518" t="str">
        <f t="shared" si="127"/>
        <v>W</v>
      </c>
      <c r="H518" t="str">
        <f t="shared" si="128"/>
        <v>ENG-6</v>
      </c>
      <c r="J518" t="s">
        <v>1329</v>
      </c>
      <c r="K518" t="s">
        <v>1521</v>
      </c>
      <c r="L518">
        <v>51</v>
      </c>
      <c r="M518">
        <v>6</v>
      </c>
      <c r="N518" t="s">
        <v>1532</v>
      </c>
      <c r="O518" t="s">
        <v>1561</v>
      </c>
    </row>
    <row r="519" spans="1:15" x14ac:dyDescent="0.3">
      <c r="A519" t="str">
        <f>'Case 3 data'!A518</f>
        <v>Japan10-13Mo</v>
      </c>
      <c r="B519" t="str">
        <f>'Case 3 data'!B518</f>
        <v>Anna</v>
      </c>
      <c r="C519" t="str">
        <f>'Case 3 data'!C518</f>
        <v>Evans</v>
      </c>
      <c r="D519" t="str" cm="1">
        <f t="array" ref="D519">LEFT($A519,MIN(FIND({0;1;2;3;4;5;6;7;8;9},$A519&amp;"0123456789"))-1)</f>
        <v>Japan</v>
      </c>
      <c r="E519" t="str" cm="1">
        <f t="array" ref="E519">MID($A519,MIN(FIND({0;1;2;3;4;5;6;7;8;9},$A519&amp;"0123456789")),FIND("-",$A519)-MIN(FIND({0;1;2;3;4;5;6;7;8;9},$A519&amp;"0123456789")))</f>
        <v>10</v>
      </c>
      <c r="F519" t="str">
        <f t="shared" si="126"/>
        <v>13</v>
      </c>
      <c r="G519" t="str">
        <f t="shared" si="127"/>
        <v>Mo</v>
      </c>
      <c r="H519" t="str">
        <f t="shared" si="128"/>
        <v>Japan-13</v>
      </c>
      <c r="J519" t="s">
        <v>1331</v>
      </c>
      <c r="K519" t="str">
        <f t="shared" ref="K519:K550" si="129">LEFT(A519,3)</f>
        <v>Jap</v>
      </c>
      <c r="L519">
        <v>10</v>
      </c>
      <c r="M519">
        <v>13</v>
      </c>
      <c r="N519" t="s">
        <v>1530</v>
      </c>
      <c r="O519" t="s">
        <v>1639</v>
      </c>
    </row>
    <row r="520" spans="1:15" x14ac:dyDescent="0.3">
      <c r="A520" t="str">
        <f>'Case 3 data'!A519</f>
        <v>ARG536-17M</v>
      </c>
      <c r="B520" t="str">
        <f>'Case 3 data'!B519</f>
        <v>Kamala</v>
      </c>
      <c r="C520" t="str">
        <f>'Case 3 data'!C519</f>
        <v>Hallman</v>
      </c>
      <c r="D520" t="str" cm="1">
        <f t="array" ref="D520">LEFT($A520,MIN(FIND({0;1;2;3;4;5;6;7;8;9},$A520&amp;"0123456789"))-1)</f>
        <v>ARG</v>
      </c>
      <c r="E520" t="str" cm="1">
        <f t="array" ref="E520">MID($A520,MIN(FIND({0;1;2;3;4;5;6;7;8;9},$A520&amp;"0123456789")),FIND("-",$A520)-MIN(FIND({0;1;2;3;4;5;6;7;8;9},$A520&amp;"0123456789")))</f>
        <v>536</v>
      </c>
      <c r="F520" t="str">
        <f t="shared" si="126"/>
        <v>17</v>
      </c>
      <c r="G520" t="str">
        <f t="shared" si="127"/>
        <v>M</v>
      </c>
      <c r="H520" t="str">
        <f t="shared" si="128"/>
        <v>ARG-17</v>
      </c>
      <c r="J520" t="s">
        <v>1333</v>
      </c>
      <c r="K520" t="s">
        <v>1522</v>
      </c>
      <c r="L520">
        <v>536</v>
      </c>
      <c r="M520">
        <v>17</v>
      </c>
      <c r="N520" t="s">
        <v>1531</v>
      </c>
      <c r="O520" t="s">
        <v>1579</v>
      </c>
    </row>
    <row r="521" spans="1:15" x14ac:dyDescent="0.3">
      <c r="A521" t="str">
        <f>'Case 3 data'!A520</f>
        <v>US204-3M</v>
      </c>
      <c r="B521" t="str">
        <f>'Case 3 data'!B520</f>
        <v>Janett</v>
      </c>
      <c r="C521" t="str">
        <f>'Case 3 data'!C520</f>
        <v>Watt</v>
      </c>
      <c r="D521" t="str" cm="1">
        <f t="array" ref="D521">LEFT($A521,MIN(FIND({0;1;2;3;4;5;6;7;8;9},$A521&amp;"0123456789"))-1)</f>
        <v>US</v>
      </c>
      <c r="E521" t="str" cm="1">
        <f t="array" ref="E521">MID($A521,MIN(FIND({0;1;2;3;4;5;6;7;8;9},$A521&amp;"0123456789")),FIND("-",$A521)-MIN(FIND({0;1;2;3;4;5;6;7;8;9},$A521&amp;"0123456789")))</f>
        <v>204</v>
      </c>
      <c r="F521" t="str">
        <f t="shared" si="126"/>
        <v>3</v>
      </c>
      <c r="G521" t="str">
        <f t="shared" si="127"/>
        <v>M</v>
      </c>
      <c r="H521" t="str">
        <f t="shared" si="128"/>
        <v>US-3</v>
      </c>
      <c r="J521" t="s">
        <v>1336</v>
      </c>
      <c r="K521" t="s">
        <v>1523</v>
      </c>
      <c r="L521">
        <v>204</v>
      </c>
      <c r="M521">
        <v>3</v>
      </c>
      <c r="N521" t="s">
        <v>1531</v>
      </c>
      <c r="O521" t="s">
        <v>1552</v>
      </c>
    </row>
    <row r="522" spans="1:15" x14ac:dyDescent="0.3">
      <c r="A522" t="str">
        <f>'Case 3 data'!A521</f>
        <v>MEX105-6W</v>
      </c>
      <c r="B522" t="str">
        <f>'Case 3 data'!B521</f>
        <v>Abel</v>
      </c>
      <c r="C522" t="str">
        <f>'Case 3 data'!C521</f>
        <v>Erickson</v>
      </c>
      <c r="D522" t="str" cm="1">
        <f t="array" ref="D522">LEFT($A522,MIN(FIND({0;1;2;3;4;5;6;7;8;9},$A522&amp;"0123456789"))-1)</f>
        <v>MEX</v>
      </c>
      <c r="E522" t="str" cm="1">
        <f t="array" ref="E522">MID($A522,MIN(FIND({0;1;2;3;4;5;6;7;8;9},$A522&amp;"0123456789")),FIND("-",$A522)-MIN(FIND({0;1;2;3;4;5;6;7;8;9},$A522&amp;"0123456789")))</f>
        <v>105</v>
      </c>
      <c r="F522" t="str">
        <f t="shared" si="126"/>
        <v>6</v>
      </c>
      <c r="G522" t="str">
        <f t="shared" si="127"/>
        <v>W</v>
      </c>
      <c r="H522" t="str">
        <f t="shared" si="128"/>
        <v>MEX-6</v>
      </c>
      <c r="J522" t="s">
        <v>1339</v>
      </c>
      <c r="K522" t="s">
        <v>1523</v>
      </c>
      <c r="L522">
        <v>105</v>
      </c>
      <c r="M522">
        <v>6</v>
      </c>
      <c r="N522" t="s">
        <v>1532</v>
      </c>
      <c r="O522" t="s">
        <v>1540</v>
      </c>
    </row>
    <row r="523" spans="1:15" x14ac:dyDescent="0.3">
      <c r="A523" t="str">
        <f>'Case 3 data'!A522</f>
        <v>AUS154-2W</v>
      </c>
      <c r="B523" t="str">
        <f>'Case 3 data'!B522</f>
        <v>Augusta</v>
      </c>
      <c r="C523" t="str">
        <f>'Case 3 data'!C522</f>
        <v>Hiatt</v>
      </c>
      <c r="D523" t="str" cm="1">
        <f t="array" ref="D523">LEFT($A523,MIN(FIND({0;1;2;3;4;5;6;7;8;9},$A523&amp;"0123456789"))-1)</f>
        <v>AUS</v>
      </c>
      <c r="E523" t="str" cm="1">
        <f t="array" ref="E523">MID($A523,MIN(FIND({0;1;2;3;4;5;6;7;8;9},$A523&amp;"0123456789")),FIND("-",$A523)-MIN(FIND({0;1;2;3;4;5;6;7;8;9},$A523&amp;"0123456789")))</f>
        <v>154</v>
      </c>
      <c r="F523" t="str">
        <f t="shared" si="126"/>
        <v>2</v>
      </c>
      <c r="G523" t="str">
        <f t="shared" si="127"/>
        <v>W</v>
      </c>
      <c r="H523" t="str">
        <f t="shared" si="128"/>
        <v>AUS-2</v>
      </c>
      <c r="J523" t="s">
        <v>1342</v>
      </c>
      <c r="K523" t="s">
        <v>1521</v>
      </c>
      <c r="L523">
        <v>154</v>
      </c>
      <c r="M523">
        <v>2</v>
      </c>
      <c r="N523" t="s">
        <v>1532</v>
      </c>
      <c r="O523" t="s">
        <v>1541</v>
      </c>
    </row>
    <row r="524" spans="1:15" x14ac:dyDescent="0.3">
      <c r="A524" t="str">
        <f>'Case 3 data'!A523</f>
        <v>ARG131-11Mo</v>
      </c>
      <c r="B524" t="str">
        <f>'Case 3 data'!B523</f>
        <v>Jamie</v>
      </c>
      <c r="C524" t="str">
        <f>'Case 3 data'!C523</f>
        <v>Barker</v>
      </c>
      <c r="D524" t="str" cm="1">
        <f t="array" ref="D524">LEFT($A524,MIN(FIND({0;1;2;3;4;5;6;7;8;9},$A524&amp;"0123456789"))-1)</f>
        <v>ARG</v>
      </c>
      <c r="E524" t="str" cm="1">
        <f t="array" ref="E524">MID($A524,MIN(FIND({0;1;2;3;4;5;6;7;8;9},$A524&amp;"0123456789")),FIND("-",$A524)-MIN(FIND({0;1;2;3;4;5;6;7;8;9},$A524&amp;"0123456789")))</f>
        <v>131</v>
      </c>
      <c r="F524" t="str">
        <f t="shared" si="126"/>
        <v>11</v>
      </c>
      <c r="G524" t="str">
        <f t="shared" si="127"/>
        <v>Mo</v>
      </c>
      <c r="H524" t="str">
        <f t="shared" si="128"/>
        <v>ARG-11</v>
      </c>
      <c r="J524" t="s">
        <v>1345</v>
      </c>
      <c r="K524" t="str">
        <f t="shared" ref="K524:K555" si="130">LEFT(A524,3)</f>
        <v>ARG</v>
      </c>
      <c r="L524">
        <v>131</v>
      </c>
      <c r="M524">
        <v>11</v>
      </c>
      <c r="N524" t="s">
        <v>1530</v>
      </c>
      <c r="O524" t="s">
        <v>1581</v>
      </c>
    </row>
    <row r="525" spans="1:15" x14ac:dyDescent="0.3">
      <c r="A525" t="str">
        <f>'Case 3 data'!A524</f>
        <v>AUS502-1W</v>
      </c>
      <c r="B525" t="str">
        <f>'Case 3 data'!B524</f>
        <v>Stella</v>
      </c>
      <c r="C525" t="str">
        <f>'Case 3 data'!C524</f>
        <v>Elliott</v>
      </c>
      <c r="D525" t="str" cm="1">
        <f t="array" ref="D525">LEFT($A525,MIN(FIND({0;1;2;3;4;5;6;7;8;9},$A525&amp;"0123456789"))-1)</f>
        <v>AUS</v>
      </c>
      <c r="E525" t="str" cm="1">
        <f t="array" ref="E525">MID($A525,MIN(FIND({0;1;2;3;4;5;6;7;8;9},$A525&amp;"0123456789")),FIND("-",$A525)-MIN(FIND({0;1;2;3;4;5;6;7;8;9},$A525&amp;"0123456789")))</f>
        <v>502</v>
      </c>
      <c r="F525" t="str">
        <f t="shared" si="126"/>
        <v>1</v>
      </c>
      <c r="G525" t="str">
        <f t="shared" si="127"/>
        <v>W</v>
      </c>
      <c r="H525" t="str">
        <f t="shared" si="128"/>
        <v>AUS-1</v>
      </c>
      <c r="J525" t="s">
        <v>1347</v>
      </c>
      <c r="K525" t="s">
        <v>1522</v>
      </c>
      <c r="L525">
        <v>502</v>
      </c>
      <c r="M525">
        <v>1</v>
      </c>
      <c r="N525" t="s">
        <v>1532</v>
      </c>
      <c r="O525" t="s">
        <v>1563</v>
      </c>
    </row>
    <row r="526" spans="1:15" x14ac:dyDescent="0.3">
      <c r="A526" t="str">
        <f>'Case 3 data'!A525</f>
        <v>ENG16-9W</v>
      </c>
      <c r="B526" t="str">
        <f>'Case 3 data'!B525</f>
        <v>Keila</v>
      </c>
      <c r="C526" t="str">
        <f>'Case 3 data'!C525</f>
        <v>Seifert</v>
      </c>
      <c r="D526" t="str" cm="1">
        <f t="array" ref="D526">LEFT($A526,MIN(FIND({0;1;2;3;4;5;6;7;8;9},$A526&amp;"0123456789"))-1)</f>
        <v>ENG</v>
      </c>
      <c r="E526" t="str" cm="1">
        <f t="array" ref="E526">MID($A526,MIN(FIND({0;1;2;3;4;5;6;7;8;9},$A526&amp;"0123456789")),FIND("-",$A526)-MIN(FIND({0;1;2;3;4;5;6;7;8;9},$A526&amp;"0123456789")))</f>
        <v>16</v>
      </c>
      <c r="F526" t="str">
        <f t="shared" si="126"/>
        <v>9</v>
      </c>
      <c r="G526" t="str">
        <f t="shared" si="127"/>
        <v>W</v>
      </c>
      <c r="H526" t="str">
        <f t="shared" si="128"/>
        <v>ENG-9</v>
      </c>
      <c r="J526" t="s">
        <v>1350</v>
      </c>
      <c r="K526" t="s">
        <v>1523</v>
      </c>
      <c r="L526">
        <v>16</v>
      </c>
      <c r="M526">
        <v>9</v>
      </c>
      <c r="N526" t="s">
        <v>1532</v>
      </c>
      <c r="O526" t="s">
        <v>1544</v>
      </c>
    </row>
    <row r="527" spans="1:15" x14ac:dyDescent="0.3">
      <c r="A527" t="str">
        <f>'Case 3 data'!A526</f>
        <v>GER179-11Mo</v>
      </c>
      <c r="B527" t="str">
        <f>'Case 3 data'!B526</f>
        <v>Danita</v>
      </c>
      <c r="C527" t="str">
        <f>'Case 3 data'!C526</f>
        <v>Jude</v>
      </c>
      <c r="D527" t="str" cm="1">
        <f t="array" ref="D527">LEFT($A527,MIN(FIND({0;1;2;3;4;5;6;7;8;9},$A527&amp;"0123456789"))-1)</f>
        <v>GER</v>
      </c>
      <c r="E527" t="str" cm="1">
        <f t="array" ref="E527">MID($A527,MIN(FIND({0;1;2;3;4;5;6;7;8;9},$A527&amp;"0123456789")),FIND("-",$A527)-MIN(FIND({0;1;2;3;4;5;6;7;8;9},$A527&amp;"0123456789")))</f>
        <v>179</v>
      </c>
      <c r="F527" t="str">
        <f t="shared" si="126"/>
        <v>11</v>
      </c>
      <c r="G527" t="str">
        <f t="shared" si="127"/>
        <v>Mo</v>
      </c>
      <c r="H527" t="str">
        <f t="shared" si="128"/>
        <v>GER-11</v>
      </c>
      <c r="J527" t="s">
        <v>1353</v>
      </c>
      <c r="K527" t="s">
        <v>1523</v>
      </c>
      <c r="L527">
        <v>179</v>
      </c>
      <c r="M527">
        <v>11</v>
      </c>
      <c r="N527" t="s">
        <v>1530</v>
      </c>
      <c r="O527" t="s">
        <v>1580</v>
      </c>
    </row>
    <row r="528" spans="1:15" x14ac:dyDescent="0.3">
      <c r="A528" t="str">
        <f>'Case 3 data'!A527</f>
        <v>AUS159-14M</v>
      </c>
      <c r="B528" t="str">
        <f>'Case 3 data'!B527</f>
        <v>Krystyna</v>
      </c>
      <c r="C528" t="str">
        <f>'Case 3 data'!C527</f>
        <v>Ferry</v>
      </c>
      <c r="D528" t="str" cm="1">
        <f t="array" ref="D528">LEFT($A528,MIN(FIND({0;1;2;3;4;5;6;7;8;9},$A528&amp;"0123456789"))-1)</f>
        <v>AUS</v>
      </c>
      <c r="E528" t="str" cm="1">
        <f t="array" ref="E528">MID($A528,MIN(FIND({0;1;2;3;4;5;6;7;8;9},$A528&amp;"0123456789")),FIND("-",$A528)-MIN(FIND({0;1;2;3;4;5;6;7;8;9},$A528&amp;"0123456789")))</f>
        <v>159</v>
      </c>
      <c r="F528" t="str">
        <f t="shared" si="126"/>
        <v>14</v>
      </c>
      <c r="G528" t="str">
        <f t="shared" si="127"/>
        <v>M</v>
      </c>
      <c r="H528" t="str">
        <f t="shared" si="128"/>
        <v>AUS-14</v>
      </c>
      <c r="J528" t="s">
        <v>1356</v>
      </c>
      <c r="K528" t="s">
        <v>1521</v>
      </c>
      <c r="L528">
        <v>159</v>
      </c>
      <c r="M528">
        <v>14</v>
      </c>
      <c r="N528" t="s">
        <v>1531</v>
      </c>
      <c r="O528" t="s">
        <v>1565</v>
      </c>
    </row>
    <row r="529" spans="1:15" x14ac:dyDescent="0.3">
      <c r="A529" t="str">
        <f>'Case 3 data'!A528</f>
        <v>MEX573-8W</v>
      </c>
      <c r="B529" t="str">
        <f>'Case 3 data'!B528</f>
        <v>Arletha</v>
      </c>
      <c r="C529" t="str">
        <f>'Case 3 data'!C528</f>
        <v>Smothers</v>
      </c>
      <c r="D529" t="str" cm="1">
        <f t="array" ref="D529">LEFT($A529,MIN(FIND({0;1;2;3;4;5;6;7;8;9},$A529&amp;"0123456789"))-1)</f>
        <v>MEX</v>
      </c>
      <c r="E529" t="str" cm="1">
        <f t="array" ref="E529">MID($A529,MIN(FIND({0;1;2;3;4;5;6;7;8;9},$A529&amp;"0123456789")),FIND("-",$A529)-MIN(FIND({0;1;2;3;4;5;6;7;8;9},$A529&amp;"0123456789")))</f>
        <v>573</v>
      </c>
      <c r="F529" t="str">
        <f t="shared" si="126"/>
        <v>8</v>
      </c>
      <c r="G529" t="str">
        <f t="shared" si="127"/>
        <v>W</v>
      </c>
      <c r="H529" t="str">
        <f t="shared" si="128"/>
        <v>MEX-8</v>
      </c>
      <c r="J529" t="s">
        <v>1359</v>
      </c>
      <c r="K529" t="str">
        <f t="shared" ref="K529:K560" si="131">LEFT(A529,3)</f>
        <v>MEX</v>
      </c>
      <c r="L529">
        <v>573</v>
      </c>
      <c r="M529">
        <v>8</v>
      </c>
      <c r="N529" t="s">
        <v>1532</v>
      </c>
      <c r="O529" t="s">
        <v>1584</v>
      </c>
    </row>
    <row r="530" spans="1:15" x14ac:dyDescent="0.3">
      <c r="A530" t="str">
        <f>'Case 3 data'!A529</f>
        <v>GER554-4Mo</v>
      </c>
      <c r="B530" t="str">
        <f>'Case 3 data'!B529</f>
        <v>Harry</v>
      </c>
      <c r="C530" t="str">
        <f>'Case 3 data'!C529</f>
        <v>Gray</v>
      </c>
      <c r="D530" t="str" cm="1">
        <f t="array" ref="D530">LEFT($A530,MIN(FIND({0;1;2;3;4;5;6;7;8;9},$A530&amp;"0123456789"))-1)</f>
        <v>GER</v>
      </c>
      <c r="E530" t="str" cm="1">
        <f t="array" ref="E530">MID($A530,MIN(FIND({0;1;2;3;4;5;6;7;8;9},$A530&amp;"0123456789")),FIND("-",$A530)-MIN(FIND({0;1;2;3;4;5;6;7;8;9},$A530&amp;"0123456789")))</f>
        <v>554</v>
      </c>
      <c r="F530" t="str">
        <f t="shared" si="126"/>
        <v>4</v>
      </c>
      <c r="G530" t="str">
        <f t="shared" si="127"/>
        <v>Mo</v>
      </c>
      <c r="H530" t="str">
        <f t="shared" si="128"/>
        <v>GER-4</v>
      </c>
      <c r="J530" t="s">
        <v>1362</v>
      </c>
      <c r="K530" t="s">
        <v>1522</v>
      </c>
      <c r="L530">
        <v>554</v>
      </c>
      <c r="M530">
        <v>4</v>
      </c>
      <c r="N530" t="s">
        <v>1530</v>
      </c>
      <c r="O530" t="s">
        <v>1573</v>
      </c>
    </row>
    <row r="531" spans="1:15" x14ac:dyDescent="0.3">
      <c r="A531" t="str">
        <f>'Case 3 data'!A530</f>
        <v>Canada166-4Mo</v>
      </c>
      <c r="B531" t="str">
        <f>'Case 3 data'!B530</f>
        <v>Bruce</v>
      </c>
      <c r="C531" t="str">
        <f>'Case 3 data'!C530</f>
        <v>Alexander</v>
      </c>
      <c r="D531" t="str" cm="1">
        <f t="array" ref="D531">LEFT($A531,MIN(FIND({0;1;2;3;4;5;6;7;8;9},$A531&amp;"0123456789"))-1)</f>
        <v>Canada</v>
      </c>
      <c r="E531" t="str" cm="1">
        <f t="array" ref="E531">MID($A531,MIN(FIND({0;1;2;3;4;5;6;7;8;9},$A531&amp;"0123456789")),FIND("-",$A531)-MIN(FIND({0;1;2;3;4;5;6;7;8;9},$A531&amp;"0123456789")))</f>
        <v>166</v>
      </c>
      <c r="F531" t="str">
        <f t="shared" si="126"/>
        <v>4</v>
      </c>
      <c r="G531" t="str">
        <f t="shared" si="127"/>
        <v>Mo</v>
      </c>
      <c r="H531" t="str">
        <f t="shared" si="128"/>
        <v>Canada-4</v>
      </c>
      <c r="J531" t="s">
        <v>1363</v>
      </c>
      <c r="K531" t="s">
        <v>1523</v>
      </c>
      <c r="L531">
        <v>166</v>
      </c>
      <c r="M531">
        <v>4</v>
      </c>
      <c r="N531" t="s">
        <v>1530</v>
      </c>
      <c r="O531" t="s">
        <v>1564</v>
      </c>
    </row>
    <row r="532" spans="1:15" x14ac:dyDescent="0.3">
      <c r="A532" t="str">
        <f>'Case 3 data'!A531</f>
        <v>ARG525-15Mo</v>
      </c>
      <c r="B532" t="str">
        <f>'Case 3 data'!B531</f>
        <v>Annett</v>
      </c>
      <c r="C532" t="str">
        <f>'Case 3 data'!C531</f>
        <v>Braun</v>
      </c>
      <c r="D532" t="str" cm="1">
        <f t="array" ref="D532">LEFT($A532,MIN(FIND({0;1;2;3;4;5;6;7;8;9},$A532&amp;"0123456789"))-1)</f>
        <v>ARG</v>
      </c>
      <c r="E532" t="str" cm="1">
        <f t="array" ref="E532">MID($A532,MIN(FIND({0;1;2;3;4;5;6;7;8;9},$A532&amp;"0123456789")),FIND("-",$A532)-MIN(FIND({0;1;2;3;4;5;6;7;8;9},$A532&amp;"0123456789")))</f>
        <v>525</v>
      </c>
      <c r="F532" t="str">
        <f t="shared" si="126"/>
        <v>15</v>
      </c>
      <c r="G532" t="str">
        <f t="shared" si="127"/>
        <v>Mo</v>
      </c>
      <c r="H532" t="str">
        <f t="shared" si="128"/>
        <v>ARG-15</v>
      </c>
      <c r="J532" t="s">
        <v>1364</v>
      </c>
      <c r="K532" t="s">
        <v>1523</v>
      </c>
      <c r="L532">
        <v>525</v>
      </c>
      <c r="M532">
        <v>15</v>
      </c>
      <c r="N532" t="s">
        <v>1530</v>
      </c>
      <c r="O532" t="s">
        <v>1558</v>
      </c>
    </row>
    <row r="533" spans="1:15" x14ac:dyDescent="0.3">
      <c r="A533" t="str">
        <f>'Case 3 data'!A532</f>
        <v>US33-5W</v>
      </c>
      <c r="B533" t="str">
        <f>'Case 3 data'!B532</f>
        <v>Alma</v>
      </c>
      <c r="C533" t="str">
        <f>'Case 3 data'!C532</f>
        <v>Leonard</v>
      </c>
      <c r="D533" t="str" cm="1">
        <f t="array" ref="D533">LEFT($A533,MIN(FIND({0;1;2;3;4;5;6;7;8;9},$A533&amp;"0123456789"))-1)</f>
        <v>US</v>
      </c>
      <c r="E533" t="str" cm="1">
        <f t="array" ref="E533">MID($A533,MIN(FIND({0;1;2;3;4;5;6;7;8;9},$A533&amp;"0123456789")),FIND("-",$A533)-MIN(FIND({0;1;2;3;4;5;6;7;8;9},$A533&amp;"0123456789")))</f>
        <v>33</v>
      </c>
      <c r="F533" t="str">
        <f t="shared" si="126"/>
        <v>5</v>
      </c>
      <c r="G533" t="str">
        <f t="shared" si="127"/>
        <v>W</v>
      </c>
      <c r="H533" t="str">
        <f t="shared" si="128"/>
        <v>US-5</v>
      </c>
      <c r="J533" t="s">
        <v>1367</v>
      </c>
      <c r="K533" t="s">
        <v>1521</v>
      </c>
      <c r="L533">
        <v>33</v>
      </c>
      <c r="M533">
        <v>5</v>
      </c>
      <c r="N533" t="s">
        <v>1532</v>
      </c>
      <c r="O533" t="s">
        <v>1546</v>
      </c>
    </row>
    <row r="534" spans="1:15" x14ac:dyDescent="0.3">
      <c r="A534" t="str">
        <f>'Case 3 data'!A533</f>
        <v>MEX236-5W</v>
      </c>
      <c r="B534" t="str">
        <f>'Case 3 data'!B533</f>
        <v>Angela</v>
      </c>
      <c r="C534" t="str">
        <f>'Case 3 data'!C533</f>
        <v>Rodriguez</v>
      </c>
      <c r="D534" t="str" cm="1">
        <f t="array" ref="D534">LEFT($A534,MIN(FIND({0;1;2;3;4;5;6;7;8;9},$A534&amp;"0123456789"))-1)</f>
        <v>MEX</v>
      </c>
      <c r="E534" t="str" cm="1">
        <f t="array" ref="E534">MID($A534,MIN(FIND({0;1;2;3;4;5;6;7;8;9},$A534&amp;"0123456789")),FIND("-",$A534)-MIN(FIND({0;1;2;3;4;5;6;7;8;9},$A534&amp;"0123456789")))</f>
        <v>236</v>
      </c>
      <c r="F534" t="str">
        <f t="shared" si="126"/>
        <v>5</v>
      </c>
      <c r="G534" t="str">
        <f t="shared" si="127"/>
        <v>W</v>
      </c>
      <c r="H534" t="str">
        <f t="shared" si="128"/>
        <v>MEX-5</v>
      </c>
      <c r="J534" t="s">
        <v>1369</v>
      </c>
      <c r="K534" t="str">
        <f t="shared" ref="K534:K565" si="132">LEFT(A534,3)</f>
        <v>MEX</v>
      </c>
      <c r="L534">
        <v>236</v>
      </c>
      <c r="M534">
        <v>5</v>
      </c>
      <c r="N534" t="s">
        <v>1532</v>
      </c>
      <c r="O534" t="s">
        <v>1647</v>
      </c>
    </row>
    <row r="535" spans="1:15" x14ac:dyDescent="0.3">
      <c r="A535" t="str">
        <f>'Case 3 data'!A534</f>
        <v>AUS464-10W</v>
      </c>
      <c r="B535" t="str">
        <f>'Case 3 data'!B534</f>
        <v>Rafael</v>
      </c>
      <c r="C535" t="str">
        <f>'Case 3 data'!C534</f>
        <v>Bryan</v>
      </c>
      <c r="D535" t="str" cm="1">
        <f t="array" ref="D535">LEFT($A535,MIN(FIND({0;1;2;3;4;5;6;7;8;9},$A535&amp;"0123456789"))-1)</f>
        <v>AUS</v>
      </c>
      <c r="E535" t="str" cm="1">
        <f t="array" ref="E535">MID($A535,MIN(FIND({0;1;2;3;4;5;6;7;8;9},$A535&amp;"0123456789")),FIND("-",$A535)-MIN(FIND({0;1;2;3;4;5;6;7;8;9},$A535&amp;"0123456789")))</f>
        <v>464</v>
      </c>
      <c r="F535" t="str">
        <f t="shared" si="126"/>
        <v>10</v>
      </c>
      <c r="G535" t="str">
        <f t="shared" si="127"/>
        <v>W</v>
      </c>
      <c r="H535" t="str">
        <f t="shared" si="128"/>
        <v>AUS-10</v>
      </c>
      <c r="J535" t="s">
        <v>1370</v>
      </c>
      <c r="K535" t="s">
        <v>1522</v>
      </c>
      <c r="L535">
        <v>464</v>
      </c>
      <c r="M535">
        <v>10</v>
      </c>
      <c r="N535" t="s">
        <v>1532</v>
      </c>
      <c r="O535" t="s">
        <v>1551</v>
      </c>
    </row>
    <row r="536" spans="1:15" x14ac:dyDescent="0.3">
      <c r="A536" t="str">
        <f>'Case 3 data'!A535</f>
        <v>US359-12W</v>
      </c>
      <c r="B536" t="str">
        <f>'Case 3 data'!B535</f>
        <v>Ricky</v>
      </c>
      <c r="C536" t="str">
        <f>'Case 3 data'!C535</f>
        <v>Cohen</v>
      </c>
      <c r="D536" t="str" cm="1">
        <f t="array" ref="D536">LEFT($A536,MIN(FIND({0;1;2;3;4;5;6;7;8;9},$A536&amp;"0123456789"))-1)</f>
        <v>US</v>
      </c>
      <c r="E536" t="str" cm="1">
        <f t="array" ref="E536">MID($A536,MIN(FIND({0;1;2;3;4;5;6;7;8;9},$A536&amp;"0123456789")),FIND("-",$A536)-MIN(FIND({0;1;2;3;4;5;6;7;8;9},$A536&amp;"0123456789")))</f>
        <v>359</v>
      </c>
      <c r="F536" t="str">
        <f t="shared" si="126"/>
        <v>12</v>
      </c>
      <c r="G536" t="str">
        <f t="shared" si="127"/>
        <v>W</v>
      </c>
      <c r="H536" t="str">
        <f t="shared" si="128"/>
        <v>US-12</v>
      </c>
      <c r="J536" t="s">
        <v>1372</v>
      </c>
      <c r="K536" t="s">
        <v>1523</v>
      </c>
      <c r="L536">
        <v>359</v>
      </c>
      <c r="M536">
        <v>12</v>
      </c>
      <c r="N536" t="s">
        <v>1532</v>
      </c>
      <c r="O536" t="s">
        <v>1567</v>
      </c>
    </row>
    <row r="537" spans="1:15" x14ac:dyDescent="0.3">
      <c r="A537" t="str">
        <f>'Case 3 data'!A536</f>
        <v>AUS167-2W</v>
      </c>
      <c r="B537" t="str">
        <f>'Case 3 data'!B536</f>
        <v>Johnna</v>
      </c>
      <c r="C537" t="str">
        <f>'Case 3 data'!C536</f>
        <v>Silver</v>
      </c>
      <c r="D537" t="str" cm="1">
        <f t="array" ref="D537">LEFT($A537,MIN(FIND({0;1;2;3;4;5;6;7;8;9},$A537&amp;"0123456789"))-1)</f>
        <v>AUS</v>
      </c>
      <c r="E537" t="str" cm="1">
        <f t="array" ref="E537">MID($A537,MIN(FIND({0;1;2;3;4;5;6;7;8;9},$A537&amp;"0123456789")),FIND("-",$A537)-MIN(FIND({0;1;2;3;4;5;6;7;8;9},$A537&amp;"0123456789")))</f>
        <v>167</v>
      </c>
      <c r="F537" t="str">
        <f t="shared" si="126"/>
        <v>2</v>
      </c>
      <c r="G537" t="str">
        <f t="shared" si="127"/>
        <v>W</v>
      </c>
      <c r="H537" t="str">
        <f t="shared" si="128"/>
        <v>AUS-2</v>
      </c>
      <c r="J537" t="s">
        <v>1375</v>
      </c>
      <c r="K537" t="s">
        <v>1523</v>
      </c>
      <c r="L537">
        <v>167</v>
      </c>
      <c r="M537">
        <v>2</v>
      </c>
      <c r="N537" t="s">
        <v>1532</v>
      </c>
      <c r="O537" t="s">
        <v>1535</v>
      </c>
    </row>
    <row r="538" spans="1:15" x14ac:dyDescent="0.3">
      <c r="A538" t="str">
        <f>'Case 3 data'!A537</f>
        <v>ARG18-3W</v>
      </c>
      <c r="B538" t="str">
        <f>'Case 3 data'!B537</f>
        <v>Jo</v>
      </c>
      <c r="C538" t="str">
        <f>'Case 3 data'!C537</f>
        <v>Elliott</v>
      </c>
      <c r="D538" t="str" cm="1">
        <f t="array" ref="D538">LEFT($A538,MIN(FIND({0;1;2;3;4;5;6;7;8;9},$A538&amp;"0123456789"))-1)</f>
        <v>ARG</v>
      </c>
      <c r="E538" t="str" cm="1">
        <f t="array" ref="E538">MID($A538,MIN(FIND({0;1;2;3;4;5;6;7;8;9},$A538&amp;"0123456789")),FIND("-",$A538)-MIN(FIND({0;1;2;3;4;5;6;7;8;9},$A538&amp;"0123456789")))</f>
        <v>18</v>
      </c>
      <c r="F538" t="str">
        <f t="shared" si="126"/>
        <v>3</v>
      </c>
      <c r="G538" t="str">
        <f t="shared" si="127"/>
        <v>W</v>
      </c>
      <c r="H538" t="str">
        <f t="shared" si="128"/>
        <v>ARG-3</v>
      </c>
      <c r="J538" t="s">
        <v>1378</v>
      </c>
      <c r="K538" t="s">
        <v>1521</v>
      </c>
      <c r="L538">
        <v>18</v>
      </c>
      <c r="M538">
        <v>3</v>
      </c>
      <c r="N538" t="s">
        <v>1532</v>
      </c>
      <c r="O538" t="s">
        <v>1533</v>
      </c>
    </row>
    <row r="539" spans="1:15" x14ac:dyDescent="0.3">
      <c r="A539" t="str">
        <f>'Case 3 data'!A538</f>
        <v>AUS94-6Mo</v>
      </c>
      <c r="B539" t="str">
        <f>'Case 3 data'!B538</f>
        <v>Donald</v>
      </c>
      <c r="C539" t="str">
        <f>'Case 3 data'!C538</f>
        <v>Sherman</v>
      </c>
      <c r="D539" t="str" cm="1">
        <f t="array" ref="D539">LEFT($A539,MIN(FIND({0;1;2;3;4;5;6;7;8;9},$A539&amp;"0123456789"))-1)</f>
        <v>AUS</v>
      </c>
      <c r="E539" t="str" cm="1">
        <f t="array" ref="E539">MID($A539,MIN(FIND({0;1;2;3;4;5;6;7;8;9},$A539&amp;"0123456789")),FIND("-",$A539)-MIN(FIND({0;1;2;3;4;5;6;7;8;9},$A539&amp;"0123456789")))</f>
        <v>94</v>
      </c>
      <c r="F539" t="str">
        <f t="shared" si="126"/>
        <v>6</v>
      </c>
      <c r="G539" t="str">
        <f t="shared" si="127"/>
        <v>Mo</v>
      </c>
      <c r="H539" t="str">
        <f t="shared" si="128"/>
        <v>AUS-6</v>
      </c>
      <c r="J539" t="s">
        <v>1380</v>
      </c>
      <c r="K539" t="str">
        <f t="shared" ref="K539:K570" si="133">LEFT(A539,3)</f>
        <v>AUS</v>
      </c>
      <c r="L539">
        <v>94</v>
      </c>
      <c r="M539">
        <v>6</v>
      </c>
      <c r="N539" t="s">
        <v>1530</v>
      </c>
      <c r="O539" t="s">
        <v>1609</v>
      </c>
    </row>
    <row r="540" spans="1:15" x14ac:dyDescent="0.3">
      <c r="A540" t="str">
        <f>'Case 3 data'!A539</f>
        <v>US308-16M</v>
      </c>
      <c r="B540" t="str">
        <f>'Case 3 data'!B539</f>
        <v>Tyree</v>
      </c>
      <c r="C540" t="str">
        <f>'Case 3 data'!C539</f>
        <v>Dubose</v>
      </c>
      <c r="D540" t="str" cm="1">
        <f t="array" ref="D540">LEFT($A540,MIN(FIND({0;1;2;3;4;5;6;7;8;9},$A540&amp;"0123456789"))-1)</f>
        <v>US</v>
      </c>
      <c r="E540" t="str" cm="1">
        <f t="array" ref="E540">MID($A540,MIN(FIND({0;1;2;3;4;5;6;7;8;9},$A540&amp;"0123456789")),FIND("-",$A540)-MIN(FIND({0;1;2;3;4;5;6;7;8;9},$A540&amp;"0123456789")))</f>
        <v>308</v>
      </c>
      <c r="F540" t="str">
        <f t="shared" si="126"/>
        <v>16</v>
      </c>
      <c r="G540" t="str">
        <f t="shared" si="127"/>
        <v>M</v>
      </c>
      <c r="H540" t="str">
        <f t="shared" si="128"/>
        <v>US-16</v>
      </c>
      <c r="J540" t="s">
        <v>1381</v>
      </c>
      <c r="K540" t="s">
        <v>1522</v>
      </c>
      <c r="L540">
        <v>308</v>
      </c>
      <c r="M540">
        <v>16</v>
      </c>
      <c r="N540" t="s">
        <v>1531</v>
      </c>
      <c r="O540" t="s">
        <v>1595</v>
      </c>
    </row>
    <row r="541" spans="1:15" x14ac:dyDescent="0.3">
      <c r="A541" t="str">
        <f>'Case 3 data'!A540</f>
        <v>ENG360-4M</v>
      </c>
      <c r="B541" t="str">
        <f>'Case 3 data'!B540</f>
        <v>Cythia</v>
      </c>
      <c r="C541" t="str">
        <f>'Case 3 data'!C540</f>
        <v>Michael</v>
      </c>
      <c r="D541" t="str" cm="1">
        <f t="array" ref="D541">LEFT($A541,MIN(FIND({0;1;2;3;4;5;6;7;8;9},$A541&amp;"0123456789"))-1)</f>
        <v>ENG</v>
      </c>
      <c r="E541" t="str" cm="1">
        <f t="array" ref="E541">MID($A541,MIN(FIND({0;1;2;3;4;5;6;7;8;9},$A541&amp;"0123456789")),FIND("-",$A541)-MIN(FIND({0;1;2;3;4;5;6;7;8;9},$A541&amp;"0123456789")))</f>
        <v>360</v>
      </c>
      <c r="F541" t="str">
        <f t="shared" si="126"/>
        <v>4</v>
      </c>
      <c r="G541" t="str">
        <f t="shared" si="127"/>
        <v>M</v>
      </c>
      <c r="H541" t="str">
        <f t="shared" si="128"/>
        <v>ENG-4</v>
      </c>
      <c r="J541" t="s">
        <v>1384</v>
      </c>
      <c r="K541" t="s">
        <v>1523</v>
      </c>
      <c r="L541">
        <v>360</v>
      </c>
      <c r="M541">
        <v>4</v>
      </c>
      <c r="N541" t="s">
        <v>1531</v>
      </c>
      <c r="O541" t="s">
        <v>1564</v>
      </c>
    </row>
    <row r="542" spans="1:15" x14ac:dyDescent="0.3">
      <c r="A542" t="str">
        <f>'Case 3 data'!A541</f>
        <v>MEX8-3M</v>
      </c>
      <c r="B542" t="str">
        <f>'Case 3 data'!B541</f>
        <v>Earl</v>
      </c>
      <c r="C542" t="str">
        <f>'Case 3 data'!C541</f>
        <v>Diaz</v>
      </c>
      <c r="D542" t="str" cm="1">
        <f t="array" ref="D542">LEFT($A542,MIN(FIND({0;1;2;3;4;5;6;7;8;9},$A542&amp;"0123456789"))-1)</f>
        <v>MEX</v>
      </c>
      <c r="E542" t="str" cm="1">
        <f t="array" ref="E542">MID($A542,MIN(FIND({0;1;2;3;4;5;6;7;8;9},$A542&amp;"0123456789")),FIND("-",$A542)-MIN(FIND({0;1;2;3;4;5;6;7;8;9},$A542&amp;"0123456789")))</f>
        <v>8</v>
      </c>
      <c r="F542" t="str">
        <f t="shared" si="126"/>
        <v>3</v>
      </c>
      <c r="G542" t="str">
        <f t="shared" si="127"/>
        <v>M</v>
      </c>
      <c r="H542" t="str">
        <f t="shared" si="128"/>
        <v>MEX-3</v>
      </c>
      <c r="J542" t="s">
        <v>1386</v>
      </c>
      <c r="K542" t="s">
        <v>1523</v>
      </c>
      <c r="L542">
        <v>8</v>
      </c>
      <c r="M542">
        <v>3</v>
      </c>
      <c r="N542" t="s">
        <v>1531</v>
      </c>
      <c r="O542" t="s">
        <v>1552</v>
      </c>
    </row>
    <row r="543" spans="1:15" x14ac:dyDescent="0.3">
      <c r="A543" t="str">
        <f>'Case 3 data'!A542</f>
        <v>ARG150-16Mo</v>
      </c>
      <c r="B543" t="str">
        <f>'Case 3 data'!B542</f>
        <v>Dominick</v>
      </c>
      <c r="C543" t="str">
        <f>'Case 3 data'!C542</f>
        <v>Holloway</v>
      </c>
      <c r="D543" t="str" cm="1">
        <f t="array" ref="D543">LEFT($A543,MIN(FIND({0;1;2;3;4;5;6;7;8;9},$A543&amp;"0123456789"))-1)</f>
        <v>ARG</v>
      </c>
      <c r="E543" t="str" cm="1">
        <f t="array" ref="E543">MID($A543,MIN(FIND({0;1;2;3;4;5;6;7;8;9},$A543&amp;"0123456789")),FIND("-",$A543)-MIN(FIND({0;1;2;3;4;5;6;7;8;9},$A543&amp;"0123456789")))</f>
        <v>150</v>
      </c>
      <c r="F543" t="str">
        <f t="shared" si="126"/>
        <v>16</v>
      </c>
      <c r="G543" t="str">
        <f t="shared" si="127"/>
        <v>Mo</v>
      </c>
      <c r="H543" t="str">
        <f t="shared" si="128"/>
        <v>ARG-16</v>
      </c>
      <c r="J543" t="s">
        <v>1387</v>
      </c>
      <c r="K543" t="s">
        <v>1521</v>
      </c>
      <c r="L543">
        <v>150</v>
      </c>
      <c r="M543">
        <v>16</v>
      </c>
      <c r="N543" t="s">
        <v>1530</v>
      </c>
      <c r="O543" t="s">
        <v>1578</v>
      </c>
    </row>
    <row r="544" spans="1:15" x14ac:dyDescent="0.3">
      <c r="A544" t="str">
        <f>'Case 3 data'!A543</f>
        <v>AUS168-3W</v>
      </c>
      <c r="B544" t="str">
        <f>'Case 3 data'!B543</f>
        <v>Jack</v>
      </c>
      <c r="C544" t="str">
        <f>'Case 3 data'!C543</f>
        <v>Lewis</v>
      </c>
      <c r="D544" t="str" cm="1">
        <f t="array" ref="D544">LEFT($A544,MIN(FIND({0;1;2;3;4;5;6;7;8;9},$A544&amp;"0123456789"))-1)</f>
        <v>AUS</v>
      </c>
      <c r="E544" t="str" cm="1">
        <f t="array" ref="E544">MID($A544,MIN(FIND({0;1;2;3;4;5;6;7;8;9},$A544&amp;"0123456789")),FIND("-",$A544)-MIN(FIND({0;1;2;3;4;5;6;7;8;9},$A544&amp;"0123456789")))</f>
        <v>168</v>
      </c>
      <c r="F544" t="str">
        <f t="shared" si="126"/>
        <v>3</v>
      </c>
      <c r="G544" t="str">
        <f t="shared" si="127"/>
        <v>W</v>
      </c>
      <c r="H544" t="str">
        <f t="shared" si="128"/>
        <v>AUS-3</v>
      </c>
      <c r="J544" t="s">
        <v>1390</v>
      </c>
      <c r="K544" t="str">
        <f t="shared" ref="K544:K575" si="134">LEFT(A544,3)</f>
        <v>AUS</v>
      </c>
      <c r="L544">
        <v>168</v>
      </c>
      <c r="M544">
        <v>3</v>
      </c>
      <c r="N544" t="s">
        <v>1532</v>
      </c>
      <c r="O544" t="s">
        <v>1576</v>
      </c>
    </row>
    <row r="545" spans="1:15" x14ac:dyDescent="0.3">
      <c r="A545" t="str">
        <f>'Case 3 data'!A544</f>
        <v>US509-12W</v>
      </c>
      <c r="B545" t="str">
        <f>'Case 3 data'!B544</f>
        <v>Yuette</v>
      </c>
      <c r="C545" t="str">
        <f>'Case 3 data'!C544</f>
        <v>Reddick</v>
      </c>
      <c r="D545" t="str" cm="1">
        <f t="array" ref="D545">LEFT($A545,MIN(FIND({0;1;2;3;4;5;6;7;8;9},$A545&amp;"0123456789"))-1)</f>
        <v>US</v>
      </c>
      <c r="E545" t="str" cm="1">
        <f t="array" ref="E545">MID($A545,MIN(FIND({0;1;2;3;4;5;6;7;8;9},$A545&amp;"0123456789")),FIND("-",$A545)-MIN(FIND({0;1;2;3;4;5;6;7;8;9},$A545&amp;"0123456789")))</f>
        <v>509</v>
      </c>
      <c r="F545" t="str">
        <f t="shared" si="126"/>
        <v>12</v>
      </c>
      <c r="G545" t="str">
        <f t="shared" si="127"/>
        <v>W</v>
      </c>
      <c r="H545" t="str">
        <f t="shared" si="128"/>
        <v>US-12</v>
      </c>
      <c r="J545" t="s">
        <v>1392</v>
      </c>
      <c r="K545" t="s">
        <v>1522</v>
      </c>
      <c r="L545">
        <v>509</v>
      </c>
      <c r="M545">
        <v>12</v>
      </c>
      <c r="N545" t="s">
        <v>1532</v>
      </c>
      <c r="O545" t="s">
        <v>1627</v>
      </c>
    </row>
    <row r="546" spans="1:15" x14ac:dyDescent="0.3">
      <c r="A546" t="str">
        <f>'Case 3 data'!A545</f>
        <v>MEX535-11Mo</v>
      </c>
      <c r="B546" t="str">
        <f>'Case 3 data'!B545</f>
        <v>Benny</v>
      </c>
      <c r="C546" t="str">
        <f>'Case 3 data'!C545</f>
        <v>Marsh</v>
      </c>
      <c r="D546" t="str" cm="1">
        <f t="array" ref="D546">LEFT($A546,MIN(FIND({0;1;2;3;4;5;6;7;8;9},$A546&amp;"0123456789"))-1)</f>
        <v>MEX</v>
      </c>
      <c r="E546" t="str" cm="1">
        <f t="array" ref="E546">MID($A546,MIN(FIND({0;1;2;3;4;5;6;7;8;9},$A546&amp;"0123456789")),FIND("-",$A546)-MIN(FIND({0;1;2;3;4;5;6;7;8;9},$A546&amp;"0123456789")))</f>
        <v>535</v>
      </c>
      <c r="F546" t="str">
        <f t="shared" si="126"/>
        <v>11</v>
      </c>
      <c r="G546" t="str">
        <f t="shared" si="127"/>
        <v>Mo</v>
      </c>
      <c r="H546" t="str">
        <f t="shared" si="128"/>
        <v>MEX-11</v>
      </c>
      <c r="J546" t="s">
        <v>1395</v>
      </c>
      <c r="K546" t="s">
        <v>1523</v>
      </c>
      <c r="L546">
        <v>535</v>
      </c>
      <c r="M546">
        <v>11</v>
      </c>
      <c r="N546" t="s">
        <v>1530</v>
      </c>
      <c r="O546" t="s">
        <v>1580</v>
      </c>
    </row>
    <row r="547" spans="1:15" x14ac:dyDescent="0.3">
      <c r="A547" t="str">
        <f>'Case 3 data'!A546</f>
        <v>US119-2W</v>
      </c>
      <c r="B547" t="str">
        <f>'Case 3 data'!B546</f>
        <v>Amanda</v>
      </c>
      <c r="C547" t="str">
        <f>'Case 3 data'!C546</f>
        <v>Williams</v>
      </c>
      <c r="D547" t="str" cm="1">
        <f t="array" ref="D547">LEFT($A547,MIN(FIND({0;1;2;3;4;5;6;7;8;9},$A547&amp;"0123456789"))-1)</f>
        <v>US</v>
      </c>
      <c r="E547" t="str" cm="1">
        <f t="array" ref="E547">MID($A547,MIN(FIND({0;1;2;3;4;5;6;7;8;9},$A547&amp;"0123456789")),FIND("-",$A547)-MIN(FIND({0;1;2;3;4;5;6;7;8;9},$A547&amp;"0123456789")))</f>
        <v>119</v>
      </c>
      <c r="F547" t="str">
        <f t="shared" si="126"/>
        <v>2</v>
      </c>
      <c r="G547" t="str">
        <f t="shared" si="127"/>
        <v>W</v>
      </c>
      <c r="H547" t="str">
        <f t="shared" si="128"/>
        <v>US-2</v>
      </c>
      <c r="J547" t="s">
        <v>1398</v>
      </c>
      <c r="K547" t="s">
        <v>1523</v>
      </c>
      <c r="L547">
        <v>119</v>
      </c>
      <c r="M547">
        <v>2</v>
      </c>
      <c r="N547" t="s">
        <v>1532</v>
      </c>
      <c r="O547" t="s">
        <v>1535</v>
      </c>
    </row>
    <row r="548" spans="1:15" x14ac:dyDescent="0.3">
      <c r="A548" t="str">
        <f>'Case 3 data'!A547</f>
        <v>Canada552-9Mo</v>
      </c>
      <c r="B548" t="str">
        <f>'Case 3 data'!B547</f>
        <v>Lawrence</v>
      </c>
      <c r="C548" t="str">
        <f>'Case 3 data'!C547</f>
        <v>James</v>
      </c>
      <c r="D548" t="str" cm="1">
        <f t="array" ref="D548">LEFT($A548,MIN(FIND({0;1;2;3;4;5;6;7;8;9},$A548&amp;"0123456789"))-1)</f>
        <v>Canada</v>
      </c>
      <c r="E548" t="str" cm="1">
        <f t="array" ref="E548">MID($A548,MIN(FIND({0;1;2;3;4;5;6;7;8;9},$A548&amp;"0123456789")),FIND("-",$A548)-MIN(FIND({0;1;2;3;4;5;6;7;8;9},$A548&amp;"0123456789")))</f>
        <v>552</v>
      </c>
      <c r="F548" t="str">
        <f t="shared" si="126"/>
        <v>9</v>
      </c>
      <c r="G548" t="str">
        <f t="shared" si="127"/>
        <v>Mo</v>
      </c>
      <c r="H548" t="str">
        <f t="shared" si="128"/>
        <v>Canada-9</v>
      </c>
      <c r="J548" t="s">
        <v>1399</v>
      </c>
      <c r="K548" t="s">
        <v>1521</v>
      </c>
      <c r="L548">
        <v>552</v>
      </c>
      <c r="M548">
        <v>9</v>
      </c>
      <c r="N548" t="s">
        <v>1530</v>
      </c>
      <c r="O548" t="s">
        <v>1559</v>
      </c>
    </row>
    <row r="549" spans="1:15" x14ac:dyDescent="0.3">
      <c r="A549" t="str">
        <f>'Case 3 data'!A548</f>
        <v>Canada103-2M</v>
      </c>
      <c r="B549" t="str">
        <f>'Case 3 data'!B548</f>
        <v>Anne</v>
      </c>
      <c r="C549" t="str">
        <f>'Case 3 data'!C548</f>
        <v>Rice</v>
      </c>
      <c r="D549" t="str" cm="1">
        <f t="array" ref="D549">LEFT($A549,MIN(FIND({0;1;2;3;4;5;6;7;8;9},$A549&amp;"0123456789"))-1)</f>
        <v>Canada</v>
      </c>
      <c r="E549" t="str" cm="1">
        <f t="array" ref="E549">MID($A549,MIN(FIND({0;1;2;3;4;5;6;7;8;9},$A549&amp;"0123456789")),FIND("-",$A549)-MIN(FIND({0;1;2;3;4;5;6;7;8;9},$A549&amp;"0123456789")))</f>
        <v>103</v>
      </c>
      <c r="F549" t="str">
        <f t="shared" si="126"/>
        <v>2</v>
      </c>
      <c r="G549" t="str">
        <f t="shared" si="127"/>
        <v>M</v>
      </c>
      <c r="H549" t="str">
        <f t="shared" si="128"/>
        <v>Canada-2</v>
      </c>
      <c r="J549" t="s">
        <v>1400</v>
      </c>
      <c r="K549" t="str">
        <f t="shared" ref="K549:K580" si="135">LEFT(A549,3)</f>
        <v>Can</v>
      </c>
      <c r="L549">
        <v>103</v>
      </c>
      <c r="M549">
        <v>2</v>
      </c>
      <c r="N549" t="s">
        <v>1531</v>
      </c>
      <c r="O549" t="s">
        <v>1617</v>
      </c>
    </row>
    <row r="550" spans="1:15" x14ac:dyDescent="0.3">
      <c r="A550" t="str">
        <f>'Case 3 data'!A549</f>
        <v>GER302-5M</v>
      </c>
      <c r="B550" t="str">
        <f>'Case 3 data'!B549</f>
        <v>Liza</v>
      </c>
      <c r="C550" t="str">
        <f>'Case 3 data'!C549</f>
        <v>Benefield</v>
      </c>
      <c r="D550" t="str" cm="1">
        <f t="array" ref="D550">LEFT($A550,MIN(FIND({0;1;2;3;4;5;6;7;8;9},$A550&amp;"0123456789"))-1)</f>
        <v>GER</v>
      </c>
      <c r="E550" t="str" cm="1">
        <f t="array" ref="E550">MID($A550,MIN(FIND({0;1;2;3;4;5;6;7;8;9},$A550&amp;"0123456789")),FIND("-",$A550)-MIN(FIND({0;1;2;3;4;5;6;7;8;9},$A550&amp;"0123456789")))</f>
        <v>302</v>
      </c>
      <c r="F550" t="str">
        <f t="shared" si="126"/>
        <v>5</v>
      </c>
      <c r="G550" t="str">
        <f t="shared" si="127"/>
        <v>M</v>
      </c>
      <c r="H550" t="str">
        <f t="shared" si="128"/>
        <v>GER-5</v>
      </c>
      <c r="J550" t="s">
        <v>1402</v>
      </c>
      <c r="K550" t="s">
        <v>1522</v>
      </c>
      <c r="L550">
        <v>302</v>
      </c>
      <c r="M550">
        <v>5</v>
      </c>
      <c r="N550" t="s">
        <v>1531</v>
      </c>
      <c r="O550" t="s">
        <v>1539</v>
      </c>
    </row>
    <row r="551" spans="1:15" x14ac:dyDescent="0.3">
      <c r="A551" t="str">
        <f>'Case 3 data'!A550</f>
        <v>ARG516-16W</v>
      </c>
      <c r="B551" t="str">
        <f>'Case 3 data'!B550</f>
        <v>Jeannie</v>
      </c>
      <c r="C551" t="str">
        <f>'Case 3 data'!C550</f>
        <v>Dunn</v>
      </c>
      <c r="D551" t="str" cm="1">
        <f t="array" ref="D551">LEFT($A551,MIN(FIND({0;1;2;3;4;5;6;7;8;9},$A551&amp;"0123456789"))-1)</f>
        <v>ARG</v>
      </c>
      <c r="E551" t="str" cm="1">
        <f t="array" ref="E551">MID($A551,MIN(FIND({0;1;2;3;4;5;6;7;8;9},$A551&amp;"0123456789")),FIND("-",$A551)-MIN(FIND({0;1;2;3;4;5;6;7;8;9},$A551&amp;"0123456789")))</f>
        <v>516</v>
      </c>
      <c r="F551" t="str">
        <f t="shared" si="126"/>
        <v>16</v>
      </c>
      <c r="G551" t="str">
        <f t="shared" si="127"/>
        <v>W</v>
      </c>
      <c r="H551" t="str">
        <f t="shared" si="128"/>
        <v>ARG-16</v>
      </c>
      <c r="J551" t="s">
        <v>1405</v>
      </c>
      <c r="K551" t="s">
        <v>1523</v>
      </c>
      <c r="L551">
        <v>516</v>
      </c>
      <c r="M551">
        <v>16</v>
      </c>
      <c r="N551" t="s">
        <v>1532</v>
      </c>
      <c r="O551" t="s">
        <v>1570</v>
      </c>
    </row>
    <row r="552" spans="1:15" x14ac:dyDescent="0.3">
      <c r="A552" t="str">
        <f>'Case 3 data'!A551</f>
        <v>ARG439-10W</v>
      </c>
      <c r="B552" t="str">
        <f>'Case 3 data'!B551</f>
        <v>Eugene</v>
      </c>
      <c r="C552" t="str">
        <f>'Case 3 data'!C551</f>
        <v>Jenkins</v>
      </c>
      <c r="D552" t="str" cm="1">
        <f t="array" ref="D552">LEFT($A552,MIN(FIND({0;1;2;3;4;5;6;7;8;9},$A552&amp;"0123456789"))-1)</f>
        <v>ARG</v>
      </c>
      <c r="E552" t="str" cm="1">
        <f t="array" ref="E552">MID($A552,MIN(FIND({0;1;2;3;4;5;6;7;8;9},$A552&amp;"0123456789")),FIND("-",$A552)-MIN(FIND({0;1;2;3;4;5;6;7;8;9},$A552&amp;"0123456789")))</f>
        <v>439</v>
      </c>
      <c r="F552" t="str">
        <f t="shared" si="126"/>
        <v>10</v>
      </c>
      <c r="G552" t="str">
        <f t="shared" si="127"/>
        <v>W</v>
      </c>
      <c r="H552" t="str">
        <f t="shared" si="128"/>
        <v>ARG-10</v>
      </c>
      <c r="J552" t="s">
        <v>1407</v>
      </c>
      <c r="K552" t="s">
        <v>1523</v>
      </c>
      <c r="L552">
        <v>439</v>
      </c>
      <c r="M552">
        <v>10</v>
      </c>
      <c r="N552" t="s">
        <v>1532</v>
      </c>
      <c r="O552" t="s">
        <v>1545</v>
      </c>
    </row>
    <row r="553" spans="1:15" x14ac:dyDescent="0.3">
      <c r="A553" t="str">
        <f>'Case 3 data'!A552</f>
        <v>Japan495-8M</v>
      </c>
      <c r="B553" t="str">
        <f>'Case 3 data'!B552</f>
        <v>Shona</v>
      </c>
      <c r="C553" t="str">
        <f>'Case 3 data'!C552</f>
        <v>Tillery</v>
      </c>
      <c r="D553" t="str" cm="1">
        <f t="array" ref="D553">LEFT($A553,MIN(FIND({0;1;2;3;4;5;6;7;8;9},$A553&amp;"0123456789"))-1)</f>
        <v>Japan</v>
      </c>
      <c r="E553" t="str" cm="1">
        <f t="array" ref="E553">MID($A553,MIN(FIND({0;1;2;3;4;5;6;7;8;9},$A553&amp;"0123456789")),FIND("-",$A553)-MIN(FIND({0;1;2;3;4;5;6;7;8;9},$A553&amp;"0123456789")))</f>
        <v>495</v>
      </c>
      <c r="F553" t="str">
        <f t="shared" si="126"/>
        <v>8</v>
      </c>
      <c r="G553" t="str">
        <f t="shared" si="127"/>
        <v>M</v>
      </c>
      <c r="H553" t="str">
        <f t="shared" si="128"/>
        <v>Japan-8</v>
      </c>
      <c r="J553" t="s">
        <v>1409</v>
      </c>
      <c r="K553" t="s">
        <v>1521</v>
      </c>
      <c r="L553">
        <v>495</v>
      </c>
      <c r="M553">
        <v>8</v>
      </c>
      <c r="N553" t="s">
        <v>1531</v>
      </c>
      <c r="O553" t="s">
        <v>1612</v>
      </c>
    </row>
    <row r="554" spans="1:15" x14ac:dyDescent="0.3">
      <c r="A554" t="str">
        <f>'Case 3 data'!A553</f>
        <v>ENG187-14Mo</v>
      </c>
      <c r="B554" t="str">
        <f>'Case 3 data'!B553</f>
        <v>Doyle</v>
      </c>
      <c r="C554" t="str">
        <f>'Case 3 data'!C553</f>
        <v>Baldwin</v>
      </c>
      <c r="D554" t="str" cm="1">
        <f t="array" ref="D554">LEFT($A554,MIN(FIND({0;1;2;3;4;5;6;7;8;9},$A554&amp;"0123456789"))-1)</f>
        <v>ENG</v>
      </c>
      <c r="E554" t="str" cm="1">
        <f t="array" ref="E554">MID($A554,MIN(FIND({0;1;2;3;4;5;6;7;8;9},$A554&amp;"0123456789")),FIND("-",$A554)-MIN(FIND({0;1;2;3;4;5;6;7;8;9},$A554&amp;"0123456789")))</f>
        <v>187</v>
      </c>
      <c r="F554" t="str">
        <f t="shared" si="126"/>
        <v>14</v>
      </c>
      <c r="G554" t="str">
        <f t="shared" si="127"/>
        <v>Mo</v>
      </c>
      <c r="H554" t="str">
        <f t="shared" si="128"/>
        <v>ENG-14</v>
      </c>
      <c r="J554" t="s">
        <v>1412</v>
      </c>
      <c r="K554" t="str">
        <f t="shared" ref="K554:K599" si="136">LEFT(A554,3)</f>
        <v>ENG</v>
      </c>
      <c r="L554">
        <v>187</v>
      </c>
      <c r="M554">
        <v>14</v>
      </c>
      <c r="N554" t="s">
        <v>1530</v>
      </c>
      <c r="O554" t="s">
        <v>1621</v>
      </c>
    </row>
    <row r="555" spans="1:15" x14ac:dyDescent="0.3">
      <c r="A555" t="str">
        <f>'Case 3 data'!A554</f>
        <v>Canada528-4M</v>
      </c>
      <c r="B555" t="str">
        <f>'Case 3 data'!B554</f>
        <v>Jesse</v>
      </c>
      <c r="C555" t="str">
        <f>'Case 3 data'!C554</f>
        <v>Foster</v>
      </c>
      <c r="D555" t="str" cm="1">
        <f t="array" ref="D555">LEFT($A555,MIN(FIND({0;1;2;3;4;5;6;7;8;9},$A555&amp;"0123456789"))-1)</f>
        <v>Canada</v>
      </c>
      <c r="E555" t="str" cm="1">
        <f t="array" ref="E555">MID($A555,MIN(FIND({0;1;2;3;4;5;6;7;8;9},$A555&amp;"0123456789")),FIND("-",$A555)-MIN(FIND({0;1;2;3;4;5;6;7;8;9},$A555&amp;"0123456789")))</f>
        <v>528</v>
      </c>
      <c r="F555" t="str">
        <f t="shared" si="126"/>
        <v>4</v>
      </c>
      <c r="G555" t="str">
        <f t="shared" si="127"/>
        <v>M</v>
      </c>
      <c r="H555" t="str">
        <f t="shared" si="128"/>
        <v>Canada-4</v>
      </c>
      <c r="J555" t="s">
        <v>1414</v>
      </c>
      <c r="K555" t="s">
        <v>1522</v>
      </c>
      <c r="L555">
        <v>528</v>
      </c>
      <c r="M555">
        <v>4</v>
      </c>
      <c r="N555" t="s">
        <v>1531</v>
      </c>
      <c r="O555" t="s">
        <v>1573</v>
      </c>
    </row>
    <row r="556" spans="1:15" x14ac:dyDescent="0.3">
      <c r="A556" t="str">
        <f>'Case 3 data'!A555</f>
        <v>ARG408-8Mo</v>
      </c>
      <c r="B556" t="str">
        <f>'Case 3 data'!B555</f>
        <v>Meredith</v>
      </c>
      <c r="C556" t="str">
        <f>'Case 3 data'!C555</f>
        <v>Burke</v>
      </c>
      <c r="D556" t="str" cm="1">
        <f t="array" ref="D556">LEFT($A556,MIN(FIND({0;1;2;3;4;5;6;7;8;9},$A556&amp;"0123456789"))-1)</f>
        <v>ARG</v>
      </c>
      <c r="E556" t="str" cm="1">
        <f t="array" ref="E556">MID($A556,MIN(FIND({0;1;2;3;4;5;6;7;8;9},$A556&amp;"0123456789")),FIND("-",$A556)-MIN(FIND({0;1;2;3;4;5;6;7;8;9},$A556&amp;"0123456789")))</f>
        <v>408</v>
      </c>
      <c r="F556" t="str">
        <f t="shared" si="126"/>
        <v>8</v>
      </c>
      <c r="G556" t="str">
        <f t="shared" si="127"/>
        <v>Mo</v>
      </c>
      <c r="H556" t="str">
        <f t="shared" si="128"/>
        <v>ARG-8</v>
      </c>
      <c r="J556" t="s">
        <v>1416</v>
      </c>
      <c r="K556" t="s">
        <v>1523</v>
      </c>
      <c r="L556">
        <v>408</v>
      </c>
      <c r="M556">
        <v>8</v>
      </c>
      <c r="N556" t="s">
        <v>1530</v>
      </c>
      <c r="O556" t="s">
        <v>1574</v>
      </c>
    </row>
    <row r="557" spans="1:15" x14ac:dyDescent="0.3">
      <c r="A557" t="str">
        <f>'Case 3 data'!A556</f>
        <v>ENG333-16Mo</v>
      </c>
      <c r="B557" t="str">
        <f>'Case 3 data'!B556</f>
        <v>Tameika</v>
      </c>
      <c r="C557" t="str">
        <f>'Case 3 data'!C556</f>
        <v>Nance</v>
      </c>
      <c r="D557" t="str" cm="1">
        <f t="array" ref="D557">LEFT($A557,MIN(FIND({0;1;2;3;4;5;6;7;8;9},$A557&amp;"0123456789"))-1)</f>
        <v>ENG</v>
      </c>
      <c r="E557" t="str" cm="1">
        <f t="array" ref="E557">MID($A557,MIN(FIND({0;1;2;3;4;5;6;7;8;9},$A557&amp;"0123456789")),FIND("-",$A557)-MIN(FIND({0;1;2;3;4;5;6;7;8;9},$A557&amp;"0123456789")))</f>
        <v>333</v>
      </c>
      <c r="F557" t="str">
        <f t="shared" si="126"/>
        <v>16</v>
      </c>
      <c r="G557" t="str">
        <f t="shared" si="127"/>
        <v>Mo</v>
      </c>
      <c r="H557" t="str">
        <f t="shared" si="128"/>
        <v>ENG-16</v>
      </c>
      <c r="J557" t="s">
        <v>1418</v>
      </c>
      <c r="K557" t="s">
        <v>1523</v>
      </c>
      <c r="L557">
        <v>333</v>
      </c>
      <c r="M557">
        <v>16</v>
      </c>
      <c r="N557" t="s">
        <v>1530</v>
      </c>
      <c r="O557" t="s">
        <v>1570</v>
      </c>
    </row>
    <row r="558" spans="1:15" x14ac:dyDescent="0.3">
      <c r="A558" t="str">
        <f>'Case 3 data'!A557</f>
        <v>Canada127-9M</v>
      </c>
      <c r="B558" t="str">
        <f>'Case 3 data'!B557</f>
        <v>Donette</v>
      </c>
      <c r="C558" t="str">
        <f>'Case 3 data'!C557</f>
        <v>Mccarty</v>
      </c>
      <c r="D558" t="str" cm="1">
        <f t="array" ref="D558">LEFT($A558,MIN(FIND({0;1;2;3;4;5;6;7;8;9},$A558&amp;"0123456789"))-1)</f>
        <v>Canada</v>
      </c>
      <c r="E558" t="str" cm="1">
        <f t="array" ref="E558">MID($A558,MIN(FIND({0;1;2;3;4;5;6;7;8;9},$A558&amp;"0123456789")),FIND("-",$A558)-MIN(FIND({0;1;2;3;4;5;6;7;8;9},$A558&amp;"0123456789")))</f>
        <v>127</v>
      </c>
      <c r="F558" t="str">
        <f t="shared" si="126"/>
        <v>9</v>
      </c>
      <c r="G558" t="str">
        <f t="shared" si="127"/>
        <v>M</v>
      </c>
      <c r="H558" t="str">
        <f t="shared" si="128"/>
        <v>Canada-9</v>
      </c>
      <c r="J558" t="s">
        <v>1421</v>
      </c>
      <c r="K558" t="s">
        <v>1521</v>
      </c>
      <c r="L558">
        <v>127</v>
      </c>
      <c r="M558">
        <v>9</v>
      </c>
      <c r="N558" t="s">
        <v>1531</v>
      </c>
      <c r="O558" t="s">
        <v>1559</v>
      </c>
    </row>
    <row r="559" spans="1:15" x14ac:dyDescent="0.3">
      <c r="A559" t="str">
        <f>'Case 3 data'!A558</f>
        <v>Japan328-8Mo</v>
      </c>
      <c r="B559" t="str">
        <f>'Case 3 data'!B558</f>
        <v>Porsche</v>
      </c>
      <c r="C559" t="str">
        <f>'Case 3 data'!C558</f>
        <v>Greiner</v>
      </c>
      <c r="D559" t="str" cm="1">
        <f t="array" ref="D559">LEFT($A559,MIN(FIND({0;1;2;3;4;5;6;7;8;9},$A559&amp;"0123456789"))-1)</f>
        <v>Japan</v>
      </c>
      <c r="E559" t="str" cm="1">
        <f t="array" ref="E559">MID($A559,MIN(FIND({0;1;2;3;4;5;6;7;8;9},$A559&amp;"0123456789")),FIND("-",$A559)-MIN(FIND({0;1;2;3;4;5;6;7;8;9},$A559&amp;"0123456789")))</f>
        <v>328</v>
      </c>
      <c r="F559" t="str">
        <f t="shared" si="126"/>
        <v>8</v>
      </c>
      <c r="G559" t="str">
        <f t="shared" si="127"/>
        <v>Mo</v>
      </c>
      <c r="H559" t="str">
        <f t="shared" si="128"/>
        <v>Japan-8</v>
      </c>
      <c r="J559" t="s">
        <v>1424</v>
      </c>
      <c r="K559" t="str">
        <f t="shared" ref="K559:K599" si="137">LEFT(A559,3)</f>
        <v>Jap</v>
      </c>
      <c r="L559">
        <v>328</v>
      </c>
      <c r="M559">
        <v>8</v>
      </c>
      <c r="N559" t="s">
        <v>1530</v>
      </c>
      <c r="O559" t="s">
        <v>1648</v>
      </c>
    </row>
    <row r="560" spans="1:15" x14ac:dyDescent="0.3">
      <c r="A560" t="str">
        <f>'Case 3 data'!A559</f>
        <v>ARG498-8M</v>
      </c>
      <c r="B560" t="str">
        <f>'Case 3 data'!B559</f>
        <v>Carol</v>
      </c>
      <c r="C560" t="str">
        <f>'Case 3 data'!C559</f>
        <v>Hernandez</v>
      </c>
      <c r="D560" t="str" cm="1">
        <f t="array" ref="D560">LEFT($A560,MIN(FIND({0;1;2;3;4;5;6;7;8;9},$A560&amp;"0123456789"))-1)</f>
        <v>ARG</v>
      </c>
      <c r="E560" t="str" cm="1">
        <f t="array" ref="E560">MID($A560,MIN(FIND({0;1;2;3;4;5;6;7;8;9},$A560&amp;"0123456789")),FIND("-",$A560)-MIN(FIND({0;1;2;3;4;5;6;7;8;9},$A560&amp;"0123456789")))</f>
        <v>498</v>
      </c>
      <c r="F560" t="str">
        <f t="shared" si="126"/>
        <v>8</v>
      </c>
      <c r="G560" t="str">
        <f t="shared" si="127"/>
        <v>M</v>
      </c>
      <c r="H560" t="str">
        <f t="shared" si="128"/>
        <v>ARG-8</v>
      </c>
      <c r="J560" t="s">
        <v>1427</v>
      </c>
      <c r="K560" t="s">
        <v>1522</v>
      </c>
      <c r="L560">
        <v>498</v>
      </c>
      <c r="M560">
        <v>8</v>
      </c>
      <c r="N560" t="s">
        <v>1531</v>
      </c>
      <c r="O560" t="s">
        <v>1543</v>
      </c>
    </row>
    <row r="561" spans="1:15" x14ac:dyDescent="0.3">
      <c r="A561" t="str">
        <f>'Case 3 data'!A560</f>
        <v>GER6-1M</v>
      </c>
      <c r="B561" t="str">
        <f>'Case 3 data'!B560</f>
        <v>Ann</v>
      </c>
      <c r="C561" t="str">
        <f>'Case 3 data'!C560</f>
        <v>Moore</v>
      </c>
      <c r="D561" t="str" cm="1">
        <f t="array" ref="D561">LEFT($A561,MIN(FIND({0;1;2;3;4;5;6;7;8;9},$A561&amp;"0123456789"))-1)</f>
        <v>GER</v>
      </c>
      <c r="E561" t="str" cm="1">
        <f t="array" ref="E561">MID($A561,MIN(FIND({0;1;2;3;4;5;6;7;8;9},$A561&amp;"0123456789")),FIND("-",$A561)-MIN(FIND({0;1;2;3;4;5;6;7;8;9},$A561&amp;"0123456789")))</f>
        <v>6</v>
      </c>
      <c r="F561" t="str">
        <f t="shared" si="126"/>
        <v>1</v>
      </c>
      <c r="G561" t="str">
        <f t="shared" si="127"/>
        <v>M</v>
      </c>
      <c r="H561" t="str">
        <f t="shared" si="128"/>
        <v>GER-1</v>
      </c>
      <c r="J561" t="s">
        <v>1429</v>
      </c>
      <c r="K561" t="s">
        <v>1523</v>
      </c>
      <c r="L561">
        <v>6</v>
      </c>
      <c r="M561">
        <v>1</v>
      </c>
      <c r="N561" t="s">
        <v>1531</v>
      </c>
      <c r="O561" t="s">
        <v>1536</v>
      </c>
    </row>
    <row r="562" spans="1:15" x14ac:dyDescent="0.3">
      <c r="A562" t="str">
        <f>'Case 3 data'!A561</f>
        <v>Japan199-10Mo</v>
      </c>
      <c r="B562" t="str">
        <f>'Case 3 data'!B561</f>
        <v>Janet</v>
      </c>
      <c r="C562" t="str">
        <f>'Case 3 data'!C561</f>
        <v>Ortiz</v>
      </c>
      <c r="D562" t="str" cm="1">
        <f t="array" ref="D562">LEFT($A562,MIN(FIND({0;1;2;3;4;5;6;7;8;9},$A562&amp;"0123456789"))-1)</f>
        <v>Japan</v>
      </c>
      <c r="E562" t="str" cm="1">
        <f t="array" ref="E562">MID($A562,MIN(FIND({0;1;2;3;4;5;6;7;8;9},$A562&amp;"0123456789")),FIND("-",$A562)-MIN(FIND({0;1;2;3;4;5;6;7;8;9},$A562&amp;"0123456789")))</f>
        <v>199</v>
      </c>
      <c r="F562" t="str">
        <f t="shared" si="126"/>
        <v>10</v>
      </c>
      <c r="G562" t="str">
        <f t="shared" si="127"/>
        <v>Mo</v>
      </c>
      <c r="H562" t="str">
        <f t="shared" si="128"/>
        <v>Japan-10</v>
      </c>
      <c r="J562" t="s">
        <v>1431</v>
      </c>
      <c r="K562" t="s">
        <v>1523</v>
      </c>
      <c r="L562">
        <v>199</v>
      </c>
      <c r="M562">
        <v>10</v>
      </c>
      <c r="N562" t="s">
        <v>1530</v>
      </c>
      <c r="O562" t="s">
        <v>1545</v>
      </c>
    </row>
    <row r="563" spans="1:15" x14ac:dyDescent="0.3">
      <c r="A563" t="str">
        <f>'Case 3 data'!A562</f>
        <v>ARG493-6Mo</v>
      </c>
      <c r="B563" t="str">
        <f>'Case 3 data'!B562</f>
        <v>James</v>
      </c>
      <c r="C563" t="str">
        <f>'Case 3 data'!C562</f>
        <v>Watson</v>
      </c>
      <c r="D563" t="str" cm="1">
        <f t="array" ref="D563">LEFT($A563,MIN(FIND({0;1;2;3;4;5;6;7;8;9},$A563&amp;"0123456789"))-1)</f>
        <v>ARG</v>
      </c>
      <c r="E563" t="str" cm="1">
        <f t="array" ref="E563">MID($A563,MIN(FIND({0;1;2;3;4;5;6;7;8;9},$A563&amp;"0123456789")),FIND("-",$A563)-MIN(FIND({0;1;2;3;4;5;6;7;8;9},$A563&amp;"0123456789")))</f>
        <v>493</v>
      </c>
      <c r="F563" t="str">
        <f t="shared" si="126"/>
        <v>6</v>
      </c>
      <c r="G563" t="str">
        <f t="shared" si="127"/>
        <v>Mo</v>
      </c>
      <c r="H563" t="str">
        <f t="shared" si="128"/>
        <v>ARG-6</v>
      </c>
      <c r="J563" t="s">
        <v>1433</v>
      </c>
      <c r="K563" t="s">
        <v>1521</v>
      </c>
      <c r="L563">
        <v>493</v>
      </c>
      <c r="M563">
        <v>6</v>
      </c>
      <c r="N563" t="s">
        <v>1530</v>
      </c>
      <c r="O563" t="s">
        <v>1561</v>
      </c>
    </row>
    <row r="564" spans="1:15" x14ac:dyDescent="0.3">
      <c r="A564" t="str">
        <f>'Case 3 data'!A563</f>
        <v>ENG303-14Mo</v>
      </c>
      <c r="B564" t="str">
        <f>'Case 3 data'!B563</f>
        <v>Misti</v>
      </c>
      <c r="C564" t="str">
        <f>'Case 3 data'!C563</f>
        <v>Humphrey</v>
      </c>
      <c r="D564" t="str" cm="1">
        <f t="array" ref="D564">LEFT($A564,MIN(FIND({0;1;2;3;4;5;6;7;8;9},$A564&amp;"0123456789"))-1)</f>
        <v>ENG</v>
      </c>
      <c r="E564" t="str" cm="1">
        <f t="array" ref="E564">MID($A564,MIN(FIND({0;1;2;3;4;5;6;7;8;9},$A564&amp;"0123456789")),FIND("-",$A564)-MIN(FIND({0;1;2;3;4;5;6;7;8;9},$A564&amp;"0123456789")))</f>
        <v>303</v>
      </c>
      <c r="F564" t="str">
        <f t="shared" si="126"/>
        <v>14</v>
      </c>
      <c r="G564" t="str">
        <f t="shared" si="127"/>
        <v>Mo</v>
      </c>
      <c r="H564" t="str">
        <f t="shared" si="128"/>
        <v>ENG-14</v>
      </c>
      <c r="J564" t="s">
        <v>1434</v>
      </c>
      <c r="K564" t="str">
        <f t="shared" ref="K564:K599" si="138">LEFT(A564,3)</f>
        <v>ENG</v>
      </c>
      <c r="L564">
        <v>303</v>
      </c>
      <c r="M564">
        <v>14</v>
      </c>
      <c r="N564" t="s">
        <v>1530</v>
      </c>
      <c r="O564" t="s">
        <v>1621</v>
      </c>
    </row>
    <row r="565" spans="1:15" x14ac:dyDescent="0.3">
      <c r="A565" t="str">
        <f>'Case 3 data'!A564</f>
        <v>ARG494-1Mo</v>
      </c>
      <c r="B565" t="str">
        <f>'Case 3 data'!B564</f>
        <v>Gary</v>
      </c>
      <c r="C565" t="str">
        <f>'Case 3 data'!C564</f>
        <v>Bell</v>
      </c>
      <c r="D565" t="str" cm="1">
        <f t="array" ref="D565">LEFT($A565,MIN(FIND({0;1;2;3;4;5;6;7;8;9},$A565&amp;"0123456789"))-1)</f>
        <v>ARG</v>
      </c>
      <c r="E565" t="str" cm="1">
        <f t="array" ref="E565">MID($A565,MIN(FIND({0;1;2;3;4;5;6;7;8;9},$A565&amp;"0123456789")),FIND("-",$A565)-MIN(FIND({0;1;2;3;4;5;6;7;8;9},$A565&amp;"0123456789")))</f>
        <v>494</v>
      </c>
      <c r="F565" t="str">
        <f t="shared" si="126"/>
        <v>1</v>
      </c>
      <c r="G565" t="str">
        <f t="shared" si="127"/>
        <v>Mo</v>
      </c>
      <c r="H565" t="str">
        <f t="shared" si="128"/>
        <v>ARG-1</v>
      </c>
      <c r="J565" t="s">
        <v>1437</v>
      </c>
      <c r="K565" t="s">
        <v>1522</v>
      </c>
      <c r="L565">
        <v>494</v>
      </c>
      <c r="M565">
        <v>1</v>
      </c>
      <c r="N565" t="s">
        <v>1530</v>
      </c>
      <c r="O565" t="s">
        <v>1563</v>
      </c>
    </row>
    <row r="566" spans="1:15" x14ac:dyDescent="0.3">
      <c r="A566" t="str">
        <f>'Case 3 data'!A565</f>
        <v>AUS453-7Mo</v>
      </c>
      <c r="B566" t="str">
        <f>'Case 3 data'!B565</f>
        <v>Timothy</v>
      </c>
      <c r="C566" t="str">
        <f>'Case 3 data'!C565</f>
        <v>Bolt</v>
      </c>
      <c r="D566" t="str" cm="1">
        <f t="array" ref="D566">LEFT($A566,MIN(FIND({0;1;2;3;4;5;6;7;8;9},$A566&amp;"0123456789"))-1)</f>
        <v>AUS</v>
      </c>
      <c r="E566" t="str" cm="1">
        <f t="array" ref="E566">MID($A566,MIN(FIND({0;1;2;3;4;5;6;7;8;9},$A566&amp;"0123456789")),FIND("-",$A566)-MIN(FIND({0;1;2;3;4;5;6;7;8;9},$A566&amp;"0123456789")))</f>
        <v>453</v>
      </c>
      <c r="F566" t="str">
        <f t="shared" si="126"/>
        <v>7</v>
      </c>
      <c r="G566" t="str">
        <f t="shared" si="127"/>
        <v>Mo</v>
      </c>
      <c r="H566" t="str">
        <f t="shared" si="128"/>
        <v>AUS-7</v>
      </c>
      <c r="J566" t="s">
        <v>1439</v>
      </c>
      <c r="K566" t="s">
        <v>1523</v>
      </c>
      <c r="L566">
        <v>453</v>
      </c>
      <c r="M566">
        <v>7</v>
      </c>
      <c r="N566" t="s">
        <v>1530</v>
      </c>
      <c r="O566" t="s">
        <v>1582</v>
      </c>
    </row>
    <row r="567" spans="1:15" x14ac:dyDescent="0.3">
      <c r="A567" t="str">
        <f>'Case 3 data'!A566</f>
        <v>GER594-5M</v>
      </c>
      <c r="B567" t="str">
        <f>'Case 3 data'!B566</f>
        <v>Mitsue</v>
      </c>
      <c r="C567" t="str">
        <f>'Case 3 data'!C566</f>
        <v>Klinger</v>
      </c>
      <c r="D567" t="str" cm="1">
        <f t="array" ref="D567">LEFT($A567,MIN(FIND({0;1;2;3;4;5;6;7;8;9},$A567&amp;"0123456789"))-1)</f>
        <v>GER</v>
      </c>
      <c r="E567" t="str" cm="1">
        <f t="array" ref="E567">MID($A567,MIN(FIND({0;1;2;3;4;5;6;7;8;9},$A567&amp;"0123456789")),FIND("-",$A567)-MIN(FIND({0;1;2;3;4;5;6;7;8;9},$A567&amp;"0123456789")))</f>
        <v>594</v>
      </c>
      <c r="F567" t="str">
        <f t="shared" si="126"/>
        <v>5</v>
      </c>
      <c r="G567" t="str">
        <f t="shared" si="127"/>
        <v>M</v>
      </c>
      <c r="H567" t="str">
        <f t="shared" si="128"/>
        <v>GER-5</v>
      </c>
      <c r="J567" t="s">
        <v>1442</v>
      </c>
      <c r="K567" t="s">
        <v>1523</v>
      </c>
      <c r="L567">
        <v>594</v>
      </c>
      <c r="M567">
        <v>5</v>
      </c>
      <c r="N567" t="s">
        <v>1531</v>
      </c>
      <c r="O567" t="s">
        <v>1577</v>
      </c>
    </row>
    <row r="568" spans="1:15" x14ac:dyDescent="0.3">
      <c r="A568" t="str">
        <f>'Case 3 data'!A567</f>
        <v>US447-4W</v>
      </c>
      <c r="B568" t="str">
        <f>'Case 3 data'!B567</f>
        <v>Olimpia</v>
      </c>
      <c r="C568" t="str">
        <f>'Case 3 data'!C567</f>
        <v>Rapp</v>
      </c>
      <c r="D568" t="str" cm="1">
        <f t="array" ref="D568">LEFT($A568,MIN(FIND({0;1;2;3;4;5;6;7;8;9},$A568&amp;"0123456789"))-1)</f>
        <v>US</v>
      </c>
      <c r="E568" t="str" cm="1">
        <f t="array" ref="E568">MID($A568,MIN(FIND({0;1;2;3;4;5;6;7;8;9},$A568&amp;"0123456789")),FIND("-",$A568)-MIN(FIND({0;1;2;3;4;5;6;7;8;9},$A568&amp;"0123456789")))</f>
        <v>447</v>
      </c>
      <c r="F568" t="str">
        <f t="shared" si="126"/>
        <v>4</v>
      </c>
      <c r="G568" t="str">
        <f t="shared" si="127"/>
        <v>W</v>
      </c>
      <c r="H568" t="str">
        <f t="shared" si="128"/>
        <v>US-4</v>
      </c>
      <c r="J568" t="s">
        <v>1445</v>
      </c>
      <c r="K568" t="s">
        <v>1521</v>
      </c>
      <c r="L568">
        <v>447</v>
      </c>
      <c r="M568">
        <v>4</v>
      </c>
      <c r="N568" t="s">
        <v>1532</v>
      </c>
      <c r="O568" t="s">
        <v>1537</v>
      </c>
    </row>
    <row r="569" spans="1:15" x14ac:dyDescent="0.3">
      <c r="A569" t="str">
        <f>'Case 3 data'!A568</f>
        <v>AUS492-9W</v>
      </c>
      <c r="B569" t="str">
        <f>'Case 3 data'!B568</f>
        <v>Isaias</v>
      </c>
      <c r="C569" t="str">
        <f>'Case 3 data'!C568</f>
        <v>Lehman</v>
      </c>
      <c r="D569" t="str" cm="1">
        <f t="array" ref="D569">LEFT($A569,MIN(FIND({0;1;2;3;4;5;6;7;8;9},$A569&amp;"0123456789"))-1)</f>
        <v>AUS</v>
      </c>
      <c r="E569" t="str" cm="1">
        <f t="array" ref="E569">MID($A569,MIN(FIND({0;1;2;3;4;5;6;7;8;9},$A569&amp;"0123456789")),FIND("-",$A569)-MIN(FIND({0;1;2;3;4;5;6;7;8;9},$A569&amp;"0123456789")))</f>
        <v>492</v>
      </c>
      <c r="F569" t="str">
        <f t="shared" si="126"/>
        <v>9</v>
      </c>
      <c r="G569" t="str">
        <f t="shared" si="127"/>
        <v>W</v>
      </c>
      <c r="H569" t="str">
        <f t="shared" si="128"/>
        <v>AUS-9</v>
      </c>
      <c r="J569" t="s">
        <v>1448</v>
      </c>
      <c r="K569" t="str">
        <f t="shared" ref="K569:K599" si="139">LEFT(A569,3)</f>
        <v>AUS</v>
      </c>
      <c r="L569">
        <v>492</v>
      </c>
      <c r="M569">
        <v>9</v>
      </c>
      <c r="N569" t="s">
        <v>1532</v>
      </c>
      <c r="O569" t="s">
        <v>1557</v>
      </c>
    </row>
    <row r="570" spans="1:15" x14ac:dyDescent="0.3">
      <c r="A570" t="str">
        <f>'Case 3 data'!A569</f>
        <v>ENG171-7Mo</v>
      </c>
      <c r="B570" t="str">
        <f>'Case 3 data'!B569</f>
        <v>Cornelius</v>
      </c>
      <c r="C570" t="str">
        <f>'Case 3 data'!C569</f>
        <v>Pittman</v>
      </c>
      <c r="D570" t="str" cm="1">
        <f t="array" ref="D570">LEFT($A570,MIN(FIND({0;1;2;3;4;5;6;7;8;9},$A570&amp;"0123456789"))-1)</f>
        <v>ENG</v>
      </c>
      <c r="E570" t="str" cm="1">
        <f t="array" ref="E570">MID($A570,MIN(FIND({0;1;2;3;4;5;6;7;8;9},$A570&amp;"0123456789")),FIND("-",$A570)-MIN(FIND({0;1;2;3;4;5;6;7;8;9},$A570&amp;"0123456789")))</f>
        <v>171</v>
      </c>
      <c r="F570" t="str">
        <f t="shared" si="126"/>
        <v>7</v>
      </c>
      <c r="G570" t="str">
        <f t="shared" si="127"/>
        <v>Mo</v>
      </c>
      <c r="H570" t="str">
        <f t="shared" si="128"/>
        <v>ENG-7</v>
      </c>
      <c r="J570" t="s">
        <v>1451</v>
      </c>
      <c r="K570" t="s">
        <v>1522</v>
      </c>
      <c r="L570">
        <v>171</v>
      </c>
      <c r="M570">
        <v>7</v>
      </c>
      <c r="N570" t="s">
        <v>1530</v>
      </c>
      <c r="O570" t="s">
        <v>1548</v>
      </c>
    </row>
    <row r="571" spans="1:15" x14ac:dyDescent="0.3">
      <c r="A571" t="str">
        <f>'Case 3 data'!A570</f>
        <v>Japan571-16M</v>
      </c>
      <c r="B571" t="str">
        <f>'Case 3 data'!B570</f>
        <v>Terence</v>
      </c>
      <c r="C571" t="str">
        <f>'Case 3 data'!C570</f>
        <v>Herrera</v>
      </c>
      <c r="D571" t="str" cm="1">
        <f t="array" ref="D571">LEFT($A571,MIN(FIND({0;1;2;3;4;5;6;7;8;9},$A571&amp;"0123456789"))-1)</f>
        <v>Japan</v>
      </c>
      <c r="E571" t="str" cm="1">
        <f t="array" ref="E571">MID($A571,MIN(FIND({0;1;2;3;4;5;6;7;8;9},$A571&amp;"0123456789")),FIND("-",$A571)-MIN(FIND({0;1;2;3;4;5;6;7;8;9},$A571&amp;"0123456789")))</f>
        <v>571</v>
      </c>
      <c r="F571" t="str">
        <f t="shared" si="126"/>
        <v>16</v>
      </c>
      <c r="G571" t="str">
        <f t="shared" si="127"/>
        <v>M</v>
      </c>
      <c r="H571" t="str">
        <f t="shared" si="128"/>
        <v>Japan-16</v>
      </c>
      <c r="J571" t="s">
        <v>1453</v>
      </c>
      <c r="K571" t="s">
        <v>1523</v>
      </c>
      <c r="L571">
        <v>571</v>
      </c>
      <c r="M571">
        <v>16</v>
      </c>
      <c r="N571" t="s">
        <v>1531</v>
      </c>
      <c r="O571" t="s">
        <v>1570</v>
      </c>
    </row>
    <row r="572" spans="1:15" x14ac:dyDescent="0.3">
      <c r="A572" t="str">
        <f>'Case 3 data'!A571</f>
        <v>Japan12-6Mo</v>
      </c>
      <c r="B572" t="str">
        <f>'Case 3 data'!B571</f>
        <v>Cynthia</v>
      </c>
      <c r="C572" t="str">
        <f>'Case 3 data'!C571</f>
        <v>King</v>
      </c>
      <c r="D572" t="str" cm="1">
        <f t="array" ref="D572">LEFT($A572,MIN(FIND({0;1;2;3;4;5;6;7;8;9},$A572&amp;"0123456789"))-1)</f>
        <v>Japan</v>
      </c>
      <c r="E572" t="str" cm="1">
        <f t="array" ref="E572">MID($A572,MIN(FIND({0;1;2;3;4;5;6;7;8;9},$A572&amp;"0123456789")),FIND("-",$A572)-MIN(FIND({0;1;2;3;4;5;6;7;8;9},$A572&amp;"0123456789")))</f>
        <v>12</v>
      </c>
      <c r="F572" t="str">
        <f t="shared" si="126"/>
        <v>6</v>
      </c>
      <c r="G572" t="str">
        <f t="shared" si="127"/>
        <v>Mo</v>
      </c>
      <c r="H572" t="str">
        <f t="shared" si="128"/>
        <v>Japan-6</v>
      </c>
      <c r="J572" t="s">
        <v>1455</v>
      </c>
      <c r="K572" t="s">
        <v>1523</v>
      </c>
      <c r="L572">
        <v>12</v>
      </c>
      <c r="M572">
        <v>6</v>
      </c>
      <c r="N572" t="s">
        <v>1530</v>
      </c>
      <c r="O572" t="s">
        <v>1540</v>
      </c>
    </row>
    <row r="573" spans="1:15" x14ac:dyDescent="0.3">
      <c r="A573" t="str">
        <f>'Case 3 data'!A572</f>
        <v>Canada64-13Mo</v>
      </c>
      <c r="B573" t="str">
        <f>'Case 3 data'!B572</f>
        <v>Tammy</v>
      </c>
      <c r="C573" t="str">
        <f>'Case 3 data'!C572</f>
        <v>Simmons</v>
      </c>
      <c r="D573" t="str" cm="1">
        <f t="array" ref="D573">LEFT($A573,MIN(FIND({0;1;2;3;4;5;6;7;8;9},$A573&amp;"0123456789"))-1)</f>
        <v>Canada</v>
      </c>
      <c r="E573" t="str" cm="1">
        <f t="array" ref="E573">MID($A573,MIN(FIND({0;1;2;3;4;5;6;7;8;9},$A573&amp;"0123456789")),FIND("-",$A573)-MIN(FIND({0;1;2;3;4;5;6;7;8;9},$A573&amp;"0123456789")))</f>
        <v>64</v>
      </c>
      <c r="F573" t="str">
        <f t="shared" si="126"/>
        <v>13</v>
      </c>
      <c r="G573" t="str">
        <f t="shared" si="127"/>
        <v>Mo</v>
      </c>
      <c r="H573" t="str">
        <f t="shared" si="128"/>
        <v>Canada-13</v>
      </c>
      <c r="J573" t="s">
        <v>1456</v>
      </c>
      <c r="K573" t="s">
        <v>1521</v>
      </c>
      <c r="L573">
        <v>64</v>
      </c>
      <c r="M573">
        <v>13</v>
      </c>
      <c r="N573" t="s">
        <v>1530</v>
      </c>
      <c r="O573" t="s">
        <v>1571</v>
      </c>
    </row>
    <row r="574" spans="1:15" x14ac:dyDescent="0.3">
      <c r="A574" t="str">
        <f>'Case 3 data'!A573</f>
        <v>AUS405-16Mo</v>
      </c>
      <c r="B574" t="str">
        <f>'Case 3 data'!B573</f>
        <v>Susan</v>
      </c>
      <c r="C574" t="str">
        <f>'Case 3 data'!C573</f>
        <v>Kelly</v>
      </c>
      <c r="D574" t="str" cm="1">
        <f t="array" ref="D574">LEFT($A574,MIN(FIND({0;1;2;3;4;5;6;7;8;9},$A574&amp;"0123456789"))-1)</f>
        <v>AUS</v>
      </c>
      <c r="E574" t="str" cm="1">
        <f t="array" ref="E574">MID($A574,MIN(FIND({0;1;2;3;4;5;6;7;8;9},$A574&amp;"0123456789")),FIND("-",$A574)-MIN(FIND({0;1;2;3;4;5;6;7;8;9},$A574&amp;"0123456789")))</f>
        <v>405</v>
      </c>
      <c r="F574" t="str">
        <f t="shared" si="126"/>
        <v>16</v>
      </c>
      <c r="G574" t="str">
        <f t="shared" si="127"/>
        <v>Mo</v>
      </c>
      <c r="H574" t="str">
        <f t="shared" si="128"/>
        <v>AUS-16</v>
      </c>
      <c r="J574" t="s">
        <v>1458</v>
      </c>
      <c r="K574" t="str">
        <f t="shared" ref="K574:K599" si="140">LEFT(A574,3)</f>
        <v>AUS</v>
      </c>
      <c r="L574">
        <v>405</v>
      </c>
      <c r="M574">
        <v>16</v>
      </c>
      <c r="N574" t="s">
        <v>1530</v>
      </c>
      <c r="O574" t="s">
        <v>1595</v>
      </c>
    </row>
    <row r="575" spans="1:15" x14ac:dyDescent="0.3">
      <c r="A575" t="str">
        <f>'Case 3 data'!A574</f>
        <v>Japan163-12W</v>
      </c>
      <c r="B575" t="str">
        <f>'Case 3 data'!B574</f>
        <v>Gregory</v>
      </c>
      <c r="C575" t="str">
        <f>'Case 3 data'!C574</f>
        <v>Sanders</v>
      </c>
      <c r="D575" t="str" cm="1">
        <f t="array" ref="D575">LEFT($A575,MIN(FIND({0;1;2;3;4;5;6;7;8;9},$A575&amp;"0123456789"))-1)</f>
        <v>Japan</v>
      </c>
      <c r="E575" t="str" cm="1">
        <f t="array" ref="E575">MID($A575,MIN(FIND({0;1;2;3;4;5;6;7;8;9},$A575&amp;"0123456789")),FIND("-",$A575)-MIN(FIND({0;1;2;3;4;5;6;7;8;9},$A575&amp;"0123456789")))</f>
        <v>163</v>
      </c>
      <c r="F575" t="str">
        <f t="shared" si="126"/>
        <v>12</v>
      </c>
      <c r="G575" t="str">
        <f t="shared" si="127"/>
        <v>W</v>
      </c>
      <c r="H575" t="str">
        <f t="shared" si="128"/>
        <v>Japan-12</v>
      </c>
      <c r="J575" t="s">
        <v>1459</v>
      </c>
      <c r="K575" t="s">
        <v>1522</v>
      </c>
      <c r="L575">
        <v>163</v>
      </c>
      <c r="M575">
        <v>12</v>
      </c>
      <c r="N575" t="s">
        <v>1532</v>
      </c>
      <c r="O575" t="s">
        <v>1627</v>
      </c>
    </row>
    <row r="576" spans="1:15" x14ac:dyDescent="0.3">
      <c r="A576" t="str">
        <f>'Case 3 data'!A575</f>
        <v>US117-11M</v>
      </c>
      <c r="B576" t="str">
        <f>'Case 3 data'!B575</f>
        <v>Marilyn</v>
      </c>
      <c r="C576" t="str">
        <f>'Case 3 data'!C575</f>
        <v>Rogers</v>
      </c>
      <c r="D576" t="str" cm="1">
        <f t="array" ref="D576">LEFT($A576,MIN(FIND({0;1;2;3;4;5;6;7;8;9},$A576&amp;"0123456789"))-1)</f>
        <v>US</v>
      </c>
      <c r="E576" t="str" cm="1">
        <f t="array" ref="E576">MID($A576,MIN(FIND({0;1;2;3;4;5;6;7;8;9},$A576&amp;"0123456789")),FIND("-",$A576)-MIN(FIND({0;1;2;3;4;5;6;7;8;9},$A576&amp;"0123456789")))</f>
        <v>117</v>
      </c>
      <c r="F576" t="str">
        <f t="shared" si="126"/>
        <v>11</v>
      </c>
      <c r="G576" t="str">
        <f t="shared" si="127"/>
        <v>M</v>
      </c>
      <c r="H576" t="str">
        <f t="shared" si="128"/>
        <v>US-11</v>
      </c>
      <c r="J576" t="s">
        <v>1461</v>
      </c>
      <c r="K576" t="s">
        <v>1523</v>
      </c>
      <c r="L576">
        <v>117</v>
      </c>
      <c r="M576">
        <v>11</v>
      </c>
      <c r="N576" t="s">
        <v>1531</v>
      </c>
      <c r="O576" t="s">
        <v>1580</v>
      </c>
    </row>
    <row r="577" spans="1:15" x14ac:dyDescent="0.3">
      <c r="A577" t="str">
        <f>'Case 3 data'!A576</f>
        <v>US341-16Mo</v>
      </c>
      <c r="B577" t="str">
        <f>'Case 3 data'!B576</f>
        <v>Paul</v>
      </c>
      <c r="C577" t="str">
        <f>'Case 3 data'!C576</f>
        <v>Boone</v>
      </c>
      <c r="D577" t="str" cm="1">
        <f t="array" ref="D577">LEFT($A577,MIN(FIND({0;1;2;3;4;5;6;7;8;9},$A577&amp;"0123456789"))-1)</f>
        <v>US</v>
      </c>
      <c r="E577" t="str" cm="1">
        <f t="array" ref="E577">MID($A577,MIN(FIND({0;1;2;3;4;5;6;7;8;9},$A577&amp;"0123456789")),FIND("-",$A577)-MIN(FIND({0;1;2;3;4;5;6;7;8;9},$A577&amp;"0123456789")))</f>
        <v>341</v>
      </c>
      <c r="F577" t="str">
        <f t="shared" si="126"/>
        <v>16</v>
      </c>
      <c r="G577" t="str">
        <f t="shared" si="127"/>
        <v>Mo</v>
      </c>
      <c r="H577" t="str">
        <f t="shared" si="128"/>
        <v>US-16</v>
      </c>
      <c r="J577" t="s">
        <v>1462</v>
      </c>
      <c r="K577" t="s">
        <v>1523</v>
      </c>
      <c r="L577">
        <v>341</v>
      </c>
      <c r="M577">
        <v>16</v>
      </c>
      <c r="N577" t="s">
        <v>1530</v>
      </c>
      <c r="O577" t="s">
        <v>1570</v>
      </c>
    </row>
    <row r="578" spans="1:15" x14ac:dyDescent="0.3">
      <c r="A578" t="str">
        <f>'Case 3 data'!A577</f>
        <v>ARG209-6Mo</v>
      </c>
      <c r="B578" t="str">
        <f>'Case 3 data'!B577</f>
        <v>Kathe</v>
      </c>
      <c r="C578" t="str">
        <f>'Case 3 data'!C577</f>
        <v>Meier</v>
      </c>
      <c r="D578" t="str" cm="1">
        <f t="array" ref="D578">LEFT($A578,MIN(FIND({0;1;2;3;4;5;6;7;8;9},$A578&amp;"0123456789"))-1)</f>
        <v>ARG</v>
      </c>
      <c r="E578" t="str" cm="1">
        <f t="array" ref="E578">MID($A578,MIN(FIND({0;1;2;3;4;5;6;7;8;9},$A578&amp;"0123456789")),FIND("-",$A578)-MIN(FIND({0;1;2;3;4;5;6;7;8;9},$A578&amp;"0123456789")))</f>
        <v>209</v>
      </c>
      <c r="F578" t="str">
        <f t="shared" si="126"/>
        <v>6</v>
      </c>
      <c r="G578" t="str">
        <f t="shared" si="127"/>
        <v>Mo</v>
      </c>
      <c r="H578" t="str">
        <f t="shared" si="128"/>
        <v>ARG-6</v>
      </c>
      <c r="J578" t="s">
        <v>1464</v>
      </c>
      <c r="K578" t="s">
        <v>1521</v>
      </c>
      <c r="L578">
        <v>209</v>
      </c>
      <c r="M578">
        <v>6</v>
      </c>
      <c r="N578" t="s">
        <v>1530</v>
      </c>
      <c r="O578" t="s">
        <v>1561</v>
      </c>
    </row>
    <row r="579" spans="1:15" x14ac:dyDescent="0.3">
      <c r="A579" t="str">
        <f>'Case 3 data'!A578</f>
        <v>GER378-11Mo</v>
      </c>
      <c r="B579" t="str">
        <f>'Case 3 data'!B578</f>
        <v>Pasquale</v>
      </c>
      <c r="C579" t="str">
        <f>'Case 3 data'!C578</f>
        <v>Dortch</v>
      </c>
      <c r="D579" t="str" cm="1">
        <f t="array" ref="D579">LEFT($A579,MIN(FIND({0;1;2;3;4;5;6;7;8;9},$A579&amp;"0123456789"))-1)</f>
        <v>GER</v>
      </c>
      <c r="E579" t="str" cm="1">
        <f t="array" ref="E579">MID($A579,MIN(FIND({0;1;2;3;4;5;6;7;8;9},$A579&amp;"0123456789")),FIND("-",$A579)-MIN(FIND({0;1;2;3;4;5;6;7;8;9},$A579&amp;"0123456789")))</f>
        <v>378</v>
      </c>
      <c r="F579" t="str">
        <f t="shared" si="126"/>
        <v>11</v>
      </c>
      <c r="G579" t="str">
        <f t="shared" si="127"/>
        <v>Mo</v>
      </c>
      <c r="H579" t="str">
        <f t="shared" si="128"/>
        <v>GER-11</v>
      </c>
      <c r="J579" t="s">
        <v>1467</v>
      </c>
      <c r="K579" t="str">
        <f t="shared" ref="K579:K599" si="141">LEFT(A579,3)</f>
        <v>GER</v>
      </c>
      <c r="L579">
        <v>378</v>
      </c>
      <c r="M579">
        <v>11</v>
      </c>
      <c r="N579" t="s">
        <v>1530</v>
      </c>
      <c r="O579" t="s">
        <v>1580</v>
      </c>
    </row>
    <row r="580" spans="1:15" x14ac:dyDescent="0.3">
      <c r="A580" t="str">
        <f>'Case 3 data'!A579</f>
        <v>GER258-7M</v>
      </c>
      <c r="B580" t="str">
        <f>'Case 3 data'!B579</f>
        <v>Raymond</v>
      </c>
      <c r="C580" t="str">
        <f>'Case 3 data'!C579</f>
        <v>Ross</v>
      </c>
      <c r="D580" t="str" cm="1">
        <f t="array" ref="D580">LEFT($A580,MIN(FIND({0;1;2;3;4;5;6;7;8;9},$A580&amp;"0123456789"))-1)</f>
        <v>GER</v>
      </c>
      <c r="E580" t="str" cm="1">
        <f t="array" ref="E580">MID($A580,MIN(FIND({0;1;2;3;4;5;6;7;8;9},$A580&amp;"0123456789")),FIND("-",$A580)-MIN(FIND({0;1;2;3;4;5;6;7;8;9},$A580&amp;"0123456789")))</f>
        <v>258</v>
      </c>
      <c r="F580" t="str">
        <f t="shared" ref="F580:F599" si="142">MID($A580,FIND("-",$A580)+1,LEN($A580)-FIND("-",$A580)-LEN($G580))</f>
        <v>7</v>
      </c>
      <c r="G580" t="str">
        <f t="shared" ref="G580:G599" si="143">IF(RIGHT($A580,2)="Mo","Mo",RIGHT($A580,1))</f>
        <v>M</v>
      </c>
      <c r="H580" t="str">
        <f t="shared" ref="H580:H599" si="144">D580&amp;"-"&amp;F580</f>
        <v>GER-7</v>
      </c>
      <c r="J580" t="s">
        <v>1470</v>
      </c>
      <c r="K580" t="s">
        <v>1522</v>
      </c>
      <c r="L580">
        <v>258</v>
      </c>
      <c r="M580">
        <v>7</v>
      </c>
      <c r="N580" t="s">
        <v>1531</v>
      </c>
      <c r="O580" t="s">
        <v>1548</v>
      </c>
    </row>
    <row r="581" spans="1:15" x14ac:dyDescent="0.3">
      <c r="A581" t="str">
        <f>'Case 3 data'!A580</f>
        <v>Canada501-12W</v>
      </c>
      <c r="B581" t="str">
        <f>'Case 3 data'!B580</f>
        <v>Elizabeth</v>
      </c>
      <c r="C581" t="str">
        <f>'Case 3 data'!C580</f>
        <v>Murphy</v>
      </c>
      <c r="D581" t="str" cm="1">
        <f t="array" ref="D581">LEFT($A581,MIN(FIND({0;1;2;3;4;5;6;7;8;9},$A581&amp;"0123456789"))-1)</f>
        <v>Canada</v>
      </c>
      <c r="E581" t="str" cm="1">
        <f t="array" ref="E581">MID($A581,MIN(FIND({0;1;2;3;4;5;6;7;8;9},$A581&amp;"0123456789")),FIND("-",$A581)-MIN(FIND({0;1;2;3;4;5;6;7;8;9},$A581&amp;"0123456789")))</f>
        <v>501</v>
      </c>
      <c r="F581" t="str">
        <f t="shared" si="142"/>
        <v>12</v>
      </c>
      <c r="G581" t="str">
        <f t="shared" si="143"/>
        <v>W</v>
      </c>
      <c r="H581" t="str">
        <f t="shared" si="144"/>
        <v>Canada-12</v>
      </c>
      <c r="J581" t="s">
        <v>1472</v>
      </c>
      <c r="K581" t="s">
        <v>1523</v>
      </c>
      <c r="L581">
        <v>501</v>
      </c>
      <c r="M581">
        <v>12</v>
      </c>
      <c r="N581" t="s">
        <v>1532</v>
      </c>
      <c r="O581" t="s">
        <v>1567</v>
      </c>
    </row>
    <row r="582" spans="1:15" x14ac:dyDescent="0.3">
      <c r="A582" t="str">
        <f>'Case 3 data'!A581</f>
        <v>MEX586-10W</v>
      </c>
      <c r="B582" t="str">
        <f>'Case 3 data'!B581</f>
        <v>Diana</v>
      </c>
      <c r="C582" t="str">
        <f>'Case 3 data'!C581</f>
        <v>Hall</v>
      </c>
      <c r="D582" t="str" cm="1">
        <f t="array" ref="D582">LEFT($A582,MIN(FIND({0;1;2;3;4;5;6;7;8;9},$A582&amp;"0123456789"))-1)</f>
        <v>MEX</v>
      </c>
      <c r="E582" t="str" cm="1">
        <f t="array" ref="E582">MID($A582,MIN(FIND({0;1;2;3;4;5;6;7;8;9},$A582&amp;"0123456789")),FIND("-",$A582)-MIN(FIND({0;1;2;3;4;5;6;7;8;9},$A582&amp;"0123456789")))</f>
        <v>586</v>
      </c>
      <c r="F582" t="str">
        <f t="shared" si="142"/>
        <v>10</v>
      </c>
      <c r="G582" t="str">
        <f t="shared" si="143"/>
        <v>W</v>
      </c>
      <c r="H582" t="str">
        <f t="shared" si="144"/>
        <v>MEX-10</v>
      </c>
      <c r="J582" t="s">
        <v>1473</v>
      </c>
      <c r="K582" t="s">
        <v>1523</v>
      </c>
      <c r="L582">
        <v>586</v>
      </c>
      <c r="M582">
        <v>10</v>
      </c>
      <c r="N582" t="s">
        <v>1532</v>
      </c>
      <c r="O582" t="s">
        <v>1545</v>
      </c>
    </row>
    <row r="583" spans="1:15" x14ac:dyDescent="0.3">
      <c r="A583" t="str">
        <f>'Case 3 data'!A582</f>
        <v>ENG418-15Mo</v>
      </c>
      <c r="B583" t="str">
        <f>'Case 3 data'!B582</f>
        <v>Darrell</v>
      </c>
      <c r="C583" t="str">
        <f>'Case 3 data'!C582</f>
        <v>Obrien</v>
      </c>
      <c r="D583" t="str" cm="1">
        <f t="array" ref="D583">LEFT($A583,MIN(FIND({0;1;2;3;4;5;6;7;8;9},$A583&amp;"0123456789"))-1)</f>
        <v>ENG</v>
      </c>
      <c r="E583" t="str" cm="1">
        <f t="array" ref="E583">MID($A583,MIN(FIND({0;1;2;3;4;5;6;7;8;9},$A583&amp;"0123456789")),FIND("-",$A583)-MIN(FIND({0;1;2;3;4;5;6;7;8;9},$A583&amp;"0123456789")))</f>
        <v>418</v>
      </c>
      <c r="F583" t="str">
        <f t="shared" si="142"/>
        <v>15</v>
      </c>
      <c r="G583" t="str">
        <f t="shared" si="143"/>
        <v>Mo</v>
      </c>
      <c r="H583" t="str">
        <f t="shared" si="144"/>
        <v>ENG-15</v>
      </c>
      <c r="J583" t="s">
        <v>1474</v>
      </c>
      <c r="K583" t="s">
        <v>1521</v>
      </c>
      <c r="L583">
        <v>418</v>
      </c>
      <c r="M583">
        <v>15</v>
      </c>
      <c r="N583" t="s">
        <v>1530</v>
      </c>
      <c r="O583" t="s">
        <v>1568</v>
      </c>
    </row>
    <row r="584" spans="1:15" x14ac:dyDescent="0.3">
      <c r="A584" t="str">
        <f>'Case 3 data'!A583</f>
        <v>MEX294-5Mo</v>
      </c>
      <c r="B584" t="str">
        <f>'Case 3 data'!B583</f>
        <v>Beverly</v>
      </c>
      <c r="C584" t="str">
        <f>'Case 3 data'!C583</f>
        <v>Adams</v>
      </c>
      <c r="D584" t="str" cm="1">
        <f t="array" ref="D584">LEFT($A584,MIN(FIND({0;1;2;3;4;5;6;7;8;9},$A584&amp;"0123456789"))-1)</f>
        <v>MEX</v>
      </c>
      <c r="E584" t="str" cm="1">
        <f t="array" ref="E584">MID($A584,MIN(FIND({0;1;2;3;4;5;6;7;8;9},$A584&amp;"0123456789")),FIND("-",$A584)-MIN(FIND({0;1;2;3;4;5;6;7;8;9},$A584&amp;"0123456789")))</f>
        <v>294</v>
      </c>
      <c r="F584" t="str">
        <f t="shared" si="142"/>
        <v>5</v>
      </c>
      <c r="G584" t="str">
        <f t="shared" si="143"/>
        <v>Mo</v>
      </c>
      <c r="H584" t="str">
        <f t="shared" si="144"/>
        <v>MEX-5</v>
      </c>
      <c r="J584" t="s">
        <v>1477</v>
      </c>
      <c r="K584" t="str">
        <f t="shared" ref="K584:K599" si="145">LEFT(A584,3)</f>
        <v>MEX</v>
      </c>
      <c r="L584">
        <v>294</v>
      </c>
      <c r="M584">
        <v>5</v>
      </c>
      <c r="N584" t="s">
        <v>1530</v>
      </c>
      <c r="O584" t="s">
        <v>1647</v>
      </c>
    </row>
    <row r="585" spans="1:15" x14ac:dyDescent="0.3">
      <c r="A585" t="str">
        <f>'Case 3 data'!A584</f>
        <v>Japan227-4M</v>
      </c>
      <c r="B585" t="str">
        <f>'Case 3 data'!B584</f>
        <v>Peter</v>
      </c>
      <c r="C585" t="str">
        <f>'Case 3 data'!C584</f>
        <v>Adams</v>
      </c>
      <c r="D585" t="str" cm="1">
        <f t="array" ref="D585">LEFT($A585,MIN(FIND({0;1;2;3;4;5;6;7;8;9},$A585&amp;"0123456789"))-1)</f>
        <v>Japan</v>
      </c>
      <c r="E585" t="str" cm="1">
        <f t="array" ref="E585">MID($A585,MIN(FIND({0;1;2;3;4;5;6;7;8;9},$A585&amp;"0123456789")),FIND("-",$A585)-MIN(FIND({0;1;2;3;4;5;6;7;8;9},$A585&amp;"0123456789")))</f>
        <v>227</v>
      </c>
      <c r="F585" t="str">
        <f t="shared" si="142"/>
        <v>4</v>
      </c>
      <c r="G585" t="str">
        <f t="shared" si="143"/>
        <v>M</v>
      </c>
      <c r="H585" t="str">
        <f t="shared" si="144"/>
        <v>Japan-4</v>
      </c>
      <c r="J585" t="s">
        <v>1480</v>
      </c>
      <c r="K585" t="s">
        <v>1522</v>
      </c>
      <c r="L585">
        <v>227</v>
      </c>
      <c r="M585">
        <v>4</v>
      </c>
      <c r="N585" t="s">
        <v>1531</v>
      </c>
      <c r="O585" t="s">
        <v>1573</v>
      </c>
    </row>
    <row r="586" spans="1:15" x14ac:dyDescent="0.3">
      <c r="A586" t="str">
        <f>'Case 3 data'!A585</f>
        <v>MEX184-11W</v>
      </c>
      <c r="B586" t="str">
        <f>'Case 3 data'!B585</f>
        <v>Salome</v>
      </c>
      <c r="C586" t="str">
        <f>'Case 3 data'!C585</f>
        <v>Dolan</v>
      </c>
      <c r="D586" t="str" cm="1">
        <f t="array" ref="D586">LEFT($A586,MIN(FIND({0;1;2;3;4;5;6;7;8;9},$A586&amp;"0123456789"))-1)</f>
        <v>MEX</v>
      </c>
      <c r="E586" t="str" cm="1">
        <f t="array" ref="E586">MID($A586,MIN(FIND({0;1;2;3;4;5;6;7;8;9},$A586&amp;"0123456789")),FIND("-",$A586)-MIN(FIND({0;1;2;3;4;5;6;7;8;9},$A586&amp;"0123456789")))</f>
        <v>184</v>
      </c>
      <c r="F586" t="str">
        <f t="shared" si="142"/>
        <v>11</v>
      </c>
      <c r="G586" t="str">
        <f t="shared" si="143"/>
        <v>W</v>
      </c>
      <c r="H586" t="str">
        <f t="shared" si="144"/>
        <v>MEX-11</v>
      </c>
      <c r="J586" t="s">
        <v>1481</v>
      </c>
      <c r="K586" t="s">
        <v>1523</v>
      </c>
      <c r="L586">
        <v>184</v>
      </c>
      <c r="M586">
        <v>11</v>
      </c>
      <c r="N586" t="s">
        <v>1532</v>
      </c>
      <c r="O586" t="s">
        <v>1580</v>
      </c>
    </row>
    <row r="587" spans="1:15" x14ac:dyDescent="0.3">
      <c r="A587" t="str">
        <f>'Case 3 data'!A586</f>
        <v>Japan81-12W</v>
      </c>
      <c r="B587" t="str">
        <f>'Case 3 data'!B586</f>
        <v>Nicholas</v>
      </c>
      <c r="C587" t="str">
        <f>'Case 3 data'!C586</f>
        <v>Brooks</v>
      </c>
      <c r="D587" t="str" cm="1">
        <f t="array" ref="D587">LEFT($A587,MIN(FIND({0;1;2;3;4;5;6;7;8;9},$A587&amp;"0123456789"))-1)</f>
        <v>Japan</v>
      </c>
      <c r="E587" t="str" cm="1">
        <f t="array" ref="E587">MID($A587,MIN(FIND({0;1;2;3;4;5;6;7;8;9},$A587&amp;"0123456789")),FIND("-",$A587)-MIN(FIND({0;1;2;3;4;5;6;7;8;9},$A587&amp;"0123456789")))</f>
        <v>81</v>
      </c>
      <c r="F587" t="str">
        <f t="shared" si="142"/>
        <v>12</v>
      </c>
      <c r="G587" t="str">
        <f t="shared" si="143"/>
        <v>W</v>
      </c>
      <c r="H587" t="str">
        <f t="shared" si="144"/>
        <v>Japan-12</v>
      </c>
      <c r="J587" t="s">
        <v>1484</v>
      </c>
      <c r="K587" t="s">
        <v>1523</v>
      </c>
      <c r="L587">
        <v>81</v>
      </c>
      <c r="M587">
        <v>12</v>
      </c>
      <c r="N587" t="s">
        <v>1532</v>
      </c>
      <c r="O587" t="s">
        <v>1567</v>
      </c>
    </row>
    <row r="588" spans="1:15" x14ac:dyDescent="0.3">
      <c r="A588" t="str">
        <f>'Case 3 data'!A587</f>
        <v>ENG539-15Mo</v>
      </c>
      <c r="B588" t="str">
        <f>'Case 3 data'!B587</f>
        <v>Vania</v>
      </c>
      <c r="C588" t="str">
        <f>'Case 3 data'!C587</f>
        <v>Nadeau</v>
      </c>
      <c r="D588" t="str" cm="1">
        <f t="array" ref="D588">LEFT($A588,MIN(FIND({0;1;2;3;4;5;6;7;8;9},$A588&amp;"0123456789"))-1)</f>
        <v>ENG</v>
      </c>
      <c r="E588" t="str" cm="1">
        <f t="array" ref="E588">MID($A588,MIN(FIND({0;1;2;3;4;5;6;7;8;9},$A588&amp;"0123456789")),FIND("-",$A588)-MIN(FIND({0;1;2;3;4;5;6;7;8;9},$A588&amp;"0123456789")))</f>
        <v>539</v>
      </c>
      <c r="F588" t="str">
        <f t="shared" si="142"/>
        <v>15</v>
      </c>
      <c r="G588" t="str">
        <f t="shared" si="143"/>
        <v>Mo</v>
      </c>
      <c r="H588" t="str">
        <f t="shared" si="144"/>
        <v>ENG-15</v>
      </c>
      <c r="J588" t="s">
        <v>1485</v>
      </c>
      <c r="K588" t="s">
        <v>1521</v>
      </c>
      <c r="L588">
        <v>539</v>
      </c>
      <c r="M588">
        <v>15</v>
      </c>
      <c r="N588" t="s">
        <v>1530</v>
      </c>
      <c r="O588" t="s">
        <v>1568</v>
      </c>
    </row>
    <row r="589" spans="1:15" x14ac:dyDescent="0.3">
      <c r="A589" t="str">
        <f>'Case 3 data'!A588</f>
        <v>Japan233-14Mo</v>
      </c>
      <c r="B589" t="str">
        <f>'Case 3 data'!B588</f>
        <v>Samantha</v>
      </c>
      <c r="C589" t="str">
        <f>'Case 3 data'!C588</f>
        <v>Phillips</v>
      </c>
      <c r="D589" t="str" cm="1">
        <f t="array" ref="D589">LEFT($A589,MIN(FIND({0;1;2;3;4;5;6;7;8;9},$A589&amp;"0123456789"))-1)</f>
        <v>Japan</v>
      </c>
      <c r="E589" t="str" cm="1">
        <f t="array" ref="E589">MID($A589,MIN(FIND({0;1;2;3;4;5;6;7;8;9},$A589&amp;"0123456789")),FIND("-",$A589)-MIN(FIND({0;1;2;3;4;5;6;7;8;9},$A589&amp;"0123456789")))</f>
        <v>233</v>
      </c>
      <c r="F589" t="str">
        <f t="shared" si="142"/>
        <v>14</v>
      </c>
      <c r="G589" t="str">
        <f t="shared" si="143"/>
        <v>Mo</v>
      </c>
      <c r="H589" t="str">
        <f t="shared" si="144"/>
        <v>Japan-14</v>
      </c>
      <c r="J589" t="s">
        <v>1488</v>
      </c>
      <c r="K589" t="str">
        <f t="shared" ref="K589:K599" si="146">LEFT(A589,3)</f>
        <v>Jap</v>
      </c>
      <c r="L589">
        <v>233</v>
      </c>
      <c r="M589">
        <v>14</v>
      </c>
      <c r="N589" t="s">
        <v>1530</v>
      </c>
      <c r="O589" t="s">
        <v>1569</v>
      </c>
    </row>
    <row r="590" spans="1:15" x14ac:dyDescent="0.3">
      <c r="A590" t="str">
        <f>'Case 3 data'!A589</f>
        <v>MEX358-6W</v>
      </c>
      <c r="B590" t="str">
        <f>'Case 3 data'!B589</f>
        <v>Rolando</v>
      </c>
      <c r="C590" t="str">
        <f>'Case 3 data'!C589</f>
        <v>Hanson</v>
      </c>
      <c r="D590" t="str" cm="1">
        <f t="array" ref="D590">LEFT($A590,MIN(FIND({0;1;2;3;4;5;6;7;8;9},$A590&amp;"0123456789"))-1)</f>
        <v>MEX</v>
      </c>
      <c r="E590" t="str" cm="1">
        <f t="array" ref="E590">MID($A590,MIN(FIND({0;1;2;3;4;5;6;7;8;9},$A590&amp;"0123456789")),FIND("-",$A590)-MIN(FIND({0;1;2;3;4;5;6;7;8;9},$A590&amp;"0123456789")))</f>
        <v>358</v>
      </c>
      <c r="F590" t="str">
        <f t="shared" si="142"/>
        <v>6</v>
      </c>
      <c r="G590" t="str">
        <f t="shared" si="143"/>
        <v>W</v>
      </c>
      <c r="H590" t="str">
        <f t="shared" si="144"/>
        <v>MEX-6</v>
      </c>
      <c r="J590" t="s">
        <v>1490</v>
      </c>
      <c r="K590" t="s">
        <v>1522</v>
      </c>
      <c r="L590">
        <v>358</v>
      </c>
      <c r="M590">
        <v>6</v>
      </c>
      <c r="N590" t="s">
        <v>1532</v>
      </c>
      <c r="O590" t="s">
        <v>1609</v>
      </c>
    </row>
    <row r="591" spans="1:15" x14ac:dyDescent="0.3">
      <c r="A591" t="str">
        <f>'Case 3 data'!A590</f>
        <v>MEX221-16W</v>
      </c>
      <c r="B591" t="str">
        <f>'Case 3 data'!B590</f>
        <v>Sadie</v>
      </c>
      <c r="C591" t="str">
        <f>'Case 3 data'!C590</f>
        <v>Reyes</v>
      </c>
      <c r="D591" t="str" cm="1">
        <f t="array" ref="D591">LEFT($A591,MIN(FIND({0;1;2;3;4;5;6;7;8;9},$A591&amp;"0123456789"))-1)</f>
        <v>MEX</v>
      </c>
      <c r="E591" t="str" cm="1">
        <f t="array" ref="E591">MID($A591,MIN(FIND({0;1;2;3;4;5;6;7;8;9},$A591&amp;"0123456789")),FIND("-",$A591)-MIN(FIND({0;1;2;3;4;5;6;7;8;9},$A591&amp;"0123456789")))</f>
        <v>221</v>
      </c>
      <c r="F591" t="str">
        <f t="shared" si="142"/>
        <v>16</v>
      </c>
      <c r="G591" t="str">
        <f t="shared" si="143"/>
        <v>W</v>
      </c>
      <c r="H591" t="str">
        <f t="shared" si="144"/>
        <v>MEX-16</v>
      </c>
      <c r="J591" t="s">
        <v>1493</v>
      </c>
      <c r="K591" t="s">
        <v>1523</v>
      </c>
      <c r="L591">
        <v>221</v>
      </c>
      <c r="M591">
        <v>16</v>
      </c>
      <c r="N591" t="s">
        <v>1532</v>
      </c>
      <c r="O591" t="s">
        <v>1570</v>
      </c>
    </row>
    <row r="592" spans="1:15" x14ac:dyDescent="0.3">
      <c r="A592" t="str">
        <f>'Case 3 data'!A591</f>
        <v>ENG475-17W</v>
      </c>
      <c r="B592" t="str">
        <f>'Case 3 data'!B591</f>
        <v>Tricia</v>
      </c>
      <c r="C592" t="str">
        <f>'Case 3 data'!C591</f>
        <v>Barrett</v>
      </c>
      <c r="D592" t="str" cm="1">
        <f t="array" ref="D592">LEFT($A592,MIN(FIND({0;1;2;3;4;5;6;7;8;9},$A592&amp;"0123456789"))-1)</f>
        <v>ENG</v>
      </c>
      <c r="E592" t="str" cm="1">
        <f t="array" ref="E592">MID($A592,MIN(FIND({0;1;2;3;4;5;6;7;8;9},$A592&amp;"0123456789")),FIND("-",$A592)-MIN(FIND({0;1;2;3;4;5;6;7;8;9},$A592&amp;"0123456789")))</f>
        <v>475</v>
      </c>
      <c r="F592" t="str">
        <f t="shared" si="142"/>
        <v>17</v>
      </c>
      <c r="G592" t="str">
        <f t="shared" si="143"/>
        <v>W</v>
      </c>
      <c r="H592" t="str">
        <f t="shared" si="144"/>
        <v>ENG-17</v>
      </c>
      <c r="J592" t="s">
        <v>1496</v>
      </c>
      <c r="K592" t="s">
        <v>1523</v>
      </c>
      <c r="L592">
        <v>475</v>
      </c>
      <c r="M592">
        <v>17</v>
      </c>
      <c r="N592" t="s">
        <v>1532</v>
      </c>
      <c r="O592" t="s">
        <v>1572</v>
      </c>
    </row>
    <row r="593" spans="1:15" x14ac:dyDescent="0.3">
      <c r="A593" t="str">
        <f>'Case 3 data'!A592</f>
        <v>Canada97-7W</v>
      </c>
      <c r="B593" t="str">
        <f>'Case 3 data'!B592</f>
        <v>Joan</v>
      </c>
      <c r="C593" t="str">
        <f>'Case 3 data'!C592</f>
        <v>Jackson</v>
      </c>
      <c r="D593" t="str" cm="1">
        <f t="array" ref="D593">LEFT($A593,MIN(FIND({0;1;2;3;4;5;6;7;8;9},$A593&amp;"0123456789"))-1)</f>
        <v>Canada</v>
      </c>
      <c r="E593" t="str" cm="1">
        <f t="array" ref="E593">MID($A593,MIN(FIND({0;1;2;3;4;5;6;7;8;9},$A593&amp;"0123456789")),FIND("-",$A593)-MIN(FIND({0;1;2;3;4;5;6;7;8;9},$A593&amp;"0123456789")))</f>
        <v>97</v>
      </c>
      <c r="F593" t="str">
        <f t="shared" si="142"/>
        <v>7</v>
      </c>
      <c r="G593" t="str">
        <f t="shared" si="143"/>
        <v>W</v>
      </c>
      <c r="H593" t="str">
        <f t="shared" si="144"/>
        <v>Canada-7</v>
      </c>
      <c r="J593" t="s">
        <v>1499</v>
      </c>
      <c r="K593" t="s">
        <v>1521</v>
      </c>
      <c r="L593">
        <v>97</v>
      </c>
      <c r="M593">
        <v>7</v>
      </c>
      <c r="N593" t="s">
        <v>1532</v>
      </c>
      <c r="O593" t="s">
        <v>1593</v>
      </c>
    </row>
    <row r="594" spans="1:15" x14ac:dyDescent="0.3">
      <c r="A594" t="str">
        <f>'Case 3 data'!A593</f>
        <v>Japan196-2Mo</v>
      </c>
      <c r="B594" t="str">
        <f>'Case 3 data'!B593</f>
        <v>Lloyd</v>
      </c>
      <c r="C594" t="str">
        <f>'Case 3 data'!C593</f>
        <v>Christensen</v>
      </c>
      <c r="D594" t="str" cm="1">
        <f t="array" ref="D594">LEFT($A594,MIN(FIND({0;1;2;3;4;5;6;7;8;9},$A594&amp;"0123456789"))-1)</f>
        <v>Japan</v>
      </c>
      <c r="E594" t="str" cm="1">
        <f t="array" ref="E594">MID($A594,MIN(FIND({0;1;2;3;4;5;6;7;8;9},$A594&amp;"0123456789")),FIND("-",$A594)-MIN(FIND({0;1;2;3;4;5;6;7;8;9},$A594&amp;"0123456789")))</f>
        <v>196</v>
      </c>
      <c r="F594" t="str">
        <f t="shared" si="142"/>
        <v>2</v>
      </c>
      <c r="G594" t="str">
        <f t="shared" si="143"/>
        <v>Mo</v>
      </c>
      <c r="H594" t="str">
        <f t="shared" si="144"/>
        <v>Japan-2</v>
      </c>
      <c r="J594" t="s">
        <v>1501</v>
      </c>
      <c r="K594" t="str">
        <f t="shared" ref="K594:K599" si="147">LEFT(A594,3)</f>
        <v>Jap</v>
      </c>
      <c r="L594">
        <v>196</v>
      </c>
      <c r="M594">
        <v>2</v>
      </c>
      <c r="N594" t="s">
        <v>1530</v>
      </c>
      <c r="O594" t="s">
        <v>1641</v>
      </c>
    </row>
    <row r="595" spans="1:15" x14ac:dyDescent="0.3">
      <c r="A595" t="str">
        <f>'Case 3 data'!A594</f>
        <v>GER230-10M</v>
      </c>
      <c r="B595" t="str">
        <f>'Case 3 data'!B594</f>
        <v>Carmelia</v>
      </c>
      <c r="C595" t="str">
        <f>'Case 3 data'!C594</f>
        <v>Aguilera</v>
      </c>
      <c r="D595" t="str" cm="1">
        <f t="array" ref="D595">LEFT($A595,MIN(FIND({0;1;2;3;4;5;6;7;8;9},$A595&amp;"0123456789"))-1)</f>
        <v>GER</v>
      </c>
      <c r="E595" t="str" cm="1">
        <f t="array" ref="E595">MID($A595,MIN(FIND({0;1;2;3;4;5;6;7;8;9},$A595&amp;"0123456789")),FIND("-",$A595)-MIN(FIND({0;1;2;3;4;5;6;7;8;9},$A595&amp;"0123456789")))</f>
        <v>230</v>
      </c>
      <c r="F595" t="str">
        <f t="shared" si="142"/>
        <v>10</v>
      </c>
      <c r="G595" t="str">
        <f t="shared" si="143"/>
        <v>M</v>
      </c>
      <c r="H595" t="str">
        <f t="shared" si="144"/>
        <v>GER-10</v>
      </c>
      <c r="J595" t="s">
        <v>1504</v>
      </c>
      <c r="K595" t="s">
        <v>1522</v>
      </c>
      <c r="L595">
        <v>230</v>
      </c>
      <c r="M595">
        <v>10</v>
      </c>
      <c r="N595" t="s">
        <v>1531</v>
      </c>
      <c r="O595" t="s">
        <v>1551</v>
      </c>
    </row>
    <row r="596" spans="1:15" x14ac:dyDescent="0.3">
      <c r="A596" t="str">
        <f>'Case 3 data'!A595</f>
        <v>Canada459-11Mo</v>
      </c>
      <c r="B596" t="str">
        <f>'Case 3 data'!B595</f>
        <v>Barbara</v>
      </c>
      <c r="C596" t="str">
        <f>'Case 3 data'!C595</f>
        <v>Scott</v>
      </c>
      <c r="D596" t="str" cm="1">
        <f t="array" ref="D596">LEFT($A596,MIN(FIND({0;1;2;3;4;5;6;7;8;9},$A596&amp;"0123456789"))-1)</f>
        <v>Canada</v>
      </c>
      <c r="E596" t="str" cm="1">
        <f t="array" ref="E596">MID($A596,MIN(FIND({0;1;2;3;4;5;6;7;8;9},$A596&amp;"0123456789")),FIND("-",$A596)-MIN(FIND({0;1;2;3;4;5;6;7;8;9},$A596&amp;"0123456789")))</f>
        <v>459</v>
      </c>
      <c r="F596" t="str">
        <f t="shared" si="142"/>
        <v>11</v>
      </c>
      <c r="G596" t="str">
        <f t="shared" si="143"/>
        <v>Mo</v>
      </c>
      <c r="H596" t="str">
        <f t="shared" si="144"/>
        <v>Canada-11</v>
      </c>
      <c r="J596" t="s">
        <v>1507</v>
      </c>
      <c r="K596" t="s">
        <v>1523</v>
      </c>
      <c r="L596">
        <v>459</v>
      </c>
      <c r="M596">
        <v>11</v>
      </c>
      <c r="N596" t="s">
        <v>1530</v>
      </c>
      <c r="O596" t="s">
        <v>1580</v>
      </c>
    </row>
    <row r="597" spans="1:15" x14ac:dyDescent="0.3">
      <c r="A597" t="str">
        <f>'Case 3 data'!A596</f>
        <v>US431-3W</v>
      </c>
      <c r="B597" t="str">
        <f>'Case 3 data'!B596</f>
        <v>Heather</v>
      </c>
      <c r="C597" t="str">
        <f>'Case 3 data'!C596</f>
        <v>Gonzales</v>
      </c>
      <c r="D597" t="str" cm="1">
        <f t="array" ref="D597">LEFT($A597,MIN(FIND({0;1;2;3;4;5;6;7;8;9},$A597&amp;"0123456789"))-1)</f>
        <v>US</v>
      </c>
      <c r="E597" t="str" cm="1">
        <f t="array" ref="E597">MID($A597,MIN(FIND({0;1;2;3;4;5;6;7;8;9},$A597&amp;"0123456789")),FIND("-",$A597)-MIN(FIND({0;1;2;3;4;5;6;7;8;9},$A597&amp;"0123456789")))</f>
        <v>431</v>
      </c>
      <c r="F597" t="str">
        <f t="shared" si="142"/>
        <v>3</v>
      </c>
      <c r="G597" t="str">
        <f t="shared" si="143"/>
        <v>W</v>
      </c>
      <c r="H597" t="str">
        <f t="shared" si="144"/>
        <v>US-3</v>
      </c>
      <c r="J597" t="s">
        <v>1509</v>
      </c>
      <c r="K597" t="s">
        <v>1523</v>
      </c>
      <c r="L597">
        <v>431</v>
      </c>
      <c r="M597">
        <v>3</v>
      </c>
      <c r="N597" t="s">
        <v>1532</v>
      </c>
      <c r="O597" t="s">
        <v>1552</v>
      </c>
    </row>
    <row r="598" spans="1:15" x14ac:dyDescent="0.3">
      <c r="A598" t="str">
        <f>'Case 3 data'!A597</f>
        <v>Japan282-11W</v>
      </c>
      <c r="B598" t="str">
        <f>'Case 3 data'!B597</f>
        <v>Aleta</v>
      </c>
      <c r="C598" t="str">
        <f>'Case 3 data'!C597</f>
        <v>Foss</v>
      </c>
      <c r="D598" t="str" cm="1">
        <f t="array" ref="D598">LEFT($A598,MIN(FIND({0;1;2;3;4;5;6;7;8;9},$A598&amp;"0123456789"))-1)</f>
        <v>Japan</v>
      </c>
      <c r="E598" t="str" cm="1">
        <f t="array" ref="E598">MID($A598,MIN(FIND({0;1;2;3;4;5;6;7;8;9},$A598&amp;"0123456789")),FIND("-",$A598)-MIN(FIND({0;1;2;3;4;5;6;7;8;9},$A598&amp;"0123456789")))</f>
        <v>282</v>
      </c>
      <c r="F598" t="str">
        <f t="shared" si="142"/>
        <v>11</v>
      </c>
      <c r="G598" t="str">
        <f t="shared" si="143"/>
        <v>W</v>
      </c>
      <c r="H598" t="str">
        <f t="shared" si="144"/>
        <v>Japan-11</v>
      </c>
      <c r="J598" t="s">
        <v>1510</v>
      </c>
      <c r="K598" t="s">
        <v>1521</v>
      </c>
      <c r="L598">
        <v>282</v>
      </c>
      <c r="M598">
        <v>11</v>
      </c>
      <c r="N598" t="s">
        <v>1532</v>
      </c>
      <c r="O598" t="s">
        <v>1549</v>
      </c>
    </row>
    <row r="599" spans="1:15" x14ac:dyDescent="0.3">
      <c r="A599" t="str">
        <f>'Case 3 data'!A598</f>
        <v>Japan326-11M</v>
      </c>
      <c r="B599" t="str">
        <f>'Case 3 data'!B598</f>
        <v>Mary</v>
      </c>
      <c r="C599" t="str">
        <f>'Case 3 data'!C598</f>
        <v>Baker</v>
      </c>
      <c r="D599" t="str" cm="1">
        <f t="array" ref="D599">LEFT($A599,MIN(FIND({0;1;2;3;4;5;6;7;8;9},$A599&amp;"0123456789"))-1)</f>
        <v>Japan</v>
      </c>
      <c r="E599" t="str" cm="1">
        <f t="array" ref="E599">MID($A599,MIN(FIND({0;1;2;3;4;5;6;7;8;9},$A599&amp;"0123456789")),FIND("-",$A599)-MIN(FIND({0;1;2;3;4;5;6;7;8;9},$A599&amp;"0123456789")))</f>
        <v>326</v>
      </c>
      <c r="F599" t="str">
        <f t="shared" si="142"/>
        <v>11</v>
      </c>
      <c r="G599" t="str">
        <f t="shared" si="143"/>
        <v>M</v>
      </c>
      <c r="H599" t="str">
        <f t="shared" si="144"/>
        <v>Japan-11</v>
      </c>
      <c r="J599" t="s">
        <v>1513</v>
      </c>
      <c r="K599" t="str">
        <f t="shared" ref="K599" si="148">LEFT(A599,3)</f>
        <v>Jap</v>
      </c>
      <c r="L599">
        <v>326</v>
      </c>
      <c r="M599">
        <v>11</v>
      </c>
      <c r="N599" t="s">
        <v>1531</v>
      </c>
      <c r="O599" t="s">
        <v>1640</v>
      </c>
    </row>
  </sheetData>
  <sortState xmlns:xlrd2="http://schemas.microsoft.com/office/spreadsheetml/2017/richdata2" ref="G4:G601">
    <sortCondition ref="G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C2F90-9863-4531-8DDB-140521220AA4}">
  <dimension ref="A2:I598"/>
  <sheetViews>
    <sheetView workbookViewId="0">
      <selection activeCell="H9" sqref="H9"/>
    </sheetView>
  </sheetViews>
  <sheetFormatPr defaultRowHeight="14.4" x14ac:dyDescent="0.3"/>
  <cols>
    <col min="1" max="1" width="14.88671875" bestFit="1" customWidth="1"/>
  </cols>
  <sheetData>
    <row r="2" spans="1:9" x14ac:dyDescent="0.3">
      <c r="A2" t="s">
        <v>3</v>
      </c>
      <c r="B2" t="s">
        <v>1521</v>
      </c>
    </row>
    <row r="3" spans="1:9" x14ac:dyDescent="0.3">
      <c r="A3" t="s">
        <v>6</v>
      </c>
      <c r="B3" t="s">
        <v>1522</v>
      </c>
      <c r="C3" s="1"/>
      <c r="D3" s="1"/>
      <c r="E3" s="3"/>
      <c r="F3" s="2"/>
      <c r="G3" s="3"/>
      <c r="H3" s="3"/>
      <c r="I3" s="3"/>
    </row>
    <row r="4" spans="1:9" x14ac:dyDescent="0.3">
      <c r="A4" t="s">
        <v>9</v>
      </c>
      <c r="B4" t="s">
        <v>1522</v>
      </c>
    </row>
    <row r="5" spans="1:9" x14ac:dyDescent="0.3">
      <c r="A5" t="s">
        <v>12</v>
      </c>
      <c r="B5" t="s">
        <v>1523</v>
      </c>
    </row>
    <row r="6" spans="1:9" x14ac:dyDescent="0.3">
      <c r="A6" t="s">
        <v>15</v>
      </c>
      <c r="B6" t="s">
        <v>1523</v>
      </c>
    </row>
    <row r="7" spans="1:9" x14ac:dyDescent="0.3">
      <c r="A7" t="s">
        <v>18</v>
      </c>
      <c r="B7" t="s">
        <v>1525</v>
      </c>
    </row>
    <row r="8" spans="1:9" x14ac:dyDescent="0.3">
      <c r="A8" t="s">
        <v>21</v>
      </c>
      <c r="B8" t="s">
        <v>1526</v>
      </c>
    </row>
    <row r="9" spans="1:9" x14ac:dyDescent="0.3">
      <c r="A9" t="s">
        <v>24</v>
      </c>
      <c r="B9" t="s">
        <v>1521</v>
      </c>
    </row>
    <row r="10" spans="1:9" x14ac:dyDescent="0.3">
      <c r="A10" t="s">
        <v>27</v>
      </c>
      <c r="B10" t="s">
        <v>1525</v>
      </c>
    </row>
    <row r="11" spans="1:9" x14ac:dyDescent="0.3">
      <c r="A11" t="s">
        <v>30</v>
      </c>
      <c r="B11" t="s">
        <v>1527</v>
      </c>
    </row>
    <row r="12" spans="1:9" x14ac:dyDescent="0.3">
      <c r="A12" t="s">
        <v>33</v>
      </c>
      <c r="B12" t="s">
        <v>1522</v>
      </c>
    </row>
    <row r="13" spans="1:9" x14ac:dyDescent="0.3">
      <c r="A13" t="s">
        <v>36</v>
      </c>
      <c r="B13" t="s">
        <v>1525</v>
      </c>
    </row>
    <row r="14" spans="1:9" x14ac:dyDescent="0.3">
      <c r="A14" t="s">
        <v>39</v>
      </c>
      <c r="B14" t="s">
        <v>1528</v>
      </c>
    </row>
    <row r="15" spans="1:9" x14ac:dyDescent="0.3">
      <c r="A15" t="s">
        <v>42</v>
      </c>
      <c r="B15" t="s">
        <v>1526</v>
      </c>
    </row>
    <row r="16" spans="1:9" x14ac:dyDescent="0.3">
      <c r="A16" t="s">
        <v>44</v>
      </c>
      <c r="B16" t="s">
        <v>1528</v>
      </c>
    </row>
    <row r="17" spans="1:2" x14ac:dyDescent="0.3">
      <c r="A17" t="s">
        <v>46</v>
      </c>
      <c r="B17" t="s">
        <v>1529</v>
      </c>
    </row>
    <row r="18" spans="1:2" x14ac:dyDescent="0.3">
      <c r="A18" t="s">
        <v>48</v>
      </c>
      <c r="B18" t="s">
        <v>1527</v>
      </c>
    </row>
    <row r="19" spans="1:2" x14ac:dyDescent="0.3">
      <c r="A19" t="s">
        <v>51</v>
      </c>
      <c r="B19" t="s">
        <v>1526</v>
      </c>
    </row>
    <row r="20" spans="1:2" x14ac:dyDescent="0.3">
      <c r="A20" t="s">
        <v>54</v>
      </c>
      <c r="B20" t="s">
        <v>1525</v>
      </c>
    </row>
    <row r="21" spans="1:2" x14ac:dyDescent="0.3">
      <c r="A21" t="s">
        <v>57</v>
      </c>
      <c r="B21" t="s">
        <v>1527</v>
      </c>
    </row>
    <row r="22" spans="1:2" x14ac:dyDescent="0.3">
      <c r="A22" t="s">
        <v>60</v>
      </c>
      <c r="B22" t="s">
        <v>1529</v>
      </c>
    </row>
    <row r="23" spans="1:2" x14ac:dyDescent="0.3">
      <c r="A23" t="s">
        <v>63</v>
      </c>
      <c r="B23" t="s">
        <v>1527</v>
      </c>
    </row>
    <row r="24" spans="1:2" x14ac:dyDescent="0.3">
      <c r="A24" t="s">
        <v>66</v>
      </c>
      <c r="B24" t="s">
        <v>1522</v>
      </c>
    </row>
    <row r="25" spans="1:2" x14ac:dyDescent="0.3">
      <c r="A25" t="s">
        <v>69</v>
      </c>
      <c r="B25" t="s">
        <v>1522</v>
      </c>
    </row>
    <row r="26" spans="1:2" x14ac:dyDescent="0.3">
      <c r="A26" t="s">
        <v>72</v>
      </c>
      <c r="B26" t="s">
        <v>1522</v>
      </c>
    </row>
    <row r="27" spans="1:2" x14ac:dyDescent="0.3">
      <c r="A27" t="s">
        <v>75</v>
      </c>
      <c r="B27" t="s">
        <v>1527</v>
      </c>
    </row>
    <row r="28" spans="1:2" x14ac:dyDescent="0.3">
      <c r="A28" t="s">
        <v>78</v>
      </c>
      <c r="B28" t="s">
        <v>1525</v>
      </c>
    </row>
    <row r="29" spans="1:2" x14ac:dyDescent="0.3">
      <c r="A29" t="s">
        <v>81</v>
      </c>
      <c r="B29" t="s">
        <v>1523</v>
      </c>
    </row>
    <row r="30" spans="1:2" x14ac:dyDescent="0.3">
      <c r="A30" t="s">
        <v>84</v>
      </c>
      <c r="B30" t="s">
        <v>1521</v>
      </c>
    </row>
    <row r="31" spans="1:2" x14ac:dyDescent="0.3">
      <c r="A31" t="s">
        <v>87</v>
      </c>
      <c r="B31" t="s">
        <v>1525</v>
      </c>
    </row>
    <row r="32" spans="1:2" x14ac:dyDescent="0.3">
      <c r="A32" t="s">
        <v>90</v>
      </c>
      <c r="B32" t="s">
        <v>1526</v>
      </c>
    </row>
    <row r="33" spans="1:2" x14ac:dyDescent="0.3">
      <c r="A33" t="s">
        <v>93</v>
      </c>
      <c r="B33" t="s">
        <v>1527</v>
      </c>
    </row>
    <row r="34" spans="1:2" x14ac:dyDescent="0.3">
      <c r="A34" t="s">
        <v>96</v>
      </c>
      <c r="B34" t="s">
        <v>1529</v>
      </c>
    </row>
    <row r="35" spans="1:2" x14ac:dyDescent="0.3">
      <c r="A35" t="s">
        <v>99</v>
      </c>
      <c r="B35" t="s">
        <v>1525</v>
      </c>
    </row>
    <row r="36" spans="1:2" x14ac:dyDescent="0.3">
      <c r="A36" t="s">
        <v>102</v>
      </c>
      <c r="B36" t="s">
        <v>1528</v>
      </c>
    </row>
    <row r="37" spans="1:2" x14ac:dyDescent="0.3">
      <c r="A37" t="s">
        <v>105</v>
      </c>
      <c r="B37" t="s">
        <v>1525</v>
      </c>
    </row>
    <row r="38" spans="1:2" x14ac:dyDescent="0.3">
      <c r="A38" t="s">
        <v>108</v>
      </c>
      <c r="B38" t="s">
        <v>1523</v>
      </c>
    </row>
    <row r="39" spans="1:2" x14ac:dyDescent="0.3">
      <c r="A39" t="s">
        <v>111</v>
      </c>
      <c r="B39" t="s">
        <v>1522</v>
      </c>
    </row>
    <row r="40" spans="1:2" x14ac:dyDescent="0.3">
      <c r="A40" t="s">
        <v>114</v>
      </c>
      <c r="B40" t="s">
        <v>1527</v>
      </c>
    </row>
    <row r="41" spans="1:2" x14ac:dyDescent="0.3">
      <c r="A41" t="s">
        <v>117</v>
      </c>
      <c r="B41" t="s">
        <v>1527</v>
      </c>
    </row>
    <row r="42" spans="1:2" x14ac:dyDescent="0.3">
      <c r="A42" t="s">
        <v>120</v>
      </c>
      <c r="B42" t="s">
        <v>1527</v>
      </c>
    </row>
    <row r="43" spans="1:2" x14ac:dyDescent="0.3">
      <c r="A43" t="s">
        <v>122</v>
      </c>
      <c r="B43" t="s">
        <v>1529</v>
      </c>
    </row>
    <row r="44" spans="1:2" x14ac:dyDescent="0.3">
      <c r="A44" t="s">
        <v>125</v>
      </c>
      <c r="B44" t="s">
        <v>1521</v>
      </c>
    </row>
    <row r="45" spans="1:2" x14ac:dyDescent="0.3">
      <c r="A45" t="s">
        <v>128</v>
      </c>
      <c r="B45" t="s">
        <v>1527</v>
      </c>
    </row>
    <row r="46" spans="1:2" x14ac:dyDescent="0.3">
      <c r="A46" t="s">
        <v>131</v>
      </c>
      <c r="B46" t="s">
        <v>1522</v>
      </c>
    </row>
    <row r="47" spans="1:2" x14ac:dyDescent="0.3">
      <c r="A47" t="s">
        <v>134</v>
      </c>
      <c r="B47" t="s">
        <v>1526</v>
      </c>
    </row>
    <row r="48" spans="1:2" x14ac:dyDescent="0.3">
      <c r="A48" t="s">
        <v>136</v>
      </c>
      <c r="B48" t="s">
        <v>1521</v>
      </c>
    </row>
    <row r="49" spans="1:2" x14ac:dyDescent="0.3">
      <c r="A49" t="s">
        <v>139</v>
      </c>
      <c r="B49" t="s">
        <v>1526</v>
      </c>
    </row>
    <row r="50" spans="1:2" x14ac:dyDescent="0.3">
      <c r="A50" t="s">
        <v>142</v>
      </c>
      <c r="B50" t="s">
        <v>1528</v>
      </c>
    </row>
    <row r="51" spans="1:2" x14ac:dyDescent="0.3">
      <c r="A51" t="s">
        <v>145</v>
      </c>
      <c r="B51" t="s">
        <v>1521</v>
      </c>
    </row>
    <row r="52" spans="1:2" x14ac:dyDescent="0.3">
      <c r="A52" t="s">
        <v>148</v>
      </c>
      <c r="B52" t="s">
        <v>1527</v>
      </c>
    </row>
    <row r="53" spans="1:2" x14ac:dyDescent="0.3">
      <c r="A53" t="s">
        <v>151</v>
      </c>
      <c r="B53" t="s">
        <v>1521</v>
      </c>
    </row>
    <row r="54" spans="1:2" x14ac:dyDescent="0.3">
      <c r="A54" t="s">
        <v>154</v>
      </c>
      <c r="B54" t="s">
        <v>1528</v>
      </c>
    </row>
    <row r="55" spans="1:2" x14ac:dyDescent="0.3">
      <c r="A55" t="s">
        <v>157</v>
      </c>
      <c r="B55" t="s">
        <v>1526</v>
      </c>
    </row>
    <row r="56" spans="1:2" x14ac:dyDescent="0.3">
      <c r="A56" t="s">
        <v>160</v>
      </c>
      <c r="B56" t="s">
        <v>1525</v>
      </c>
    </row>
    <row r="57" spans="1:2" x14ac:dyDescent="0.3">
      <c r="A57" t="s">
        <v>162</v>
      </c>
      <c r="B57" t="s">
        <v>1525</v>
      </c>
    </row>
    <row r="58" spans="1:2" x14ac:dyDescent="0.3">
      <c r="A58" t="s">
        <v>165</v>
      </c>
      <c r="B58" t="s">
        <v>1523</v>
      </c>
    </row>
    <row r="59" spans="1:2" x14ac:dyDescent="0.3">
      <c r="A59" t="s">
        <v>168</v>
      </c>
      <c r="B59" t="s">
        <v>1529</v>
      </c>
    </row>
    <row r="60" spans="1:2" x14ac:dyDescent="0.3">
      <c r="A60" t="s">
        <v>171</v>
      </c>
      <c r="B60" t="s">
        <v>1528</v>
      </c>
    </row>
    <row r="61" spans="1:2" x14ac:dyDescent="0.3">
      <c r="A61" t="s">
        <v>174</v>
      </c>
      <c r="B61" t="s">
        <v>1526</v>
      </c>
    </row>
    <row r="62" spans="1:2" x14ac:dyDescent="0.3">
      <c r="A62" t="s">
        <v>176</v>
      </c>
      <c r="B62" t="s">
        <v>1528</v>
      </c>
    </row>
    <row r="63" spans="1:2" x14ac:dyDescent="0.3">
      <c r="A63" t="s">
        <v>179</v>
      </c>
      <c r="B63" t="s">
        <v>1522</v>
      </c>
    </row>
    <row r="64" spans="1:2" x14ac:dyDescent="0.3">
      <c r="A64" t="s">
        <v>182</v>
      </c>
      <c r="B64" t="s">
        <v>1527</v>
      </c>
    </row>
    <row r="65" spans="1:2" x14ac:dyDescent="0.3">
      <c r="A65" t="s">
        <v>185</v>
      </c>
      <c r="B65" t="s">
        <v>1522</v>
      </c>
    </row>
    <row r="66" spans="1:2" x14ac:dyDescent="0.3">
      <c r="A66" t="s">
        <v>188</v>
      </c>
      <c r="B66" t="s">
        <v>1523</v>
      </c>
    </row>
    <row r="67" spans="1:2" x14ac:dyDescent="0.3">
      <c r="A67" t="s">
        <v>190</v>
      </c>
      <c r="B67" t="s">
        <v>1523</v>
      </c>
    </row>
    <row r="68" spans="1:2" x14ac:dyDescent="0.3">
      <c r="A68" t="s">
        <v>193</v>
      </c>
      <c r="B68" t="s">
        <v>1522</v>
      </c>
    </row>
    <row r="69" spans="1:2" x14ac:dyDescent="0.3">
      <c r="A69" t="s">
        <v>196</v>
      </c>
      <c r="B69" t="s">
        <v>1522</v>
      </c>
    </row>
    <row r="70" spans="1:2" x14ac:dyDescent="0.3">
      <c r="A70" t="s">
        <v>198</v>
      </c>
      <c r="B70" t="s">
        <v>1528</v>
      </c>
    </row>
    <row r="71" spans="1:2" x14ac:dyDescent="0.3">
      <c r="A71" t="s">
        <v>201</v>
      </c>
      <c r="B71" t="s">
        <v>1526</v>
      </c>
    </row>
    <row r="72" spans="1:2" x14ac:dyDescent="0.3">
      <c r="A72" t="s">
        <v>204</v>
      </c>
      <c r="B72" t="s">
        <v>1526</v>
      </c>
    </row>
    <row r="73" spans="1:2" x14ac:dyDescent="0.3">
      <c r="A73" t="s">
        <v>207</v>
      </c>
      <c r="B73" t="s">
        <v>1528</v>
      </c>
    </row>
    <row r="74" spans="1:2" x14ac:dyDescent="0.3">
      <c r="A74" t="s">
        <v>210</v>
      </c>
      <c r="B74" t="s">
        <v>1528</v>
      </c>
    </row>
    <row r="75" spans="1:2" x14ac:dyDescent="0.3">
      <c r="A75" t="s">
        <v>213</v>
      </c>
      <c r="B75" t="s">
        <v>1523</v>
      </c>
    </row>
    <row r="76" spans="1:2" x14ac:dyDescent="0.3">
      <c r="A76" t="s">
        <v>216</v>
      </c>
      <c r="B76" t="s">
        <v>1525</v>
      </c>
    </row>
    <row r="77" spans="1:2" x14ac:dyDescent="0.3">
      <c r="A77" t="s">
        <v>219</v>
      </c>
      <c r="B77" t="s">
        <v>1521</v>
      </c>
    </row>
    <row r="78" spans="1:2" x14ac:dyDescent="0.3">
      <c r="A78" t="s">
        <v>222</v>
      </c>
      <c r="B78" t="s">
        <v>1522</v>
      </c>
    </row>
    <row r="79" spans="1:2" x14ac:dyDescent="0.3">
      <c r="A79" t="s">
        <v>225</v>
      </c>
      <c r="B79" t="s">
        <v>1521</v>
      </c>
    </row>
    <row r="80" spans="1:2" x14ac:dyDescent="0.3">
      <c r="A80" t="s">
        <v>228</v>
      </c>
      <c r="B80" t="s">
        <v>1522</v>
      </c>
    </row>
    <row r="81" spans="1:2" x14ac:dyDescent="0.3">
      <c r="A81" t="s">
        <v>231</v>
      </c>
      <c r="B81" t="s">
        <v>1522</v>
      </c>
    </row>
    <row r="82" spans="1:2" x14ac:dyDescent="0.3">
      <c r="A82" t="s">
        <v>234</v>
      </c>
      <c r="B82" t="s">
        <v>1526</v>
      </c>
    </row>
    <row r="83" spans="1:2" x14ac:dyDescent="0.3">
      <c r="A83" t="s">
        <v>237</v>
      </c>
      <c r="B83" t="s">
        <v>1525</v>
      </c>
    </row>
    <row r="84" spans="1:2" x14ac:dyDescent="0.3">
      <c r="A84" t="s">
        <v>240</v>
      </c>
      <c r="B84" t="s">
        <v>1521</v>
      </c>
    </row>
    <row r="85" spans="1:2" x14ac:dyDescent="0.3">
      <c r="A85" t="s">
        <v>243</v>
      </c>
      <c r="B85" t="s">
        <v>1523</v>
      </c>
    </row>
    <row r="86" spans="1:2" x14ac:dyDescent="0.3">
      <c r="A86" t="s">
        <v>246</v>
      </c>
      <c r="B86" t="s">
        <v>1523</v>
      </c>
    </row>
    <row r="87" spans="1:2" x14ac:dyDescent="0.3">
      <c r="A87" t="s">
        <v>249</v>
      </c>
      <c r="B87" t="s">
        <v>1526</v>
      </c>
    </row>
    <row r="88" spans="1:2" x14ac:dyDescent="0.3">
      <c r="A88" t="s">
        <v>252</v>
      </c>
      <c r="B88" t="s">
        <v>1529</v>
      </c>
    </row>
    <row r="89" spans="1:2" x14ac:dyDescent="0.3">
      <c r="A89" t="s">
        <v>255</v>
      </c>
      <c r="B89" t="s">
        <v>1523</v>
      </c>
    </row>
    <row r="90" spans="1:2" x14ac:dyDescent="0.3">
      <c r="A90" t="s">
        <v>258</v>
      </c>
      <c r="B90" t="s">
        <v>1528</v>
      </c>
    </row>
    <row r="91" spans="1:2" x14ac:dyDescent="0.3">
      <c r="A91" t="s">
        <v>261</v>
      </c>
      <c r="B91" t="s">
        <v>1525</v>
      </c>
    </row>
    <row r="92" spans="1:2" x14ac:dyDescent="0.3">
      <c r="A92" t="s">
        <v>264</v>
      </c>
      <c r="B92" t="s">
        <v>1522</v>
      </c>
    </row>
    <row r="93" spans="1:2" x14ac:dyDescent="0.3">
      <c r="A93" t="s">
        <v>267</v>
      </c>
      <c r="B93" t="s">
        <v>1523</v>
      </c>
    </row>
    <row r="94" spans="1:2" x14ac:dyDescent="0.3">
      <c r="A94" t="s">
        <v>270</v>
      </c>
      <c r="B94" t="s">
        <v>1529</v>
      </c>
    </row>
    <row r="95" spans="1:2" x14ac:dyDescent="0.3">
      <c r="A95" t="s">
        <v>272</v>
      </c>
      <c r="B95" t="s">
        <v>1526</v>
      </c>
    </row>
    <row r="96" spans="1:2" x14ac:dyDescent="0.3">
      <c r="A96" t="s">
        <v>275</v>
      </c>
      <c r="B96" t="s">
        <v>1522</v>
      </c>
    </row>
    <row r="97" spans="1:2" x14ac:dyDescent="0.3">
      <c r="A97" t="s">
        <v>278</v>
      </c>
      <c r="B97" t="s">
        <v>1525</v>
      </c>
    </row>
    <row r="98" spans="1:2" x14ac:dyDescent="0.3">
      <c r="A98" t="s">
        <v>281</v>
      </c>
      <c r="B98" t="s">
        <v>1521</v>
      </c>
    </row>
    <row r="99" spans="1:2" x14ac:dyDescent="0.3">
      <c r="A99" t="s">
        <v>284</v>
      </c>
      <c r="B99" t="s">
        <v>1521</v>
      </c>
    </row>
    <row r="100" spans="1:2" x14ac:dyDescent="0.3">
      <c r="A100" t="s">
        <v>287</v>
      </c>
      <c r="B100" t="s">
        <v>1527</v>
      </c>
    </row>
    <row r="101" spans="1:2" x14ac:dyDescent="0.3">
      <c r="A101" t="s">
        <v>290</v>
      </c>
      <c r="B101" t="s">
        <v>1521</v>
      </c>
    </row>
    <row r="102" spans="1:2" x14ac:dyDescent="0.3">
      <c r="A102" t="s">
        <v>293</v>
      </c>
      <c r="B102" t="s">
        <v>1529</v>
      </c>
    </row>
    <row r="103" spans="1:2" x14ac:dyDescent="0.3">
      <c r="A103" t="s">
        <v>296</v>
      </c>
      <c r="B103" t="s">
        <v>1525</v>
      </c>
    </row>
    <row r="104" spans="1:2" x14ac:dyDescent="0.3">
      <c r="A104" t="s">
        <v>299</v>
      </c>
      <c r="B104" t="s">
        <v>1529</v>
      </c>
    </row>
    <row r="105" spans="1:2" x14ac:dyDescent="0.3">
      <c r="A105" t="s">
        <v>302</v>
      </c>
      <c r="B105" t="s">
        <v>1521</v>
      </c>
    </row>
    <row r="106" spans="1:2" x14ac:dyDescent="0.3">
      <c r="A106" t="s">
        <v>305</v>
      </c>
      <c r="B106" t="s">
        <v>1528</v>
      </c>
    </row>
    <row r="107" spans="1:2" x14ac:dyDescent="0.3">
      <c r="A107" t="s">
        <v>307</v>
      </c>
      <c r="B107" t="s">
        <v>1528</v>
      </c>
    </row>
    <row r="108" spans="1:2" x14ac:dyDescent="0.3">
      <c r="A108" t="s">
        <v>310</v>
      </c>
      <c r="B108" t="s">
        <v>1521</v>
      </c>
    </row>
    <row r="109" spans="1:2" x14ac:dyDescent="0.3">
      <c r="A109" t="s">
        <v>313</v>
      </c>
      <c r="B109" t="s">
        <v>1522</v>
      </c>
    </row>
    <row r="110" spans="1:2" x14ac:dyDescent="0.3">
      <c r="A110" t="s">
        <v>316</v>
      </c>
      <c r="B110" t="s">
        <v>1526</v>
      </c>
    </row>
    <row r="111" spans="1:2" x14ac:dyDescent="0.3">
      <c r="A111" t="s">
        <v>319</v>
      </c>
      <c r="B111" t="s">
        <v>1521</v>
      </c>
    </row>
    <row r="112" spans="1:2" x14ac:dyDescent="0.3">
      <c r="A112" t="s">
        <v>322</v>
      </c>
      <c r="B112" t="s">
        <v>1526</v>
      </c>
    </row>
    <row r="113" spans="1:2" x14ac:dyDescent="0.3">
      <c r="A113" t="s">
        <v>325</v>
      </c>
      <c r="B113" t="s">
        <v>1526</v>
      </c>
    </row>
    <row r="114" spans="1:2" x14ac:dyDescent="0.3">
      <c r="A114" t="s">
        <v>328</v>
      </c>
      <c r="B114" t="s">
        <v>1522</v>
      </c>
    </row>
    <row r="115" spans="1:2" x14ac:dyDescent="0.3">
      <c r="A115" t="s">
        <v>331</v>
      </c>
      <c r="B115" t="s">
        <v>1521</v>
      </c>
    </row>
    <row r="116" spans="1:2" x14ac:dyDescent="0.3">
      <c r="A116" t="s">
        <v>334</v>
      </c>
      <c r="B116" t="s">
        <v>1529</v>
      </c>
    </row>
    <row r="117" spans="1:2" x14ac:dyDescent="0.3">
      <c r="A117" t="s">
        <v>337</v>
      </c>
      <c r="B117" t="s">
        <v>1526</v>
      </c>
    </row>
    <row r="118" spans="1:2" x14ac:dyDescent="0.3">
      <c r="A118" t="s">
        <v>340</v>
      </c>
      <c r="B118" t="s">
        <v>1526</v>
      </c>
    </row>
    <row r="119" spans="1:2" x14ac:dyDescent="0.3">
      <c r="A119" t="s">
        <v>342</v>
      </c>
      <c r="B119" t="s">
        <v>1528</v>
      </c>
    </row>
    <row r="120" spans="1:2" x14ac:dyDescent="0.3">
      <c r="A120" t="s">
        <v>345</v>
      </c>
      <c r="B120" t="s">
        <v>1528</v>
      </c>
    </row>
    <row r="121" spans="1:2" x14ac:dyDescent="0.3">
      <c r="A121" t="s">
        <v>347</v>
      </c>
      <c r="B121" t="s">
        <v>1525</v>
      </c>
    </row>
    <row r="122" spans="1:2" x14ac:dyDescent="0.3">
      <c r="A122" t="s">
        <v>349</v>
      </c>
      <c r="B122" t="s">
        <v>1525</v>
      </c>
    </row>
    <row r="123" spans="1:2" x14ac:dyDescent="0.3">
      <c r="A123" t="s">
        <v>352</v>
      </c>
      <c r="B123" t="s">
        <v>1528</v>
      </c>
    </row>
    <row r="124" spans="1:2" x14ac:dyDescent="0.3">
      <c r="A124" t="s">
        <v>355</v>
      </c>
      <c r="B124" t="s">
        <v>1526</v>
      </c>
    </row>
    <row r="125" spans="1:2" x14ac:dyDescent="0.3">
      <c r="A125" t="s">
        <v>358</v>
      </c>
      <c r="B125" t="s">
        <v>1526</v>
      </c>
    </row>
    <row r="126" spans="1:2" x14ac:dyDescent="0.3">
      <c r="A126" t="s">
        <v>360</v>
      </c>
      <c r="B126" t="s">
        <v>1528</v>
      </c>
    </row>
    <row r="127" spans="1:2" x14ac:dyDescent="0.3">
      <c r="A127" t="s">
        <v>362</v>
      </c>
      <c r="B127" t="s">
        <v>1523</v>
      </c>
    </row>
    <row r="128" spans="1:2" x14ac:dyDescent="0.3">
      <c r="A128" t="s">
        <v>365</v>
      </c>
      <c r="B128" t="s">
        <v>1528</v>
      </c>
    </row>
    <row r="129" spans="1:2" x14ac:dyDescent="0.3">
      <c r="A129" t="s">
        <v>368</v>
      </c>
      <c r="B129" t="s">
        <v>1526</v>
      </c>
    </row>
    <row r="130" spans="1:2" x14ac:dyDescent="0.3">
      <c r="A130" t="s">
        <v>371</v>
      </c>
      <c r="B130" t="s">
        <v>1526</v>
      </c>
    </row>
    <row r="131" spans="1:2" x14ac:dyDescent="0.3">
      <c r="A131" t="s">
        <v>374</v>
      </c>
      <c r="B131" t="s">
        <v>1526</v>
      </c>
    </row>
    <row r="132" spans="1:2" x14ac:dyDescent="0.3">
      <c r="A132" t="s">
        <v>377</v>
      </c>
      <c r="B132" t="s">
        <v>1526</v>
      </c>
    </row>
    <row r="133" spans="1:2" x14ac:dyDescent="0.3">
      <c r="A133" t="s">
        <v>380</v>
      </c>
      <c r="B133" t="s">
        <v>1526</v>
      </c>
    </row>
    <row r="134" spans="1:2" x14ac:dyDescent="0.3">
      <c r="A134" t="s">
        <v>383</v>
      </c>
      <c r="B134" t="s">
        <v>1525</v>
      </c>
    </row>
    <row r="135" spans="1:2" x14ac:dyDescent="0.3">
      <c r="A135" t="s">
        <v>385</v>
      </c>
      <c r="B135" t="s">
        <v>1528</v>
      </c>
    </row>
    <row r="136" spans="1:2" x14ac:dyDescent="0.3">
      <c r="A136" t="s">
        <v>387</v>
      </c>
      <c r="B136" t="s">
        <v>1526</v>
      </c>
    </row>
    <row r="137" spans="1:2" x14ac:dyDescent="0.3">
      <c r="A137" t="s">
        <v>390</v>
      </c>
      <c r="B137" t="s">
        <v>1522</v>
      </c>
    </row>
    <row r="138" spans="1:2" x14ac:dyDescent="0.3">
      <c r="A138" t="s">
        <v>393</v>
      </c>
      <c r="B138" t="s">
        <v>1521</v>
      </c>
    </row>
    <row r="139" spans="1:2" x14ac:dyDescent="0.3">
      <c r="A139" t="s">
        <v>396</v>
      </c>
      <c r="B139" t="s">
        <v>1526</v>
      </c>
    </row>
    <row r="140" spans="1:2" x14ac:dyDescent="0.3">
      <c r="A140" t="s">
        <v>399</v>
      </c>
      <c r="B140" t="s">
        <v>1527</v>
      </c>
    </row>
    <row r="141" spans="1:2" x14ac:dyDescent="0.3">
      <c r="A141" t="s">
        <v>402</v>
      </c>
      <c r="B141" t="s">
        <v>1529</v>
      </c>
    </row>
    <row r="142" spans="1:2" x14ac:dyDescent="0.3">
      <c r="A142" t="s">
        <v>405</v>
      </c>
      <c r="B142" t="s">
        <v>1521</v>
      </c>
    </row>
    <row r="143" spans="1:2" x14ac:dyDescent="0.3">
      <c r="A143" t="s">
        <v>407</v>
      </c>
      <c r="B143" t="s">
        <v>1522</v>
      </c>
    </row>
    <row r="144" spans="1:2" x14ac:dyDescent="0.3">
      <c r="A144" t="s">
        <v>410</v>
      </c>
      <c r="B144" t="s">
        <v>1521</v>
      </c>
    </row>
    <row r="145" spans="1:2" x14ac:dyDescent="0.3">
      <c r="A145" t="s">
        <v>413</v>
      </c>
      <c r="B145" t="s">
        <v>1522</v>
      </c>
    </row>
    <row r="146" spans="1:2" x14ac:dyDescent="0.3">
      <c r="A146" t="s">
        <v>415</v>
      </c>
      <c r="B146" t="s">
        <v>1522</v>
      </c>
    </row>
    <row r="147" spans="1:2" x14ac:dyDescent="0.3">
      <c r="A147" t="s">
        <v>418</v>
      </c>
      <c r="B147" t="s">
        <v>1529</v>
      </c>
    </row>
    <row r="148" spans="1:2" x14ac:dyDescent="0.3">
      <c r="A148" t="s">
        <v>420</v>
      </c>
      <c r="B148" t="s">
        <v>1528</v>
      </c>
    </row>
    <row r="149" spans="1:2" x14ac:dyDescent="0.3">
      <c r="A149" t="s">
        <v>423</v>
      </c>
      <c r="B149" t="s">
        <v>1521</v>
      </c>
    </row>
    <row r="150" spans="1:2" x14ac:dyDescent="0.3">
      <c r="A150" t="s">
        <v>426</v>
      </c>
      <c r="B150" t="s">
        <v>1523</v>
      </c>
    </row>
    <row r="151" spans="1:2" x14ac:dyDescent="0.3">
      <c r="A151" t="s">
        <v>429</v>
      </c>
      <c r="B151" t="s">
        <v>1523</v>
      </c>
    </row>
    <row r="152" spans="1:2" x14ac:dyDescent="0.3">
      <c r="A152" t="s">
        <v>431</v>
      </c>
      <c r="B152" t="s">
        <v>1529</v>
      </c>
    </row>
    <row r="153" spans="1:2" x14ac:dyDescent="0.3">
      <c r="A153" t="s">
        <v>434</v>
      </c>
      <c r="B153" t="s">
        <v>1527</v>
      </c>
    </row>
    <row r="154" spans="1:2" x14ac:dyDescent="0.3">
      <c r="A154" t="s">
        <v>436</v>
      </c>
      <c r="B154" t="s">
        <v>1522</v>
      </c>
    </row>
    <row r="155" spans="1:2" x14ac:dyDescent="0.3">
      <c r="A155" t="s">
        <v>439</v>
      </c>
      <c r="B155" t="s">
        <v>1528</v>
      </c>
    </row>
    <row r="156" spans="1:2" x14ac:dyDescent="0.3">
      <c r="A156" t="s">
        <v>442</v>
      </c>
      <c r="B156" t="s">
        <v>1523</v>
      </c>
    </row>
    <row r="157" spans="1:2" x14ac:dyDescent="0.3">
      <c r="A157" t="s">
        <v>445</v>
      </c>
      <c r="B157" t="s">
        <v>1528</v>
      </c>
    </row>
    <row r="158" spans="1:2" x14ac:dyDescent="0.3">
      <c r="A158" t="s">
        <v>448</v>
      </c>
      <c r="B158" t="s">
        <v>1528</v>
      </c>
    </row>
    <row r="159" spans="1:2" x14ac:dyDescent="0.3">
      <c r="A159" t="s">
        <v>450</v>
      </c>
      <c r="B159" t="s">
        <v>1528</v>
      </c>
    </row>
    <row r="160" spans="1:2" x14ac:dyDescent="0.3">
      <c r="A160" t="s">
        <v>451</v>
      </c>
      <c r="B160" t="s">
        <v>1528</v>
      </c>
    </row>
    <row r="161" spans="1:2" x14ac:dyDescent="0.3">
      <c r="A161" t="s">
        <v>454</v>
      </c>
      <c r="B161" t="s">
        <v>1525</v>
      </c>
    </row>
    <row r="162" spans="1:2" x14ac:dyDescent="0.3">
      <c r="A162" t="s">
        <v>456</v>
      </c>
      <c r="B162" t="s">
        <v>1523</v>
      </c>
    </row>
    <row r="163" spans="1:2" x14ac:dyDescent="0.3">
      <c r="A163" t="s">
        <v>459</v>
      </c>
      <c r="B163" t="s">
        <v>1528</v>
      </c>
    </row>
    <row r="164" spans="1:2" x14ac:dyDescent="0.3">
      <c r="A164" t="s">
        <v>462</v>
      </c>
      <c r="B164" t="s">
        <v>1529</v>
      </c>
    </row>
    <row r="165" spans="1:2" x14ac:dyDescent="0.3">
      <c r="A165" t="s">
        <v>464</v>
      </c>
      <c r="B165" t="s">
        <v>1527</v>
      </c>
    </row>
    <row r="166" spans="1:2" x14ac:dyDescent="0.3">
      <c r="A166" t="s">
        <v>466</v>
      </c>
      <c r="B166" t="s">
        <v>1525</v>
      </c>
    </row>
    <row r="167" spans="1:2" x14ac:dyDescent="0.3">
      <c r="A167" t="s">
        <v>468</v>
      </c>
      <c r="B167" t="s">
        <v>1527</v>
      </c>
    </row>
    <row r="168" spans="1:2" x14ac:dyDescent="0.3">
      <c r="A168" t="s">
        <v>471</v>
      </c>
      <c r="B168" t="s">
        <v>1523</v>
      </c>
    </row>
    <row r="169" spans="1:2" x14ac:dyDescent="0.3">
      <c r="A169" t="s">
        <v>474</v>
      </c>
      <c r="B169" t="s">
        <v>1528</v>
      </c>
    </row>
    <row r="170" spans="1:2" x14ac:dyDescent="0.3">
      <c r="A170" t="s">
        <v>477</v>
      </c>
      <c r="B170" t="s">
        <v>1525</v>
      </c>
    </row>
    <row r="171" spans="1:2" x14ac:dyDescent="0.3">
      <c r="A171" t="s">
        <v>480</v>
      </c>
      <c r="B171" t="s">
        <v>1526</v>
      </c>
    </row>
    <row r="172" spans="1:2" x14ac:dyDescent="0.3">
      <c r="A172" t="s">
        <v>483</v>
      </c>
      <c r="B172" t="s">
        <v>1527</v>
      </c>
    </row>
    <row r="173" spans="1:2" x14ac:dyDescent="0.3">
      <c r="A173" t="s">
        <v>486</v>
      </c>
      <c r="B173" t="s">
        <v>1525</v>
      </c>
    </row>
    <row r="174" spans="1:2" x14ac:dyDescent="0.3">
      <c r="A174" t="s">
        <v>489</v>
      </c>
      <c r="B174" t="s">
        <v>1521</v>
      </c>
    </row>
    <row r="175" spans="1:2" x14ac:dyDescent="0.3">
      <c r="A175" t="s">
        <v>492</v>
      </c>
      <c r="B175" t="s">
        <v>1528</v>
      </c>
    </row>
    <row r="176" spans="1:2" x14ac:dyDescent="0.3">
      <c r="A176" t="s">
        <v>495</v>
      </c>
      <c r="B176" t="s">
        <v>1525</v>
      </c>
    </row>
    <row r="177" spans="1:2" x14ac:dyDescent="0.3">
      <c r="A177" t="s">
        <v>498</v>
      </c>
      <c r="B177" t="s">
        <v>1522</v>
      </c>
    </row>
    <row r="178" spans="1:2" x14ac:dyDescent="0.3">
      <c r="A178" t="s">
        <v>500</v>
      </c>
      <c r="B178" t="s">
        <v>1526</v>
      </c>
    </row>
    <row r="179" spans="1:2" x14ac:dyDescent="0.3">
      <c r="A179" t="s">
        <v>503</v>
      </c>
      <c r="B179" t="s">
        <v>1523</v>
      </c>
    </row>
    <row r="180" spans="1:2" x14ac:dyDescent="0.3">
      <c r="A180" t="s">
        <v>505</v>
      </c>
      <c r="B180" t="s">
        <v>1529</v>
      </c>
    </row>
    <row r="181" spans="1:2" x14ac:dyDescent="0.3">
      <c r="A181" t="s">
        <v>508</v>
      </c>
      <c r="B181" t="s">
        <v>1523</v>
      </c>
    </row>
    <row r="182" spans="1:2" x14ac:dyDescent="0.3">
      <c r="A182" t="s">
        <v>509</v>
      </c>
      <c r="B182" t="s">
        <v>1529</v>
      </c>
    </row>
    <row r="183" spans="1:2" x14ac:dyDescent="0.3">
      <c r="A183" t="s">
        <v>512</v>
      </c>
      <c r="B183" t="s">
        <v>1529</v>
      </c>
    </row>
    <row r="184" spans="1:2" x14ac:dyDescent="0.3">
      <c r="A184" t="s">
        <v>514</v>
      </c>
      <c r="B184" t="s">
        <v>1525</v>
      </c>
    </row>
    <row r="185" spans="1:2" x14ac:dyDescent="0.3">
      <c r="A185" t="s">
        <v>516</v>
      </c>
      <c r="B185" t="s">
        <v>1528</v>
      </c>
    </row>
    <row r="186" spans="1:2" x14ac:dyDescent="0.3">
      <c r="A186" t="s">
        <v>518</v>
      </c>
      <c r="B186" t="s">
        <v>1521</v>
      </c>
    </row>
    <row r="187" spans="1:2" x14ac:dyDescent="0.3">
      <c r="A187" t="s">
        <v>521</v>
      </c>
      <c r="B187" t="s">
        <v>1526</v>
      </c>
    </row>
    <row r="188" spans="1:2" x14ac:dyDescent="0.3">
      <c r="A188" t="s">
        <v>524</v>
      </c>
      <c r="B188" t="s">
        <v>1528</v>
      </c>
    </row>
    <row r="189" spans="1:2" x14ac:dyDescent="0.3">
      <c r="A189" t="s">
        <v>527</v>
      </c>
      <c r="B189" t="s">
        <v>1523</v>
      </c>
    </row>
    <row r="190" spans="1:2" x14ac:dyDescent="0.3">
      <c r="A190" t="s">
        <v>530</v>
      </c>
      <c r="B190" t="s">
        <v>1523</v>
      </c>
    </row>
    <row r="191" spans="1:2" x14ac:dyDescent="0.3">
      <c r="A191" t="s">
        <v>533</v>
      </c>
      <c r="B191" t="s">
        <v>1527</v>
      </c>
    </row>
    <row r="192" spans="1:2" x14ac:dyDescent="0.3">
      <c r="A192" t="s">
        <v>535</v>
      </c>
      <c r="B192" t="s">
        <v>1522</v>
      </c>
    </row>
    <row r="193" spans="1:2" x14ac:dyDescent="0.3">
      <c r="A193" t="s">
        <v>537</v>
      </c>
      <c r="B193" t="s">
        <v>1525</v>
      </c>
    </row>
    <row r="194" spans="1:2" x14ac:dyDescent="0.3">
      <c r="A194" t="s">
        <v>539</v>
      </c>
      <c r="B194" t="s">
        <v>1528</v>
      </c>
    </row>
    <row r="195" spans="1:2" x14ac:dyDescent="0.3">
      <c r="A195" t="s">
        <v>541</v>
      </c>
      <c r="B195" t="s">
        <v>1523</v>
      </c>
    </row>
    <row r="196" spans="1:2" x14ac:dyDescent="0.3">
      <c r="A196" t="s">
        <v>542</v>
      </c>
      <c r="B196" t="s">
        <v>1523</v>
      </c>
    </row>
    <row r="197" spans="1:2" x14ac:dyDescent="0.3">
      <c r="A197" t="s">
        <v>545</v>
      </c>
      <c r="B197" t="s">
        <v>1528</v>
      </c>
    </row>
    <row r="198" spans="1:2" x14ac:dyDescent="0.3">
      <c r="A198" t="s">
        <v>548</v>
      </c>
      <c r="B198" t="s">
        <v>1529</v>
      </c>
    </row>
    <row r="199" spans="1:2" x14ac:dyDescent="0.3">
      <c r="A199" t="s">
        <v>551</v>
      </c>
      <c r="B199" t="s">
        <v>1523</v>
      </c>
    </row>
    <row r="200" spans="1:2" x14ac:dyDescent="0.3">
      <c r="A200" t="s">
        <v>553</v>
      </c>
      <c r="B200" t="s">
        <v>1526</v>
      </c>
    </row>
    <row r="201" spans="1:2" x14ac:dyDescent="0.3">
      <c r="A201" t="s">
        <v>556</v>
      </c>
      <c r="B201" t="s">
        <v>1521</v>
      </c>
    </row>
    <row r="202" spans="1:2" x14ac:dyDescent="0.3">
      <c r="A202" t="s">
        <v>558</v>
      </c>
      <c r="B202" t="s">
        <v>1525</v>
      </c>
    </row>
    <row r="203" spans="1:2" x14ac:dyDescent="0.3">
      <c r="A203" t="s">
        <v>561</v>
      </c>
      <c r="B203" t="s">
        <v>1528</v>
      </c>
    </row>
    <row r="204" spans="1:2" x14ac:dyDescent="0.3">
      <c r="A204" t="s">
        <v>564</v>
      </c>
      <c r="B204" t="s">
        <v>1521</v>
      </c>
    </row>
    <row r="205" spans="1:2" x14ac:dyDescent="0.3">
      <c r="A205" t="s">
        <v>567</v>
      </c>
      <c r="B205" t="s">
        <v>1525</v>
      </c>
    </row>
    <row r="206" spans="1:2" x14ac:dyDescent="0.3">
      <c r="A206" t="s">
        <v>570</v>
      </c>
      <c r="B206" t="s">
        <v>1523</v>
      </c>
    </row>
    <row r="207" spans="1:2" x14ac:dyDescent="0.3">
      <c r="A207" t="s">
        <v>573</v>
      </c>
      <c r="B207" t="s">
        <v>1529</v>
      </c>
    </row>
    <row r="208" spans="1:2" x14ac:dyDescent="0.3">
      <c r="A208" t="s">
        <v>574</v>
      </c>
      <c r="B208" t="s">
        <v>1522</v>
      </c>
    </row>
    <row r="209" spans="1:2" x14ac:dyDescent="0.3">
      <c r="A209" t="s">
        <v>576</v>
      </c>
      <c r="B209" t="s">
        <v>1526</v>
      </c>
    </row>
    <row r="210" spans="1:2" x14ac:dyDescent="0.3">
      <c r="A210" t="s">
        <v>577</v>
      </c>
      <c r="B210" t="s">
        <v>1522</v>
      </c>
    </row>
    <row r="211" spans="1:2" x14ac:dyDescent="0.3">
      <c r="A211" t="s">
        <v>580</v>
      </c>
      <c r="B211" t="s">
        <v>1523</v>
      </c>
    </row>
    <row r="212" spans="1:2" x14ac:dyDescent="0.3">
      <c r="A212" t="s">
        <v>583</v>
      </c>
      <c r="B212" t="s">
        <v>1527</v>
      </c>
    </row>
    <row r="213" spans="1:2" x14ac:dyDescent="0.3">
      <c r="A213" t="s">
        <v>585</v>
      </c>
      <c r="B213" t="s">
        <v>1523</v>
      </c>
    </row>
    <row r="214" spans="1:2" x14ac:dyDescent="0.3">
      <c r="A214" t="s">
        <v>588</v>
      </c>
      <c r="B214" t="s">
        <v>1528</v>
      </c>
    </row>
    <row r="215" spans="1:2" x14ac:dyDescent="0.3">
      <c r="A215" t="s">
        <v>591</v>
      </c>
      <c r="B215" t="s">
        <v>1526</v>
      </c>
    </row>
    <row r="216" spans="1:2" x14ac:dyDescent="0.3">
      <c r="A216" t="s">
        <v>594</v>
      </c>
      <c r="B216" t="s">
        <v>1525</v>
      </c>
    </row>
    <row r="217" spans="1:2" x14ac:dyDescent="0.3">
      <c r="A217" t="s">
        <v>597</v>
      </c>
      <c r="B217" t="s">
        <v>1523</v>
      </c>
    </row>
    <row r="218" spans="1:2" x14ac:dyDescent="0.3">
      <c r="A218" t="s">
        <v>600</v>
      </c>
      <c r="B218" t="s">
        <v>1523</v>
      </c>
    </row>
    <row r="219" spans="1:2" x14ac:dyDescent="0.3">
      <c r="A219" t="s">
        <v>603</v>
      </c>
      <c r="B219" t="s">
        <v>1527</v>
      </c>
    </row>
    <row r="220" spans="1:2" x14ac:dyDescent="0.3">
      <c r="A220" t="s">
        <v>605</v>
      </c>
      <c r="B220" t="s">
        <v>1523</v>
      </c>
    </row>
    <row r="221" spans="1:2" x14ac:dyDescent="0.3">
      <c r="A221" t="s">
        <v>608</v>
      </c>
      <c r="B221" t="s">
        <v>1523</v>
      </c>
    </row>
    <row r="222" spans="1:2" x14ac:dyDescent="0.3">
      <c r="A222" t="s">
        <v>609</v>
      </c>
      <c r="B222" t="s">
        <v>1523</v>
      </c>
    </row>
    <row r="223" spans="1:2" x14ac:dyDescent="0.3">
      <c r="A223" t="s">
        <v>611</v>
      </c>
      <c r="B223" t="s">
        <v>1526</v>
      </c>
    </row>
    <row r="224" spans="1:2" x14ac:dyDescent="0.3">
      <c r="A224" t="s">
        <v>613</v>
      </c>
      <c r="B224" t="s">
        <v>1528</v>
      </c>
    </row>
    <row r="225" spans="1:2" x14ac:dyDescent="0.3">
      <c r="A225" t="s">
        <v>615</v>
      </c>
      <c r="B225" t="s">
        <v>1526</v>
      </c>
    </row>
    <row r="226" spans="1:2" x14ac:dyDescent="0.3">
      <c r="A226" t="s">
        <v>618</v>
      </c>
      <c r="B226" t="s">
        <v>1525</v>
      </c>
    </row>
    <row r="227" spans="1:2" x14ac:dyDescent="0.3">
      <c r="A227" t="s">
        <v>619</v>
      </c>
      <c r="B227" t="s">
        <v>1528</v>
      </c>
    </row>
    <row r="228" spans="1:2" x14ac:dyDescent="0.3">
      <c r="A228" t="s">
        <v>621</v>
      </c>
      <c r="B228" t="s">
        <v>1521</v>
      </c>
    </row>
    <row r="229" spans="1:2" x14ac:dyDescent="0.3">
      <c r="A229" t="s">
        <v>624</v>
      </c>
      <c r="B229" t="s">
        <v>1528</v>
      </c>
    </row>
    <row r="230" spans="1:2" x14ac:dyDescent="0.3">
      <c r="A230" t="s">
        <v>627</v>
      </c>
      <c r="B230" t="s">
        <v>1523</v>
      </c>
    </row>
    <row r="231" spans="1:2" x14ac:dyDescent="0.3">
      <c r="A231" t="s">
        <v>630</v>
      </c>
      <c r="B231" t="s">
        <v>1526</v>
      </c>
    </row>
    <row r="232" spans="1:2" x14ac:dyDescent="0.3">
      <c r="A232" t="s">
        <v>633</v>
      </c>
      <c r="B232" t="s">
        <v>1529</v>
      </c>
    </row>
    <row r="233" spans="1:2" x14ac:dyDescent="0.3">
      <c r="A233" t="s">
        <v>636</v>
      </c>
      <c r="B233" t="s">
        <v>1521</v>
      </c>
    </row>
    <row r="234" spans="1:2" x14ac:dyDescent="0.3">
      <c r="A234" t="s">
        <v>639</v>
      </c>
      <c r="B234" t="s">
        <v>1521</v>
      </c>
    </row>
    <row r="235" spans="1:2" x14ac:dyDescent="0.3">
      <c r="A235" t="s">
        <v>642</v>
      </c>
      <c r="B235" t="s">
        <v>1521</v>
      </c>
    </row>
    <row r="236" spans="1:2" x14ac:dyDescent="0.3">
      <c r="A236" t="s">
        <v>644</v>
      </c>
      <c r="B236" t="s">
        <v>1528</v>
      </c>
    </row>
    <row r="237" spans="1:2" x14ac:dyDescent="0.3">
      <c r="A237" t="s">
        <v>647</v>
      </c>
      <c r="B237" t="s">
        <v>1521</v>
      </c>
    </row>
    <row r="238" spans="1:2" x14ac:dyDescent="0.3">
      <c r="A238" t="s">
        <v>650</v>
      </c>
      <c r="B238" t="s">
        <v>1528</v>
      </c>
    </row>
    <row r="239" spans="1:2" x14ac:dyDescent="0.3">
      <c r="A239" t="s">
        <v>653</v>
      </c>
      <c r="B239" t="s">
        <v>1529</v>
      </c>
    </row>
    <row r="240" spans="1:2" x14ac:dyDescent="0.3">
      <c r="A240" t="s">
        <v>656</v>
      </c>
      <c r="B240" t="s">
        <v>1527</v>
      </c>
    </row>
    <row r="241" spans="1:2" x14ac:dyDescent="0.3">
      <c r="A241" t="s">
        <v>657</v>
      </c>
      <c r="B241" t="s">
        <v>1522</v>
      </c>
    </row>
    <row r="242" spans="1:2" x14ac:dyDescent="0.3">
      <c r="A242" t="s">
        <v>659</v>
      </c>
      <c r="B242" t="s">
        <v>1529</v>
      </c>
    </row>
    <row r="243" spans="1:2" x14ac:dyDescent="0.3">
      <c r="A243" t="s">
        <v>662</v>
      </c>
      <c r="B243" t="s">
        <v>1523</v>
      </c>
    </row>
    <row r="244" spans="1:2" x14ac:dyDescent="0.3">
      <c r="A244" t="s">
        <v>664</v>
      </c>
      <c r="B244" t="s">
        <v>1528</v>
      </c>
    </row>
    <row r="245" spans="1:2" x14ac:dyDescent="0.3">
      <c r="A245" t="s">
        <v>666</v>
      </c>
      <c r="B245" t="s">
        <v>1528</v>
      </c>
    </row>
    <row r="246" spans="1:2" x14ac:dyDescent="0.3">
      <c r="A246" t="s">
        <v>669</v>
      </c>
      <c r="B246" t="s">
        <v>1529</v>
      </c>
    </row>
    <row r="247" spans="1:2" x14ac:dyDescent="0.3">
      <c r="A247" t="s">
        <v>672</v>
      </c>
      <c r="B247" t="s">
        <v>1528</v>
      </c>
    </row>
    <row r="248" spans="1:2" x14ac:dyDescent="0.3">
      <c r="A248" t="s">
        <v>675</v>
      </c>
      <c r="B248" t="s">
        <v>1529</v>
      </c>
    </row>
    <row r="249" spans="1:2" x14ac:dyDescent="0.3">
      <c r="A249" t="s">
        <v>678</v>
      </c>
      <c r="B249" t="s">
        <v>1527</v>
      </c>
    </row>
    <row r="250" spans="1:2" x14ac:dyDescent="0.3">
      <c r="A250" t="s">
        <v>680</v>
      </c>
      <c r="B250" t="s">
        <v>1522</v>
      </c>
    </row>
    <row r="251" spans="1:2" x14ac:dyDescent="0.3">
      <c r="A251" t="s">
        <v>682</v>
      </c>
      <c r="B251" t="s">
        <v>1528</v>
      </c>
    </row>
    <row r="252" spans="1:2" x14ac:dyDescent="0.3">
      <c r="A252" t="s">
        <v>685</v>
      </c>
      <c r="B252" t="s">
        <v>1522</v>
      </c>
    </row>
    <row r="253" spans="1:2" x14ac:dyDescent="0.3">
      <c r="A253" t="s">
        <v>688</v>
      </c>
      <c r="B253" t="s">
        <v>1526</v>
      </c>
    </row>
    <row r="254" spans="1:2" x14ac:dyDescent="0.3">
      <c r="A254" t="s">
        <v>691</v>
      </c>
      <c r="B254" t="s">
        <v>1523</v>
      </c>
    </row>
    <row r="255" spans="1:2" x14ac:dyDescent="0.3">
      <c r="A255" t="s">
        <v>694</v>
      </c>
      <c r="B255" t="s">
        <v>1525</v>
      </c>
    </row>
    <row r="256" spans="1:2" x14ac:dyDescent="0.3">
      <c r="A256" t="s">
        <v>696</v>
      </c>
      <c r="B256" t="s">
        <v>1522</v>
      </c>
    </row>
    <row r="257" spans="1:2" x14ac:dyDescent="0.3">
      <c r="A257" t="s">
        <v>698</v>
      </c>
      <c r="B257" t="s">
        <v>1523</v>
      </c>
    </row>
    <row r="258" spans="1:2" x14ac:dyDescent="0.3">
      <c r="A258" t="s">
        <v>700</v>
      </c>
      <c r="B258" t="s">
        <v>1522</v>
      </c>
    </row>
    <row r="259" spans="1:2" x14ac:dyDescent="0.3">
      <c r="A259" t="s">
        <v>702</v>
      </c>
      <c r="B259" t="s">
        <v>1522</v>
      </c>
    </row>
    <row r="260" spans="1:2" x14ac:dyDescent="0.3">
      <c r="A260" t="s">
        <v>705</v>
      </c>
      <c r="B260" t="s">
        <v>1527</v>
      </c>
    </row>
    <row r="261" spans="1:2" x14ac:dyDescent="0.3">
      <c r="A261" t="s">
        <v>708</v>
      </c>
      <c r="B261" t="s">
        <v>1522</v>
      </c>
    </row>
    <row r="262" spans="1:2" x14ac:dyDescent="0.3">
      <c r="A262" t="s">
        <v>709</v>
      </c>
      <c r="B262" t="s">
        <v>1523</v>
      </c>
    </row>
    <row r="263" spans="1:2" x14ac:dyDescent="0.3">
      <c r="A263" t="s">
        <v>712</v>
      </c>
      <c r="B263" t="s">
        <v>1528</v>
      </c>
    </row>
    <row r="264" spans="1:2" x14ac:dyDescent="0.3">
      <c r="A264" t="s">
        <v>715</v>
      </c>
      <c r="B264" t="s">
        <v>1528</v>
      </c>
    </row>
    <row r="265" spans="1:2" x14ac:dyDescent="0.3">
      <c r="A265" t="s">
        <v>717</v>
      </c>
      <c r="B265" t="s">
        <v>1527</v>
      </c>
    </row>
    <row r="266" spans="1:2" x14ac:dyDescent="0.3">
      <c r="A266" t="s">
        <v>720</v>
      </c>
      <c r="B266" t="s">
        <v>1521</v>
      </c>
    </row>
    <row r="267" spans="1:2" x14ac:dyDescent="0.3">
      <c r="A267" t="s">
        <v>723</v>
      </c>
      <c r="B267" t="s">
        <v>1521</v>
      </c>
    </row>
    <row r="268" spans="1:2" x14ac:dyDescent="0.3">
      <c r="A268" t="s">
        <v>725</v>
      </c>
      <c r="B268" t="s">
        <v>1522</v>
      </c>
    </row>
    <row r="269" spans="1:2" x14ac:dyDescent="0.3">
      <c r="A269" t="s">
        <v>728</v>
      </c>
      <c r="B269" t="s">
        <v>1525</v>
      </c>
    </row>
    <row r="270" spans="1:2" x14ac:dyDescent="0.3">
      <c r="A270" t="s">
        <v>730</v>
      </c>
      <c r="B270" t="s">
        <v>1527</v>
      </c>
    </row>
    <row r="271" spans="1:2" x14ac:dyDescent="0.3">
      <c r="A271" t="s">
        <v>731</v>
      </c>
      <c r="B271" t="s">
        <v>1529</v>
      </c>
    </row>
    <row r="272" spans="1:2" x14ac:dyDescent="0.3">
      <c r="A272" t="s">
        <v>732</v>
      </c>
      <c r="B272" t="s">
        <v>1527</v>
      </c>
    </row>
    <row r="273" spans="1:2" x14ac:dyDescent="0.3">
      <c r="A273" t="s">
        <v>735</v>
      </c>
      <c r="B273" t="s">
        <v>1529</v>
      </c>
    </row>
    <row r="274" spans="1:2" x14ac:dyDescent="0.3">
      <c r="A274" t="s">
        <v>737</v>
      </c>
      <c r="B274" t="s">
        <v>1528</v>
      </c>
    </row>
    <row r="275" spans="1:2" x14ac:dyDescent="0.3">
      <c r="A275" t="s">
        <v>739</v>
      </c>
      <c r="B275" t="s">
        <v>1529</v>
      </c>
    </row>
    <row r="276" spans="1:2" x14ac:dyDescent="0.3">
      <c r="A276" t="s">
        <v>742</v>
      </c>
      <c r="B276" t="s">
        <v>1521</v>
      </c>
    </row>
    <row r="277" spans="1:2" x14ac:dyDescent="0.3">
      <c r="A277" t="s">
        <v>744</v>
      </c>
      <c r="B277" t="s">
        <v>1525</v>
      </c>
    </row>
    <row r="278" spans="1:2" x14ac:dyDescent="0.3">
      <c r="A278" t="s">
        <v>746</v>
      </c>
      <c r="B278" t="s">
        <v>1528</v>
      </c>
    </row>
    <row r="279" spans="1:2" x14ac:dyDescent="0.3">
      <c r="A279" t="s">
        <v>749</v>
      </c>
      <c r="B279" t="s">
        <v>1521</v>
      </c>
    </row>
    <row r="280" spans="1:2" x14ac:dyDescent="0.3">
      <c r="A280" t="s">
        <v>752</v>
      </c>
      <c r="B280" t="s">
        <v>1523</v>
      </c>
    </row>
    <row r="281" spans="1:2" x14ac:dyDescent="0.3">
      <c r="A281" t="s">
        <v>755</v>
      </c>
      <c r="B281" t="s">
        <v>1527</v>
      </c>
    </row>
    <row r="282" spans="1:2" x14ac:dyDescent="0.3">
      <c r="A282" t="s">
        <v>757</v>
      </c>
      <c r="B282" t="s">
        <v>1525</v>
      </c>
    </row>
    <row r="283" spans="1:2" x14ac:dyDescent="0.3">
      <c r="A283" t="s">
        <v>760</v>
      </c>
      <c r="B283" t="s">
        <v>1527</v>
      </c>
    </row>
    <row r="284" spans="1:2" x14ac:dyDescent="0.3">
      <c r="A284" t="s">
        <v>763</v>
      </c>
      <c r="B284" t="s">
        <v>1523</v>
      </c>
    </row>
    <row r="285" spans="1:2" x14ac:dyDescent="0.3">
      <c r="A285" t="s">
        <v>766</v>
      </c>
      <c r="B285" t="s">
        <v>1528</v>
      </c>
    </row>
    <row r="286" spans="1:2" x14ac:dyDescent="0.3">
      <c r="A286" t="s">
        <v>769</v>
      </c>
      <c r="B286" t="s">
        <v>1528</v>
      </c>
    </row>
    <row r="287" spans="1:2" x14ac:dyDescent="0.3">
      <c r="A287" t="s">
        <v>771</v>
      </c>
      <c r="B287" t="s">
        <v>1529</v>
      </c>
    </row>
    <row r="288" spans="1:2" x14ac:dyDescent="0.3">
      <c r="A288" t="s">
        <v>774</v>
      </c>
      <c r="B288" t="s">
        <v>1521</v>
      </c>
    </row>
    <row r="289" spans="1:2" x14ac:dyDescent="0.3">
      <c r="A289" t="s">
        <v>776</v>
      </c>
      <c r="B289" t="s">
        <v>1522</v>
      </c>
    </row>
    <row r="290" spans="1:2" x14ac:dyDescent="0.3">
      <c r="A290" t="s">
        <v>779</v>
      </c>
      <c r="B290" t="s">
        <v>1523</v>
      </c>
    </row>
    <row r="291" spans="1:2" x14ac:dyDescent="0.3">
      <c r="A291" t="s">
        <v>781</v>
      </c>
      <c r="B291" t="s">
        <v>1527</v>
      </c>
    </row>
    <row r="292" spans="1:2" x14ac:dyDescent="0.3">
      <c r="A292" t="s">
        <v>783</v>
      </c>
      <c r="B292" t="s">
        <v>1528</v>
      </c>
    </row>
    <row r="293" spans="1:2" x14ac:dyDescent="0.3">
      <c r="A293" t="s">
        <v>786</v>
      </c>
      <c r="B293" t="s">
        <v>1527</v>
      </c>
    </row>
    <row r="294" spans="1:2" x14ac:dyDescent="0.3">
      <c r="A294" t="s">
        <v>789</v>
      </c>
      <c r="B294" t="s">
        <v>1527</v>
      </c>
    </row>
    <row r="295" spans="1:2" x14ac:dyDescent="0.3">
      <c r="A295" t="s">
        <v>790</v>
      </c>
      <c r="B295" t="s">
        <v>1525</v>
      </c>
    </row>
    <row r="296" spans="1:2" x14ac:dyDescent="0.3">
      <c r="A296" t="s">
        <v>793</v>
      </c>
      <c r="B296" t="s">
        <v>1527</v>
      </c>
    </row>
    <row r="297" spans="1:2" x14ac:dyDescent="0.3">
      <c r="A297" t="s">
        <v>795</v>
      </c>
      <c r="B297" t="s">
        <v>1522</v>
      </c>
    </row>
    <row r="298" spans="1:2" x14ac:dyDescent="0.3">
      <c r="A298" t="s">
        <v>798</v>
      </c>
      <c r="B298" t="s">
        <v>1525</v>
      </c>
    </row>
    <row r="299" spans="1:2" x14ac:dyDescent="0.3">
      <c r="A299" t="s">
        <v>800</v>
      </c>
      <c r="B299" t="s">
        <v>1522</v>
      </c>
    </row>
    <row r="300" spans="1:2" x14ac:dyDescent="0.3">
      <c r="A300" t="s">
        <v>802</v>
      </c>
      <c r="B300" t="s">
        <v>1529</v>
      </c>
    </row>
    <row r="301" spans="1:2" x14ac:dyDescent="0.3">
      <c r="A301" t="s">
        <v>805</v>
      </c>
      <c r="B301" t="s">
        <v>1525</v>
      </c>
    </row>
    <row r="302" spans="1:2" x14ac:dyDescent="0.3">
      <c r="A302" t="s">
        <v>808</v>
      </c>
      <c r="B302" t="s">
        <v>1529</v>
      </c>
    </row>
    <row r="303" spans="1:2" x14ac:dyDescent="0.3">
      <c r="A303" t="s">
        <v>811</v>
      </c>
      <c r="B303" t="s">
        <v>1525</v>
      </c>
    </row>
    <row r="304" spans="1:2" x14ac:dyDescent="0.3">
      <c r="A304" t="s">
        <v>814</v>
      </c>
      <c r="B304" t="s">
        <v>1525</v>
      </c>
    </row>
    <row r="305" spans="1:2" x14ac:dyDescent="0.3">
      <c r="A305" t="s">
        <v>817</v>
      </c>
      <c r="B305" t="s">
        <v>1523</v>
      </c>
    </row>
    <row r="306" spans="1:2" x14ac:dyDescent="0.3">
      <c r="A306" t="s">
        <v>820</v>
      </c>
      <c r="B306" t="s">
        <v>1529</v>
      </c>
    </row>
    <row r="307" spans="1:2" x14ac:dyDescent="0.3">
      <c r="A307" t="s">
        <v>821</v>
      </c>
      <c r="B307" t="s">
        <v>1527</v>
      </c>
    </row>
    <row r="308" spans="1:2" x14ac:dyDescent="0.3">
      <c r="A308" t="s">
        <v>823</v>
      </c>
      <c r="B308" t="s">
        <v>1529</v>
      </c>
    </row>
    <row r="309" spans="1:2" x14ac:dyDescent="0.3">
      <c r="A309" t="s">
        <v>826</v>
      </c>
      <c r="B309" t="s">
        <v>1525</v>
      </c>
    </row>
    <row r="310" spans="1:2" x14ac:dyDescent="0.3">
      <c r="A310" t="s">
        <v>829</v>
      </c>
      <c r="B310" t="s">
        <v>1521</v>
      </c>
    </row>
    <row r="311" spans="1:2" x14ac:dyDescent="0.3">
      <c r="A311" t="s">
        <v>831</v>
      </c>
      <c r="B311" t="s">
        <v>1521</v>
      </c>
    </row>
    <row r="312" spans="1:2" x14ac:dyDescent="0.3">
      <c r="A312" t="s">
        <v>832</v>
      </c>
      <c r="B312" t="s">
        <v>1522</v>
      </c>
    </row>
    <row r="313" spans="1:2" x14ac:dyDescent="0.3">
      <c r="A313" t="s">
        <v>835</v>
      </c>
      <c r="B313" t="s">
        <v>1528</v>
      </c>
    </row>
    <row r="314" spans="1:2" x14ac:dyDescent="0.3">
      <c r="A314" t="s">
        <v>837</v>
      </c>
      <c r="B314" t="s">
        <v>1522</v>
      </c>
    </row>
    <row r="315" spans="1:2" x14ac:dyDescent="0.3">
      <c r="A315" t="s">
        <v>840</v>
      </c>
      <c r="B315" t="s">
        <v>1528</v>
      </c>
    </row>
    <row r="316" spans="1:2" x14ac:dyDescent="0.3">
      <c r="A316" t="s">
        <v>843</v>
      </c>
      <c r="B316" t="s">
        <v>1521</v>
      </c>
    </row>
    <row r="317" spans="1:2" x14ac:dyDescent="0.3">
      <c r="A317" t="s">
        <v>846</v>
      </c>
      <c r="B317" t="s">
        <v>1525</v>
      </c>
    </row>
    <row r="318" spans="1:2" x14ac:dyDescent="0.3">
      <c r="A318" t="s">
        <v>849</v>
      </c>
      <c r="B318" t="s">
        <v>1528</v>
      </c>
    </row>
    <row r="319" spans="1:2" x14ac:dyDescent="0.3">
      <c r="A319" t="s">
        <v>852</v>
      </c>
      <c r="B319" t="s">
        <v>1529</v>
      </c>
    </row>
    <row r="320" spans="1:2" x14ac:dyDescent="0.3">
      <c r="A320" t="s">
        <v>855</v>
      </c>
      <c r="B320" t="s">
        <v>1528</v>
      </c>
    </row>
    <row r="321" spans="1:2" x14ac:dyDescent="0.3">
      <c r="A321" t="s">
        <v>858</v>
      </c>
      <c r="B321" t="s">
        <v>1526</v>
      </c>
    </row>
    <row r="322" spans="1:2" x14ac:dyDescent="0.3">
      <c r="A322" t="s">
        <v>861</v>
      </c>
      <c r="B322" t="s">
        <v>1528</v>
      </c>
    </row>
    <row r="323" spans="1:2" x14ac:dyDescent="0.3">
      <c r="A323" t="s">
        <v>864</v>
      </c>
      <c r="B323" t="s">
        <v>1528</v>
      </c>
    </row>
    <row r="324" spans="1:2" x14ac:dyDescent="0.3">
      <c r="A324" t="s">
        <v>867</v>
      </c>
      <c r="B324" t="s">
        <v>1523</v>
      </c>
    </row>
    <row r="325" spans="1:2" x14ac:dyDescent="0.3">
      <c r="A325" t="s">
        <v>870</v>
      </c>
      <c r="B325" t="s">
        <v>1528</v>
      </c>
    </row>
    <row r="326" spans="1:2" x14ac:dyDescent="0.3">
      <c r="A326" t="s">
        <v>872</v>
      </c>
      <c r="B326" t="s">
        <v>1525</v>
      </c>
    </row>
    <row r="327" spans="1:2" x14ac:dyDescent="0.3">
      <c r="A327" t="s">
        <v>874</v>
      </c>
      <c r="B327" t="s">
        <v>1526</v>
      </c>
    </row>
    <row r="328" spans="1:2" x14ac:dyDescent="0.3">
      <c r="A328" t="s">
        <v>877</v>
      </c>
      <c r="B328" t="s">
        <v>1527</v>
      </c>
    </row>
    <row r="329" spans="1:2" x14ac:dyDescent="0.3">
      <c r="A329" t="s">
        <v>880</v>
      </c>
      <c r="B329" t="s">
        <v>1525</v>
      </c>
    </row>
    <row r="330" spans="1:2" x14ac:dyDescent="0.3">
      <c r="A330" t="s">
        <v>882</v>
      </c>
      <c r="B330" t="s">
        <v>1527</v>
      </c>
    </row>
    <row r="331" spans="1:2" x14ac:dyDescent="0.3">
      <c r="A331" t="s">
        <v>883</v>
      </c>
      <c r="B331" t="s">
        <v>1528</v>
      </c>
    </row>
    <row r="332" spans="1:2" x14ac:dyDescent="0.3">
      <c r="A332" t="s">
        <v>886</v>
      </c>
      <c r="B332" t="s">
        <v>1523</v>
      </c>
    </row>
    <row r="333" spans="1:2" x14ac:dyDescent="0.3">
      <c r="A333" t="s">
        <v>889</v>
      </c>
      <c r="B333" t="s">
        <v>1523</v>
      </c>
    </row>
    <row r="334" spans="1:2" x14ac:dyDescent="0.3">
      <c r="A334" t="s">
        <v>892</v>
      </c>
      <c r="B334" t="s">
        <v>1521</v>
      </c>
    </row>
    <row r="335" spans="1:2" x14ac:dyDescent="0.3">
      <c r="A335" t="s">
        <v>895</v>
      </c>
      <c r="B335" t="s">
        <v>1523</v>
      </c>
    </row>
    <row r="336" spans="1:2" x14ac:dyDescent="0.3">
      <c r="A336" t="s">
        <v>898</v>
      </c>
      <c r="B336" t="s">
        <v>1526</v>
      </c>
    </row>
    <row r="337" spans="1:2" x14ac:dyDescent="0.3">
      <c r="A337" t="s">
        <v>900</v>
      </c>
      <c r="B337" t="s">
        <v>1529</v>
      </c>
    </row>
    <row r="338" spans="1:2" x14ac:dyDescent="0.3">
      <c r="A338" t="s">
        <v>903</v>
      </c>
      <c r="B338" t="s">
        <v>1521</v>
      </c>
    </row>
    <row r="339" spans="1:2" x14ac:dyDescent="0.3">
      <c r="A339" t="s">
        <v>905</v>
      </c>
      <c r="B339" t="s">
        <v>1526</v>
      </c>
    </row>
    <row r="340" spans="1:2" x14ac:dyDescent="0.3">
      <c r="A340" t="s">
        <v>906</v>
      </c>
      <c r="B340" t="s">
        <v>1526</v>
      </c>
    </row>
    <row r="341" spans="1:2" x14ac:dyDescent="0.3">
      <c r="A341" t="s">
        <v>909</v>
      </c>
      <c r="B341" t="s">
        <v>1528</v>
      </c>
    </row>
    <row r="342" spans="1:2" x14ac:dyDescent="0.3">
      <c r="A342" t="s">
        <v>911</v>
      </c>
      <c r="B342" t="s">
        <v>1521</v>
      </c>
    </row>
    <row r="343" spans="1:2" x14ac:dyDescent="0.3">
      <c r="A343" t="s">
        <v>914</v>
      </c>
      <c r="B343" t="s">
        <v>1527</v>
      </c>
    </row>
    <row r="344" spans="1:2" x14ac:dyDescent="0.3">
      <c r="A344" t="s">
        <v>917</v>
      </c>
      <c r="B344" t="s">
        <v>1525</v>
      </c>
    </row>
    <row r="345" spans="1:2" x14ac:dyDescent="0.3">
      <c r="A345" t="s">
        <v>919</v>
      </c>
      <c r="B345" t="s">
        <v>1525</v>
      </c>
    </row>
    <row r="346" spans="1:2" x14ac:dyDescent="0.3">
      <c r="A346" t="s">
        <v>922</v>
      </c>
      <c r="B346" t="s">
        <v>1522</v>
      </c>
    </row>
    <row r="347" spans="1:2" x14ac:dyDescent="0.3">
      <c r="A347" t="s">
        <v>924</v>
      </c>
      <c r="B347" t="s">
        <v>1523</v>
      </c>
    </row>
    <row r="348" spans="1:2" x14ac:dyDescent="0.3">
      <c r="A348" t="s">
        <v>925</v>
      </c>
      <c r="B348" t="s">
        <v>1521</v>
      </c>
    </row>
    <row r="349" spans="1:2" x14ac:dyDescent="0.3">
      <c r="A349" t="s">
        <v>928</v>
      </c>
      <c r="B349" t="s">
        <v>1521</v>
      </c>
    </row>
    <row r="350" spans="1:2" x14ac:dyDescent="0.3">
      <c r="A350" t="s">
        <v>931</v>
      </c>
      <c r="B350" t="s">
        <v>1522</v>
      </c>
    </row>
    <row r="351" spans="1:2" x14ac:dyDescent="0.3">
      <c r="A351" t="s">
        <v>933</v>
      </c>
      <c r="B351" t="s">
        <v>1521</v>
      </c>
    </row>
    <row r="352" spans="1:2" x14ac:dyDescent="0.3">
      <c r="A352" t="s">
        <v>935</v>
      </c>
      <c r="B352" t="s">
        <v>1529</v>
      </c>
    </row>
    <row r="353" spans="1:2" x14ac:dyDescent="0.3">
      <c r="A353" t="s">
        <v>937</v>
      </c>
      <c r="B353" t="s">
        <v>1527</v>
      </c>
    </row>
    <row r="354" spans="1:2" x14ac:dyDescent="0.3">
      <c r="A354" t="s">
        <v>940</v>
      </c>
      <c r="B354" t="s">
        <v>1523</v>
      </c>
    </row>
    <row r="355" spans="1:2" x14ac:dyDescent="0.3">
      <c r="A355" t="s">
        <v>943</v>
      </c>
      <c r="B355" t="s">
        <v>1529</v>
      </c>
    </row>
    <row r="356" spans="1:2" x14ac:dyDescent="0.3">
      <c r="A356" t="s">
        <v>944</v>
      </c>
      <c r="B356" t="s">
        <v>1528</v>
      </c>
    </row>
    <row r="357" spans="1:2" x14ac:dyDescent="0.3">
      <c r="A357" t="s">
        <v>946</v>
      </c>
      <c r="B357" t="s">
        <v>1529</v>
      </c>
    </row>
    <row r="358" spans="1:2" x14ac:dyDescent="0.3">
      <c r="A358" t="s">
        <v>948</v>
      </c>
      <c r="B358" t="s">
        <v>1522</v>
      </c>
    </row>
    <row r="359" spans="1:2" x14ac:dyDescent="0.3">
      <c r="A359" t="s">
        <v>951</v>
      </c>
      <c r="B359" t="s">
        <v>1526</v>
      </c>
    </row>
    <row r="360" spans="1:2" x14ac:dyDescent="0.3">
      <c r="A360" t="s">
        <v>954</v>
      </c>
      <c r="B360" t="s">
        <v>1525</v>
      </c>
    </row>
    <row r="361" spans="1:2" x14ac:dyDescent="0.3">
      <c r="A361" t="s">
        <v>956</v>
      </c>
      <c r="B361" t="s">
        <v>1527</v>
      </c>
    </row>
    <row r="362" spans="1:2" x14ac:dyDescent="0.3">
      <c r="A362" t="s">
        <v>958</v>
      </c>
      <c r="B362" t="s">
        <v>1527</v>
      </c>
    </row>
    <row r="363" spans="1:2" x14ac:dyDescent="0.3">
      <c r="A363" t="s">
        <v>960</v>
      </c>
      <c r="B363" t="s">
        <v>1527</v>
      </c>
    </row>
    <row r="364" spans="1:2" x14ac:dyDescent="0.3">
      <c r="A364" t="s">
        <v>963</v>
      </c>
      <c r="B364" t="s">
        <v>1522</v>
      </c>
    </row>
    <row r="365" spans="1:2" x14ac:dyDescent="0.3">
      <c r="A365" t="s">
        <v>966</v>
      </c>
      <c r="B365" t="s">
        <v>1527</v>
      </c>
    </row>
    <row r="366" spans="1:2" x14ac:dyDescent="0.3">
      <c r="A366" t="s">
        <v>968</v>
      </c>
      <c r="B366" t="s">
        <v>1521</v>
      </c>
    </row>
    <row r="367" spans="1:2" x14ac:dyDescent="0.3">
      <c r="A367" t="s">
        <v>970</v>
      </c>
      <c r="B367" t="s">
        <v>1526</v>
      </c>
    </row>
    <row r="368" spans="1:2" x14ac:dyDescent="0.3">
      <c r="A368" t="s">
        <v>971</v>
      </c>
      <c r="B368" t="s">
        <v>1527</v>
      </c>
    </row>
    <row r="369" spans="1:2" x14ac:dyDescent="0.3">
      <c r="A369" t="s">
        <v>974</v>
      </c>
      <c r="B369" t="s">
        <v>1525</v>
      </c>
    </row>
    <row r="370" spans="1:2" x14ac:dyDescent="0.3">
      <c r="A370" t="s">
        <v>977</v>
      </c>
      <c r="B370" t="s">
        <v>1521</v>
      </c>
    </row>
    <row r="371" spans="1:2" x14ac:dyDescent="0.3">
      <c r="A371" t="s">
        <v>980</v>
      </c>
      <c r="B371" t="s">
        <v>1523</v>
      </c>
    </row>
    <row r="372" spans="1:2" x14ac:dyDescent="0.3">
      <c r="A372" t="s">
        <v>982</v>
      </c>
      <c r="B372" t="s">
        <v>1525</v>
      </c>
    </row>
    <row r="373" spans="1:2" x14ac:dyDescent="0.3">
      <c r="A373" t="s">
        <v>984</v>
      </c>
      <c r="B373" t="s">
        <v>1522</v>
      </c>
    </row>
    <row r="374" spans="1:2" x14ac:dyDescent="0.3">
      <c r="A374" t="s">
        <v>987</v>
      </c>
      <c r="B374" t="s">
        <v>1529</v>
      </c>
    </row>
    <row r="375" spans="1:2" x14ac:dyDescent="0.3">
      <c r="A375" t="s">
        <v>989</v>
      </c>
      <c r="B375" t="s">
        <v>1521</v>
      </c>
    </row>
    <row r="376" spans="1:2" x14ac:dyDescent="0.3">
      <c r="A376" t="s">
        <v>992</v>
      </c>
      <c r="B376" t="s">
        <v>1525</v>
      </c>
    </row>
    <row r="377" spans="1:2" x14ac:dyDescent="0.3">
      <c r="A377" t="s">
        <v>995</v>
      </c>
      <c r="B377" t="s">
        <v>1526</v>
      </c>
    </row>
    <row r="378" spans="1:2" x14ac:dyDescent="0.3">
      <c r="A378" t="s">
        <v>997</v>
      </c>
      <c r="B378" t="s">
        <v>1525</v>
      </c>
    </row>
    <row r="379" spans="1:2" x14ac:dyDescent="0.3">
      <c r="A379" t="s">
        <v>1000</v>
      </c>
      <c r="B379" t="s">
        <v>1527</v>
      </c>
    </row>
    <row r="380" spans="1:2" x14ac:dyDescent="0.3">
      <c r="A380" t="s">
        <v>1002</v>
      </c>
      <c r="B380" t="s">
        <v>1523</v>
      </c>
    </row>
    <row r="381" spans="1:2" x14ac:dyDescent="0.3">
      <c r="A381" t="s">
        <v>1004</v>
      </c>
      <c r="B381" t="s">
        <v>1525</v>
      </c>
    </row>
    <row r="382" spans="1:2" x14ac:dyDescent="0.3">
      <c r="A382" t="s">
        <v>1005</v>
      </c>
      <c r="B382" t="s">
        <v>1525</v>
      </c>
    </row>
    <row r="383" spans="1:2" x14ac:dyDescent="0.3">
      <c r="A383" t="s">
        <v>1006</v>
      </c>
      <c r="B383" t="s">
        <v>1525</v>
      </c>
    </row>
    <row r="384" spans="1:2" x14ac:dyDescent="0.3">
      <c r="A384" t="s">
        <v>1007</v>
      </c>
      <c r="B384" t="s">
        <v>1522</v>
      </c>
    </row>
    <row r="385" spans="1:2" x14ac:dyDescent="0.3">
      <c r="A385" t="s">
        <v>1009</v>
      </c>
      <c r="B385" t="s">
        <v>1529</v>
      </c>
    </row>
    <row r="386" spans="1:2" x14ac:dyDescent="0.3">
      <c r="A386" t="s">
        <v>1011</v>
      </c>
      <c r="B386" t="s">
        <v>1521</v>
      </c>
    </row>
    <row r="387" spans="1:2" x14ac:dyDescent="0.3">
      <c r="A387" t="s">
        <v>1014</v>
      </c>
      <c r="B387" t="s">
        <v>1528</v>
      </c>
    </row>
    <row r="388" spans="1:2" x14ac:dyDescent="0.3">
      <c r="A388" t="s">
        <v>1017</v>
      </c>
      <c r="B388" t="s">
        <v>1527</v>
      </c>
    </row>
    <row r="389" spans="1:2" x14ac:dyDescent="0.3">
      <c r="A389" t="s">
        <v>1020</v>
      </c>
      <c r="B389" t="s">
        <v>1528</v>
      </c>
    </row>
    <row r="390" spans="1:2" x14ac:dyDescent="0.3">
      <c r="A390" t="s">
        <v>1023</v>
      </c>
      <c r="B390" t="s">
        <v>1522</v>
      </c>
    </row>
    <row r="391" spans="1:2" x14ac:dyDescent="0.3">
      <c r="A391" t="s">
        <v>1024</v>
      </c>
      <c r="B391" t="s">
        <v>1527</v>
      </c>
    </row>
    <row r="392" spans="1:2" x14ac:dyDescent="0.3">
      <c r="A392" t="s">
        <v>1025</v>
      </c>
      <c r="B392" t="s">
        <v>1521</v>
      </c>
    </row>
    <row r="393" spans="1:2" x14ac:dyDescent="0.3">
      <c r="A393" t="s">
        <v>1028</v>
      </c>
      <c r="B393" t="s">
        <v>1527</v>
      </c>
    </row>
    <row r="394" spans="1:2" x14ac:dyDescent="0.3">
      <c r="A394" t="s">
        <v>1031</v>
      </c>
      <c r="B394" t="s">
        <v>1528</v>
      </c>
    </row>
    <row r="395" spans="1:2" x14ac:dyDescent="0.3">
      <c r="A395" t="s">
        <v>1034</v>
      </c>
      <c r="B395" t="s">
        <v>1522</v>
      </c>
    </row>
    <row r="396" spans="1:2" x14ac:dyDescent="0.3">
      <c r="A396" t="s">
        <v>1036</v>
      </c>
      <c r="B396" t="s">
        <v>1525</v>
      </c>
    </row>
    <row r="397" spans="1:2" x14ac:dyDescent="0.3">
      <c r="A397" t="s">
        <v>1039</v>
      </c>
      <c r="B397" t="s">
        <v>1529</v>
      </c>
    </row>
    <row r="398" spans="1:2" x14ac:dyDescent="0.3">
      <c r="A398" t="s">
        <v>1041</v>
      </c>
      <c r="B398" t="s">
        <v>1529</v>
      </c>
    </row>
    <row r="399" spans="1:2" x14ac:dyDescent="0.3">
      <c r="A399" t="s">
        <v>1042</v>
      </c>
      <c r="B399" t="s">
        <v>1527</v>
      </c>
    </row>
    <row r="400" spans="1:2" x14ac:dyDescent="0.3">
      <c r="A400" t="s">
        <v>1043</v>
      </c>
      <c r="B400" t="s">
        <v>1527</v>
      </c>
    </row>
    <row r="401" spans="1:2" x14ac:dyDescent="0.3">
      <c r="A401" t="s">
        <v>1046</v>
      </c>
      <c r="B401" t="s">
        <v>1526</v>
      </c>
    </row>
    <row r="402" spans="1:2" x14ac:dyDescent="0.3">
      <c r="A402" t="s">
        <v>1049</v>
      </c>
      <c r="B402" t="s">
        <v>1525</v>
      </c>
    </row>
    <row r="403" spans="1:2" x14ac:dyDescent="0.3">
      <c r="A403" t="s">
        <v>1051</v>
      </c>
      <c r="B403" t="s">
        <v>1526</v>
      </c>
    </row>
    <row r="404" spans="1:2" x14ac:dyDescent="0.3">
      <c r="A404" t="s">
        <v>1054</v>
      </c>
      <c r="B404" t="s">
        <v>1528</v>
      </c>
    </row>
    <row r="405" spans="1:2" x14ac:dyDescent="0.3">
      <c r="A405" t="s">
        <v>1057</v>
      </c>
      <c r="B405" t="s">
        <v>1521</v>
      </c>
    </row>
    <row r="406" spans="1:2" x14ac:dyDescent="0.3">
      <c r="A406" t="s">
        <v>1060</v>
      </c>
      <c r="B406" t="s">
        <v>1525</v>
      </c>
    </row>
    <row r="407" spans="1:2" x14ac:dyDescent="0.3">
      <c r="A407" t="s">
        <v>1063</v>
      </c>
      <c r="B407" t="s">
        <v>1526</v>
      </c>
    </row>
    <row r="408" spans="1:2" x14ac:dyDescent="0.3">
      <c r="A408" t="s">
        <v>1066</v>
      </c>
      <c r="B408" t="s">
        <v>1526</v>
      </c>
    </row>
    <row r="409" spans="1:2" x14ac:dyDescent="0.3">
      <c r="A409" t="s">
        <v>1069</v>
      </c>
      <c r="B409" t="s">
        <v>1528</v>
      </c>
    </row>
    <row r="410" spans="1:2" x14ac:dyDescent="0.3">
      <c r="A410" t="s">
        <v>1072</v>
      </c>
      <c r="B410" t="s">
        <v>1525</v>
      </c>
    </row>
    <row r="411" spans="1:2" x14ac:dyDescent="0.3">
      <c r="A411" t="s">
        <v>1075</v>
      </c>
      <c r="B411" t="s">
        <v>1522</v>
      </c>
    </row>
    <row r="412" spans="1:2" x14ac:dyDescent="0.3">
      <c r="A412" t="s">
        <v>1078</v>
      </c>
      <c r="B412" t="s">
        <v>1521</v>
      </c>
    </row>
    <row r="413" spans="1:2" x14ac:dyDescent="0.3">
      <c r="A413" t="s">
        <v>1081</v>
      </c>
      <c r="B413" t="s">
        <v>1522</v>
      </c>
    </row>
    <row r="414" spans="1:2" x14ac:dyDescent="0.3">
      <c r="A414" t="s">
        <v>1084</v>
      </c>
      <c r="B414" t="s">
        <v>1526</v>
      </c>
    </row>
    <row r="415" spans="1:2" x14ac:dyDescent="0.3">
      <c r="A415" t="s">
        <v>1087</v>
      </c>
      <c r="B415" t="s">
        <v>1521</v>
      </c>
    </row>
    <row r="416" spans="1:2" x14ac:dyDescent="0.3">
      <c r="A416" t="s">
        <v>1089</v>
      </c>
      <c r="B416" t="s">
        <v>1521</v>
      </c>
    </row>
    <row r="417" spans="1:2" x14ac:dyDescent="0.3">
      <c r="A417" t="s">
        <v>1092</v>
      </c>
      <c r="B417" t="s">
        <v>1521</v>
      </c>
    </row>
    <row r="418" spans="1:2" x14ac:dyDescent="0.3">
      <c r="A418" t="s">
        <v>1095</v>
      </c>
      <c r="B418" t="s">
        <v>1525</v>
      </c>
    </row>
    <row r="419" spans="1:2" x14ac:dyDescent="0.3">
      <c r="A419" t="s">
        <v>1097</v>
      </c>
      <c r="B419" t="s">
        <v>1521</v>
      </c>
    </row>
    <row r="420" spans="1:2" x14ac:dyDescent="0.3">
      <c r="A420" t="s">
        <v>1099</v>
      </c>
      <c r="B420" t="s">
        <v>1529</v>
      </c>
    </row>
    <row r="421" spans="1:2" x14ac:dyDescent="0.3">
      <c r="A421" t="s">
        <v>1100</v>
      </c>
      <c r="B421" t="s">
        <v>1522</v>
      </c>
    </row>
    <row r="422" spans="1:2" x14ac:dyDescent="0.3">
      <c r="A422" t="s">
        <v>1102</v>
      </c>
      <c r="B422" t="s">
        <v>1522</v>
      </c>
    </row>
    <row r="423" spans="1:2" x14ac:dyDescent="0.3">
      <c r="A423" t="s">
        <v>1105</v>
      </c>
      <c r="B423" t="s">
        <v>1527</v>
      </c>
    </row>
    <row r="424" spans="1:2" x14ac:dyDescent="0.3">
      <c r="A424" t="s">
        <v>1107</v>
      </c>
      <c r="B424" t="s">
        <v>1522</v>
      </c>
    </row>
    <row r="425" spans="1:2" x14ac:dyDescent="0.3">
      <c r="A425" t="s">
        <v>1110</v>
      </c>
      <c r="B425" t="s">
        <v>1529</v>
      </c>
    </row>
    <row r="426" spans="1:2" x14ac:dyDescent="0.3">
      <c r="A426" t="s">
        <v>1112</v>
      </c>
      <c r="B426" t="s">
        <v>1529</v>
      </c>
    </row>
    <row r="427" spans="1:2" x14ac:dyDescent="0.3">
      <c r="A427" t="s">
        <v>1115</v>
      </c>
      <c r="B427" t="s">
        <v>1523</v>
      </c>
    </row>
    <row r="428" spans="1:2" x14ac:dyDescent="0.3">
      <c r="A428" t="s">
        <v>1117</v>
      </c>
      <c r="B428" t="s">
        <v>1528</v>
      </c>
    </row>
    <row r="429" spans="1:2" x14ac:dyDescent="0.3">
      <c r="A429" t="s">
        <v>1118</v>
      </c>
      <c r="B429" t="s">
        <v>1528</v>
      </c>
    </row>
    <row r="430" spans="1:2" x14ac:dyDescent="0.3">
      <c r="A430" t="s">
        <v>1121</v>
      </c>
      <c r="B430" t="s">
        <v>1529</v>
      </c>
    </row>
    <row r="431" spans="1:2" x14ac:dyDescent="0.3">
      <c r="A431" t="s">
        <v>1124</v>
      </c>
      <c r="B431" t="s">
        <v>1523</v>
      </c>
    </row>
    <row r="432" spans="1:2" x14ac:dyDescent="0.3">
      <c r="A432" t="s">
        <v>1127</v>
      </c>
      <c r="B432" t="s">
        <v>1528</v>
      </c>
    </row>
    <row r="433" spans="1:2" x14ac:dyDescent="0.3">
      <c r="A433" t="s">
        <v>1128</v>
      </c>
      <c r="B433" t="s">
        <v>1526</v>
      </c>
    </row>
    <row r="434" spans="1:2" x14ac:dyDescent="0.3">
      <c r="A434" t="s">
        <v>1130</v>
      </c>
      <c r="B434" t="s">
        <v>1529</v>
      </c>
    </row>
    <row r="435" spans="1:2" x14ac:dyDescent="0.3">
      <c r="A435" t="s">
        <v>1132</v>
      </c>
      <c r="B435" t="s">
        <v>1529</v>
      </c>
    </row>
    <row r="436" spans="1:2" x14ac:dyDescent="0.3">
      <c r="A436" t="s">
        <v>1134</v>
      </c>
      <c r="B436" t="s">
        <v>1522</v>
      </c>
    </row>
    <row r="437" spans="1:2" x14ac:dyDescent="0.3">
      <c r="A437" t="s">
        <v>1136</v>
      </c>
      <c r="B437" t="s">
        <v>1526</v>
      </c>
    </row>
    <row r="438" spans="1:2" x14ac:dyDescent="0.3">
      <c r="A438" t="s">
        <v>1138</v>
      </c>
      <c r="B438" t="s">
        <v>1521</v>
      </c>
    </row>
    <row r="439" spans="1:2" x14ac:dyDescent="0.3">
      <c r="A439" t="s">
        <v>1141</v>
      </c>
      <c r="B439" t="s">
        <v>1525</v>
      </c>
    </row>
    <row r="440" spans="1:2" x14ac:dyDescent="0.3">
      <c r="A440" t="s">
        <v>1143</v>
      </c>
      <c r="B440" t="s">
        <v>1525</v>
      </c>
    </row>
    <row r="441" spans="1:2" x14ac:dyDescent="0.3">
      <c r="A441" t="s">
        <v>1146</v>
      </c>
      <c r="B441" t="s">
        <v>1525</v>
      </c>
    </row>
    <row r="442" spans="1:2" x14ac:dyDescent="0.3">
      <c r="A442" t="s">
        <v>1148</v>
      </c>
      <c r="B442" t="s">
        <v>1521</v>
      </c>
    </row>
    <row r="443" spans="1:2" x14ac:dyDescent="0.3">
      <c r="A443" t="s">
        <v>1151</v>
      </c>
      <c r="B443" t="s">
        <v>1523</v>
      </c>
    </row>
    <row r="444" spans="1:2" x14ac:dyDescent="0.3">
      <c r="A444" t="s">
        <v>1154</v>
      </c>
      <c r="B444" t="s">
        <v>1525</v>
      </c>
    </row>
    <row r="445" spans="1:2" x14ac:dyDescent="0.3">
      <c r="A445" t="s">
        <v>1155</v>
      </c>
      <c r="B445" t="s">
        <v>1527</v>
      </c>
    </row>
    <row r="446" spans="1:2" x14ac:dyDescent="0.3">
      <c r="A446" t="s">
        <v>1157</v>
      </c>
      <c r="B446" t="s">
        <v>1527</v>
      </c>
    </row>
    <row r="447" spans="1:2" x14ac:dyDescent="0.3">
      <c r="A447" t="s">
        <v>1159</v>
      </c>
      <c r="B447" t="s">
        <v>1529</v>
      </c>
    </row>
    <row r="448" spans="1:2" x14ac:dyDescent="0.3">
      <c r="A448" t="s">
        <v>1162</v>
      </c>
      <c r="B448" t="s">
        <v>1522</v>
      </c>
    </row>
    <row r="449" spans="1:2" x14ac:dyDescent="0.3">
      <c r="A449" t="s">
        <v>1164</v>
      </c>
      <c r="B449" t="s">
        <v>1529</v>
      </c>
    </row>
    <row r="450" spans="1:2" x14ac:dyDescent="0.3">
      <c r="A450" t="s">
        <v>1166</v>
      </c>
      <c r="B450" t="s">
        <v>1529</v>
      </c>
    </row>
    <row r="451" spans="1:2" x14ac:dyDescent="0.3">
      <c r="A451" t="s">
        <v>1169</v>
      </c>
      <c r="B451" t="s">
        <v>1521</v>
      </c>
    </row>
    <row r="452" spans="1:2" x14ac:dyDescent="0.3">
      <c r="A452" t="s">
        <v>1172</v>
      </c>
      <c r="B452" t="s">
        <v>1526</v>
      </c>
    </row>
    <row r="453" spans="1:2" x14ac:dyDescent="0.3">
      <c r="A453" t="s">
        <v>1173</v>
      </c>
      <c r="B453" t="s">
        <v>1526</v>
      </c>
    </row>
    <row r="454" spans="1:2" x14ac:dyDescent="0.3">
      <c r="A454" t="s">
        <v>1176</v>
      </c>
      <c r="B454" t="s">
        <v>1522</v>
      </c>
    </row>
    <row r="455" spans="1:2" x14ac:dyDescent="0.3">
      <c r="A455" t="s">
        <v>1179</v>
      </c>
      <c r="B455" t="s">
        <v>1523</v>
      </c>
    </row>
    <row r="456" spans="1:2" x14ac:dyDescent="0.3">
      <c r="A456" t="s">
        <v>1181</v>
      </c>
      <c r="B456" t="s">
        <v>1529</v>
      </c>
    </row>
    <row r="457" spans="1:2" x14ac:dyDescent="0.3">
      <c r="A457" t="s">
        <v>1183</v>
      </c>
      <c r="B457" t="s">
        <v>1526</v>
      </c>
    </row>
    <row r="458" spans="1:2" x14ac:dyDescent="0.3">
      <c r="A458" t="s">
        <v>1185</v>
      </c>
      <c r="B458" t="s">
        <v>1521</v>
      </c>
    </row>
    <row r="459" spans="1:2" x14ac:dyDescent="0.3">
      <c r="A459" t="s">
        <v>1187</v>
      </c>
      <c r="B459" t="s">
        <v>1528</v>
      </c>
    </row>
    <row r="460" spans="1:2" x14ac:dyDescent="0.3">
      <c r="A460" t="s">
        <v>1190</v>
      </c>
      <c r="B460" t="s">
        <v>1526</v>
      </c>
    </row>
    <row r="461" spans="1:2" x14ac:dyDescent="0.3">
      <c r="A461" t="s">
        <v>1192</v>
      </c>
      <c r="B461" t="s">
        <v>1525</v>
      </c>
    </row>
    <row r="462" spans="1:2" x14ac:dyDescent="0.3">
      <c r="A462" t="s">
        <v>1194</v>
      </c>
      <c r="B462" t="s">
        <v>1522</v>
      </c>
    </row>
    <row r="463" spans="1:2" x14ac:dyDescent="0.3">
      <c r="A463" t="s">
        <v>1196</v>
      </c>
      <c r="B463" t="s">
        <v>1521</v>
      </c>
    </row>
    <row r="464" spans="1:2" x14ac:dyDescent="0.3">
      <c r="A464" t="s">
        <v>1199</v>
      </c>
      <c r="B464" t="s">
        <v>1525</v>
      </c>
    </row>
    <row r="465" spans="1:2" x14ac:dyDescent="0.3">
      <c r="A465" t="s">
        <v>1202</v>
      </c>
      <c r="B465" t="s">
        <v>1523</v>
      </c>
    </row>
    <row r="466" spans="1:2" x14ac:dyDescent="0.3">
      <c r="A466" t="s">
        <v>1205</v>
      </c>
      <c r="B466" t="s">
        <v>1529</v>
      </c>
    </row>
    <row r="467" spans="1:2" x14ac:dyDescent="0.3">
      <c r="A467" t="s">
        <v>1208</v>
      </c>
      <c r="B467" t="s">
        <v>1522</v>
      </c>
    </row>
    <row r="468" spans="1:2" x14ac:dyDescent="0.3">
      <c r="A468" t="s">
        <v>1211</v>
      </c>
      <c r="B468" t="s">
        <v>1528</v>
      </c>
    </row>
    <row r="469" spans="1:2" x14ac:dyDescent="0.3">
      <c r="A469" t="s">
        <v>1213</v>
      </c>
      <c r="B469" t="s">
        <v>1528</v>
      </c>
    </row>
    <row r="470" spans="1:2" x14ac:dyDescent="0.3">
      <c r="A470" t="s">
        <v>1215</v>
      </c>
      <c r="B470" t="s">
        <v>1527</v>
      </c>
    </row>
    <row r="471" spans="1:2" x14ac:dyDescent="0.3">
      <c r="A471" t="s">
        <v>1218</v>
      </c>
      <c r="B471" t="s">
        <v>1523</v>
      </c>
    </row>
    <row r="472" spans="1:2" x14ac:dyDescent="0.3">
      <c r="A472" t="s">
        <v>1220</v>
      </c>
      <c r="B472" t="s">
        <v>1529</v>
      </c>
    </row>
    <row r="473" spans="1:2" x14ac:dyDescent="0.3">
      <c r="A473" t="s">
        <v>1222</v>
      </c>
      <c r="B473" t="s">
        <v>1521</v>
      </c>
    </row>
    <row r="474" spans="1:2" x14ac:dyDescent="0.3">
      <c r="A474" t="s">
        <v>1224</v>
      </c>
      <c r="B474" t="s">
        <v>1525</v>
      </c>
    </row>
    <row r="475" spans="1:2" x14ac:dyDescent="0.3">
      <c r="A475" t="s">
        <v>1225</v>
      </c>
      <c r="B475" t="s">
        <v>1528</v>
      </c>
    </row>
    <row r="476" spans="1:2" x14ac:dyDescent="0.3">
      <c r="A476" t="s">
        <v>1228</v>
      </c>
      <c r="B476" t="s">
        <v>1526</v>
      </c>
    </row>
    <row r="477" spans="1:2" x14ac:dyDescent="0.3">
      <c r="A477" t="s">
        <v>1231</v>
      </c>
      <c r="B477" t="s">
        <v>1525</v>
      </c>
    </row>
    <row r="478" spans="1:2" x14ac:dyDescent="0.3">
      <c r="A478" t="s">
        <v>1234</v>
      </c>
      <c r="B478" t="s">
        <v>1525</v>
      </c>
    </row>
    <row r="479" spans="1:2" x14ac:dyDescent="0.3">
      <c r="A479" t="s">
        <v>1237</v>
      </c>
      <c r="B479" t="s">
        <v>1529</v>
      </c>
    </row>
    <row r="480" spans="1:2" x14ac:dyDescent="0.3">
      <c r="A480" t="s">
        <v>1240</v>
      </c>
      <c r="B480" t="s">
        <v>1523</v>
      </c>
    </row>
    <row r="481" spans="1:2" x14ac:dyDescent="0.3">
      <c r="A481" t="s">
        <v>1242</v>
      </c>
      <c r="B481" t="s">
        <v>1522</v>
      </c>
    </row>
    <row r="482" spans="1:2" x14ac:dyDescent="0.3">
      <c r="A482" t="s">
        <v>1244</v>
      </c>
      <c r="B482" t="s">
        <v>1528</v>
      </c>
    </row>
    <row r="483" spans="1:2" x14ac:dyDescent="0.3">
      <c r="A483" t="s">
        <v>1246</v>
      </c>
      <c r="B483" t="s">
        <v>1527</v>
      </c>
    </row>
    <row r="484" spans="1:2" x14ac:dyDescent="0.3">
      <c r="A484" t="s">
        <v>1247</v>
      </c>
      <c r="B484" t="s">
        <v>1527</v>
      </c>
    </row>
    <row r="485" spans="1:2" x14ac:dyDescent="0.3">
      <c r="A485" t="s">
        <v>1249</v>
      </c>
      <c r="B485" t="s">
        <v>1528</v>
      </c>
    </row>
    <row r="486" spans="1:2" x14ac:dyDescent="0.3">
      <c r="A486" t="s">
        <v>1252</v>
      </c>
      <c r="B486" t="s">
        <v>1527</v>
      </c>
    </row>
    <row r="487" spans="1:2" x14ac:dyDescent="0.3">
      <c r="A487" t="s">
        <v>1253</v>
      </c>
      <c r="B487" t="s">
        <v>1525</v>
      </c>
    </row>
    <row r="488" spans="1:2" x14ac:dyDescent="0.3">
      <c r="A488" t="s">
        <v>1256</v>
      </c>
      <c r="B488" t="s">
        <v>1528</v>
      </c>
    </row>
    <row r="489" spans="1:2" x14ac:dyDescent="0.3">
      <c r="A489" t="s">
        <v>1258</v>
      </c>
      <c r="B489" t="s">
        <v>1529</v>
      </c>
    </row>
    <row r="490" spans="1:2" x14ac:dyDescent="0.3">
      <c r="A490" t="s">
        <v>1259</v>
      </c>
      <c r="B490" t="s">
        <v>1528</v>
      </c>
    </row>
    <row r="491" spans="1:2" x14ac:dyDescent="0.3">
      <c r="A491" t="s">
        <v>1262</v>
      </c>
      <c r="B491" t="s">
        <v>1521</v>
      </c>
    </row>
    <row r="492" spans="1:2" x14ac:dyDescent="0.3">
      <c r="A492" t="s">
        <v>1265</v>
      </c>
      <c r="B492" t="s">
        <v>1525</v>
      </c>
    </row>
    <row r="493" spans="1:2" x14ac:dyDescent="0.3">
      <c r="A493" t="s">
        <v>1268</v>
      </c>
      <c r="B493" t="s">
        <v>1527</v>
      </c>
    </row>
    <row r="494" spans="1:2" x14ac:dyDescent="0.3">
      <c r="A494" t="s">
        <v>1271</v>
      </c>
      <c r="B494" t="s">
        <v>1527</v>
      </c>
    </row>
    <row r="495" spans="1:2" x14ac:dyDescent="0.3">
      <c r="A495" t="s">
        <v>1274</v>
      </c>
      <c r="B495" t="s">
        <v>1521</v>
      </c>
    </row>
    <row r="496" spans="1:2" x14ac:dyDescent="0.3">
      <c r="A496" t="s">
        <v>1276</v>
      </c>
      <c r="B496" t="s">
        <v>1529</v>
      </c>
    </row>
    <row r="497" spans="1:2" x14ac:dyDescent="0.3">
      <c r="A497" t="s">
        <v>1279</v>
      </c>
      <c r="B497" t="s">
        <v>1526</v>
      </c>
    </row>
    <row r="498" spans="1:2" x14ac:dyDescent="0.3">
      <c r="A498" t="s">
        <v>1282</v>
      </c>
      <c r="B498" t="s">
        <v>1521</v>
      </c>
    </row>
    <row r="499" spans="1:2" x14ac:dyDescent="0.3">
      <c r="A499" t="s">
        <v>1285</v>
      </c>
      <c r="B499" t="s">
        <v>1526</v>
      </c>
    </row>
    <row r="500" spans="1:2" x14ac:dyDescent="0.3">
      <c r="A500" t="s">
        <v>1288</v>
      </c>
      <c r="B500" t="s">
        <v>1522</v>
      </c>
    </row>
    <row r="501" spans="1:2" x14ac:dyDescent="0.3">
      <c r="A501" t="s">
        <v>1290</v>
      </c>
      <c r="B501" t="s">
        <v>1526</v>
      </c>
    </row>
    <row r="502" spans="1:2" x14ac:dyDescent="0.3">
      <c r="A502" t="s">
        <v>1291</v>
      </c>
      <c r="B502" t="s">
        <v>1521</v>
      </c>
    </row>
    <row r="503" spans="1:2" x14ac:dyDescent="0.3">
      <c r="A503" t="s">
        <v>1294</v>
      </c>
      <c r="B503" t="s">
        <v>1523</v>
      </c>
    </row>
    <row r="504" spans="1:2" x14ac:dyDescent="0.3">
      <c r="A504" t="s">
        <v>1297</v>
      </c>
      <c r="B504" t="s">
        <v>1525</v>
      </c>
    </row>
    <row r="505" spans="1:2" x14ac:dyDescent="0.3">
      <c r="A505" t="s">
        <v>1300</v>
      </c>
      <c r="B505" t="s">
        <v>1522</v>
      </c>
    </row>
    <row r="506" spans="1:2" x14ac:dyDescent="0.3">
      <c r="A506" t="s">
        <v>1303</v>
      </c>
      <c r="B506" t="s">
        <v>1521</v>
      </c>
    </row>
    <row r="507" spans="1:2" x14ac:dyDescent="0.3">
      <c r="A507" t="s">
        <v>1306</v>
      </c>
      <c r="B507" t="s">
        <v>1525</v>
      </c>
    </row>
    <row r="508" spans="1:2" x14ac:dyDescent="0.3">
      <c r="A508" t="s">
        <v>1307</v>
      </c>
      <c r="B508" t="s">
        <v>1525</v>
      </c>
    </row>
    <row r="509" spans="1:2" x14ac:dyDescent="0.3">
      <c r="A509" t="s">
        <v>1308</v>
      </c>
      <c r="B509" t="s">
        <v>1522</v>
      </c>
    </row>
    <row r="510" spans="1:2" x14ac:dyDescent="0.3">
      <c r="A510" t="s">
        <v>1310</v>
      </c>
      <c r="B510" t="s">
        <v>1526</v>
      </c>
    </row>
    <row r="511" spans="1:2" x14ac:dyDescent="0.3">
      <c r="A511" t="s">
        <v>1313</v>
      </c>
      <c r="B511" t="s">
        <v>1521</v>
      </c>
    </row>
    <row r="512" spans="1:2" x14ac:dyDescent="0.3">
      <c r="A512" t="s">
        <v>1316</v>
      </c>
      <c r="B512" t="s">
        <v>1521</v>
      </c>
    </row>
    <row r="513" spans="1:2" x14ac:dyDescent="0.3">
      <c r="A513" t="s">
        <v>1319</v>
      </c>
      <c r="B513" t="s">
        <v>1526</v>
      </c>
    </row>
    <row r="514" spans="1:2" x14ac:dyDescent="0.3">
      <c r="A514" t="s">
        <v>1322</v>
      </c>
      <c r="B514" t="s">
        <v>1529</v>
      </c>
    </row>
    <row r="515" spans="1:2" x14ac:dyDescent="0.3">
      <c r="A515" t="s">
        <v>1325</v>
      </c>
      <c r="B515" t="s">
        <v>1525</v>
      </c>
    </row>
    <row r="516" spans="1:2" x14ac:dyDescent="0.3">
      <c r="A516" t="s">
        <v>1328</v>
      </c>
      <c r="B516" t="s">
        <v>1525</v>
      </c>
    </row>
    <row r="517" spans="1:2" x14ac:dyDescent="0.3">
      <c r="A517" t="s">
        <v>1329</v>
      </c>
      <c r="B517" t="s">
        <v>1527</v>
      </c>
    </row>
    <row r="518" spans="1:2" x14ac:dyDescent="0.3">
      <c r="A518" t="s">
        <v>1331</v>
      </c>
      <c r="B518" t="s">
        <v>1521</v>
      </c>
    </row>
    <row r="519" spans="1:2" x14ac:dyDescent="0.3">
      <c r="A519" t="s">
        <v>1333</v>
      </c>
      <c r="B519" t="s">
        <v>1525</v>
      </c>
    </row>
    <row r="520" spans="1:2" x14ac:dyDescent="0.3">
      <c r="A520" t="s">
        <v>1336</v>
      </c>
      <c r="B520" t="s">
        <v>1528</v>
      </c>
    </row>
    <row r="521" spans="1:2" x14ac:dyDescent="0.3">
      <c r="A521" t="s">
        <v>1339</v>
      </c>
      <c r="B521" t="s">
        <v>1529</v>
      </c>
    </row>
    <row r="522" spans="1:2" x14ac:dyDescent="0.3">
      <c r="A522" t="s">
        <v>1342</v>
      </c>
      <c r="B522" t="s">
        <v>1522</v>
      </c>
    </row>
    <row r="523" spans="1:2" x14ac:dyDescent="0.3">
      <c r="A523" t="s">
        <v>1345</v>
      </c>
      <c r="B523" t="s">
        <v>1525</v>
      </c>
    </row>
    <row r="524" spans="1:2" x14ac:dyDescent="0.3">
      <c r="A524" t="s">
        <v>1347</v>
      </c>
      <c r="B524" t="s">
        <v>1522</v>
      </c>
    </row>
    <row r="525" spans="1:2" x14ac:dyDescent="0.3">
      <c r="A525" t="s">
        <v>1350</v>
      </c>
      <c r="B525" t="s">
        <v>1527</v>
      </c>
    </row>
    <row r="526" spans="1:2" x14ac:dyDescent="0.3">
      <c r="A526" t="s">
        <v>1353</v>
      </c>
      <c r="B526" t="s">
        <v>1523</v>
      </c>
    </row>
    <row r="527" spans="1:2" x14ac:dyDescent="0.3">
      <c r="A527" t="s">
        <v>1356</v>
      </c>
      <c r="B527" t="s">
        <v>1522</v>
      </c>
    </row>
    <row r="528" spans="1:2" x14ac:dyDescent="0.3">
      <c r="A528" t="s">
        <v>1359</v>
      </c>
      <c r="B528" t="s">
        <v>1529</v>
      </c>
    </row>
    <row r="529" spans="1:2" x14ac:dyDescent="0.3">
      <c r="A529" t="s">
        <v>1362</v>
      </c>
      <c r="B529" t="s">
        <v>1523</v>
      </c>
    </row>
    <row r="530" spans="1:2" x14ac:dyDescent="0.3">
      <c r="A530" t="s">
        <v>1363</v>
      </c>
      <c r="B530" t="s">
        <v>1526</v>
      </c>
    </row>
    <row r="531" spans="1:2" x14ac:dyDescent="0.3">
      <c r="A531" t="s">
        <v>1364</v>
      </c>
      <c r="B531" t="s">
        <v>1525</v>
      </c>
    </row>
    <row r="532" spans="1:2" x14ac:dyDescent="0.3">
      <c r="A532" t="s">
        <v>1367</v>
      </c>
      <c r="B532" t="s">
        <v>1528</v>
      </c>
    </row>
    <row r="533" spans="1:2" x14ac:dyDescent="0.3">
      <c r="A533" t="s">
        <v>1369</v>
      </c>
      <c r="B533" t="s">
        <v>1529</v>
      </c>
    </row>
    <row r="534" spans="1:2" x14ac:dyDescent="0.3">
      <c r="A534" t="s">
        <v>1370</v>
      </c>
      <c r="B534" t="s">
        <v>1522</v>
      </c>
    </row>
    <row r="535" spans="1:2" x14ac:dyDescent="0.3">
      <c r="A535" t="s">
        <v>1372</v>
      </c>
      <c r="B535" t="s">
        <v>1528</v>
      </c>
    </row>
    <row r="536" spans="1:2" x14ac:dyDescent="0.3">
      <c r="A536" t="s">
        <v>1375</v>
      </c>
      <c r="B536" t="s">
        <v>1522</v>
      </c>
    </row>
    <row r="537" spans="1:2" x14ac:dyDescent="0.3">
      <c r="A537" t="s">
        <v>1378</v>
      </c>
      <c r="B537" t="s">
        <v>1525</v>
      </c>
    </row>
    <row r="538" spans="1:2" x14ac:dyDescent="0.3">
      <c r="A538" t="s">
        <v>1380</v>
      </c>
      <c r="B538" t="s">
        <v>1522</v>
      </c>
    </row>
    <row r="539" spans="1:2" x14ac:dyDescent="0.3">
      <c r="A539" t="s">
        <v>1381</v>
      </c>
      <c r="B539" t="s">
        <v>1528</v>
      </c>
    </row>
    <row r="540" spans="1:2" x14ac:dyDescent="0.3">
      <c r="A540" t="s">
        <v>1384</v>
      </c>
      <c r="B540" t="s">
        <v>1527</v>
      </c>
    </row>
    <row r="541" spans="1:2" x14ac:dyDescent="0.3">
      <c r="A541" t="s">
        <v>1386</v>
      </c>
      <c r="B541" t="s">
        <v>1529</v>
      </c>
    </row>
    <row r="542" spans="1:2" x14ac:dyDescent="0.3">
      <c r="A542" t="s">
        <v>1387</v>
      </c>
      <c r="B542" t="s">
        <v>1525</v>
      </c>
    </row>
    <row r="543" spans="1:2" x14ac:dyDescent="0.3">
      <c r="A543" t="s">
        <v>1390</v>
      </c>
      <c r="B543" t="s">
        <v>1522</v>
      </c>
    </row>
    <row r="544" spans="1:2" x14ac:dyDescent="0.3">
      <c r="A544" t="s">
        <v>1392</v>
      </c>
      <c r="B544" t="s">
        <v>1528</v>
      </c>
    </row>
    <row r="545" spans="1:2" x14ac:dyDescent="0.3">
      <c r="A545" t="s">
        <v>1395</v>
      </c>
      <c r="B545" t="s">
        <v>1529</v>
      </c>
    </row>
    <row r="546" spans="1:2" x14ac:dyDescent="0.3">
      <c r="A546" t="s">
        <v>1398</v>
      </c>
      <c r="B546" t="s">
        <v>1528</v>
      </c>
    </row>
    <row r="547" spans="1:2" x14ac:dyDescent="0.3">
      <c r="A547" t="s">
        <v>1399</v>
      </c>
      <c r="B547" t="s">
        <v>1526</v>
      </c>
    </row>
    <row r="548" spans="1:2" x14ac:dyDescent="0.3">
      <c r="A548" t="s">
        <v>1400</v>
      </c>
      <c r="B548" t="s">
        <v>1526</v>
      </c>
    </row>
    <row r="549" spans="1:2" x14ac:dyDescent="0.3">
      <c r="A549" t="s">
        <v>1402</v>
      </c>
      <c r="B549" t="s">
        <v>1523</v>
      </c>
    </row>
    <row r="550" spans="1:2" x14ac:dyDescent="0.3">
      <c r="A550" t="s">
        <v>1405</v>
      </c>
      <c r="B550" t="s">
        <v>1525</v>
      </c>
    </row>
    <row r="551" spans="1:2" x14ac:dyDescent="0.3">
      <c r="A551" t="s">
        <v>1407</v>
      </c>
      <c r="B551" t="s">
        <v>1525</v>
      </c>
    </row>
    <row r="552" spans="1:2" x14ac:dyDescent="0.3">
      <c r="A552" t="s">
        <v>1409</v>
      </c>
      <c r="B552" t="s">
        <v>1521</v>
      </c>
    </row>
    <row r="553" spans="1:2" x14ac:dyDescent="0.3">
      <c r="A553" t="s">
        <v>1412</v>
      </c>
      <c r="B553" t="s">
        <v>1527</v>
      </c>
    </row>
    <row r="554" spans="1:2" x14ac:dyDescent="0.3">
      <c r="A554" t="s">
        <v>1414</v>
      </c>
      <c r="B554" t="s">
        <v>1526</v>
      </c>
    </row>
    <row r="555" spans="1:2" x14ac:dyDescent="0.3">
      <c r="A555" t="s">
        <v>1416</v>
      </c>
      <c r="B555" t="s">
        <v>1525</v>
      </c>
    </row>
    <row r="556" spans="1:2" x14ac:dyDescent="0.3">
      <c r="A556" t="s">
        <v>1418</v>
      </c>
      <c r="B556" t="s">
        <v>1527</v>
      </c>
    </row>
    <row r="557" spans="1:2" x14ac:dyDescent="0.3">
      <c r="A557" t="s">
        <v>1421</v>
      </c>
      <c r="B557" t="s">
        <v>1526</v>
      </c>
    </row>
    <row r="558" spans="1:2" x14ac:dyDescent="0.3">
      <c r="A558" t="s">
        <v>1424</v>
      </c>
      <c r="B558" t="s">
        <v>1521</v>
      </c>
    </row>
    <row r="559" spans="1:2" x14ac:dyDescent="0.3">
      <c r="A559" t="s">
        <v>1427</v>
      </c>
      <c r="B559" t="s">
        <v>1525</v>
      </c>
    </row>
    <row r="560" spans="1:2" x14ac:dyDescent="0.3">
      <c r="A560" t="s">
        <v>1429</v>
      </c>
      <c r="B560" t="s">
        <v>1523</v>
      </c>
    </row>
    <row r="561" spans="1:2" x14ac:dyDescent="0.3">
      <c r="A561" t="s">
        <v>1431</v>
      </c>
      <c r="B561" t="s">
        <v>1521</v>
      </c>
    </row>
    <row r="562" spans="1:2" x14ac:dyDescent="0.3">
      <c r="A562" t="s">
        <v>1433</v>
      </c>
      <c r="B562" t="s">
        <v>1525</v>
      </c>
    </row>
    <row r="563" spans="1:2" x14ac:dyDescent="0.3">
      <c r="A563" t="s">
        <v>1434</v>
      </c>
      <c r="B563" t="s">
        <v>1527</v>
      </c>
    </row>
    <row r="564" spans="1:2" x14ac:dyDescent="0.3">
      <c r="A564" t="s">
        <v>1437</v>
      </c>
      <c r="B564" t="s">
        <v>1525</v>
      </c>
    </row>
    <row r="565" spans="1:2" x14ac:dyDescent="0.3">
      <c r="A565" t="s">
        <v>1439</v>
      </c>
      <c r="B565" t="s">
        <v>1522</v>
      </c>
    </row>
    <row r="566" spans="1:2" x14ac:dyDescent="0.3">
      <c r="A566" t="s">
        <v>1442</v>
      </c>
      <c r="B566" t="s">
        <v>1523</v>
      </c>
    </row>
    <row r="567" spans="1:2" x14ac:dyDescent="0.3">
      <c r="A567" t="s">
        <v>1445</v>
      </c>
      <c r="B567" t="s">
        <v>1528</v>
      </c>
    </row>
    <row r="568" spans="1:2" x14ac:dyDescent="0.3">
      <c r="A568" t="s">
        <v>1448</v>
      </c>
      <c r="B568" t="s">
        <v>1522</v>
      </c>
    </row>
    <row r="569" spans="1:2" x14ac:dyDescent="0.3">
      <c r="A569" t="s">
        <v>1451</v>
      </c>
      <c r="B569" t="s">
        <v>1527</v>
      </c>
    </row>
    <row r="570" spans="1:2" x14ac:dyDescent="0.3">
      <c r="A570" t="s">
        <v>1453</v>
      </c>
      <c r="B570" t="s">
        <v>1521</v>
      </c>
    </row>
    <row r="571" spans="1:2" x14ac:dyDescent="0.3">
      <c r="A571" t="s">
        <v>1455</v>
      </c>
      <c r="B571" t="s">
        <v>1521</v>
      </c>
    </row>
    <row r="572" spans="1:2" x14ac:dyDescent="0.3">
      <c r="A572" t="s">
        <v>1456</v>
      </c>
      <c r="B572" t="s">
        <v>1526</v>
      </c>
    </row>
    <row r="573" spans="1:2" x14ac:dyDescent="0.3">
      <c r="A573" t="s">
        <v>1458</v>
      </c>
      <c r="B573" t="s">
        <v>1522</v>
      </c>
    </row>
    <row r="574" spans="1:2" x14ac:dyDescent="0.3">
      <c r="A574" t="s">
        <v>1459</v>
      </c>
      <c r="B574" t="s">
        <v>1521</v>
      </c>
    </row>
    <row r="575" spans="1:2" x14ac:dyDescent="0.3">
      <c r="A575" t="s">
        <v>1461</v>
      </c>
      <c r="B575" t="s">
        <v>1528</v>
      </c>
    </row>
    <row r="576" spans="1:2" x14ac:dyDescent="0.3">
      <c r="A576" t="s">
        <v>1462</v>
      </c>
      <c r="B576" t="s">
        <v>1528</v>
      </c>
    </row>
    <row r="577" spans="1:2" x14ac:dyDescent="0.3">
      <c r="A577" t="s">
        <v>1464</v>
      </c>
      <c r="B577" t="s">
        <v>1525</v>
      </c>
    </row>
    <row r="578" spans="1:2" x14ac:dyDescent="0.3">
      <c r="A578" t="s">
        <v>1467</v>
      </c>
      <c r="B578" t="s">
        <v>1523</v>
      </c>
    </row>
    <row r="579" spans="1:2" x14ac:dyDescent="0.3">
      <c r="A579" t="s">
        <v>1470</v>
      </c>
      <c r="B579" t="s">
        <v>1523</v>
      </c>
    </row>
    <row r="580" spans="1:2" x14ac:dyDescent="0.3">
      <c r="A580" t="s">
        <v>1472</v>
      </c>
      <c r="B580" t="s">
        <v>1526</v>
      </c>
    </row>
    <row r="581" spans="1:2" x14ac:dyDescent="0.3">
      <c r="A581" t="s">
        <v>1473</v>
      </c>
      <c r="B581" t="s">
        <v>1529</v>
      </c>
    </row>
    <row r="582" spans="1:2" x14ac:dyDescent="0.3">
      <c r="A582" t="s">
        <v>1474</v>
      </c>
      <c r="B582" t="s">
        <v>1527</v>
      </c>
    </row>
    <row r="583" spans="1:2" x14ac:dyDescent="0.3">
      <c r="A583" t="s">
        <v>1477</v>
      </c>
      <c r="B583" t="s">
        <v>1529</v>
      </c>
    </row>
    <row r="584" spans="1:2" x14ac:dyDescent="0.3">
      <c r="A584" t="s">
        <v>1480</v>
      </c>
      <c r="B584" t="s">
        <v>1521</v>
      </c>
    </row>
    <row r="585" spans="1:2" x14ac:dyDescent="0.3">
      <c r="A585" t="s">
        <v>1481</v>
      </c>
      <c r="B585" t="s">
        <v>1529</v>
      </c>
    </row>
    <row r="586" spans="1:2" x14ac:dyDescent="0.3">
      <c r="A586" t="s">
        <v>1484</v>
      </c>
      <c r="B586" t="s">
        <v>1521</v>
      </c>
    </row>
    <row r="587" spans="1:2" x14ac:dyDescent="0.3">
      <c r="A587" t="s">
        <v>1485</v>
      </c>
      <c r="B587" t="s">
        <v>1527</v>
      </c>
    </row>
    <row r="588" spans="1:2" x14ac:dyDescent="0.3">
      <c r="A588" t="s">
        <v>1488</v>
      </c>
      <c r="B588" t="s">
        <v>1521</v>
      </c>
    </row>
    <row r="589" spans="1:2" x14ac:dyDescent="0.3">
      <c r="A589" t="s">
        <v>1490</v>
      </c>
      <c r="B589" t="s">
        <v>1529</v>
      </c>
    </row>
    <row r="590" spans="1:2" x14ac:dyDescent="0.3">
      <c r="A590" t="s">
        <v>1493</v>
      </c>
      <c r="B590" t="s">
        <v>1529</v>
      </c>
    </row>
    <row r="591" spans="1:2" x14ac:dyDescent="0.3">
      <c r="A591" t="s">
        <v>1496</v>
      </c>
      <c r="B591" t="s">
        <v>1527</v>
      </c>
    </row>
    <row r="592" spans="1:2" x14ac:dyDescent="0.3">
      <c r="A592" t="s">
        <v>1499</v>
      </c>
      <c r="B592" t="s">
        <v>1526</v>
      </c>
    </row>
    <row r="593" spans="1:2" x14ac:dyDescent="0.3">
      <c r="A593" t="s">
        <v>1501</v>
      </c>
      <c r="B593" t="s">
        <v>1521</v>
      </c>
    </row>
    <row r="594" spans="1:2" x14ac:dyDescent="0.3">
      <c r="A594" t="s">
        <v>1504</v>
      </c>
      <c r="B594" t="s">
        <v>1523</v>
      </c>
    </row>
    <row r="595" spans="1:2" x14ac:dyDescent="0.3">
      <c r="A595" t="s">
        <v>1507</v>
      </c>
      <c r="B595" t="s">
        <v>1526</v>
      </c>
    </row>
    <row r="596" spans="1:2" x14ac:dyDescent="0.3">
      <c r="A596" t="s">
        <v>1509</v>
      </c>
      <c r="B596" t="s">
        <v>1528</v>
      </c>
    </row>
    <row r="597" spans="1:2" x14ac:dyDescent="0.3">
      <c r="A597" t="s">
        <v>1510</v>
      </c>
      <c r="B597" t="s">
        <v>1521</v>
      </c>
    </row>
    <row r="598" spans="1:2" x14ac:dyDescent="0.3">
      <c r="A598" t="s">
        <v>1513</v>
      </c>
      <c r="B598" t="s">
        <v>1521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8"/>
  <sheetViews>
    <sheetView workbookViewId="0">
      <selection activeCell="I29" sqref="I29"/>
    </sheetView>
  </sheetViews>
  <sheetFormatPr defaultRowHeight="14.4" x14ac:dyDescent="0.3"/>
  <cols>
    <col min="1" max="1" width="15.88671875" bestFit="1" customWidth="1"/>
    <col min="2" max="2" width="9.44140625" bestFit="1" customWidth="1"/>
    <col min="3" max="3" width="11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20</v>
      </c>
    </row>
    <row r="16" spans="1:3" x14ac:dyDescent="0.3">
      <c r="A16" t="s">
        <v>44</v>
      </c>
      <c r="B16" t="s">
        <v>45</v>
      </c>
      <c r="C16" t="s">
        <v>32</v>
      </c>
    </row>
    <row r="17" spans="1:3" x14ac:dyDescent="0.3">
      <c r="A17" t="s">
        <v>46</v>
      </c>
      <c r="B17" t="s">
        <v>40</v>
      </c>
      <c r="C17" t="s">
        <v>47</v>
      </c>
    </row>
    <row r="18" spans="1:3" x14ac:dyDescent="0.3">
      <c r="A18" t="s">
        <v>48</v>
      </c>
      <c r="B18" t="s">
        <v>49</v>
      </c>
      <c r="C18" t="s">
        <v>50</v>
      </c>
    </row>
    <row r="19" spans="1:3" x14ac:dyDescent="0.3">
      <c r="A19" t="s">
        <v>51</v>
      </c>
      <c r="B19" t="s">
        <v>52</v>
      </c>
      <c r="C19" t="s">
        <v>53</v>
      </c>
    </row>
    <row r="20" spans="1:3" x14ac:dyDescent="0.3">
      <c r="A20" t="s">
        <v>54</v>
      </c>
      <c r="B20" t="s">
        <v>55</v>
      </c>
      <c r="C20" t="s">
        <v>56</v>
      </c>
    </row>
    <row r="21" spans="1:3" x14ac:dyDescent="0.3">
      <c r="A21" t="s">
        <v>57</v>
      </c>
      <c r="B21" t="s">
        <v>58</v>
      </c>
      <c r="C21" t="s">
        <v>59</v>
      </c>
    </row>
    <row r="22" spans="1:3" x14ac:dyDescent="0.3">
      <c r="A22" t="s">
        <v>60</v>
      </c>
      <c r="B22" t="s">
        <v>61</v>
      </c>
      <c r="C22" t="s">
        <v>62</v>
      </c>
    </row>
    <row r="23" spans="1:3" x14ac:dyDescent="0.3">
      <c r="A23" t="s">
        <v>63</v>
      </c>
      <c r="B23" t="s">
        <v>64</v>
      </c>
      <c r="C23" t="s">
        <v>65</v>
      </c>
    </row>
    <row r="24" spans="1:3" x14ac:dyDescent="0.3">
      <c r="A24" t="s">
        <v>66</v>
      </c>
      <c r="B24" t="s">
        <v>67</v>
      </c>
      <c r="C24" t="s">
        <v>68</v>
      </c>
    </row>
    <row r="25" spans="1:3" x14ac:dyDescent="0.3">
      <c r="A25" t="s">
        <v>69</v>
      </c>
      <c r="B25" t="s">
        <v>70</v>
      </c>
      <c r="C25" t="s">
        <v>71</v>
      </c>
    </row>
    <row r="26" spans="1:3" x14ac:dyDescent="0.3">
      <c r="A26" t="s">
        <v>72</v>
      </c>
      <c r="B26" t="s">
        <v>73</v>
      </c>
      <c r="C26" t="s">
        <v>74</v>
      </c>
    </row>
    <row r="27" spans="1:3" x14ac:dyDescent="0.3">
      <c r="A27" t="s">
        <v>75</v>
      </c>
      <c r="B27" t="s">
        <v>76</v>
      </c>
      <c r="C27" t="s">
        <v>77</v>
      </c>
    </row>
    <row r="28" spans="1:3" x14ac:dyDescent="0.3">
      <c r="A28" t="s">
        <v>78</v>
      </c>
      <c r="B28" t="s">
        <v>79</v>
      </c>
      <c r="C28" t="s">
        <v>80</v>
      </c>
    </row>
    <row r="29" spans="1:3" x14ac:dyDescent="0.3">
      <c r="A29" t="s">
        <v>81</v>
      </c>
      <c r="B29" t="s">
        <v>82</v>
      </c>
      <c r="C29" t="s">
        <v>83</v>
      </c>
    </row>
    <row r="30" spans="1:3" x14ac:dyDescent="0.3">
      <c r="A30" t="s">
        <v>84</v>
      </c>
      <c r="B30" t="s">
        <v>85</v>
      </c>
      <c r="C30" t="s">
        <v>86</v>
      </c>
    </row>
    <row r="31" spans="1:3" x14ac:dyDescent="0.3">
      <c r="A31" t="s">
        <v>87</v>
      </c>
      <c r="B31" t="s">
        <v>88</v>
      </c>
      <c r="C31" t="s">
        <v>89</v>
      </c>
    </row>
    <row r="32" spans="1:3" x14ac:dyDescent="0.3">
      <c r="A32" t="s">
        <v>90</v>
      </c>
      <c r="B32" t="s">
        <v>91</v>
      </c>
      <c r="C32" t="s">
        <v>92</v>
      </c>
    </row>
    <row r="33" spans="1:3" x14ac:dyDescent="0.3">
      <c r="A33" t="s">
        <v>93</v>
      </c>
      <c r="B33" t="s">
        <v>94</v>
      </c>
      <c r="C33" t="s">
        <v>95</v>
      </c>
    </row>
    <row r="34" spans="1:3" x14ac:dyDescent="0.3">
      <c r="A34" t="s">
        <v>96</v>
      </c>
      <c r="B34" t="s">
        <v>97</v>
      </c>
      <c r="C34" t="s">
        <v>98</v>
      </c>
    </row>
    <row r="35" spans="1:3" x14ac:dyDescent="0.3">
      <c r="A35" t="s">
        <v>99</v>
      </c>
      <c r="B35" t="s">
        <v>100</v>
      </c>
      <c r="C35" t="s">
        <v>101</v>
      </c>
    </row>
    <row r="36" spans="1:3" x14ac:dyDescent="0.3">
      <c r="A36" t="s">
        <v>102</v>
      </c>
      <c r="B36" t="s">
        <v>103</v>
      </c>
      <c r="C36" t="s">
        <v>104</v>
      </c>
    </row>
    <row r="37" spans="1:3" x14ac:dyDescent="0.3">
      <c r="A37" t="s">
        <v>105</v>
      </c>
      <c r="B37" t="s">
        <v>106</v>
      </c>
      <c r="C37" t="s">
        <v>107</v>
      </c>
    </row>
    <row r="38" spans="1:3" x14ac:dyDescent="0.3">
      <c r="A38" t="s">
        <v>108</v>
      </c>
      <c r="B38" t="s">
        <v>109</v>
      </c>
      <c r="C38" t="s">
        <v>110</v>
      </c>
    </row>
    <row r="39" spans="1:3" x14ac:dyDescent="0.3">
      <c r="A39" t="s">
        <v>111</v>
      </c>
      <c r="B39" t="s">
        <v>112</v>
      </c>
      <c r="C39" t="s">
        <v>113</v>
      </c>
    </row>
    <row r="40" spans="1:3" x14ac:dyDescent="0.3">
      <c r="A40" t="s">
        <v>114</v>
      </c>
      <c r="B40" t="s">
        <v>115</v>
      </c>
      <c r="C40" t="s">
        <v>116</v>
      </c>
    </row>
    <row r="41" spans="1:3" x14ac:dyDescent="0.3">
      <c r="A41" t="s">
        <v>117</v>
      </c>
      <c r="B41" t="s">
        <v>118</v>
      </c>
      <c r="C41" t="s">
        <v>119</v>
      </c>
    </row>
    <row r="42" spans="1:3" x14ac:dyDescent="0.3">
      <c r="A42" t="s">
        <v>120</v>
      </c>
      <c r="B42" t="s">
        <v>112</v>
      </c>
      <c r="C42" t="s">
        <v>121</v>
      </c>
    </row>
    <row r="43" spans="1:3" x14ac:dyDescent="0.3">
      <c r="A43" t="s">
        <v>122</v>
      </c>
      <c r="B43" t="s">
        <v>123</v>
      </c>
      <c r="C43" t="s">
        <v>124</v>
      </c>
    </row>
    <row r="44" spans="1:3" x14ac:dyDescent="0.3">
      <c r="A44" t="s">
        <v>125</v>
      </c>
      <c r="B44" t="s">
        <v>126</v>
      </c>
      <c r="C44" t="s">
        <v>127</v>
      </c>
    </row>
    <row r="45" spans="1:3" x14ac:dyDescent="0.3">
      <c r="A45" t="s">
        <v>128</v>
      </c>
      <c r="B45" t="s">
        <v>129</v>
      </c>
      <c r="C45" t="s">
        <v>130</v>
      </c>
    </row>
    <row r="46" spans="1:3" x14ac:dyDescent="0.3">
      <c r="A46" t="s">
        <v>131</v>
      </c>
      <c r="B46" t="s">
        <v>132</v>
      </c>
      <c r="C46" t="s">
        <v>133</v>
      </c>
    </row>
    <row r="47" spans="1:3" x14ac:dyDescent="0.3">
      <c r="A47" t="s">
        <v>134</v>
      </c>
      <c r="B47" t="s">
        <v>132</v>
      </c>
      <c r="C47" t="s">
        <v>135</v>
      </c>
    </row>
    <row r="48" spans="1:3" x14ac:dyDescent="0.3">
      <c r="A48" t="s">
        <v>136</v>
      </c>
      <c r="B48" t="s">
        <v>137</v>
      </c>
      <c r="C48" t="s">
        <v>138</v>
      </c>
    </row>
    <row r="49" spans="1:3" x14ac:dyDescent="0.3">
      <c r="A49" t="s">
        <v>139</v>
      </c>
      <c r="B49" t="s">
        <v>140</v>
      </c>
      <c r="C49" t="s">
        <v>141</v>
      </c>
    </row>
    <row r="50" spans="1:3" x14ac:dyDescent="0.3">
      <c r="A50" t="s">
        <v>142</v>
      </c>
      <c r="B50" t="s">
        <v>143</v>
      </c>
      <c r="C50" t="s">
        <v>144</v>
      </c>
    </row>
    <row r="51" spans="1:3" x14ac:dyDescent="0.3">
      <c r="A51" t="s">
        <v>145</v>
      </c>
      <c r="B51" t="s">
        <v>146</v>
      </c>
      <c r="C51" t="s">
        <v>147</v>
      </c>
    </row>
    <row r="52" spans="1:3" x14ac:dyDescent="0.3">
      <c r="A52" t="s">
        <v>148</v>
      </c>
      <c r="B52" t="s">
        <v>149</v>
      </c>
      <c r="C52" t="s">
        <v>150</v>
      </c>
    </row>
    <row r="53" spans="1:3" x14ac:dyDescent="0.3">
      <c r="A53" t="s">
        <v>151</v>
      </c>
      <c r="B53" t="s">
        <v>152</v>
      </c>
      <c r="C53" t="s">
        <v>153</v>
      </c>
    </row>
    <row r="54" spans="1:3" x14ac:dyDescent="0.3">
      <c r="A54" t="s">
        <v>154</v>
      </c>
      <c r="B54" t="s">
        <v>155</v>
      </c>
      <c r="C54" t="s">
        <v>156</v>
      </c>
    </row>
    <row r="55" spans="1:3" x14ac:dyDescent="0.3">
      <c r="A55" t="s">
        <v>157</v>
      </c>
      <c r="B55" t="s">
        <v>158</v>
      </c>
      <c r="C55" t="s">
        <v>159</v>
      </c>
    </row>
    <row r="56" spans="1:3" x14ac:dyDescent="0.3">
      <c r="A56" t="s">
        <v>160</v>
      </c>
      <c r="B56" t="s">
        <v>161</v>
      </c>
      <c r="C56" t="s">
        <v>133</v>
      </c>
    </row>
    <row r="57" spans="1:3" x14ac:dyDescent="0.3">
      <c r="A57" t="s">
        <v>162</v>
      </c>
      <c r="B57" t="s">
        <v>163</v>
      </c>
      <c r="C57" t="s">
        <v>164</v>
      </c>
    </row>
    <row r="58" spans="1:3" x14ac:dyDescent="0.3">
      <c r="A58" t="s">
        <v>165</v>
      </c>
      <c r="B58" t="s">
        <v>166</v>
      </c>
      <c r="C58" t="s">
        <v>167</v>
      </c>
    </row>
    <row r="59" spans="1:3" x14ac:dyDescent="0.3">
      <c r="A59" t="s">
        <v>168</v>
      </c>
      <c r="B59" t="s">
        <v>169</v>
      </c>
      <c r="C59" t="s">
        <v>170</v>
      </c>
    </row>
    <row r="60" spans="1:3" x14ac:dyDescent="0.3">
      <c r="A60" t="s">
        <v>171</v>
      </c>
      <c r="B60" t="s">
        <v>172</v>
      </c>
      <c r="C60" t="s">
        <v>173</v>
      </c>
    </row>
    <row r="61" spans="1:3" x14ac:dyDescent="0.3">
      <c r="A61" t="s">
        <v>174</v>
      </c>
      <c r="B61" t="s">
        <v>26</v>
      </c>
      <c r="C61" t="s">
        <v>175</v>
      </c>
    </row>
    <row r="62" spans="1:3" x14ac:dyDescent="0.3">
      <c r="A62" t="s">
        <v>176</v>
      </c>
      <c r="B62" t="s">
        <v>177</v>
      </c>
      <c r="C62" t="s">
        <v>178</v>
      </c>
    </row>
    <row r="63" spans="1:3" x14ac:dyDescent="0.3">
      <c r="A63" t="s">
        <v>179</v>
      </c>
      <c r="B63" t="s">
        <v>180</v>
      </c>
      <c r="C63" t="s">
        <v>181</v>
      </c>
    </row>
    <row r="64" spans="1:3" x14ac:dyDescent="0.3">
      <c r="A64" t="s">
        <v>182</v>
      </c>
      <c r="B64" t="s">
        <v>183</v>
      </c>
      <c r="C64" t="s">
        <v>184</v>
      </c>
    </row>
    <row r="65" spans="1:3" x14ac:dyDescent="0.3">
      <c r="A65" t="s">
        <v>185</v>
      </c>
      <c r="B65" t="s">
        <v>186</v>
      </c>
      <c r="C65" t="s">
        <v>187</v>
      </c>
    </row>
    <row r="66" spans="1:3" x14ac:dyDescent="0.3">
      <c r="A66" t="s">
        <v>188</v>
      </c>
      <c r="B66" t="s">
        <v>189</v>
      </c>
      <c r="C66" t="s">
        <v>153</v>
      </c>
    </row>
    <row r="67" spans="1:3" x14ac:dyDescent="0.3">
      <c r="A67" t="s">
        <v>190</v>
      </c>
      <c r="B67" t="s">
        <v>191</v>
      </c>
      <c r="C67" t="s">
        <v>192</v>
      </c>
    </row>
    <row r="68" spans="1:3" x14ac:dyDescent="0.3">
      <c r="A68" t="s">
        <v>193</v>
      </c>
      <c r="B68" t="s">
        <v>194</v>
      </c>
      <c r="C68" t="s">
        <v>195</v>
      </c>
    </row>
    <row r="69" spans="1:3" x14ac:dyDescent="0.3">
      <c r="A69" t="s">
        <v>196</v>
      </c>
      <c r="B69" t="s">
        <v>197</v>
      </c>
      <c r="C69" t="s">
        <v>62</v>
      </c>
    </row>
    <row r="70" spans="1:3" x14ac:dyDescent="0.3">
      <c r="A70" t="s">
        <v>198</v>
      </c>
      <c r="B70" t="s">
        <v>199</v>
      </c>
      <c r="C70" t="s">
        <v>200</v>
      </c>
    </row>
    <row r="71" spans="1:3" x14ac:dyDescent="0.3">
      <c r="A71" t="s">
        <v>201</v>
      </c>
      <c r="B71" t="s">
        <v>202</v>
      </c>
      <c r="C71" t="s">
        <v>203</v>
      </c>
    </row>
    <row r="72" spans="1:3" x14ac:dyDescent="0.3">
      <c r="A72" t="s">
        <v>204</v>
      </c>
      <c r="B72" t="s">
        <v>205</v>
      </c>
      <c r="C72" t="s">
        <v>206</v>
      </c>
    </row>
    <row r="73" spans="1:3" x14ac:dyDescent="0.3">
      <c r="A73" t="s">
        <v>207</v>
      </c>
      <c r="B73" t="s">
        <v>208</v>
      </c>
      <c r="C73" t="s">
        <v>209</v>
      </c>
    </row>
    <row r="74" spans="1:3" x14ac:dyDescent="0.3">
      <c r="A74" t="s">
        <v>210</v>
      </c>
      <c r="B74" t="s">
        <v>211</v>
      </c>
      <c r="C74" t="s">
        <v>212</v>
      </c>
    </row>
    <row r="75" spans="1:3" x14ac:dyDescent="0.3">
      <c r="A75" t="s">
        <v>213</v>
      </c>
      <c r="B75" t="s">
        <v>214</v>
      </c>
      <c r="C75" t="s">
        <v>215</v>
      </c>
    </row>
    <row r="76" spans="1:3" x14ac:dyDescent="0.3">
      <c r="A76" t="s">
        <v>216</v>
      </c>
      <c r="B76" t="s">
        <v>217</v>
      </c>
      <c r="C76" t="s">
        <v>218</v>
      </c>
    </row>
    <row r="77" spans="1:3" x14ac:dyDescent="0.3">
      <c r="A77" t="s">
        <v>219</v>
      </c>
      <c r="B77" t="s">
        <v>220</v>
      </c>
      <c r="C77" t="s">
        <v>221</v>
      </c>
    </row>
    <row r="78" spans="1:3" x14ac:dyDescent="0.3">
      <c r="A78" t="s">
        <v>222</v>
      </c>
      <c r="B78" t="s">
        <v>223</v>
      </c>
      <c r="C78" t="s">
        <v>224</v>
      </c>
    </row>
    <row r="79" spans="1:3" x14ac:dyDescent="0.3">
      <c r="A79" t="s">
        <v>225</v>
      </c>
      <c r="B79" t="s">
        <v>226</v>
      </c>
      <c r="C79" t="s">
        <v>227</v>
      </c>
    </row>
    <row r="80" spans="1:3" x14ac:dyDescent="0.3">
      <c r="A80" t="s">
        <v>228</v>
      </c>
      <c r="B80" t="s">
        <v>229</v>
      </c>
      <c r="C80" t="s">
        <v>230</v>
      </c>
    </row>
    <row r="81" spans="1:3" x14ac:dyDescent="0.3">
      <c r="A81" t="s">
        <v>231</v>
      </c>
      <c r="B81" t="s">
        <v>232</v>
      </c>
      <c r="C81" t="s">
        <v>233</v>
      </c>
    </row>
    <row r="82" spans="1:3" x14ac:dyDescent="0.3">
      <c r="A82" t="s">
        <v>234</v>
      </c>
      <c r="B82" t="s">
        <v>235</v>
      </c>
      <c r="C82" t="s">
        <v>236</v>
      </c>
    </row>
    <row r="83" spans="1:3" x14ac:dyDescent="0.3">
      <c r="A83" t="s">
        <v>237</v>
      </c>
      <c r="B83" t="s">
        <v>238</v>
      </c>
      <c r="C83" t="s">
        <v>239</v>
      </c>
    </row>
    <row r="84" spans="1:3" x14ac:dyDescent="0.3">
      <c r="A84" t="s">
        <v>240</v>
      </c>
      <c r="B84" t="s">
        <v>241</v>
      </c>
      <c r="C84" t="s">
        <v>242</v>
      </c>
    </row>
    <row r="85" spans="1:3" x14ac:dyDescent="0.3">
      <c r="A85" t="s">
        <v>243</v>
      </c>
      <c r="B85" t="s">
        <v>244</v>
      </c>
      <c r="C85" t="s">
        <v>245</v>
      </c>
    </row>
    <row r="86" spans="1:3" x14ac:dyDescent="0.3">
      <c r="A86" t="s">
        <v>246</v>
      </c>
      <c r="B86" t="s">
        <v>247</v>
      </c>
      <c r="C86" t="s">
        <v>248</v>
      </c>
    </row>
    <row r="87" spans="1:3" x14ac:dyDescent="0.3">
      <c r="A87" t="s">
        <v>249</v>
      </c>
      <c r="B87" t="s">
        <v>250</v>
      </c>
      <c r="C87" t="s">
        <v>251</v>
      </c>
    </row>
    <row r="88" spans="1:3" x14ac:dyDescent="0.3">
      <c r="A88" t="s">
        <v>252</v>
      </c>
      <c r="B88" t="s">
        <v>253</v>
      </c>
      <c r="C88" t="s">
        <v>254</v>
      </c>
    </row>
    <row r="89" spans="1:3" x14ac:dyDescent="0.3">
      <c r="A89" t="s">
        <v>255</v>
      </c>
      <c r="B89" t="s">
        <v>256</v>
      </c>
      <c r="C89" t="s">
        <v>257</v>
      </c>
    </row>
    <row r="90" spans="1:3" x14ac:dyDescent="0.3">
      <c r="A90" t="s">
        <v>258</v>
      </c>
      <c r="B90" t="s">
        <v>259</v>
      </c>
      <c r="C90" t="s">
        <v>260</v>
      </c>
    </row>
    <row r="91" spans="1:3" x14ac:dyDescent="0.3">
      <c r="A91" t="s">
        <v>261</v>
      </c>
      <c r="B91" t="s">
        <v>262</v>
      </c>
      <c r="C91" t="s">
        <v>263</v>
      </c>
    </row>
    <row r="92" spans="1:3" x14ac:dyDescent="0.3">
      <c r="A92" t="s">
        <v>264</v>
      </c>
      <c r="B92" t="s">
        <v>265</v>
      </c>
      <c r="C92" t="s">
        <v>266</v>
      </c>
    </row>
    <row r="93" spans="1:3" x14ac:dyDescent="0.3">
      <c r="A93" t="s">
        <v>267</v>
      </c>
      <c r="B93" t="s">
        <v>268</v>
      </c>
      <c r="C93" t="s">
        <v>269</v>
      </c>
    </row>
    <row r="94" spans="1:3" x14ac:dyDescent="0.3">
      <c r="A94" t="s">
        <v>270</v>
      </c>
      <c r="B94" t="s">
        <v>271</v>
      </c>
      <c r="C94" t="s">
        <v>101</v>
      </c>
    </row>
    <row r="95" spans="1:3" x14ac:dyDescent="0.3">
      <c r="A95" t="s">
        <v>272</v>
      </c>
      <c r="B95" t="s">
        <v>273</v>
      </c>
      <c r="C95" t="s">
        <v>274</v>
      </c>
    </row>
    <row r="96" spans="1:3" x14ac:dyDescent="0.3">
      <c r="A96" t="s">
        <v>275</v>
      </c>
      <c r="B96" t="s">
        <v>276</v>
      </c>
      <c r="C96" t="s">
        <v>277</v>
      </c>
    </row>
    <row r="97" spans="1:3" x14ac:dyDescent="0.3">
      <c r="A97" t="s">
        <v>278</v>
      </c>
      <c r="B97" t="s">
        <v>279</v>
      </c>
      <c r="C97" t="s">
        <v>280</v>
      </c>
    </row>
    <row r="98" spans="1:3" x14ac:dyDescent="0.3">
      <c r="A98" t="s">
        <v>281</v>
      </c>
      <c r="B98" t="s">
        <v>282</v>
      </c>
      <c r="C98" t="s">
        <v>283</v>
      </c>
    </row>
    <row r="99" spans="1:3" x14ac:dyDescent="0.3">
      <c r="A99" t="s">
        <v>284</v>
      </c>
      <c r="B99" t="s">
        <v>285</v>
      </c>
      <c r="C99" t="s">
        <v>286</v>
      </c>
    </row>
    <row r="100" spans="1:3" x14ac:dyDescent="0.3">
      <c r="A100" t="s">
        <v>287</v>
      </c>
      <c r="B100" t="s">
        <v>288</v>
      </c>
      <c r="C100" t="s">
        <v>289</v>
      </c>
    </row>
    <row r="101" spans="1:3" x14ac:dyDescent="0.3">
      <c r="A101" t="s">
        <v>290</v>
      </c>
      <c r="B101" t="s">
        <v>291</v>
      </c>
      <c r="C101" t="s">
        <v>292</v>
      </c>
    </row>
    <row r="102" spans="1:3" x14ac:dyDescent="0.3">
      <c r="A102" t="s">
        <v>293</v>
      </c>
      <c r="B102" t="s">
        <v>294</v>
      </c>
      <c r="C102" t="s">
        <v>295</v>
      </c>
    </row>
    <row r="103" spans="1:3" x14ac:dyDescent="0.3">
      <c r="A103" t="s">
        <v>296</v>
      </c>
      <c r="B103" t="s">
        <v>297</v>
      </c>
      <c r="C103" t="s">
        <v>298</v>
      </c>
    </row>
    <row r="104" spans="1:3" x14ac:dyDescent="0.3">
      <c r="A104" t="s">
        <v>299</v>
      </c>
      <c r="B104" t="s">
        <v>300</v>
      </c>
      <c r="C104" t="s">
        <v>301</v>
      </c>
    </row>
    <row r="105" spans="1:3" x14ac:dyDescent="0.3">
      <c r="A105" t="s">
        <v>302</v>
      </c>
      <c r="B105" t="s">
        <v>303</v>
      </c>
      <c r="C105" t="s">
        <v>304</v>
      </c>
    </row>
    <row r="106" spans="1:3" x14ac:dyDescent="0.3">
      <c r="A106" t="s">
        <v>305</v>
      </c>
      <c r="B106" t="s">
        <v>306</v>
      </c>
      <c r="C106" t="s">
        <v>26</v>
      </c>
    </row>
    <row r="107" spans="1:3" x14ac:dyDescent="0.3">
      <c r="A107" t="s">
        <v>307</v>
      </c>
      <c r="B107" t="s">
        <v>308</v>
      </c>
      <c r="C107" t="s">
        <v>309</v>
      </c>
    </row>
    <row r="108" spans="1:3" x14ac:dyDescent="0.3">
      <c r="A108" t="s">
        <v>310</v>
      </c>
      <c r="B108" t="s">
        <v>311</v>
      </c>
      <c r="C108" t="s">
        <v>312</v>
      </c>
    </row>
    <row r="109" spans="1:3" x14ac:dyDescent="0.3">
      <c r="A109" t="s">
        <v>313</v>
      </c>
      <c r="B109" t="s">
        <v>314</v>
      </c>
      <c r="C109" t="s">
        <v>315</v>
      </c>
    </row>
    <row r="110" spans="1:3" x14ac:dyDescent="0.3">
      <c r="A110" t="s">
        <v>316</v>
      </c>
      <c r="B110" t="s">
        <v>317</v>
      </c>
      <c r="C110" t="s">
        <v>318</v>
      </c>
    </row>
    <row r="111" spans="1:3" x14ac:dyDescent="0.3">
      <c r="A111" t="s">
        <v>319</v>
      </c>
      <c r="B111" t="s">
        <v>320</v>
      </c>
      <c r="C111" t="s">
        <v>321</v>
      </c>
    </row>
    <row r="112" spans="1:3" x14ac:dyDescent="0.3">
      <c r="A112" t="s">
        <v>322</v>
      </c>
      <c r="B112" t="s">
        <v>323</v>
      </c>
      <c r="C112" t="s">
        <v>324</v>
      </c>
    </row>
    <row r="113" spans="1:3" x14ac:dyDescent="0.3">
      <c r="A113" t="s">
        <v>325</v>
      </c>
      <c r="B113" t="s">
        <v>326</v>
      </c>
      <c r="C113" t="s">
        <v>327</v>
      </c>
    </row>
    <row r="114" spans="1:3" x14ac:dyDescent="0.3">
      <c r="A114" t="s">
        <v>328</v>
      </c>
      <c r="B114" t="s">
        <v>329</v>
      </c>
      <c r="C114" t="s">
        <v>330</v>
      </c>
    </row>
    <row r="115" spans="1:3" x14ac:dyDescent="0.3">
      <c r="A115" t="s">
        <v>331</v>
      </c>
      <c r="B115" t="s">
        <v>332</v>
      </c>
      <c r="C115" t="s">
        <v>333</v>
      </c>
    </row>
    <row r="116" spans="1:3" x14ac:dyDescent="0.3">
      <c r="A116" t="s">
        <v>334</v>
      </c>
      <c r="B116" t="s">
        <v>335</v>
      </c>
      <c r="C116" t="s">
        <v>336</v>
      </c>
    </row>
    <row r="117" spans="1:3" x14ac:dyDescent="0.3">
      <c r="A117" t="s">
        <v>337</v>
      </c>
      <c r="B117" t="s">
        <v>338</v>
      </c>
      <c r="C117" t="s">
        <v>339</v>
      </c>
    </row>
    <row r="118" spans="1:3" x14ac:dyDescent="0.3">
      <c r="A118" t="s">
        <v>340</v>
      </c>
      <c r="B118" t="s">
        <v>45</v>
      </c>
      <c r="C118" t="s">
        <v>341</v>
      </c>
    </row>
    <row r="119" spans="1:3" x14ac:dyDescent="0.3">
      <c r="A119" t="s">
        <v>342</v>
      </c>
      <c r="B119" t="s">
        <v>343</v>
      </c>
      <c r="C119" t="s">
        <v>344</v>
      </c>
    </row>
    <row r="120" spans="1:3" x14ac:dyDescent="0.3">
      <c r="A120" t="s">
        <v>345</v>
      </c>
      <c r="B120" t="s">
        <v>28</v>
      </c>
      <c r="C120" t="s">
        <v>346</v>
      </c>
    </row>
    <row r="121" spans="1:3" x14ac:dyDescent="0.3">
      <c r="A121" t="s">
        <v>347</v>
      </c>
      <c r="B121" t="s">
        <v>208</v>
      </c>
      <c r="C121" t="s">
        <v>348</v>
      </c>
    </row>
    <row r="122" spans="1:3" x14ac:dyDescent="0.3">
      <c r="A122" t="s">
        <v>349</v>
      </c>
      <c r="B122" t="s">
        <v>350</v>
      </c>
      <c r="C122" t="s">
        <v>351</v>
      </c>
    </row>
    <row r="123" spans="1:3" x14ac:dyDescent="0.3">
      <c r="A123" t="s">
        <v>352</v>
      </c>
      <c r="B123" t="s">
        <v>353</v>
      </c>
      <c r="C123" t="s">
        <v>354</v>
      </c>
    </row>
    <row r="124" spans="1:3" x14ac:dyDescent="0.3">
      <c r="A124" t="s">
        <v>355</v>
      </c>
      <c r="B124" t="s">
        <v>356</v>
      </c>
      <c r="C124" t="s">
        <v>357</v>
      </c>
    </row>
    <row r="125" spans="1:3" x14ac:dyDescent="0.3">
      <c r="A125" t="s">
        <v>358</v>
      </c>
      <c r="B125" t="s">
        <v>359</v>
      </c>
      <c r="C125" t="s">
        <v>135</v>
      </c>
    </row>
    <row r="126" spans="1:3" x14ac:dyDescent="0.3">
      <c r="A126" t="s">
        <v>360</v>
      </c>
      <c r="B126" t="s">
        <v>361</v>
      </c>
      <c r="C126" t="s">
        <v>14</v>
      </c>
    </row>
    <row r="127" spans="1:3" x14ac:dyDescent="0.3">
      <c r="A127" t="s">
        <v>362</v>
      </c>
      <c r="B127" t="s">
        <v>363</v>
      </c>
      <c r="C127" t="s">
        <v>364</v>
      </c>
    </row>
    <row r="128" spans="1:3" x14ac:dyDescent="0.3">
      <c r="A128" t="s">
        <v>365</v>
      </c>
      <c r="B128" t="s">
        <v>366</v>
      </c>
      <c r="C128" t="s">
        <v>367</v>
      </c>
    </row>
    <row r="129" spans="1:3" x14ac:dyDescent="0.3">
      <c r="A129" t="s">
        <v>368</v>
      </c>
      <c r="B129" t="s">
        <v>369</v>
      </c>
      <c r="C129" t="s">
        <v>370</v>
      </c>
    </row>
    <row r="130" spans="1:3" x14ac:dyDescent="0.3">
      <c r="A130" t="s">
        <v>371</v>
      </c>
      <c r="B130" t="s">
        <v>372</v>
      </c>
      <c r="C130" t="s">
        <v>373</v>
      </c>
    </row>
    <row r="131" spans="1:3" x14ac:dyDescent="0.3">
      <c r="A131" t="s">
        <v>374</v>
      </c>
      <c r="B131" t="s">
        <v>375</v>
      </c>
      <c r="C131" t="s">
        <v>376</v>
      </c>
    </row>
    <row r="132" spans="1:3" x14ac:dyDescent="0.3">
      <c r="A132" t="s">
        <v>377</v>
      </c>
      <c r="B132" t="s">
        <v>378</v>
      </c>
      <c r="C132" t="s">
        <v>379</v>
      </c>
    </row>
    <row r="133" spans="1:3" x14ac:dyDescent="0.3">
      <c r="A133" t="s">
        <v>380</v>
      </c>
      <c r="B133" t="s">
        <v>381</v>
      </c>
      <c r="C133" t="s">
        <v>382</v>
      </c>
    </row>
    <row r="134" spans="1:3" x14ac:dyDescent="0.3">
      <c r="A134" t="s">
        <v>383</v>
      </c>
      <c r="B134" t="s">
        <v>384</v>
      </c>
      <c r="C134" t="s">
        <v>29</v>
      </c>
    </row>
    <row r="135" spans="1:3" x14ac:dyDescent="0.3">
      <c r="A135" t="s">
        <v>385</v>
      </c>
      <c r="B135" t="s">
        <v>386</v>
      </c>
      <c r="C135" t="s">
        <v>356</v>
      </c>
    </row>
    <row r="136" spans="1:3" x14ac:dyDescent="0.3">
      <c r="A136" t="s">
        <v>387</v>
      </c>
      <c r="B136" t="s">
        <v>388</v>
      </c>
      <c r="C136" t="s">
        <v>389</v>
      </c>
    </row>
    <row r="137" spans="1:3" x14ac:dyDescent="0.3">
      <c r="A137" t="s">
        <v>390</v>
      </c>
      <c r="B137" t="s">
        <v>391</v>
      </c>
      <c r="C137" t="s">
        <v>392</v>
      </c>
    </row>
    <row r="138" spans="1:3" x14ac:dyDescent="0.3">
      <c r="A138" t="s">
        <v>393</v>
      </c>
      <c r="B138" t="s">
        <v>394</v>
      </c>
      <c r="C138" t="s">
        <v>395</v>
      </c>
    </row>
    <row r="139" spans="1:3" x14ac:dyDescent="0.3">
      <c r="A139" t="s">
        <v>396</v>
      </c>
      <c r="B139" t="s">
        <v>397</v>
      </c>
      <c r="C139" t="s">
        <v>398</v>
      </c>
    </row>
    <row r="140" spans="1:3" x14ac:dyDescent="0.3">
      <c r="A140" t="s">
        <v>399</v>
      </c>
      <c r="B140" t="s">
        <v>400</v>
      </c>
      <c r="C140" t="s">
        <v>401</v>
      </c>
    </row>
    <row r="141" spans="1:3" x14ac:dyDescent="0.3">
      <c r="A141" t="s">
        <v>402</v>
      </c>
      <c r="B141" t="s">
        <v>403</v>
      </c>
      <c r="C141" t="s">
        <v>404</v>
      </c>
    </row>
    <row r="142" spans="1:3" x14ac:dyDescent="0.3">
      <c r="A142" t="s">
        <v>405</v>
      </c>
      <c r="B142" t="s">
        <v>406</v>
      </c>
      <c r="C142" t="s">
        <v>389</v>
      </c>
    </row>
    <row r="143" spans="1:3" x14ac:dyDescent="0.3">
      <c r="A143" t="s">
        <v>407</v>
      </c>
      <c r="B143" t="s">
        <v>408</v>
      </c>
      <c r="C143" t="s">
        <v>409</v>
      </c>
    </row>
    <row r="144" spans="1:3" x14ac:dyDescent="0.3">
      <c r="A144" t="s">
        <v>410</v>
      </c>
      <c r="B144" t="s">
        <v>411</v>
      </c>
      <c r="C144" t="s">
        <v>412</v>
      </c>
    </row>
    <row r="145" spans="1:3" x14ac:dyDescent="0.3">
      <c r="A145" t="s">
        <v>413</v>
      </c>
      <c r="B145" t="s">
        <v>414</v>
      </c>
      <c r="C145" t="s">
        <v>10</v>
      </c>
    </row>
    <row r="146" spans="1:3" x14ac:dyDescent="0.3">
      <c r="A146" t="s">
        <v>415</v>
      </c>
      <c r="B146" t="s">
        <v>416</v>
      </c>
      <c r="C146" t="s">
        <v>417</v>
      </c>
    </row>
    <row r="147" spans="1:3" x14ac:dyDescent="0.3">
      <c r="A147" t="s">
        <v>418</v>
      </c>
      <c r="B147" t="s">
        <v>56</v>
      </c>
      <c r="C147" t="s">
        <v>419</v>
      </c>
    </row>
    <row r="148" spans="1:3" x14ac:dyDescent="0.3">
      <c r="A148" t="s">
        <v>420</v>
      </c>
      <c r="B148" t="s">
        <v>421</v>
      </c>
      <c r="C148" t="s">
        <v>422</v>
      </c>
    </row>
    <row r="149" spans="1:3" x14ac:dyDescent="0.3">
      <c r="A149" t="s">
        <v>423</v>
      </c>
      <c r="B149" t="s">
        <v>424</v>
      </c>
      <c r="C149" t="s">
        <v>425</v>
      </c>
    </row>
    <row r="150" spans="1:3" x14ac:dyDescent="0.3">
      <c r="A150" t="s">
        <v>426</v>
      </c>
      <c r="B150" t="s">
        <v>427</v>
      </c>
      <c r="C150" t="s">
        <v>428</v>
      </c>
    </row>
    <row r="151" spans="1:3" x14ac:dyDescent="0.3">
      <c r="A151" t="s">
        <v>429</v>
      </c>
      <c r="B151" t="s">
        <v>430</v>
      </c>
      <c r="C151" t="s">
        <v>200</v>
      </c>
    </row>
    <row r="152" spans="1:3" x14ac:dyDescent="0.3">
      <c r="A152" t="s">
        <v>431</v>
      </c>
      <c r="B152" t="s">
        <v>432</v>
      </c>
      <c r="C152" t="s">
        <v>433</v>
      </c>
    </row>
    <row r="153" spans="1:3" x14ac:dyDescent="0.3">
      <c r="A153" t="s">
        <v>434</v>
      </c>
      <c r="B153" t="s">
        <v>435</v>
      </c>
      <c r="C153" t="s">
        <v>95</v>
      </c>
    </row>
    <row r="154" spans="1:3" x14ac:dyDescent="0.3">
      <c r="A154" t="s">
        <v>436</v>
      </c>
      <c r="B154" t="s">
        <v>437</v>
      </c>
      <c r="C154" t="s">
        <v>438</v>
      </c>
    </row>
    <row r="155" spans="1:3" x14ac:dyDescent="0.3">
      <c r="A155" t="s">
        <v>439</v>
      </c>
      <c r="B155" t="s">
        <v>440</v>
      </c>
      <c r="C155" t="s">
        <v>441</v>
      </c>
    </row>
    <row r="156" spans="1:3" x14ac:dyDescent="0.3">
      <c r="A156" t="s">
        <v>442</v>
      </c>
      <c r="B156" t="s">
        <v>443</v>
      </c>
      <c r="C156" t="s">
        <v>444</v>
      </c>
    </row>
    <row r="157" spans="1:3" x14ac:dyDescent="0.3">
      <c r="A157" t="s">
        <v>445</v>
      </c>
      <c r="B157" t="s">
        <v>446</v>
      </c>
      <c r="C157" t="s">
        <v>447</v>
      </c>
    </row>
    <row r="158" spans="1:3" x14ac:dyDescent="0.3">
      <c r="A158" t="s">
        <v>448</v>
      </c>
      <c r="B158" t="s">
        <v>449</v>
      </c>
      <c r="C158" t="s">
        <v>164</v>
      </c>
    </row>
    <row r="159" spans="1:3" x14ac:dyDescent="0.3">
      <c r="A159" t="s">
        <v>450</v>
      </c>
      <c r="B159" t="s">
        <v>112</v>
      </c>
      <c r="C159" t="s">
        <v>209</v>
      </c>
    </row>
    <row r="160" spans="1:3" x14ac:dyDescent="0.3">
      <c r="A160" t="s">
        <v>451</v>
      </c>
      <c r="B160" t="s">
        <v>452</v>
      </c>
      <c r="C160" t="s">
        <v>453</v>
      </c>
    </row>
    <row r="161" spans="1:3" x14ac:dyDescent="0.3">
      <c r="A161" t="s">
        <v>454</v>
      </c>
      <c r="B161" t="s">
        <v>455</v>
      </c>
      <c r="C161" t="s">
        <v>26</v>
      </c>
    </row>
    <row r="162" spans="1:3" x14ac:dyDescent="0.3">
      <c r="A162" t="s">
        <v>456</v>
      </c>
      <c r="B162" t="s">
        <v>457</v>
      </c>
      <c r="C162" t="s">
        <v>458</v>
      </c>
    </row>
    <row r="163" spans="1:3" x14ac:dyDescent="0.3">
      <c r="A163" t="s">
        <v>459</v>
      </c>
      <c r="B163" t="s">
        <v>460</v>
      </c>
      <c r="C163" t="s">
        <v>461</v>
      </c>
    </row>
    <row r="164" spans="1:3" x14ac:dyDescent="0.3">
      <c r="A164" t="s">
        <v>462</v>
      </c>
      <c r="B164" t="s">
        <v>146</v>
      </c>
      <c r="C164" t="s">
        <v>463</v>
      </c>
    </row>
    <row r="165" spans="1:3" x14ac:dyDescent="0.3">
      <c r="A165" t="s">
        <v>464</v>
      </c>
      <c r="B165" t="s">
        <v>465</v>
      </c>
      <c r="C165" t="s">
        <v>422</v>
      </c>
    </row>
    <row r="166" spans="1:3" x14ac:dyDescent="0.3">
      <c r="A166" t="s">
        <v>466</v>
      </c>
      <c r="B166" t="s">
        <v>375</v>
      </c>
      <c r="C166" t="s">
        <v>467</v>
      </c>
    </row>
    <row r="167" spans="1:3" x14ac:dyDescent="0.3">
      <c r="A167" t="s">
        <v>468</v>
      </c>
      <c r="B167" t="s">
        <v>469</v>
      </c>
      <c r="C167" t="s">
        <v>470</v>
      </c>
    </row>
    <row r="168" spans="1:3" x14ac:dyDescent="0.3">
      <c r="A168" t="s">
        <v>471</v>
      </c>
      <c r="B168" t="s">
        <v>472</v>
      </c>
      <c r="C168" t="s">
        <v>473</v>
      </c>
    </row>
    <row r="169" spans="1:3" x14ac:dyDescent="0.3">
      <c r="A169" t="s">
        <v>474</v>
      </c>
      <c r="B169" t="s">
        <v>475</v>
      </c>
      <c r="C169" t="s">
        <v>476</v>
      </c>
    </row>
    <row r="170" spans="1:3" x14ac:dyDescent="0.3">
      <c r="A170" t="s">
        <v>477</v>
      </c>
      <c r="B170" t="s">
        <v>478</v>
      </c>
      <c r="C170" t="s">
        <v>479</v>
      </c>
    </row>
    <row r="171" spans="1:3" x14ac:dyDescent="0.3">
      <c r="A171" t="s">
        <v>480</v>
      </c>
      <c r="B171" t="s">
        <v>481</v>
      </c>
      <c r="C171" t="s">
        <v>482</v>
      </c>
    </row>
    <row r="172" spans="1:3" x14ac:dyDescent="0.3">
      <c r="A172" t="s">
        <v>483</v>
      </c>
      <c r="B172" t="s">
        <v>484</v>
      </c>
      <c r="C172" t="s">
        <v>485</v>
      </c>
    </row>
    <row r="173" spans="1:3" x14ac:dyDescent="0.3">
      <c r="A173" t="s">
        <v>486</v>
      </c>
      <c r="B173" t="s">
        <v>487</v>
      </c>
      <c r="C173" t="s">
        <v>488</v>
      </c>
    </row>
    <row r="174" spans="1:3" x14ac:dyDescent="0.3">
      <c r="A174" t="s">
        <v>489</v>
      </c>
      <c r="B174" t="s">
        <v>490</v>
      </c>
      <c r="C174" t="s">
        <v>491</v>
      </c>
    </row>
    <row r="175" spans="1:3" x14ac:dyDescent="0.3">
      <c r="A175" t="s">
        <v>492</v>
      </c>
      <c r="B175" t="s">
        <v>493</v>
      </c>
      <c r="C175" t="s">
        <v>494</v>
      </c>
    </row>
    <row r="176" spans="1:3" x14ac:dyDescent="0.3">
      <c r="A176" t="s">
        <v>495</v>
      </c>
      <c r="B176" t="s">
        <v>496</v>
      </c>
      <c r="C176" t="s">
        <v>497</v>
      </c>
    </row>
    <row r="177" spans="1:3" x14ac:dyDescent="0.3">
      <c r="A177" t="s">
        <v>498</v>
      </c>
      <c r="B177" t="s">
        <v>499</v>
      </c>
      <c r="C177" t="s">
        <v>29</v>
      </c>
    </row>
    <row r="178" spans="1:3" x14ac:dyDescent="0.3">
      <c r="A178" t="s">
        <v>500</v>
      </c>
      <c r="B178" t="s">
        <v>501</v>
      </c>
      <c r="C178" t="s">
        <v>502</v>
      </c>
    </row>
    <row r="179" spans="1:3" x14ac:dyDescent="0.3">
      <c r="A179" t="s">
        <v>503</v>
      </c>
      <c r="B179" t="s">
        <v>223</v>
      </c>
      <c r="C179" t="s">
        <v>504</v>
      </c>
    </row>
    <row r="180" spans="1:3" x14ac:dyDescent="0.3">
      <c r="A180" t="s">
        <v>505</v>
      </c>
      <c r="B180" t="s">
        <v>506</v>
      </c>
      <c r="C180" t="s">
        <v>507</v>
      </c>
    </row>
    <row r="181" spans="1:3" x14ac:dyDescent="0.3">
      <c r="A181" t="s">
        <v>508</v>
      </c>
      <c r="B181" t="s">
        <v>238</v>
      </c>
      <c r="C181" t="s">
        <v>38</v>
      </c>
    </row>
    <row r="182" spans="1:3" x14ac:dyDescent="0.3">
      <c r="A182" t="s">
        <v>509</v>
      </c>
      <c r="B182" t="s">
        <v>510</v>
      </c>
      <c r="C182" t="s">
        <v>511</v>
      </c>
    </row>
    <row r="183" spans="1:3" x14ac:dyDescent="0.3">
      <c r="A183" t="s">
        <v>512</v>
      </c>
      <c r="B183" t="s">
        <v>137</v>
      </c>
      <c r="C183" t="s">
        <v>513</v>
      </c>
    </row>
    <row r="184" spans="1:3" x14ac:dyDescent="0.3">
      <c r="A184" t="s">
        <v>514</v>
      </c>
      <c r="B184" t="s">
        <v>515</v>
      </c>
      <c r="C184" t="s">
        <v>412</v>
      </c>
    </row>
    <row r="185" spans="1:3" x14ac:dyDescent="0.3">
      <c r="A185" t="s">
        <v>516</v>
      </c>
      <c r="B185" t="s">
        <v>517</v>
      </c>
      <c r="C185" t="s">
        <v>382</v>
      </c>
    </row>
    <row r="186" spans="1:3" x14ac:dyDescent="0.3">
      <c r="A186" t="s">
        <v>518</v>
      </c>
      <c r="B186" t="s">
        <v>519</v>
      </c>
      <c r="C186" t="s">
        <v>520</v>
      </c>
    </row>
    <row r="187" spans="1:3" x14ac:dyDescent="0.3">
      <c r="A187" t="s">
        <v>521</v>
      </c>
      <c r="B187" t="s">
        <v>522</v>
      </c>
      <c r="C187" t="s">
        <v>523</v>
      </c>
    </row>
    <row r="188" spans="1:3" x14ac:dyDescent="0.3">
      <c r="A188" t="s">
        <v>524</v>
      </c>
      <c r="B188" t="s">
        <v>525</v>
      </c>
      <c r="C188" t="s">
        <v>526</v>
      </c>
    </row>
    <row r="189" spans="1:3" x14ac:dyDescent="0.3">
      <c r="A189" t="s">
        <v>527</v>
      </c>
      <c r="B189" t="s">
        <v>528</v>
      </c>
      <c r="C189" t="s">
        <v>529</v>
      </c>
    </row>
    <row r="190" spans="1:3" x14ac:dyDescent="0.3">
      <c r="A190" t="s">
        <v>530</v>
      </c>
      <c r="B190" t="s">
        <v>531</v>
      </c>
      <c r="C190" t="s">
        <v>532</v>
      </c>
    </row>
    <row r="191" spans="1:3" x14ac:dyDescent="0.3">
      <c r="A191" t="s">
        <v>533</v>
      </c>
      <c r="B191" t="s">
        <v>534</v>
      </c>
      <c r="C191" t="s">
        <v>242</v>
      </c>
    </row>
    <row r="192" spans="1:3" x14ac:dyDescent="0.3">
      <c r="A192" t="s">
        <v>535</v>
      </c>
      <c r="B192" t="s">
        <v>536</v>
      </c>
      <c r="C192" t="s">
        <v>8</v>
      </c>
    </row>
    <row r="193" spans="1:3" x14ac:dyDescent="0.3">
      <c r="A193" t="s">
        <v>537</v>
      </c>
      <c r="B193" t="s">
        <v>536</v>
      </c>
      <c r="C193" t="s">
        <v>538</v>
      </c>
    </row>
    <row r="194" spans="1:3" x14ac:dyDescent="0.3">
      <c r="A194" t="s">
        <v>539</v>
      </c>
      <c r="B194" t="s">
        <v>540</v>
      </c>
      <c r="C194" t="s">
        <v>200</v>
      </c>
    </row>
    <row r="195" spans="1:3" x14ac:dyDescent="0.3">
      <c r="A195" t="s">
        <v>541</v>
      </c>
      <c r="B195" t="s">
        <v>276</v>
      </c>
      <c r="C195" t="s">
        <v>351</v>
      </c>
    </row>
    <row r="196" spans="1:3" x14ac:dyDescent="0.3">
      <c r="A196" t="s">
        <v>542</v>
      </c>
      <c r="B196" t="s">
        <v>543</v>
      </c>
      <c r="C196" t="s">
        <v>544</v>
      </c>
    </row>
    <row r="197" spans="1:3" x14ac:dyDescent="0.3">
      <c r="A197" t="s">
        <v>545</v>
      </c>
      <c r="B197" t="s">
        <v>546</v>
      </c>
      <c r="C197" t="s">
        <v>547</v>
      </c>
    </row>
    <row r="198" spans="1:3" x14ac:dyDescent="0.3">
      <c r="A198" t="s">
        <v>548</v>
      </c>
      <c r="B198" t="s">
        <v>549</v>
      </c>
      <c r="C198" t="s">
        <v>550</v>
      </c>
    </row>
    <row r="199" spans="1:3" x14ac:dyDescent="0.3">
      <c r="A199" t="s">
        <v>551</v>
      </c>
      <c r="B199" t="s">
        <v>552</v>
      </c>
      <c r="C199" t="s">
        <v>532</v>
      </c>
    </row>
    <row r="200" spans="1:3" x14ac:dyDescent="0.3">
      <c r="A200" t="s">
        <v>553</v>
      </c>
      <c r="B200" t="s">
        <v>554</v>
      </c>
      <c r="C200" t="s">
        <v>555</v>
      </c>
    </row>
    <row r="201" spans="1:3" x14ac:dyDescent="0.3">
      <c r="A201" t="s">
        <v>556</v>
      </c>
      <c r="B201" t="s">
        <v>271</v>
      </c>
      <c r="C201" t="s">
        <v>557</v>
      </c>
    </row>
    <row r="202" spans="1:3" x14ac:dyDescent="0.3">
      <c r="A202" t="s">
        <v>558</v>
      </c>
      <c r="B202" t="s">
        <v>559</v>
      </c>
      <c r="C202" t="s">
        <v>560</v>
      </c>
    </row>
    <row r="203" spans="1:3" x14ac:dyDescent="0.3">
      <c r="A203" t="s">
        <v>561</v>
      </c>
      <c r="B203" t="s">
        <v>562</v>
      </c>
      <c r="C203" t="s">
        <v>563</v>
      </c>
    </row>
    <row r="204" spans="1:3" x14ac:dyDescent="0.3">
      <c r="A204" t="s">
        <v>564</v>
      </c>
      <c r="B204" t="s">
        <v>565</v>
      </c>
      <c r="C204" t="s">
        <v>566</v>
      </c>
    </row>
    <row r="205" spans="1:3" x14ac:dyDescent="0.3">
      <c r="A205" t="s">
        <v>567</v>
      </c>
      <c r="B205" t="s">
        <v>568</v>
      </c>
      <c r="C205" t="s">
        <v>569</v>
      </c>
    </row>
    <row r="206" spans="1:3" x14ac:dyDescent="0.3">
      <c r="A206" t="s">
        <v>570</v>
      </c>
      <c r="B206" t="s">
        <v>571</v>
      </c>
      <c r="C206" t="s">
        <v>572</v>
      </c>
    </row>
    <row r="207" spans="1:3" x14ac:dyDescent="0.3">
      <c r="A207" t="s">
        <v>573</v>
      </c>
      <c r="B207" t="s">
        <v>268</v>
      </c>
      <c r="C207" t="s">
        <v>351</v>
      </c>
    </row>
    <row r="208" spans="1:3" x14ac:dyDescent="0.3">
      <c r="A208" t="s">
        <v>574</v>
      </c>
      <c r="B208" t="s">
        <v>575</v>
      </c>
      <c r="C208" t="s">
        <v>38</v>
      </c>
    </row>
    <row r="209" spans="1:3" x14ac:dyDescent="0.3">
      <c r="A209" t="s">
        <v>576</v>
      </c>
      <c r="B209" t="s">
        <v>323</v>
      </c>
      <c r="C209" t="s">
        <v>200</v>
      </c>
    </row>
    <row r="210" spans="1:3" x14ac:dyDescent="0.3">
      <c r="A210" t="s">
        <v>577</v>
      </c>
      <c r="B210" t="s">
        <v>578</v>
      </c>
      <c r="C210" t="s">
        <v>579</v>
      </c>
    </row>
    <row r="211" spans="1:3" x14ac:dyDescent="0.3">
      <c r="A211" t="s">
        <v>580</v>
      </c>
      <c r="B211" t="s">
        <v>581</v>
      </c>
      <c r="C211" t="s">
        <v>582</v>
      </c>
    </row>
    <row r="212" spans="1:3" x14ac:dyDescent="0.3">
      <c r="A212" t="s">
        <v>583</v>
      </c>
      <c r="B212" t="s">
        <v>126</v>
      </c>
      <c r="C212" t="s">
        <v>584</v>
      </c>
    </row>
    <row r="213" spans="1:3" x14ac:dyDescent="0.3">
      <c r="A213" t="s">
        <v>585</v>
      </c>
      <c r="B213" t="s">
        <v>586</v>
      </c>
      <c r="C213" t="s">
        <v>587</v>
      </c>
    </row>
    <row r="214" spans="1:3" x14ac:dyDescent="0.3">
      <c r="A214" t="s">
        <v>588</v>
      </c>
      <c r="B214" t="s">
        <v>589</v>
      </c>
      <c r="C214" t="s">
        <v>590</v>
      </c>
    </row>
    <row r="215" spans="1:3" x14ac:dyDescent="0.3">
      <c r="A215" t="s">
        <v>591</v>
      </c>
      <c r="B215" t="s">
        <v>592</v>
      </c>
      <c r="C215" t="s">
        <v>593</v>
      </c>
    </row>
    <row r="216" spans="1:3" x14ac:dyDescent="0.3">
      <c r="A216" t="s">
        <v>594</v>
      </c>
      <c r="B216" t="s">
        <v>595</v>
      </c>
      <c r="C216" t="s">
        <v>596</v>
      </c>
    </row>
    <row r="217" spans="1:3" x14ac:dyDescent="0.3">
      <c r="A217" t="s">
        <v>597</v>
      </c>
      <c r="B217" t="s">
        <v>598</v>
      </c>
      <c r="C217" t="s">
        <v>599</v>
      </c>
    </row>
    <row r="218" spans="1:3" x14ac:dyDescent="0.3">
      <c r="A218" t="s">
        <v>600</v>
      </c>
      <c r="B218" t="s">
        <v>601</v>
      </c>
      <c r="C218" t="s">
        <v>602</v>
      </c>
    </row>
    <row r="219" spans="1:3" x14ac:dyDescent="0.3">
      <c r="A219" t="s">
        <v>603</v>
      </c>
      <c r="B219" t="s">
        <v>604</v>
      </c>
      <c r="C219" t="s">
        <v>195</v>
      </c>
    </row>
    <row r="220" spans="1:3" x14ac:dyDescent="0.3">
      <c r="A220" t="s">
        <v>605</v>
      </c>
      <c r="B220" t="s">
        <v>606</v>
      </c>
      <c r="C220" t="s">
        <v>607</v>
      </c>
    </row>
    <row r="221" spans="1:3" x14ac:dyDescent="0.3">
      <c r="A221" t="s">
        <v>608</v>
      </c>
      <c r="B221" t="s">
        <v>250</v>
      </c>
      <c r="C221" t="s">
        <v>80</v>
      </c>
    </row>
    <row r="222" spans="1:3" x14ac:dyDescent="0.3">
      <c r="A222" t="s">
        <v>609</v>
      </c>
      <c r="B222" t="s">
        <v>610</v>
      </c>
      <c r="C222" t="s">
        <v>53</v>
      </c>
    </row>
    <row r="223" spans="1:3" x14ac:dyDescent="0.3">
      <c r="A223" t="s">
        <v>611</v>
      </c>
      <c r="B223" t="s">
        <v>612</v>
      </c>
      <c r="C223" t="s">
        <v>536</v>
      </c>
    </row>
    <row r="224" spans="1:3" x14ac:dyDescent="0.3">
      <c r="A224" t="s">
        <v>613</v>
      </c>
      <c r="B224" t="s">
        <v>614</v>
      </c>
      <c r="C224" t="s">
        <v>77</v>
      </c>
    </row>
    <row r="225" spans="1:3" x14ac:dyDescent="0.3">
      <c r="A225" t="s">
        <v>615</v>
      </c>
      <c r="B225" t="s">
        <v>616</v>
      </c>
      <c r="C225" t="s">
        <v>617</v>
      </c>
    </row>
    <row r="226" spans="1:3" x14ac:dyDescent="0.3">
      <c r="A226" t="s">
        <v>618</v>
      </c>
      <c r="B226" t="s">
        <v>388</v>
      </c>
      <c r="C226" t="s">
        <v>101</v>
      </c>
    </row>
    <row r="227" spans="1:3" x14ac:dyDescent="0.3">
      <c r="A227" t="s">
        <v>619</v>
      </c>
      <c r="B227" t="s">
        <v>620</v>
      </c>
      <c r="C227" t="s">
        <v>364</v>
      </c>
    </row>
    <row r="228" spans="1:3" x14ac:dyDescent="0.3">
      <c r="A228" t="s">
        <v>621</v>
      </c>
      <c r="B228" t="s">
        <v>622</v>
      </c>
      <c r="C228" t="s">
        <v>623</v>
      </c>
    </row>
    <row r="229" spans="1:3" x14ac:dyDescent="0.3">
      <c r="A229" t="s">
        <v>624</v>
      </c>
      <c r="B229" t="s">
        <v>625</v>
      </c>
      <c r="C229" t="s">
        <v>626</v>
      </c>
    </row>
    <row r="230" spans="1:3" x14ac:dyDescent="0.3">
      <c r="A230" t="s">
        <v>627</v>
      </c>
      <c r="B230" t="s">
        <v>628</v>
      </c>
      <c r="C230" t="s">
        <v>629</v>
      </c>
    </row>
    <row r="231" spans="1:3" x14ac:dyDescent="0.3">
      <c r="A231" t="s">
        <v>630</v>
      </c>
      <c r="B231" t="s">
        <v>631</v>
      </c>
      <c r="C231" t="s">
        <v>632</v>
      </c>
    </row>
    <row r="232" spans="1:3" x14ac:dyDescent="0.3">
      <c r="A232" t="s">
        <v>633</v>
      </c>
      <c r="B232" t="s">
        <v>634</v>
      </c>
      <c r="C232" t="s">
        <v>635</v>
      </c>
    </row>
    <row r="233" spans="1:3" x14ac:dyDescent="0.3">
      <c r="A233" t="s">
        <v>636</v>
      </c>
      <c r="B233" t="s">
        <v>637</v>
      </c>
      <c r="C233" t="s">
        <v>638</v>
      </c>
    </row>
    <row r="234" spans="1:3" x14ac:dyDescent="0.3">
      <c r="A234" t="s">
        <v>639</v>
      </c>
      <c r="B234" t="s">
        <v>640</v>
      </c>
      <c r="C234" t="s">
        <v>641</v>
      </c>
    </row>
    <row r="235" spans="1:3" x14ac:dyDescent="0.3">
      <c r="A235" t="s">
        <v>642</v>
      </c>
      <c r="B235" t="s">
        <v>643</v>
      </c>
      <c r="C235" t="s">
        <v>344</v>
      </c>
    </row>
    <row r="236" spans="1:3" x14ac:dyDescent="0.3">
      <c r="A236" t="s">
        <v>644</v>
      </c>
      <c r="B236" t="s">
        <v>645</v>
      </c>
      <c r="C236" t="s">
        <v>646</v>
      </c>
    </row>
    <row r="237" spans="1:3" x14ac:dyDescent="0.3">
      <c r="A237" t="s">
        <v>647</v>
      </c>
      <c r="B237" t="s">
        <v>648</v>
      </c>
      <c r="C237" t="s">
        <v>649</v>
      </c>
    </row>
    <row r="238" spans="1:3" x14ac:dyDescent="0.3">
      <c r="A238" t="s">
        <v>650</v>
      </c>
      <c r="B238" t="s">
        <v>651</v>
      </c>
      <c r="C238" t="s">
        <v>652</v>
      </c>
    </row>
    <row r="239" spans="1:3" x14ac:dyDescent="0.3">
      <c r="A239" t="s">
        <v>653</v>
      </c>
      <c r="B239" t="s">
        <v>654</v>
      </c>
      <c r="C239" t="s">
        <v>655</v>
      </c>
    </row>
    <row r="240" spans="1:3" x14ac:dyDescent="0.3">
      <c r="A240" t="s">
        <v>656</v>
      </c>
      <c r="B240" t="s">
        <v>457</v>
      </c>
      <c r="C240" t="s">
        <v>511</v>
      </c>
    </row>
    <row r="241" spans="1:3" x14ac:dyDescent="0.3">
      <c r="A241" t="s">
        <v>657</v>
      </c>
      <c r="B241" t="s">
        <v>658</v>
      </c>
      <c r="C241" t="s">
        <v>47</v>
      </c>
    </row>
    <row r="242" spans="1:3" x14ac:dyDescent="0.3">
      <c r="A242" t="s">
        <v>659</v>
      </c>
      <c r="B242" t="s">
        <v>660</v>
      </c>
      <c r="C242" t="s">
        <v>661</v>
      </c>
    </row>
    <row r="243" spans="1:3" x14ac:dyDescent="0.3">
      <c r="A243" t="s">
        <v>662</v>
      </c>
      <c r="B243" t="s">
        <v>28</v>
      </c>
      <c r="C243" t="s">
        <v>663</v>
      </c>
    </row>
    <row r="244" spans="1:3" x14ac:dyDescent="0.3">
      <c r="A244" t="s">
        <v>664</v>
      </c>
      <c r="B244" t="s">
        <v>665</v>
      </c>
      <c r="C244" t="s">
        <v>333</v>
      </c>
    </row>
    <row r="245" spans="1:3" x14ac:dyDescent="0.3">
      <c r="A245" t="s">
        <v>666</v>
      </c>
      <c r="B245" t="s">
        <v>667</v>
      </c>
      <c r="C245" t="s">
        <v>668</v>
      </c>
    </row>
    <row r="246" spans="1:3" x14ac:dyDescent="0.3">
      <c r="A246" t="s">
        <v>669</v>
      </c>
      <c r="B246" t="s">
        <v>670</v>
      </c>
      <c r="C246" t="s">
        <v>671</v>
      </c>
    </row>
    <row r="247" spans="1:3" x14ac:dyDescent="0.3">
      <c r="A247" t="s">
        <v>672</v>
      </c>
      <c r="B247" t="s">
        <v>673</v>
      </c>
      <c r="C247" t="s">
        <v>674</v>
      </c>
    </row>
    <row r="248" spans="1:3" x14ac:dyDescent="0.3">
      <c r="A248" t="s">
        <v>675</v>
      </c>
      <c r="B248" t="s">
        <v>676</v>
      </c>
      <c r="C248" t="s">
        <v>677</v>
      </c>
    </row>
    <row r="249" spans="1:3" x14ac:dyDescent="0.3">
      <c r="A249" t="s">
        <v>678</v>
      </c>
      <c r="B249" t="s">
        <v>679</v>
      </c>
      <c r="C249" t="s">
        <v>327</v>
      </c>
    </row>
    <row r="250" spans="1:3" x14ac:dyDescent="0.3">
      <c r="A250" t="s">
        <v>680</v>
      </c>
      <c r="B250" t="s">
        <v>263</v>
      </c>
      <c r="C250" t="s">
        <v>681</v>
      </c>
    </row>
    <row r="251" spans="1:3" x14ac:dyDescent="0.3">
      <c r="A251" t="s">
        <v>682</v>
      </c>
      <c r="B251" t="s">
        <v>683</v>
      </c>
      <c r="C251" t="s">
        <v>684</v>
      </c>
    </row>
    <row r="252" spans="1:3" x14ac:dyDescent="0.3">
      <c r="A252" t="s">
        <v>685</v>
      </c>
      <c r="B252" t="s">
        <v>686</v>
      </c>
      <c r="C252" t="s">
        <v>687</v>
      </c>
    </row>
    <row r="253" spans="1:3" x14ac:dyDescent="0.3">
      <c r="A253" t="s">
        <v>688</v>
      </c>
      <c r="B253" t="s">
        <v>689</v>
      </c>
      <c r="C253" t="s">
        <v>690</v>
      </c>
    </row>
    <row r="254" spans="1:3" x14ac:dyDescent="0.3">
      <c r="A254" t="s">
        <v>691</v>
      </c>
      <c r="B254" t="s">
        <v>692</v>
      </c>
      <c r="C254" t="s">
        <v>693</v>
      </c>
    </row>
    <row r="255" spans="1:3" x14ac:dyDescent="0.3">
      <c r="A255" t="s">
        <v>694</v>
      </c>
      <c r="B255" t="s">
        <v>695</v>
      </c>
      <c r="C255" t="s">
        <v>37</v>
      </c>
    </row>
    <row r="256" spans="1:3" x14ac:dyDescent="0.3">
      <c r="A256" t="s">
        <v>696</v>
      </c>
      <c r="B256" t="s">
        <v>697</v>
      </c>
      <c r="C256" t="s">
        <v>671</v>
      </c>
    </row>
    <row r="257" spans="1:3" x14ac:dyDescent="0.3">
      <c r="A257" t="s">
        <v>698</v>
      </c>
      <c r="B257" t="s">
        <v>699</v>
      </c>
      <c r="C257" t="s">
        <v>5</v>
      </c>
    </row>
    <row r="258" spans="1:3" x14ac:dyDescent="0.3">
      <c r="A258" t="s">
        <v>700</v>
      </c>
      <c r="B258" t="s">
        <v>701</v>
      </c>
      <c r="C258" t="s">
        <v>187</v>
      </c>
    </row>
    <row r="259" spans="1:3" x14ac:dyDescent="0.3">
      <c r="A259" t="s">
        <v>702</v>
      </c>
      <c r="B259" t="s">
        <v>703</v>
      </c>
      <c r="C259" t="s">
        <v>704</v>
      </c>
    </row>
    <row r="260" spans="1:3" x14ac:dyDescent="0.3">
      <c r="A260" t="s">
        <v>705</v>
      </c>
      <c r="B260" t="s">
        <v>706</v>
      </c>
      <c r="C260" t="s">
        <v>707</v>
      </c>
    </row>
    <row r="261" spans="1:3" x14ac:dyDescent="0.3">
      <c r="A261" t="s">
        <v>708</v>
      </c>
      <c r="B261" t="s">
        <v>161</v>
      </c>
      <c r="C261" t="s">
        <v>389</v>
      </c>
    </row>
    <row r="262" spans="1:3" x14ac:dyDescent="0.3">
      <c r="A262" t="s">
        <v>709</v>
      </c>
      <c r="B262" t="s">
        <v>710</v>
      </c>
      <c r="C262" t="s">
        <v>711</v>
      </c>
    </row>
    <row r="263" spans="1:3" x14ac:dyDescent="0.3">
      <c r="A263" t="s">
        <v>712</v>
      </c>
      <c r="B263" t="s">
        <v>713</v>
      </c>
      <c r="C263" t="s">
        <v>714</v>
      </c>
    </row>
    <row r="264" spans="1:3" x14ac:dyDescent="0.3">
      <c r="A264" t="s">
        <v>715</v>
      </c>
      <c r="B264" t="s">
        <v>716</v>
      </c>
      <c r="C264" t="s">
        <v>555</v>
      </c>
    </row>
    <row r="265" spans="1:3" x14ac:dyDescent="0.3">
      <c r="A265" t="s">
        <v>717</v>
      </c>
      <c r="B265" t="s">
        <v>718</v>
      </c>
      <c r="C265" t="s">
        <v>719</v>
      </c>
    </row>
    <row r="266" spans="1:3" x14ac:dyDescent="0.3">
      <c r="A266" t="s">
        <v>720</v>
      </c>
      <c r="B266" t="s">
        <v>721</v>
      </c>
      <c r="C266" t="s">
        <v>722</v>
      </c>
    </row>
    <row r="267" spans="1:3" x14ac:dyDescent="0.3">
      <c r="A267" t="s">
        <v>723</v>
      </c>
      <c r="B267" t="s">
        <v>724</v>
      </c>
      <c r="C267" t="s">
        <v>435</v>
      </c>
    </row>
    <row r="268" spans="1:3" x14ac:dyDescent="0.3">
      <c r="A268" t="s">
        <v>725</v>
      </c>
      <c r="B268" t="s">
        <v>726</v>
      </c>
      <c r="C268" t="s">
        <v>727</v>
      </c>
    </row>
    <row r="269" spans="1:3" x14ac:dyDescent="0.3">
      <c r="A269" t="s">
        <v>728</v>
      </c>
      <c r="B269" t="s">
        <v>729</v>
      </c>
      <c r="C269" t="s">
        <v>230</v>
      </c>
    </row>
    <row r="270" spans="1:3" x14ac:dyDescent="0.3">
      <c r="A270" t="s">
        <v>730</v>
      </c>
      <c r="B270" t="s">
        <v>13</v>
      </c>
      <c r="C270" t="s">
        <v>555</v>
      </c>
    </row>
    <row r="271" spans="1:3" x14ac:dyDescent="0.3">
      <c r="A271" t="s">
        <v>731</v>
      </c>
      <c r="B271" t="s">
        <v>273</v>
      </c>
      <c r="C271" t="s">
        <v>348</v>
      </c>
    </row>
    <row r="272" spans="1:3" x14ac:dyDescent="0.3">
      <c r="A272" t="s">
        <v>732</v>
      </c>
      <c r="B272" t="s">
        <v>733</v>
      </c>
      <c r="C272" t="s">
        <v>734</v>
      </c>
    </row>
    <row r="273" spans="1:3" x14ac:dyDescent="0.3">
      <c r="A273" t="s">
        <v>735</v>
      </c>
      <c r="B273" t="s">
        <v>736</v>
      </c>
      <c r="C273" t="s">
        <v>195</v>
      </c>
    </row>
    <row r="274" spans="1:3" x14ac:dyDescent="0.3">
      <c r="A274" t="s">
        <v>737</v>
      </c>
      <c r="B274" t="s">
        <v>238</v>
      </c>
      <c r="C274" t="s">
        <v>738</v>
      </c>
    </row>
    <row r="275" spans="1:3" x14ac:dyDescent="0.3">
      <c r="A275" t="s">
        <v>739</v>
      </c>
      <c r="B275" t="s">
        <v>740</v>
      </c>
      <c r="C275" t="s">
        <v>741</v>
      </c>
    </row>
    <row r="276" spans="1:3" x14ac:dyDescent="0.3">
      <c r="A276" t="s">
        <v>742</v>
      </c>
      <c r="B276" t="s">
        <v>271</v>
      </c>
      <c r="C276" t="s">
        <v>743</v>
      </c>
    </row>
    <row r="277" spans="1:3" x14ac:dyDescent="0.3">
      <c r="A277" t="s">
        <v>744</v>
      </c>
      <c r="B277" t="s">
        <v>745</v>
      </c>
      <c r="C277" t="s">
        <v>227</v>
      </c>
    </row>
    <row r="278" spans="1:3" x14ac:dyDescent="0.3">
      <c r="A278" t="s">
        <v>746</v>
      </c>
      <c r="B278" t="s">
        <v>747</v>
      </c>
      <c r="C278" t="s">
        <v>748</v>
      </c>
    </row>
    <row r="279" spans="1:3" x14ac:dyDescent="0.3">
      <c r="A279" t="s">
        <v>749</v>
      </c>
      <c r="B279" t="s">
        <v>750</v>
      </c>
      <c r="C279" t="s">
        <v>751</v>
      </c>
    </row>
    <row r="280" spans="1:3" x14ac:dyDescent="0.3">
      <c r="A280" t="s">
        <v>752</v>
      </c>
      <c r="B280" t="s">
        <v>753</v>
      </c>
      <c r="C280" t="s">
        <v>754</v>
      </c>
    </row>
    <row r="281" spans="1:3" x14ac:dyDescent="0.3">
      <c r="A281" t="s">
        <v>755</v>
      </c>
      <c r="B281" t="s">
        <v>756</v>
      </c>
      <c r="C281" t="s">
        <v>663</v>
      </c>
    </row>
    <row r="282" spans="1:3" x14ac:dyDescent="0.3">
      <c r="A282" t="s">
        <v>757</v>
      </c>
      <c r="B282" t="s">
        <v>758</v>
      </c>
      <c r="C282" t="s">
        <v>759</v>
      </c>
    </row>
    <row r="283" spans="1:3" x14ac:dyDescent="0.3">
      <c r="A283" t="s">
        <v>760</v>
      </c>
      <c r="B283" t="s">
        <v>761</v>
      </c>
      <c r="C283" t="s">
        <v>762</v>
      </c>
    </row>
    <row r="284" spans="1:3" x14ac:dyDescent="0.3">
      <c r="A284" t="s">
        <v>763</v>
      </c>
      <c r="B284" t="s">
        <v>764</v>
      </c>
      <c r="C284" t="s">
        <v>765</v>
      </c>
    </row>
    <row r="285" spans="1:3" x14ac:dyDescent="0.3">
      <c r="A285" t="s">
        <v>766</v>
      </c>
      <c r="B285" t="s">
        <v>767</v>
      </c>
      <c r="C285" t="s">
        <v>768</v>
      </c>
    </row>
    <row r="286" spans="1:3" x14ac:dyDescent="0.3">
      <c r="A286" t="s">
        <v>769</v>
      </c>
      <c r="B286" t="s">
        <v>770</v>
      </c>
      <c r="C286" t="s">
        <v>209</v>
      </c>
    </row>
    <row r="287" spans="1:3" x14ac:dyDescent="0.3">
      <c r="A287" t="s">
        <v>771</v>
      </c>
      <c r="B287" t="s">
        <v>772</v>
      </c>
      <c r="C287" t="s">
        <v>773</v>
      </c>
    </row>
    <row r="288" spans="1:3" x14ac:dyDescent="0.3">
      <c r="A288" t="s">
        <v>774</v>
      </c>
      <c r="B288" t="s">
        <v>132</v>
      </c>
      <c r="C288" t="s">
        <v>775</v>
      </c>
    </row>
    <row r="289" spans="1:3" x14ac:dyDescent="0.3">
      <c r="A289" t="s">
        <v>776</v>
      </c>
      <c r="B289" t="s">
        <v>777</v>
      </c>
      <c r="C289" t="s">
        <v>778</v>
      </c>
    </row>
    <row r="290" spans="1:3" x14ac:dyDescent="0.3">
      <c r="A290" t="s">
        <v>779</v>
      </c>
      <c r="B290" t="s">
        <v>780</v>
      </c>
      <c r="C290" t="s">
        <v>364</v>
      </c>
    </row>
    <row r="291" spans="1:3" x14ac:dyDescent="0.3">
      <c r="A291" t="s">
        <v>781</v>
      </c>
      <c r="B291" t="s">
        <v>452</v>
      </c>
      <c r="C291" t="s">
        <v>782</v>
      </c>
    </row>
    <row r="292" spans="1:3" x14ac:dyDescent="0.3">
      <c r="A292" t="s">
        <v>783</v>
      </c>
      <c r="B292" t="s">
        <v>784</v>
      </c>
      <c r="C292" t="s">
        <v>785</v>
      </c>
    </row>
    <row r="293" spans="1:3" x14ac:dyDescent="0.3">
      <c r="A293" t="s">
        <v>786</v>
      </c>
      <c r="B293" t="s">
        <v>787</v>
      </c>
      <c r="C293" t="s">
        <v>788</v>
      </c>
    </row>
    <row r="294" spans="1:3" x14ac:dyDescent="0.3">
      <c r="A294" t="s">
        <v>789</v>
      </c>
      <c r="B294" t="s">
        <v>291</v>
      </c>
      <c r="C294" t="s">
        <v>646</v>
      </c>
    </row>
    <row r="295" spans="1:3" x14ac:dyDescent="0.3">
      <c r="A295" t="s">
        <v>790</v>
      </c>
      <c r="B295" t="s">
        <v>791</v>
      </c>
      <c r="C295" t="s">
        <v>792</v>
      </c>
    </row>
    <row r="296" spans="1:3" x14ac:dyDescent="0.3">
      <c r="A296" t="s">
        <v>793</v>
      </c>
      <c r="B296" t="s">
        <v>794</v>
      </c>
      <c r="C296" t="s">
        <v>175</v>
      </c>
    </row>
    <row r="297" spans="1:3" x14ac:dyDescent="0.3">
      <c r="A297" t="s">
        <v>795</v>
      </c>
      <c r="B297" t="s">
        <v>796</v>
      </c>
      <c r="C297" t="s">
        <v>797</v>
      </c>
    </row>
    <row r="298" spans="1:3" x14ac:dyDescent="0.3">
      <c r="A298" t="s">
        <v>798</v>
      </c>
      <c r="B298" t="s">
        <v>799</v>
      </c>
      <c r="C298" t="s">
        <v>11</v>
      </c>
    </row>
    <row r="299" spans="1:3" x14ac:dyDescent="0.3">
      <c r="A299" t="s">
        <v>800</v>
      </c>
      <c r="B299" t="s">
        <v>801</v>
      </c>
      <c r="C299" t="s">
        <v>327</v>
      </c>
    </row>
    <row r="300" spans="1:3" x14ac:dyDescent="0.3">
      <c r="A300" t="s">
        <v>802</v>
      </c>
      <c r="B300" t="s">
        <v>803</v>
      </c>
      <c r="C300" t="s">
        <v>804</v>
      </c>
    </row>
    <row r="301" spans="1:3" x14ac:dyDescent="0.3">
      <c r="A301" t="s">
        <v>805</v>
      </c>
      <c r="B301" t="s">
        <v>806</v>
      </c>
      <c r="C301" t="s">
        <v>807</v>
      </c>
    </row>
    <row r="302" spans="1:3" x14ac:dyDescent="0.3">
      <c r="A302" t="s">
        <v>808</v>
      </c>
      <c r="B302" t="s">
        <v>809</v>
      </c>
      <c r="C302" t="s">
        <v>810</v>
      </c>
    </row>
    <row r="303" spans="1:3" x14ac:dyDescent="0.3">
      <c r="A303" t="s">
        <v>811</v>
      </c>
      <c r="B303" t="s">
        <v>812</v>
      </c>
      <c r="C303" t="s">
        <v>813</v>
      </c>
    </row>
    <row r="304" spans="1:3" x14ac:dyDescent="0.3">
      <c r="A304" t="s">
        <v>814</v>
      </c>
      <c r="B304" t="s">
        <v>815</v>
      </c>
      <c r="C304" t="s">
        <v>816</v>
      </c>
    </row>
    <row r="305" spans="1:3" x14ac:dyDescent="0.3">
      <c r="A305" t="s">
        <v>817</v>
      </c>
      <c r="B305" t="s">
        <v>818</v>
      </c>
      <c r="C305" t="s">
        <v>819</v>
      </c>
    </row>
    <row r="306" spans="1:3" x14ac:dyDescent="0.3">
      <c r="A306" t="s">
        <v>820</v>
      </c>
      <c r="B306" t="s">
        <v>38</v>
      </c>
      <c r="C306" t="s">
        <v>144</v>
      </c>
    </row>
    <row r="307" spans="1:3" x14ac:dyDescent="0.3">
      <c r="A307" t="s">
        <v>821</v>
      </c>
      <c r="B307" t="s">
        <v>822</v>
      </c>
      <c r="C307" t="s">
        <v>274</v>
      </c>
    </row>
    <row r="308" spans="1:3" x14ac:dyDescent="0.3">
      <c r="A308" t="s">
        <v>823</v>
      </c>
      <c r="B308" t="s">
        <v>824</v>
      </c>
      <c r="C308" t="s">
        <v>825</v>
      </c>
    </row>
    <row r="309" spans="1:3" x14ac:dyDescent="0.3">
      <c r="A309" t="s">
        <v>826</v>
      </c>
      <c r="B309" t="s">
        <v>827</v>
      </c>
      <c r="C309" t="s">
        <v>828</v>
      </c>
    </row>
    <row r="310" spans="1:3" x14ac:dyDescent="0.3">
      <c r="A310" t="s">
        <v>829</v>
      </c>
      <c r="B310" t="s">
        <v>830</v>
      </c>
      <c r="C310" t="s">
        <v>170</v>
      </c>
    </row>
    <row r="311" spans="1:3" x14ac:dyDescent="0.3">
      <c r="A311" t="s">
        <v>831</v>
      </c>
      <c r="B311" t="s">
        <v>408</v>
      </c>
      <c r="C311" t="s">
        <v>324</v>
      </c>
    </row>
    <row r="312" spans="1:3" x14ac:dyDescent="0.3">
      <c r="A312" t="s">
        <v>832</v>
      </c>
      <c r="B312" t="s">
        <v>833</v>
      </c>
      <c r="C312" t="s">
        <v>834</v>
      </c>
    </row>
    <row r="313" spans="1:3" x14ac:dyDescent="0.3">
      <c r="A313" t="s">
        <v>835</v>
      </c>
      <c r="B313" t="s">
        <v>836</v>
      </c>
      <c r="C313" t="s">
        <v>667</v>
      </c>
    </row>
    <row r="314" spans="1:3" x14ac:dyDescent="0.3">
      <c r="A314" t="s">
        <v>837</v>
      </c>
      <c r="B314" t="s">
        <v>838</v>
      </c>
      <c r="C314" t="s">
        <v>839</v>
      </c>
    </row>
    <row r="315" spans="1:3" x14ac:dyDescent="0.3">
      <c r="A315" t="s">
        <v>840</v>
      </c>
      <c r="B315" t="s">
        <v>841</v>
      </c>
      <c r="C315" t="s">
        <v>842</v>
      </c>
    </row>
    <row r="316" spans="1:3" x14ac:dyDescent="0.3">
      <c r="A316" t="s">
        <v>843</v>
      </c>
      <c r="B316" t="s">
        <v>844</v>
      </c>
      <c r="C316" t="s">
        <v>845</v>
      </c>
    </row>
    <row r="317" spans="1:3" x14ac:dyDescent="0.3">
      <c r="A317" t="s">
        <v>846</v>
      </c>
      <c r="B317" t="s">
        <v>847</v>
      </c>
      <c r="C317" t="s">
        <v>848</v>
      </c>
    </row>
    <row r="318" spans="1:3" x14ac:dyDescent="0.3">
      <c r="A318" t="s">
        <v>849</v>
      </c>
      <c r="B318" t="s">
        <v>850</v>
      </c>
      <c r="C318" t="s">
        <v>851</v>
      </c>
    </row>
    <row r="319" spans="1:3" x14ac:dyDescent="0.3">
      <c r="A319" t="s">
        <v>852</v>
      </c>
      <c r="B319" t="s">
        <v>853</v>
      </c>
      <c r="C319" t="s">
        <v>854</v>
      </c>
    </row>
    <row r="320" spans="1:3" x14ac:dyDescent="0.3">
      <c r="A320" t="s">
        <v>855</v>
      </c>
      <c r="B320" t="s">
        <v>856</v>
      </c>
      <c r="C320" t="s">
        <v>857</v>
      </c>
    </row>
    <row r="321" spans="1:3" x14ac:dyDescent="0.3">
      <c r="A321" t="s">
        <v>858</v>
      </c>
      <c r="B321" t="s">
        <v>859</v>
      </c>
      <c r="C321" t="s">
        <v>860</v>
      </c>
    </row>
    <row r="322" spans="1:3" x14ac:dyDescent="0.3">
      <c r="A322" t="s">
        <v>861</v>
      </c>
      <c r="B322" t="s">
        <v>862</v>
      </c>
      <c r="C322" t="s">
        <v>863</v>
      </c>
    </row>
    <row r="323" spans="1:3" x14ac:dyDescent="0.3">
      <c r="A323" t="s">
        <v>864</v>
      </c>
      <c r="B323" t="s">
        <v>865</v>
      </c>
      <c r="C323" t="s">
        <v>866</v>
      </c>
    </row>
    <row r="324" spans="1:3" x14ac:dyDescent="0.3">
      <c r="A324" t="s">
        <v>867</v>
      </c>
      <c r="B324" t="s">
        <v>868</v>
      </c>
      <c r="C324" t="s">
        <v>869</v>
      </c>
    </row>
    <row r="325" spans="1:3" x14ac:dyDescent="0.3">
      <c r="A325" t="s">
        <v>870</v>
      </c>
      <c r="B325" t="s">
        <v>665</v>
      </c>
      <c r="C325" t="s">
        <v>871</v>
      </c>
    </row>
    <row r="326" spans="1:3" x14ac:dyDescent="0.3">
      <c r="A326" t="s">
        <v>872</v>
      </c>
      <c r="B326" t="s">
        <v>873</v>
      </c>
      <c r="C326" t="s">
        <v>29</v>
      </c>
    </row>
    <row r="327" spans="1:3" x14ac:dyDescent="0.3">
      <c r="A327" t="s">
        <v>874</v>
      </c>
      <c r="B327" t="s">
        <v>875</v>
      </c>
      <c r="C327" t="s">
        <v>876</v>
      </c>
    </row>
    <row r="328" spans="1:3" x14ac:dyDescent="0.3">
      <c r="A328" t="s">
        <v>877</v>
      </c>
      <c r="B328" t="s">
        <v>878</v>
      </c>
      <c r="C328" t="s">
        <v>879</v>
      </c>
    </row>
    <row r="329" spans="1:3" x14ac:dyDescent="0.3">
      <c r="A329" t="s">
        <v>880</v>
      </c>
      <c r="B329" t="s">
        <v>881</v>
      </c>
      <c r="C329" t="s">
        <v>242</v>
      </c>
    </row>
    <row r="330" spans="1:3" x14ac:dyDescent="0.3">
      <c r="A330" t="s">
        <v>882</v>
      </c>
      <c r="B330" t="s">
        <v>472</v>
      </c>
      <c r="C330" t="s">
        <v>458</v>
      </c>
    </row>
    <row r="331" spans="1:3" x14ac:dyDescent="0.3">
      <c r="A331" t="s">
        <v>883</v>
      </c>
      <c r="B331" t="s">
        <v>884</v>
      </c>
      <c r="C331" t="s">
        <v>885</v>
      </c>
    </row>
    <row r="332" spans="1:3" x14ac:dyDescent="0.3">
      <c r="A332" t="s">
        <v>886</v>
      </c>
      <c r="B332" t="s">
        <v>887</v>
      </c>
      <c r="C332" t="s">
        <v>888</v>
      </c>
    </row>
    <row r="333" spans="1:3" x14ac:dyDescent="0.3">
      <c r="A333" t="s">
        <v>889</v>
      </c>
      <c r="B333" t="s">
        <v>890</v>
      </c>
      <c r="C333" t="s">
        <v>891</v>
      </c>
    </row>
    <row r="334" spans="1:3" x14ac:dyDescent="0.3">
      <c r="A334" t="s">
        <v>892</v>
      </c>
      <c r="B334" t="s">
        <v>893</v>
      </c>
      <c r="C334" t="s">
        <v>894</v>
      </c>
    </row>
    <row r="335" spans="1:3" x14ac:dyDescent="0.3">
      <c r="A335" t="s">
        <v>895</v>
      </c>
      <c r="B335" t="s">
        <v>896</v>
      </c>
      <c r="C335" t="s">
        <v>897</v>
      </c>
    </row>
    <row r="336" spans="1:3" x14ac:dyDescent="0.3">
      <c r="A336" t="s">
        <v>898</v>
      </c>
      <c r="B336" t="s">
        <v>899</v>
      </c>
      <c r="C336" t="s">
        <v>473</v>
      </c>
    </row>
    <row r="337" spans="1:3" x14ac:dyDescent="0.3">
      <c r="A337" t="s">
        <v>900</v>
      </c>
      <c r="B337" t="s">
        <v>901</v>
      </c>
      <c r="C337" t="s">
        <v>902</v>
      </c>
    </row>
    <row r="338" spans="1:3" x14ac:dyDescent="0.3">
      <c r="A338" t="s">
        <v>903</v>
      </c>
      <c r="B338" t="s">
        <v>904</v>
      </c>
      <c r="C338" t="s">
        <v>667</v>
      </c>
    </row>
    <row r="339" spans="1:3" x14ac:dyDescent="0.3">
      <c r="A339" t="s">
        <v>905</v>
      </c>
      <c r="B339" t="s">
        <v>311</v>
      </c>
      <c r="C339" t="s">
        <v>457</v>
      </c>
    </row>
    <row r="340" spans="1:3" x14ac:dyDescent="0.3">
      <c r="A340" t="s">
        <v>906</v>
      </c>
      <c r="B340" t="s">
        <v>907</v>
      </c>
      <c r="C340" t="s">
        <v>908</v>
      </c>
    </row>
    <row r="341" spans="1:3" x14ac:dyDescent="0.3">
      <c r="A341" t="s">
        <v>909</v>
      </c>
      <c r="B341" t="s">
        <v>910</v>
      </c>
      <c r="C341" t="s">
        <v>263</v>
      </c>
    </row>
    <row r="342" spans="1:3" x14ac:dyDescent="0.3">
      <c r="A342" t="s">
        <v>911</v>
      </c>
      <c r="B342" t="s">
        <v>912</v>
      </c>
      <c r="C342" t="s">
        <v>913</v>
      </c>
    </row>
    <row r="343" spans="1:3" x14ac:dyDescent="0.3">
      <c r="A343" t="s">
        <v>914</v>
      </c>
      <c r="B343" t="s">
        <v>915</v>
      </c>
      <c r="C343" t="s">
        <v>916</v>
      </c>
    </row>
    <row r="344" spans="1:3" x14ac:dyDescent="0.3">
      <c r="A344" t="s">
        <v>917</v>
      </c>
      <c r="B344" t="s">
        <v>918</v>
      </c>
      <c r="C344" t="s">
        <v>341</v>
      </c>
    </row>
    <row r="345" spans="1:3" x14ac:dyDescent="0.3">
      <c r="A345" t="s">
        <v>919</v>
      </c>
      <c r="B345" t="s">
        <v>920</v>
      </c>
      <c r="C345" t="s">
        <v>921</v>
      </c>
    </row>
    <row r="346" spans="1:3" x14ac:dyDescent="0.3">
      <c r="A346" t="s">
        <v>922</v>
      </c>
      <c r="B346" t="s">
        <v>923</v>
      </c>
      <c r="C346" t="s">
        <v>318</v>
      </c>
    </row>
    <row r="347" spans="1:3" x14ac:dyDescent="0.3">
      <c r="A347" t="s">
        <v>924</v>
      </c>
      <c r="B347" t="s">
        <v>76</v>
      </c>
      <c r="C347" t="s">
        <v>53</v>
      </c>
    </row>
    <row r="348" spans="1:3" x14ac:dyDescent="0.3">
      <c r="A348" t="s">
        <v>925</v>
      </c>
      <c r="B348" t="s">
        <v>926</v>
      </c>
      <c r="C348" t="s">
        <v>927</v>
      </c>
    </row>
    <row r="349" spans="1:3" x14ac:dyDescent="0.3">
      <c r="A349" t="s">
        <v>928</v>
      </c>
      <c r="B349" t="s">
        <v>929</v>
      </c>
      <c r="C349" t="s">
        <v>930</v>
      </c>
    </row>
    <row r="350" spans="1:3" x14ac:dyDescent="0.3">
      <c r="A350" t="s">
        <v>931</v>
      </c>
      <c r="B350" t="s">
        <v>932</v>
      </c>
      <c r="C350" t="s">
        <v>550</v>
      </c>
    </row>
    <row r="351" spans="1:3" x14ac:dyDescent="0.3">
      <c r="A351" t="s">
        <v>933</v>
      </c>
      <c r="B351" t="s">
        <v>822</v>
      </c>
      <c r="C351" t="s">
        <v>934</v>
      </c>
    </row>
    <row r="352" spans="1:3" x14ac:dyDescent="0.3">
      <c r="A352" t="s">
        <v>935</v>
      </c>
      <c r="B352" t="s">
        <v>936</v>
      </c>
      <c r="C352" t="s">
        <v>770</v>
      </c>
    </row>
    <row r="353" spans="1:3" x14ac:dyDescent="0.3">
      <c r="A353" t="s">
        <v>937</v>
      </c>
      <c r="B353" t="s">
        <v>938</v>
      </c>
      <c r="C353" t="s">
        <v>939</v>
      </c>
    </row>
    <row r="354" spans="1:3" x14ac:dyDescent="0.3">
      <c r="A354" t="s">
        <v>940</v>
      </c>
      <c r="B354" t="s">
        <v>941</v>
      </c>
      <c r="C354" t="s">
        <v>942</v>
      </c>
    </row>
    <row r="355" spans="1:3" x14ac:dyDescent="0.3">
      <c r="A355" t="s">
        <v>943</v>
      </c>
      <c r="B355" t="s">
        <v>37</v>
      </c>
      <c r="C355" t="s">
        <v>304</v>
      </c>
    </row>
    <row r="356" spans="1:3" x14ac:dyDescent="0.3">
      <c r="A356" t="s">
        <v>944</v>
      </c>
      <c r="B356" t="s">
        <v>945</v>
      </c>
      <c r="C356" t="s">
        <v>504</v>
      </c>
    </row>
    <row r="357" spans="1:3" x14ac:dyDescent="0.3">
      <c r="A357" t="s">
        <v>946</v>
      </c>
      <c r="B357" t="s">
        <v>947</v>
      </c>
      <c r="C357" t="s">
        <v>871</v>
      </c>
    </row>
    <row r="358" spans="1:3" x14ac:dyDescent="0.3">
      <c r="A358" t="s">
        <v>948</v>
      </c>
      <c r="B358" t="s">
        <v>949</v>
      </c>
      <c r="C358" t="s">
        <v>950</v>
      </c>
    </row>
    <row r="359" spans="1:3" x14ac:dyDescent="0.3">
      <c r="A359" t="s">
        <v>951</v>
      </c>
      <c r="B359" t="s">
        <v>952</v>
      </c>
      <c r="C359" t="s">
        <v>953</v>
      </c>
    </row>
    <row r="360" spans="1:3" x14ac:dyDescent="0.3">
      <c r="A360" t="s">
        <v>954</v>
      </c>
      <c r="B360" t="s">
        <v>955</v>
      </c>
      <c r="C360" t="s">
        <v>536</v>
      </c>
    </row>
    <row r="361" spans="1:3" x14ac:dyDescent="0.3">
      <c r="A361" t="s">
        <v>956</v>
      </c>
      <c r="B361" t="s">
        <v>957</v>
      </c>
      <c r="C361" t="s">
        <v>897</v>
      </c>
    </row>
    <row r="362" spans="1:3" x14ac:dyDescent="0.3">
      <c r="A362" t="s">
        <v>958</v>
      </c>
      <c r="B362" t="s">
        <v>959</v>
      </c>
      <c r="C362" t="s">
        <v>532</v>
      </c>
    </row>
    <row r="363" spans="1:3" x14ac:dyDescent="0.3">
      <c r="A363" t="s">
        <v>960</v>
      </c>
      <c r="B363" t="s">
        <v>961</v>
      </c>
      <c r="C363" t="s">
        <v>962</v>
      </c>
    </row>
    <row r="364" spans="1:3" x14ac:dyDescent="0.3">
      <c r="A364" t="s">
        <v>963</v>
      </c>
      <c r="B364" t="s">
        <v>964</v>
      </c>
      <c r="C364" t="s">
        <v>965</v>
      </c>
    </row>
    <row r="365" spans="1:3" x14ac:dyDescent="0.3">
      <c r="A365" t="s">
        <v>966</v>
      </c>
      <c r="B365" t="s">
        <v>967</v>
      </c>
      <c r="C365" t="s">
        <v>170</v>
      </c>
    </row>
    <row r="366" spans="1:3" x14ac:dyDescent="0.3">
      <c r="A366" t="s">
        <v>968</v>
      </c>
      <c r="B366" t="s">
        <v>969</v>
      </c>
      <c r="C366" t="s">
        <v>962</v>
      </c>
    </row>
    <row r="367" spans="1:3" x14ac:dyDescent="0.3">
      <c r="A367" t="s">
        <v>970</v>
      </c>
      <c r="B367" t="s">
        <v>356</v>
      </c>
      <c r="C367" t="s">
        <v>782</v>
      </c>
    </row>
    <row r="368" spans="1:3" x14ac:dyDescent="0.3">
      <c r="A368" t="s">
        <v>971</v>
      </c>
      <c r="B368" t="s">
        <v>972</v>
      </c>
      <c r="C368" t="s">
        <v>973</v>
      </c>
    </row>
    <row r="369" spans="1:3" x14ac:dyDescent="0.3">
      <c r="A369" t="s">
        <v>974</v>
      </c>
      <c r="B369" t="s">
        <v>975</v>
      </c>
      <c r="C369" t="s">
        <v>976</v>
      </c>
    </row>
    <row r="370" spans="1:3" x14ac:dyDescent="0.3">
      <c r="A370" t="s">
        <v>977</v>
      </c>
      <c r="B370" t="s">
        <v>978</v>
      </c>
      <c r="C370" t="s">
        <v>979</v>
      </c>
    </row>
    <row r="371" spans="1:3" x14ac:dyDescent="0.3">
      <c r="A371" t="s">
        <v>980</v>
      </c>
      <c r="B371" t="s">
        <v>660</v>
      </c>
      <c r="C371" t="s">
        <v>981</v>
      </c>
    </row>
    <row r="372" spans="1:3" x14ac:dyDescent="0.3">
      <c r="A372" t="s">
        <v>982</v>
      </c>
      <c r="B372" t="s">
        <v>652</v>
      </c>
      <c r="C372" t="s">
        <v>983</v>
      </c>
    </row>
    <row r="373" spans="1:3" x14ac:dyDescent="0.3">
      <c r="A373" t="s">
        <v>984</v>
      </c>
      <c r="B373" t="s">
        <v>985</v>
      </c>
      <c r="C373" t="s">
        <v>986</v>
      </c>
    </row>
    <row r="374" spans="1:3" x14ac:dyDescent="0.3">
      <c r="A374" t="s">
        <v>987</v>
      </c>
      <c r="B374" t="s">
        <v>988</v>
      </c>
      <c r="C374" t="s">
        <v>92</v>
      </c>
    </row>
    <row r="375" spans="1:3" x14ac:dyDescent="0.3">
      <c r="A375" t="s">
        <v>989</v>
      </c>
      <c r="B375" t="s">
        <v>990</v>
      </c>
      <c r="C375" t="s">
        <v>991</v>
      </c>
    </row>
    <row r="376" spans="1:3" x14ac:dyDescent="0.3">
      <c r="A376" t="s">
        <v>992</v>
      </c>
      <c r="B376" t="s">
        <v>993</v>
      </c>
      <c r="C376" t="s">
        <v>994</v>
      </c>
    </row>
    <row r="377" spans="1:3" x14ac:dyDescent="0.3">
      <c r="A377" t="s">
        <v>995</v>
      </c>
      <c r="B377" t="s">
        <v>996</v>
      </c>
      <c r="C377" t="s">
        <v>164</v>
      </c>
    </row>
    <row r="378" spans="1:3" x14ac:dyDescent="0.3">
      <c r="A378" t="s">
        <v>997</v>
      </c>
      <c r="B378" t="s">
        <v>998</v>
      </c>
      <c r="C378" t="s">
        <v>999</v>
      </c>
    </row>
    <row r="379" spans="1:3" x14ac:dyDescent="0.3">
      <c r="A379" t="s">
        <v>1000</v>
      </c>
      <c r="B379" t="s">
        <v>904</v>
      </c>
      <c r="C379" t="s">
        <v>1001</v>
      </c>
    </row>
    <row r="380" spans="1:3" x14ac:dyDescent="0.3">
      <c r="A380" t="s">
        <v>1002</v>
      </c>
      <c r="B380" t="s">
        <v>1003</v>
      </c>
      <c r="C380" t="s">
        <v>147</v>
      </c>
    </row>
    <row r="381" spans="1:3" x14ac:dyDescent="0.3">
      <c r="A381" t="s">
        <v>1004</v>
      </c>
      <c r="B381" t="s">
        <v>455</v>
      </c>
      <c r="C381" t="s">
        <v>357</v>
      </c>
    </row>
    <row r="382" spans="1:3" x14ac:dyDescent="0.3">
      <c r="A382" t="s">
        <v>1005</v>
      </c>
      <c r="B382" t="s">
        <v>770</v>
      </c>
      <c r="C382" t="s">
        <v>292</v>
      </c>
    </row>
    <row r="383" spans="1:3" x14ac:dyDescent="0.3">
      <c r="A383" t="s">
        <v>1006</v>
      </c>
      <c r="B383" t="s">
        <v>809</v>
      </c>
      <c r="C383" t="s">
        <v>218</v>
      </c>
    </row>
    <row r="384" spans="1:3" x14ac:dyDescent="0.3">
      <c r="A384" t="s">
        <v>1007</v>
      </c>
      <c r="B384" t="s">
        <v>1008</v>
      </c>
      <c r="C384" t="s">
        <v>743</v>
      </c>
    </row>
    <row r="385" spans="1:3" x14ac:dyDescent="0.3">
      <c r="A385" t="s">
        <v>1009</v>
      </c>
      <c r="B385" t="s">
        <v>571</v>
      </c>
      <c r="C385" t="s">
        <v>1010</v>
      </c>
    </row>
    <row r="386" spans="1:3" x14ac:dyDescent="0.3">
      <c r="A386" t="s">
        <v>1011</v>
      </c>
      <c r="B386" t="s">
        <v>1012</v>
      </c>
      <c r="C386" t="s">
        <v>1013</v>
      </c>
    </row>
    <row r="387" spans="1:3" x14ac:dyDescent="0.3">
      <c r="A387" t="s">
        <v>1014</v>
      </c>
      <c r="B387" t="s">
        <v>1015</v>
      </c>
      <c r="C387" t="s">
        <v>1016</v>
      </c>
    </row>
    <row r="388" spans="1:3" x14ac:dyDescent="0.3">
      <c r="A388" t="s">
        <v>1017</v>
      </c>
      <c r="B388" t="s">
        <v>1018</v>
      </c>
      <c r="C388" t="s">
        <v>1019</v>
      </c>
    </row>
    <row r="389" spans="1:3" x14ac:dyDescent="0.3">
      <c r="A389" t="s">
        <v>1020</v>
      </c>
      <c r="B389" t="s">
        <v>1021</v>
      </c>
      <c r="C389" t="s">
        <v>1022</v>
      </c>
    </row>
    <row r="390" spans="1:3" x14ac:dyDescent="0.3">
      <c r="A390" t="s">
        <v>1023</v>
      </c>
      <c r="B390" t="s">
        <v>394</v>
      </c>
      <c r="C390" t="s">
        <v>127</v>
      </c>
    </row>
    <row r="391" spans="1:3" x14ac:dyDescent="0.3">
      <c r="A391" t="s">
        <v>1024</v>
      </c>
      <c r="B391" t="s">
        <v>703</v>
      </c>
      <c r="C391" t="s">
        <v>127</v>
      </c>
    </row>
    <row r="392" spans="1:3" x14ac:dyDescent="0.3">
      <c r="A392" t="s">
        <v>1025</v>
      </c>
      <c r="B392" t="s">
        <v>1026</v>
      </c>
      <c r="C392" t="s">
        <v>1027</v>
      </c>
    </row>
    <row r="393" spans="1:3" x14ac:dyDescent="0.3">
      <c r="A393" t="s">
        <v>1028</v>
      </c>
      <c r="B393" t="s">
        <v>1029</v>
      </c>
      <c r="C393" t="s">
        <v>1030</v>
      </c>
    </row>
    <row r="394" spans="1:3" x14ac:dyDescent="0.3">
      <c r="A394" t="s">
        <v>1031</v>
      </c>
      <c r="B394" t="s">
        <v>1032</v>
      </c>
      <c r="C394" t="s">
        <v>1033</v>
      </c>
    </row>
    <row r="395" spans="1:3" x14ac:dyDescent="0.3">
      <c r="A395" t="s">
        <v>1034</v>
      </c>
      <c r="B395" t="s">
        <v>1035</v>
      </c>
      <c r="C395" t="s">
        <v>373</v>
      </c>
    </row>
    <row r="396" spans="1:3" x14ac:dyDescent="0.3">
      <c r="A396" t="s">
        <v>1036</v>
      </c>
      <c r="B396" t="s">
        <v>1037</v>
      </c>
      <c r="C396" t="s">
        <v>1038</v>
      </c>
    </row>
    <row r="397" spans="1:3" x14ac:dyDescent="0.3">
      <c r="A397" t="s">
        <v>1039</v>
      </c>
      <c r="B397" t="s">
        <v>1040</v>
      </c>
      <c r="C397" t="s">
        <v>599</v>
      </c>
    </row>
    <row r="398" spans="1:3" x14ac:dyDescent="0.3">
      <c r="A398" t="s">
        <v>1041</v>
      </c>
      <c r="B398" t="s">
        <v>945</v>
      </c>
      <c r="C398" t="s">
        <v>65</v>
      </c>
    </row>
    <row r="399" spans="1:3" x14ac:dyDescent="0.3">
      <c r="A399" t="s">
        <v>1042</v>
      </c>
      <c r="B399" t="s">
        <v>211</v>
      </c>
      <c r="C399" t="s">
        <v>236</v>
      </c>
    </row>
    <row r="400" spans="1:3" x14ac:dyDescent="0.3">
      <c r="A400" t="s">
        <v>1043</v>
      </c>
      <c r="B400" t="s">
        <v>1044</v>
      </c>
      <c r="C400" t="s">
        <v>1045</v>
      </c>
    </row>
    <row r="401" spans="1:3" x14ac:dyDescent="0.3">
      <c r="A401" t="s">
        <v>1046</v>
      </c>
      <c r="B401" t="s">
        <v>1047</v>
      </c>
      <c r="C401" t="s">
        <v>1048</v>
      </c>
    </row>
    <row r="402" spans="1:3" x14ac:dyDescent="0.3">
      <c r="A402" t="s">
        <v>1049</v>
      </c>
      <c r="B402" t="s">
        <v>1050</v>
      </c>
      <c r="C402" t="s">
        <v>113</v>
      </c>
    </row>
    <row r="403" spans="1:3" x14ac:dyDescent="0.3">
      <c r="A403" t="s">
        <v>1051</v>
      </c>
      <c r="B403" t="s">
        <v>1052</v>
      </c>
      <c r="C403" t="s">
        <v>1053</v>
      </c>
    </row>
    <row r="404" spans="1:3" x14ac:dyDescent="0.3">
      <c r="A404" t="s">
        <v>1054</v>
      </c>
      <c r="B404" t="s">
        <v>1055</v>
      </c>
      <c r="C404" t="s">
        <v>1056</v>
      </c>
    </row>
    <row r="405" spans="1:3" x14ac:dyDescent="0.3">
      <c r="A405" t="s">
        <v>1057</v>
      </c>
      <c r="B405" t="s">
        <v>1058</v>
      </c>
      <c r="C405" t="s">
        <v>1059</v>
      </c>
    </row>
    <row r="406" spans="1:3" x14ac:dyDescent="0.3">
      <c r="A406" t="s">
        <v>1060</v>
      </c>
      <c r="B406" t="s">
        <v>1061</v>
      </c>
      <c r="C406" t="s">
        <v>1062</v>
      </c>
    </row>
    <row r="407" spans="1:3" x14ac:dyDescent="0.3">
      <c r="A407" t="s">
        <v>1063</v>
      </c>
      <c r="B407" t="s">
        <v>1064</v>
      </c>
      <c r="C407" t="s">
        <v>1065</v>
      </c>
    </row>
    <row r="408" spans="1:3" x14ac:dyDescent="0.3">
      <c r="A408" t="s">
        <v>1066</v>
      </c>
      <c r="B408" t="s">
        <v>1067</v>
      </c>
      <c r="C408" t="s">
        <v>1068</v>
      </c>
    </row>
    <row r="409" spans="1:3" x14ac:dyDescent="0.3">
      <c r="A409" t="s">
        <v>1069</v>
      </c>
      <c r="B409" t="s">
        <v>1070</v>
      </c>
      <c r="C409" t="s">
        <v>1071</v>
      </c>
    </row>
    <row r="410" spans="1:3" x14ac:dyDescent="0.3">
      <c r="A410" t="s">
        <v>1072</v>
      </c>
      <c r="B410" t="s">
        <v>1073</v>
      </c>
      <c r="C410" t="s">
        <v>1074</v>
      </c>
    </row>
    <row r="411" spans="1:3" x14ac:dyDescent="0.3">
      <c r="A411" t="s">
        <v>1075</v>
      </c>
      <c r="B411" t="s">
        <v>1076</v>
      </c>
      <c r="C411" t="s">
        <v>1077</v>
      </c>
    </row>
    <row r="412" spans="1:3" x14ac:dyDescent="0.3">
      <c r="A412" t="s">
        <v>1078</v>
      </c>
      <c r="B412" t="s">
        <v>1079</v>
      </c>
      <c r="C412" t="s">
        <v>1080</v>
      </c>
    </row>
    <row r="413" spans="1:3" x14ac:dyDescent="0.3">
      <c r="A413" t="s">
        <v>1081</v>
      </c>
      <c r="B413" t="s">
        <v>1082</v>
      </c>
      <c r="C413" t="s">
        <v>1083</v>
      </c>
    </row>
    <row r="414" spans="1:3" x14ac:dyDescent="0.3">
      <c r="A414" t="s">
        <v>1084</v>
      </c>
      <c r="B414" t="s">
        <v>1085</v>
      </c>
      <c r="C414" t="s">
        <v>1086</v>
      </c>
    </row>
    <row r="415" spans="1:3" x14ac:dyDescent="0.3">
      <c r="A415" t="s">
        <v>1087</v>
      </c>
      <c r="B415" t="s">
        <v>996</v>
      </c>
      <c r="C415" t="s">
        <v>1088</v>
      </c>
    </row>
    <row r="416" spans="1:3" x14ac:dyDescent="0.3">
      <c r="A416" t="s">
        <v>1089</v>
      </c>
      <c r="B416" t="s">
        <v>1090</v>
      </c>
      <c r="C416" t="s">
        <v>1091</v>
      </c>
    </row>
    <row r="417" spans="1:3" x14ac:dyDescent="0.3">
      <c r="A417" t="s">
        <v>1092</v>
      </c>
      <c r="B417" t="s">
        <v>1093</v>
      </c>
      <c r="C417" t="s">
        <v>1094</v>
      </c>
    </row>
    <row r="418" spans="1:3" x14ac:dyDescent="0.3">
      <c r="A418" t="s">
        <v>1095</v>
      </c>
      <c r="B418" t="s">
        <v>16</v>
      </c>
      <c r="C418" t="s">
        <v>1096</v>
      </c>
    </row>
    <row r="419" spans="1:3" x14ac:dyDescent="0.3">
      <c r="A419" t="s">
        <v>1097</v>
      </c>
      <c r="B419" t="s">
        <v>1098</v>
      </c>
      <c r="C419" t="s">
        <v>135</v>
      </c>
    </row>
    <row r="420" spans="1:3" x14ac:dyDescent="0.3">
      <c r="A420" t="s">
        <v>1099</v>
      </c>
      <c r="B420" t="s">
        <v>452</v>
      </c>
      <c r="C420" t="s">
        <v>871</v>
      </c>
    </row>
    <row r="421" spans="1:3" x14ac:dyDescent="0.3">
      <c r="A421" t="s">
        <v>1100</v>
      </c>
      <c r="B421" t="s">
        <v>1101</v>
      </c>
      <c r="C421" t="s">
        <v>504</v>
      </c>
    </row>
    <row r="422" spans="1:3" x14ac:dyDescent="0.3">
      <c r="A422" t="s">
        <v>1102</v>
      </c>
      <c r="B422" t="s">
        <v>1103</v>
      </c>
      <c r="C422" t="s">
        <v>1104</v>
      </c>
    </row>
    <row r="423" spans="1:3" x14ac:dyDescent="0.3">
      <c r="A423" t="s">
        <v>1105</v>
      </c>
      <c r="B423" t="s">
        <v>1106</v>
      </c>
      <c r="C423" t="s">
        <v>704</v>
      </c>
    </row>
    <row r="424" spans="1:3" x14ac:dyDescent="0.3">
      <c r="A424" t="s">
        <v>1107</v>
      </c>
      <c r="B424" t="s">
        <v>1108</v>
      </c>
      <c r="C424" t="s">
        <v>1109</v>
      </c>
    </row>
    <row r="425" spans="1:3" x14ac:dyDescent="0.3">
      <c r="A425" t="s">
        <v>1110</v>
      </c>
      <c r="B425" t="s">
        <v>1111</v>
      </c>
      <c r="C425" t="s">
        <v>357</v>
      </c>
    </row>
    <row r="426" spans="1:3" x14ac:dyDescent="0.3">
      <c r="A426" t="s">
        <v>1112</v>
      </c>
      <c r="B426" t="s">
        <v>1113</v>
      </c>
      <c r="C426" t="s">
        <v>1114</v>
      </c>
    </row>
    <row r="427" spans="1:3" x14ac:dyDescent="0.3">
      <c r="A427" t="s">
        <v>1115</v>
      </c>
      <c r="B427" t="s">
        <v>893</v>
      </c>
      <c r="C427" t="s">
        <v>1116</v>
      </c>
    </row>
    <row r="428" spans="1:3" x14ac:dyDescent="0.3">
      <c r="A428" t="s">
        <v>1117</v>
      </c>
      <c r="B428" t="s">
        <v>1070</v>
      </c>
      <c r="C428" t="s">
        <v>851</v>
      </c>
    </row>
    <row r="429" spans="1:3" x14ac:dyDescent="0.3">
      <c r="A429" t="s">
        <v>1118</v>
      </c>
      <c r="B429" t="s">
        <v>1119</v>
      </c>
      <c r="C429" t="s">
        <v>1120</v>
      </c>
    </row>
    <row r="430" spans="1:3" x14ac:dyDescent="0.3">
      <c r="A430" t="s">
        <v>1121</v>
      </c>
      <c r="B430" t="s">
        <v>1122</v>
      </c>
      <c r="C430" t="s">
        <v>1123</v>
      </c>
    </row>
    <row r="431" spans="1:3" x14ac:dyDescent="0.3">
      <c r="A431" t="s">
        <v>1124</v>
      </c>
      <c r="B431" t="s">
        <v>1125</v>
      </c>
      <c r="C431" t="s">
        <v>1126</v>
      </c>
    </row>
    <row r="432" spans="1:3" x14ac:dyDescent="0.3">
      <c r="A432" t="s">
        <v>1127</v>
      </c>
      <c r="B432" t="s">
        <v>932</v>
      </c>
      <c r="C432" t="s">
        <v>346</v>
      </c>
    </row>
    <row r="433" spans="1:3" x14ac:dyDescent="0.3">
      <c r="A433" t="s">
        <v>1128</v>
      </c>
      <c r="B433" t="s">
        <v>667</v>
      </c>
      <c r="C433" t="s">
        <v>1129</v>
      </c>
    </row>
    <row r="434" spans="1:3" x14ac:dyDescent="0.3">
      <c r="A434" t="s">
        <v>1130</v>
      </c>
      <c r="B434" t="s">
        <v>1131</v>
      </c>
      <c r="C434" t="s">
        <v>339</v>
      </c>
    </row>
    <row r="435" spans="1:3" x14ac:dyDescent="0.3">
      <c r="A435" t="s">
        <v>1132</v>
      </c>
      <c r="B435" t="s">
        <v>1133</v>
      </c>
      <c r="C435" t="s">
        <v>1088</v>
      </c>
    </row>
    <row r="436" spans="1:3" x14ac:dyDescent="0.3">
      <c r="A436" t="s">
        <v>1134</v>
      </c>
      <c r="B436" t="s">
        <v>918</v>
      </c>
      <c r="C436" t="s">
        <v>1135</v>
      </c>
    </row>
    <row r="437" spans="1:3" x14ac:dyDescent="0.3">
      <c r="A437" t="s">
        <v>1136</v>
      </c>
      <c r="B437" t="s">
        <v>1137</v>
      </c>
      <c r="C437" t="s">
        <v>5</v>
      </c>
    </row>
    <row r="438" spans="1:3" x14ac:dyDescent="0.3">
      <c r="A438" t="s">
        <v>1138</v>
      </c>
      <c r="B438" t="s">
        <v>1139</v>
      </c>
      <c r="C438" t="s">
        <v>1140</v>
      </c>
    </row>
    <row r="439" spans="1:3" x14ac:dyDescent="0.3">
      <c r="A439" t="s">
        <v>1141</v>
      </c>
      <c r="B439" t="s">
        <v>1142</v>
      </c>
      <c r="C439" t="s">
        <v>665</v>
      </c>
    </row>
    <row r="440" spans="1:3" x14ac:dyDescent="0.3">
      <c r="A440" t="s">
        <v>1143</v>
      </c>
      <c r="B440" t="s">
        <v>1144</v>
      </c>
      <c r="C440" t="s">
        <v>1145</v>
      </c>
    </row>
    <row r="441" spans="1:3" x14ac:dyDescent="0.3">
      <c r="A441" t="s">
        <v>1146</v>
      </c>
      <c r="B441" t="s">
        <v>1147</v>
      </c>
      <c r="C441" t="s">
        <v>1116</v>
      </c>
    </row>
    <row r="442" spans="1:3" x14ac:dyDescent="0.3">
      <c r="A442" t="s">
        <v>1148</v>
      </c>
      <c r="B442" t="s">
        <v>1149</v>
      </c>
      <c r="C442" t="s">
        <v>1150</v>
      </c>
    </row>
    <row r="443" spans="1:3" x14ac:dyDescent="0.3">
      <c r="A443" t="s">
        <v>1151</v>
      </c>
      <c r="B443" t="s">
        <v>1152</v>
      </c>
      <c r="C443" t="s">
        <v>1153</v>
      </c>
    </row>
    <row r="444" spans="1:3" x14ac:dyDescent="0.3">
      <c r="A444" t="s">
        <v>1154</v>
      </c>
      <c r="B444" t="s">
        <v>118</v>
      </c>
      <c r="C444" t="s">
        <v>395</v>
      </c>
    </row>
    <row r="445" spans="1:3" x14ac:dyDescent="0.3">
      <c r="A445" t="s">
        <v>1155</v>
      </c>
      <c r="B445" t="s">
        <v>435</v>
      </c>
      <c r="C445" t="s">
        <v>1156</v>
      </c>
    </row>
    <row r="446" spans="1:3" x14ac:dyDescent="0.3">
      <c r="A446" t="s">
        <v>1157</v>
      </c>
      <c r="B446" t="s">
        <v>1158</v>
      </c>
      <c r="C446" t="s">
        <v>304</v>
      </c>
    </row>
    <row r="447" spans="1:3" x14ac:dyDescent="0.3">
      <c r="A447" t="s">
        <v>1159</v>
      </c>
      <c r="B447" t="s">
        <v>1160</v>
      </c>
      <c r="C447" t="s">
        <v>1161</v>
      </c>
    </row>
    <row r="448" spans="1:3" x14ac:dyDescent="0.3">
      <c r="A448" t="s">
        <v>1162</v>
      </c>
      <c r="B448" t="s">
        <v>326</v>
      </c>
      <c r="C448" t="s">
        <v>1163</v>
      </c>
    </row>
    <row r="449" spans="1:3" x14ac:dyDescent="0.3">
      <c r="A449" t="s">
        <v>1164</v>
      </c>
      <c r="B449" t="s">
        <v>1165</v>
      </c>
      <c r="C449" t="s">
        <v>534</v>
      </c>
    </row>
    <row r="450" spans="1:3" x14ac:dyDescent="0.3">
      <c r="A450" t="s">
        <v>1166</v>
      </c>
      <c r="B450" t="s">
        <v>1167</v>
      </c>
      <c r="C450" t="s">
        <v>1168</v>
      </c>
    </row>
    <row r="451" spans="1:3" x14ac:dyDescent="0.3">
      <c r="A451" t="s">
        <v>1169</v>
      </c>
      <c r="B451" t="s">
        <v>1170</v>
      </c>
      <c r="C451" t="s">
        <v>1171</v>
      </c>
    </row>
    <row r="452" spans="1:3" x14ac:dyDescent="0.3">
      <c r="A452" t="s">
        <v>1172</v>
      </c>
      <c r="B452" t="s">
        <v>578</v>
      </c>
      <c r="C452" t="s">
        <v>532</v>
      </c>
    </row>
    <row r="453" spans="1:3" x14ac:dyDescent="0.3">
      <c r="A453" t="s">
        <v>1173</v>
      </c>
      <c r="B453" t="s">
        <v>1174</v>
      </c>
      <c r="C453" t="s">
        <v>1175</v>
      </c>
    </row>
    <row r="454" spans="1:3" x14ac:dyDescent="0.3">
      <c r="A454" t="s">
        <v>1176</v>
      </c>
      <c r="B454" t="s">
        <v>1177</v>
      </c>
      <c r="C454" t="s">
        <v>1178</v>
      </c>
    </row>
    <row r="455" spans="1:3" x14ac:dyDescent="0.3">
      <c r="A455" t="s">
        <v>1179</v>
      </c>
      <c r="B455" t="s">
        <v>679</v>
      </c>
      <c r="C455" t="s">
        <v>1180</v>
      </c>
    </row>
    <row r="456" spans="1:3" x14ac:dyDescent="0.3">
      <c r="A456" t="s">
        <v>1181</v>
      </c>
      <c r="B456" t="s">
        <v>1182</v>
      </c>
      <c r="C456" t="s">
        <v>513</v>
      </c>
    </row>
    <row r="457" spans="1:3" x14ac:dyDescent="0.3">
      <c r="A457" t="s">
        <v>1183</v>
      </c>
      <c r="B457" t="s">
        <v>262</v>
      </c>
      <c r="C457" t="s">
        <v>1184</v>
      </c>
    </row>
    <row r="458" spans="1:3" x14ac:dyDescent="0.3">
      <c r="A458" t="s">
        <v>1185</v>
      </c>
      <c r="B458" t="s">
        <v>1186</v>
      </c>
      <c r="C458" t="s">
        <v>333</v>
      </c>
    </row>
    <row r="459" spans="1:3" x14ac:dyDescent="0.3">
      <c r="A459" t="s">
        <v>1187</v>
      </c>
      <c r="B459" t="s">
        <v>1188</v>
      </c>
      <c r="C459" t="s">
        <v>1189</v>
      </c>
    </row>
    <row r="460" spans="1:3" x14ac:dyDescent="0.3">
      <c r="A460" t="s">
        <v>1190</v>
      </c>
      <c r="B460" t="s">
        <v>1191</v>
      </c>
      <c r="C460" t="s">
        <v>671</v>
      </c>
    </row>
    <row r="461" spans="1:3" x14ac:dyDescent="0.3">
      <c r="A461" t="s">
        <v>1192</v>
      </c>
      <c r="B461" t="s">
        <v>598</v>
      </c>
      <c r="C461" t="s">
        <v>1193</v>
      </c>
    </row>
    <row r="462" spans="1:3" x14ac:dyDescent="0.3">
      <c r="A462" t="s">
        <v>1194</v>
      </c>
      <c r="B462" t="s">
        <v>1195</v>
      </c>
      <c r="C462" t="s">
        <v>153</v>
      </c>
    </row>
    <row r="463" spans="1:3" x14ac:dyDescent="0.3">
      <c r="A463" t="s">
        <v>1196</v>
      </c>
      <c r="B463" t="s">
        <v>1197</v>
      </c>
      <c r="C463" t="s">
        <v>1198</v>
      </c>
    </row>
    <row r="464" spans="1:3" x14ac:dyDescent="0.3">
      <c r="A464" t="s">
        <v>1199</v>
      </c>
      <c r="B464" t="s">
        <v>1200</v>
      </c>
      <c r="C464" t="s">
        <v>1201</v>
      </c>
    </row>
    <row r="465" spans="1:3" x14ac:dyDescent="0.3">
      <c r="A465" t="s">
        <v>1202</v>
      </c>
      <c r="B465" t="s">
        <v>1203</v>
      </c>
      <c r="C465" t="s">
        <v>1204</v>
      </c>
    </row>
    <row r="466" spans="1:3" x14ac:dyDescent="0.3">
      <c r="A466" t="s">
        <v>1205</v>
      </c>
      <c r="B466" t="s">
        <v>1206</v>
      </c>
      <c r="C466" t="s">
        <v>1207</v>
      </c>
    </row>
    <row r="467" spans="1:3" x14ac:dyDescent="0.3">
      <c r="A467" t="s">
        <v>1208</v>
      </c>
      <c r="B467" t="s">
        <v>1209</v>
      </c>
      <c r="C467" t="s">
        <v>1210</v>
      </c>
    </row>
    <row r="468" spans="1:3" x14ac:dyDescent="0.3">
      <c r="A468" t="s">
        <v>1211</v>
      </c>
      <c r="B468" t="s">
        <v>927</v>
      </c>
      <c r="C468" t="s">
        <v>1212</v>
      </c>
    </row>
    <row r="469" spans="1:3" x14ac:dyDescent="0.3">
      <c r="A469" t="s">
        <v>1213</v>
      </c>
      <c r="B469" t="s">
        <v>1214</v>
      </c>
      <c r="C469" t="s">
        <v>738</v>
      </c>
    </row>
    <row r="470" spans="1:3" x14ac:dyDescent="0.3">
      <c r="A470" t="s">
        <v>1215</v>
      </c>
      <c r="B470" t="s">
        <v>1216</v>
      </c>
      <c r="C470" t="s">
        <v>1217</v>
      </c>
    </row>
    <row r="471" spans="1:3" x14ac:dyDescent="0.3">
      <c r="A471" t="s">
        <v>1218</v>
      </c>
      <c r="B471" t="s">
        <v>1219</v>
      </c>
      <c r="C471" t="s">
        <v>62</v>
      </c>
    </row>
    <row r="472" spans="1:3" x14ac:dyDescent="0.3">
      <c r="A472" t="s">
        <v>1220</v>
      </c>
      <c r="B472" t="s">
        <v>1221</v>
      </c>
      <c r="C472" t="s">
        <v>95</v>
      </c>
    </row>
    <row r="473" spans="1:3" x14ac:dyDescent="0.3">
      <c r="A473" t="s">
        <v>1222</v>
      </c>
      <c r="B473" t="s">
        <v>1223</v>
      </c>
      <c r="C473" t="s">
        <v>534</v>
      </c>
    </row>
    <row r="474" spans="1:3" x14ac:dyDescent="0.3">
      <c r="A474" t="s">
        <v>1224</v>
      </c>
      <c r="B474" t="s">
        <v>194</v>
      </c>
      <c r="C474" t="s">
        <v>236</v>
      </c>
    </row>
    <row r="475" spans="1:3" x14ac:dyDescent="0.3">
      <c r="A475" t="s">
        <v>1225</v>
      </c>
      <c r="B475" t="s">
        <v>1226</v>
      </c>
      <c r="C475" t="s">
        <v>1227</v>
      </c>
    </row>
    <row r="476" spans="1:3" x14ac:dyDescent="0.3">
      <c r="A476" t="s">
        <v>1228</v>
      </c>
      <c r="B476" t="s">
        <v>1229</v>
      </c>
      <c r="C476" t="s">
        <v>1230</v>
      </c>
    </row>
    <row r="477" spans="1:3" x14ac:dyDescent="0.3">
      <c r="A477" t="s">
        <v>1231</v>
      </c>
      <c r="B477" t="s">
        <v>1232</v>
      </c>
      <c r="C477" t="s">
        <v>1233</v>
      </c>
    </row>
    <row r="478" spans="1:3" x14ac:dyDescent="0.3">
      <c r="A478" t="s">
        <v>1234</v>
      </c>
      <c r="B478" t="s">
        <v>1235</v>
      </c>
      <c r="C478" t="s">
        <v>1236</v>
      </c>
    </row>
    <row r="479" spans="1:3" x14ac:dyDescent="0.3">
      <c r="A479" t="s">
        <v>1237</v>
      </c>
      <c r="B479" t="s">
        <v>1238</v>
      </c>
      <c r="C479" t="s">
        <v>1239</v>
      </c>
    </row>
    <row r="480" spans="1:3" x14ac:dyDescent="0.3">
      <c r="A480" t="s">
        <v>1240</v>
      </c>
      <c r="B480" t="s">
        <v>1003</v>
      </c>
      <c r="C480" t="s">
        <v>1241</v>
      </c>
    </row>
    <row r="481" spans="1:3" x14ac:dyDescent="0.3">
      <c r="A481" t="s">
        <v>1242</v>
      </c>
      <c r="B481" t="s">
        <v>978</v>
      </c>
      <c r="C481" t="s">
        <v>1243</v>
      </c>
    </row>
    <row r="482" spans="1:3" x14ac:dyDescent="0.3">
      <c r="A482" t="s">
        <v>1244</v>
      </c>
      <c r="B482" t="s">
        <v>1245</v>
      </c>
      <c r="C482" t="s">
        <v>839</v>
      </c>
    </row>
    <row r="483" spans="1:3" x14ac:dyDescent="0.3">
      <c r="A483" t="s">
        <v>1246</v>
      </c>
      <c r="B483" t="s">
        <v>132</v>
      </c>
      <c r="C483" t="s">
        <v>458</v>
      </c>
    </row>
    <row r="484" spans="1:3" x14ac:dyDescent="0.3">
      <c r="A484" t="s">
        <v>1247</v>
      </c>
      <c r="B484" t="s">
        <v>1248</v>
      </c>
      <c r="C484" t="s">
        <v>894</v>
      </c>
    </row>
    <row r="485" spans="1:3" x14ac:dyDescent="0.3">
      <c r="A485" t="s">
        <v>1249</v>
      </c>
      <c r="B485" t="s">
        <v>1250</v>
      </c>
      <c r="C485" t="s">
        <v>1251</v>
      </c>
    </row>
    <row r="486" spans="1:3" x14ac:dyDescent="0.3">
      <c r="A486" t="s">
        <v>1252</v>
      </c>
      <c r="B486" t="s">
        <v>1098</v>
      </c>
      <c r="C486" t="s">
        <v>1156</v>
      </c>
    </row>
    <row r="487" spans="1:3" x14ac:dyDescent="0.3">
      <c r="A487" t="s">
        <v>1253</v>
      </c>
      <c r="B487" t="s">
        <v>1254</v>
      </c>
      <c r="C487" t="s">
        <v>1255</v>
      </c>
    </row>
    <row r="488" spans="1:3" x14ac:dyDescent="0.3">
      <c r="A488" t="s">
        <v>1256</v>
      </c>
      <c r="B488" t="s">
        <v>1257</v>
      </c>
      <c r="C488" t="s">
        <v>745</v>
      </c>
    </row>
    <row r="489" spans="1:3" x14ac:dyDescent="0.3">
      <c r="A489" t="s">
        <v>1258</v>
      </c>
      <c r="B489" t="s">
        <v>493</v>
      </c>
      <c r="C489" t="s">
        <v>269</v>
      </c>
    </row>
    <row r="490" spans="1:3" x14ac:dyDescent="0.3">
      <c r="A490" t="s">
        <v>1259</v>
      </c>
      <c r="B490" t="s">
        <v>1260</v>
      </c>
      <c r="C490" t="s">
        <v>1261</v>
      </c>
    </row>
    <row r="491" spans="1:3" x14ac:dyDescent="0.3">
      <c r="A491" t="s">
        <v>1262</v>
      </c>
      <c r="B491" t="s">
        <v>1263</v>
      </c>
      <c r="C491" t="s">
        <v>1264</v>
      </c>
    </row>
    <row r="492" spans="1:3" x14ac:dyDescent="0.3">
      <c r="A492" t="s">
        <v>1265</v>
      </c>
      <c r="B492" t="s">
        <v>1266</v>
      </c>
      <c r="C492" t="s">
        <v>1267</v>
      </c>
    </row>
    <row r="493" spans="1:3" x14ac:dyDescent="0.3">
      <c r="A493" t="s">
        <v>1268</v>
      </c>
      <c r="B493" t="s">
        <v>1269</v>
      </c>
      <c r="C493" t="s">
        <v>1270</v>
      </c>
    </row>
    <row r="494" spans="1:3" x14ac:dyDescent="0.3">
      <c r="A494" t="s">
        <v>1271</v>
      </c>
      <c r="B494" t="s">
        <v>1272</v>
      </c>
      <c r="C494" t="s">
        <v>1273</v>
      </c>
    </row>
    <row r="495" spans="1:3" x14ac:dyDescent="0.3">
      <c r="A495" t="s">
        <v>1274</v>
      </c>
      <c r="B495" t="s">
        <v>1275</v>
      </c>
      <c r="C495" t="s">
        <v>444</v>
      </c>
    </row>
    <row r="496" spans="1:3" x14ac:dyDescent="0.3">
      <c r="A496" t="s">
        <v>1276</v>
      </c>
      <c r="B496" t="s">
        <v>1277</v>
      </c>
      <c r="C496" t="s">
        <v>1278</v>
      </c>
    </row>
    <row r="497" spans="1:3" x14ac:dyDescent="0.3">
      <c r="A497" t="s">
        <v>1279</v>
      </c>
      <c r="B497" t="s">
        <v>1280</v>
      </c>
      <c r="C497" t="s">
        <v>1281</v>
      </c>
    </row>
    <row r="498" spans="1:3" x14ac:dyDescent="0.3">
      <c r="A498" t="s">
        <v>1282</v>
      </c>
      <c r="B498" t="s">
        <v>1283</v>
      </c>
      <c r="C498" t="s">
        <v>1284</v>
      </c>
    </row>
    <row r="499" spans="1:3" x14ac:dyDescent="0.3">
      <c r="A499" t="s">
        <v>1285</v>
      </c>
      <c r="B499" t="s">
        <v>1286</v>
      </c>
      <c r="C499" t="s">
        <v>1287</v>
      </c>
    </row>
    <row r="500" spans="1:3" x14ac:dyDescent="0.3">
      <c r="A500" t="s">
        <v>1288</v>
      </c>
      <c r="B500" t="s">
        <v>1289</v>
      </c>
      <c r="C500" t="s">
        <v>1163</v>
      </c>
    </row>
    <row r="501" spans="1:3" x14ac:dyDescent="0.3">
      <c r="A501" t="s">
        <v>1290</v>
      </c>
      <c r="B501" t="s">
        <v>1008</v>
      </c>
      <c r="C501" t="s">
        <v>224</v>
      </c>
    </row>
    <row r="502" spans="1:3" x14ac:dyDescent="0.3">
      <c r="A502" t="s">
        <v>1291</v>
      </c>
      <c r="B502" t="s">
        <v>1292</v>
      </c>
      <c r="C502" t="s">
        <v>1293</v>
      </c>
    </row>
    <row r="503" spans="1:3" x14ac:dyDescent="0.3">
      <c r="A503" t="s">
        <v>1294</v>
      </c>
      <c r="B503" t="s">
        <v>1295</v>
      </c>
      <c r="C503" t="s">
        <v>1296</v>
      </c>
    </row>
    <row r="504" spans="1:3" x14ac:dyDescent="0.3">
      <c r="A504" t="s">
        <v>1297</v>
      </c>
      <c r="B504" t="s">
        <v>1298</v>
      </c>
      <c r="C504" t="s">
        <v>1299</v>
      </c>
    </row>
    <row r="505" spans="1:3" x14ac:dyDescent="0.3">
      <c r="A505" t="s">
        <v>1300</v>
      </c>
      <c r="B505" t="s">
        <v>1301</v>
      </c>
      <c r="C505" t="s">
        <v>1302</v>
      </c>
    </row>
    <row r="506" spans="1:3" x14ac:dyDescent="0.3">
      <c r="A506" t="s">
        <v>1303</v>
      </c>
      <c r="B506" t="s">
        <v>1304</v>
      </c>
      <c r="C506" t="s">
        <v>1305</v>
      </c>
    </row>
    <row r="507" spans="1:3" x14ac:dyDescent="0.3">
      <c r="A507" t="s">
        <v>1306</v>
      </c>
      <c r="B507" t="s">
        <v>26</v>
      </c>
      <c r="C507" t="s">
        <v>979</v>
      </c>
    </row>
    <row r="508" spans="1:3" x14ac:dyDescent="0.3">
      <c r="A508" t="s">
        <v>1307</v>
      </c>
      <c r="B508" t="s">
        <v>667</v>
      </c>
      <c r="C508" t="s">
        <v>8</v>
      </c>
    </row>
    <row r="509" spans="1:3" x14ac:dyDescent="0.3">
      <c r="A509" t="s">
        <v>1308</v>
      </c>
      <c r="B509" t="s">
        <v>1309</v>
      </c>
      <c r="C509" t="s">
        <v>1109</v>
      </c>
    </row>
    <row r="510" spans="1:3" x14ac:dyDescent="0.3">
      <c r="A510" t="s">
        <v>1310</v>
      </c>
      <c r="B510" t="s">
        <v>1311</v>
      </c>
      <c r="C510" t="s">
        <v>1312</v>
      </c>
    </row>
    <row r="511" spans="1:3" x14ac:dyDescent="0.3">
      <c r="A511" t="s">
        <v>1313</v>
      </c>
      <c r="B511" t="s">
        <v>1314</v>
      </c>
      <c r="C511" t="s">
        <v>1315</v>
      </c>
    </row>
    <row r="512" spans="1:3" x14ac:dyDescent="0.3">
      <c r="A512" t="s">
        <v>1316</v>
      </c>
      <c r="B512" t="s">
        <v>1317</v>
      </c>
      <c r="C512" t="s">
        <v>1318</v>
      </c>
    </row>
    <row r="513" spans="1:3" x14ac:dyDescent="0.3">
      <c r="A513" t="s">
        <v>1319</v>
      </c>
      <c r="B513" t="s">
        <v>1320</v>
      </c>
      <c r="C513" t="s">
        <v>1321</v>
      </c>
    </row>
    <row r="514" spans="1:3" x14ac:dyDescent="0.3">
      <c r="A514" t="s">
        <v>1322</v>
      </c>
      <c r="B514" t="s">
        <v>1323</v>
      </c>
      <c r="C514" t="s">
        <v>1324</v>
      </c>
    </row>
    <row r="515" spans="1:3" x14ac:dyDescent="0.3">
      <c r="A515" t="s">
        <v>1325</v>
      </c>
      <c r="B515" t="s">
        <v>1326</v>
      </c>
      <c r="C515" t="s">
        <v>1327</v>
      </c>
    </row>
    <row r="516" spans="1:3" x14ac:dyDescent="0.3">
      <c r="A516" t="s">
        <v>1328</v>
      </c>
      <c r="B516" t="s">
        <v>199</v>
      </c>
      <c r="C516" t="s">
        <v>534</v>
      </c>
    </row>
    <row r="517" spans="1:3" x14ac:dyDescent="0.3">
      <c r="A517" t="s">
        <v>1329</v>
      </c>
      <c r="B517" t="s">
        <v>1203</v>
      </c>
      <c r="C517" t="s">
        <v>1330</v>
      </c>
    </row>
    <row r="518" spans="1:3" x14ac:dyDescent="0.3">
      <c r="A518" t="s">
        <v>1331</v>
      </c>
      <c r="B518" t="s">
        <v>1332</v>
      </c>
      <c r="C518" t="s">
        <v>419</v>
      </c>
    </row>
    <row r="519" spans="1:3" x14ac:dyDescent="0.3">
      <c r="A519" t="s">
        <v>1333</v>
      </c>
      <c r="B519" t="s">
        <v>1334</v>
      </c>
      <c r="C519" t="s">
        <v>1335</v>
      </c>
    </row>
    <row r="520" spans="1:3" x14ac:dyDescent="0.3">
      <c r="A520" t="s">
        <v>1336</v>
      </c>
      <c r="B520" t="s">
        <v>1337</v>
      </c>
      <c r="C520" t="s">
        <v>1338</v>
      </c>
    </row>
    <row r="521" spans="1:3" x14ac:dyDescent="0.3">
      <c r="A521" t="s">
        <v>1339</v>
      </c>
      <c r="B521" t="s">
        <v>1340</v>
      </c>
      <c r="C521" t="s">
        <v>1341</v>
      </c>
    </row>
    <row r="522" spans="1:3" x14ac:dyDescent="0.3">
      <c r="A522" t="s">
        <v>1342</v>
      </c>
      <c r="B522" t="s">
        <v>1343</v>
      </c>
      <c r="C522" t="s">
        <v>1344</v>
      </c>
    </row>
    <row r="523" spans="1:3" x14ac:dyDescent="0.3">
      <c r="A523" t="s">
        <v>1345</v>
      </c>
      <c r="B523" t="s">
        <v>1188</v>
      </c>
      <c r="C523" t="s">
        <v>1346</v>
      </c>
    </row>
    <row r="524" spans="1:3" x14ac:dyDescent="0.3">
      <c r="A524" t="s">
        <v>1347</v>
      </c>
      <c r="B524" t="s">
        <v>1348</v>
      </c>
      <c r="C524" t="s">
        <v>1349</v>
      </c>
    </row>
    <row r="525" spans="1:3" x14ac:dyDescent="0.3">
      <c r="A525" t="s">
        <v>1350</v>
      </c>
      <c r="B525" t="s">
        <v>1351</v>
      </c>
      <c r="C525" t="s">
        <v>1352</v>
      </c>
    </row>
    <row r="526" spans="1:3" x14ac:dyDescent="0.3">
      <c r="A526" t="s">
        <v>1353</v>
      </c>
      <c r="B526" t="s">
        <v>1354</v>
      </c>
      <c r="C526" t="s">
        <v>1355</v>
      </c>
    </row>
    <row r="527" spans="1:3" x14ac:dyDescent="0.3">
      <c r="A527" t="s">
        <v>1356</v>
      </c>
      <c r="B527" t="s">
        <v>1357</v>
      </c>
      <c r="C527" t="s">
        <v>1358</v>
      </c>
    </row>
    <row r="528" spans="1:3" x14ac:dyDescent="0.3">
      <c r="A528" t="s">
        <v>1359</v>
      </c>
      <c r="B528" t="s">
        <v>1360</v>
      </c>
      <c r="C528" t="s">
        <v>1361</v>
      </c>
    </row>
    <row r="529" spans="1:3" x14ac:dyDescent="0.3">
      <c r="A529" t="s">
        <v>1362</v>
      </c>
      <c r="B529" t="s">
        <v>208</v>
      </c>
      <c r="C529" t="s">
        <v>382</v>
      </c>
    </row>
    <row r="530" spans="1:3" x14ac:dyDescent="0.3">
      <c r="A530" t="s">
        <v>1363</v>
      </c>
      <c r="B530" t="s">
        <v>899</v>
      </c>
      <c r="C530" t="s">
        <v>704</v>
      </c>
    </row>
    <row r="531" spans="1:3" x14ac:dyDescent="0.3">
      <c r="A531" t="s">
        <v>1364</v>
      </c>
      <c r="B531" t="s">
        <v>1365</v>
      </c>
      <c r="C531" t="s">
        <v>1366</v>
      </c>
    </row>
    <row r="532" spans="1:3" x14ac:dyDescent="0.3">
      <c r="A532" t="s">
        <v>1367</v>
      </c>
      <c r="B532" t="s">
        <v>1040</v>
      </c>
      <c r="C532" t="s">
        <v>1368</v>
      </c>
    </row>
    <row r="533" spans="1:3" x14ac:dyDescent="0.3">
      <c r="A533" t="s">
        <v>1369</v>
      </c>
      <c r="B533" t="s">
        <v>716</v>
      </c>
      <c r="C533" t="s">
        <v>5</v>
      </c>
    </row>
    <row r="534" spans="1:3" x14ac:dyDescent="0.3">
      <c r="A534" t="s">
        <v>1370</v>
      </c>
      <c r="B534" t="s">
        <v>391</v>
      </c>
      <c r="C534" t="s">
        <v>1371</v>
      </c>
    </row>
    <row r="535" spans="1:3" x14ac:dyDescent="0.3">
      <c r="A535" t="s">
        <v>1372</v>
      </c>
      <c r="B535" t="s">
        <v>1373</v>
      </c>
      <c r="C535" t="s">
        <v>1374</v>
      </c>
    </row>
    <row r="536" spans="1:3" x14ac:dyDescent="0.3">
      <c r="A536" t="s">
        <v>1375</v>
      </c>
      <c r="B536" t="s">
        <v>1376</v>
      </c>
      <c r="C536" t="s">
        <v>1377</v>
      </c>
    </row>
    <row r="537" spans="1:3" x14ac:dyDescent="0.3">
      <c r="A537" t="s">
        <v>1378</v>
      </c>
      <c r="B537" t="s">
        <v>1379</v>
      </c>
      <c r="C537" t="s">
        <v>1349</v>
      </c>
    </row>
    <row r="538" spans="1:3" x14ac:dyDescent="0.3">
      <c r="A538" t="s">
        <v>1380</v>
      </c>
      <c r="B538" t="s">
        <v>1195</v>
      </c>
      <c r="C538" t="s">
        <v>301</v>
      </c>
    </row>
    <row r="539" spans="1:3" x14ac:dyDescent="0.3">
      <c r="A539" t="s">
        <v>1381</v>
      </c>
      <c r="B539" t="s">
        <v>1382</v>
      </c>
      <c r="C539" t="s">
        <v>1383</v>
      </c>
    </row>
    <row r="540" spans="1:3" x14ac:dyDescent="0.3">
      <c r="A540" t="s">
        <v>1384</v>
      </c>
      <c r="B540" t="s">
        <v>1385</v>
      </c>
      <c r="C540" t="s">
        <v>1275</v>
      </c>
    </row>
    <row r="541" spans="1:3" x14ac:dyDescent="0.3">
      <c r="A541" t="s">
        <v>1386</v>
      </c>
      <c r="B541" t="s">
        <v>19</v>
      </c>
      <c r="C541" t="s">
        <v>1033</v>
      </c>
    </row>
    <row r="542" spans="1:3" x14ac:dyDescent="0.3">
      <c r="A542" t="s">
        <v>1387</v>
      </c>
      <c r="B542" t="s">
        <v>1388</v>
      </c>
      <c r="C542" t="s">
        <v>1389</v>
      </c>
    </row>
    <row r="543" spans="1:3" x14ac:dyDescent="0.3">
      <c r="A543" t="s">
        <v>1390</v>
      </c>
      <c r="B543" t="s">
        <v>1391</v>
      </c>
      <c r="C543" t="s">
        <v>1163</v>
      </c>
    </row>
    <row r="544" spans="1:3" x14ac:dyDescent="0.3">
      <c r="A544" t="s">
        <v>1392</v>
      </c>
      <c r="B544" t="s">
        <v>1393</v>
      </c>
      <c r="C544" t="s">
        <v>1394</v>
      </c>
    </row>
    <row r="545" spans="1:3" x14ac:dyDescent="0.3">
      <c r="A545" t="s">
        <v>1395</v>
      </c>
      <c r="B545" t="s">
        <v>1396</v>
      </c>
      <c r="C545" t="s">
        <v>1397</v>
      </c>
    </row>
    <row r="546" spans="1:3" x14ac:dyDescent="0.3">
      <c r="A546" t="s">
        <v>1398</v>
      </c>
      <c r="B546" t="s">
        <v>1133</v>
      </c>
      <c r="C546" t="s">
        <v>550</v>
      </c>
    </row>
    <row r="547" spans="1:3" x14ac:dyDescent="0.3">
      <c r="A547" t="s">
        <v>1399</v>
      </c>
      <c r="B547" t="s">
        <v>768</v>
      </c>
      <c r="C547" t="s">
        <v>1193</v>
      </c>
    </row>
    <row r="548" spans="1:3" x14ac:dyDescent="0.3">
      <c r="A548" t="s">
        <v>1400</v>
      </c>
      <c r="B548" t="s">
        <v>7</v>
      </c>
      <c r="C548" t="s">
        <v>1401</v>
      </c>
    </row>
    <row r="549" spans="1:3" x14ac:dyDescent="0.3">
      <c r="A549" t="s">
        <v>1402</v>
      </c>
      <c r="B549" t="s">
        <v>1403</v>
      </c>
      <c r="C549" t="s">
        <v>1404</v>
      </c>
    </row>
    <row r="550" spans="1:3" x14ac:dyDescent="0.3">
      <c r="A550" t="s">
        <v>1405</v>
      </c>
      <c r="B550" t="s">
        <v>1406</v>
      </c>
      <c r="C550" t="s">
        <v>1053</v>
      </c>
    </row>
    <row r="551" spans="1:3" x14ac:dyDescent="0.3">
      <c r="A551" t="s">
        <v>1407</v>
      </c>
      <c r="B551" t="s">
        <v>1408</v>
      </c>
      <c r="C551" t="s">
        <v>1071</v>
      </c>
    </row>
    <row r="552" spans="1:3" x14ac:dyDescent="0.3">
      <c r="A552" t="s">
        <v>1409</v>
      </c>
      <c r="B552" t="s">
        <v>1410</v>
      </c>
      <c r="C552" t="s">
        <v>1411</v>
      </c>
    </row>
    <row r="553" spans="1:3" x14ac:dyDescent="0.3">
      <c r="A553" t="s">
        <v>1412</v>
      </c>
      <c r="B553" t="s">
        <v>467</v>
      </c>
      <c r="C553" t="s">
        <v>1413</v>
      </c>
    </row>
    <row r="554" spans="1:3" x14ac:dyDescent="0.3">
      <c r="A554" t="s">
        <v>1414</v>
      </c>
      <c r="B554" t="s">
        <v>1415</v>
      </c>
      <c r="C554" t="s">
        <v>584</v>
      </c>
    </row>
    <row r="555" spans="1:3" x14ac:dyDescent="0.3">
      <c r="A555" t="s">
        <v>1416</v>
      </c>
      <c r="B555" t="s">
        <v>1044</v>
      </c>
      <c r="C555" t="s">
        <v>1417</v>
      </c>
    </row>
    <row r="556" spans="1:3" x14ac:dyDescent="0.3">
      <c r="A556" t="s">
        <v>1418</v>
      </c>
      <c r="B556" t="s">
        <v>1419</v>
      </c>
      <c r="C556" t="s">
        <v>1420</v>
      </c>
    </row>
    <row r="557" spans="1:3" x14ac:dyDescent="0.3">
      <c r="A557" t="s">
        <v>1421</v>
      </c>
      <c r="B557" t="s">
        <v>1422</v>
      </c>
      <c r="C557" t="s">
        <v>1423</v>
      </c>
    </row>
    <row r="558" spans="1:3" x14ac:dyDescent="0.3">
      <c r="A558" t="s">
        <v>1424</v>
      </c>
      <c r="B558" t="s">
        <v>1425</v>
      </c>
      <c r="C558" t="s">
        <v>1426</v>
      </c>
    </row>
    <row r="559" spans="1:3" x14ac:dyDescent="0.3">
      <c r="A559" t="s">
        <v>1427</v>
      </c>
      <c r="B559" t="s">
        <v>1428</v>
      </c>
      <c r="C559" t="s">
        <v>934</v>
      </c>
    </row>
    <row r="560" spans="1:3" x14ac:dyDescent="0.3">
      <c r="A560" t="s">
        <v>1429</v>
      </c>
      <c r="B560" t="s">
        <v>1430</v>
      </c>
      <c r="C560" t="s">
        <v>1241</v>
      </c>
    </row>
    <row r="561" spans="1:3" x14ac:dyDescent="0.3">
      <c r="A561" t="s">
        <v>1431</v>
      </c>
      <c r="B561" t="s">
        <v>338</v>
      </c>
      <c r="C561" t="s">
        <v>1432</v>
      </c>
    </row>
    <row r="562" spans="1:3" x14ac:dyDescent="0.3">
      <c r="A562" t="s">
        <v>1433</v>
      </c>
      <c r="B562" t="s">
        <v>1193</v>
      </c>
      <c r="C562" t="s">
        <v>513</v>
      </c>
    </row>
    <row r="563" spans="1:3" x14ac:dyDescent="0.3">
      <c r="A563" t="s">
        <v>1434</v>
      </c>
      <c r="B563" t="s">
        <v>1435</v>
      </c>
      <c r="C563" t="s">
        <v>1436</v>
      </c>
    </row>
    <row r="564" spans="1:3" x14ac:dyDescent="0.3">
      <c r="A564" t="s">
        <v>1437</v>
      </c>
      <c r="B564" t="s">
        <v>1438</v>
      </c>
      <c r="C564" t="s">
        <v>376</v>
      </c>
    </row>
    <row r="565" spans="1:3" x14ac:dyDescent="0.3">
      <c r="A565" t="s">
        <v>1439</v>
      </c>
      <c r="B565" t="s">
        <v>1440</v>
      </c>
      <c r="C565" t="s">
        <v>1441</v>
      </c>
    </row>
    <row r="566" spans="1:3" x14ac:dyDescent="0.3">
      <c r="A566" t="s">
        <v>1442</v>
      </c>
      <c r="B566" t="s">
        <v>1443</v>
      </c>
      <c r="C566" t="s">
        <v>1444</v>
      </c>
    </row>
    <row r="567" spans="1:3" x14ac:dyDescent="0.3">
      <c r="A567" t="s">
        <v>1445</v>
      </c>
      <c r="B567" t="s">
        <v>1446</v>
      </c>
      <c r="C567" t="s">
        <v>1447</v>
      </c>
    </row>
    <row r="568" spans="1:3" x14ac:dyDescent="0.3">
      <c r="A568" t="s">
        <v>1448</v>
      </c>
      <c r="B568" t="s">
        <v>1449</v>
      </c>
      <c r="C568" t="s">
        <v>1450</v>
      </c>
    </row>
    <row r="569" spans="1:3" x14ac:dyDescent="0.3">
      <c r="A569" t="s">
        <v>1451</v>
      </c>
      <c r="B569" t="s">
        <v>397</v>
      </c>
      <c r="C569" t="s">
        <v>1452</v>
      </c>
    </row>
    <row r="570" spans="1:3" x14ac:dyDescent="0.3">
      <c r="A570" t="s">
        <v>1453</v>
      </c>
      <c r="B570" t="s">
        <v>1454</v>
      </c>
      <c r="C570" t="s">
        <v>1281</v>
      </c>
    </row>
    <row r="571" spans="1:3" x14ac:dyDescent="0.3">
      <c r="A571" t="s">
        <v>1455</v>
      </c>
      <c r="B571" t="s">
        <v>546</v>
      </c>
      <c r="C571" t="s">
        <v>71</v>
      </c>
    </row>
    <row r="572" spans="1:3" x14ac:dyDescent="0.3">
      <c r="A572" t="s">
        <v>1456</v>
      </c>
      <c r="B572" t="s">
        <v>1457</v>
      </c>
      <c r="C572" t="s">
        <v>579</v>
      </c>
    </row>
    <row r="573" spans="1:3" x14ac:dyDescent="0.3">
      <c r="A573" t="s">
        <v>1458</v>
      </c>
      <c r="B573" t="s">
        <v>317</v>
      </c>
      <c r="C573" t="s">
        <v>26</v>
      </c>
    </row>
    <row r="574" spans="1:3" x14ac:dyDescent="0.3">
      <c r="A574" t="s">
        <v>1459</v>
      </c>
      <c r="B574" t="s">
        <v>1460</v>
      </c>
      <c r="C574" t="s">
        <v>668</v>
      </c>
    </row>
    <row r="575" spans="1:3" x14ac:dyDescent="0.3">
      <c r="A575" t="s">
        <v>1461</v>
      </c>
      <c r="B575" t="s">
        <v>990</v>
      </c>
      <c r="C575" t="s">
        <v>119</v>
      </c>
    </row>
    <row r="576" spans="1:3" x14ac:dyDescent="0.3">
      <c r="A576" t="s">
        <v>1462</v>
      </c>
      <c r="B576" t="s">
        <v>1296</v>
      </c>
      <c r="C576" t="s">
        <v>1463</v>
      </c>
    </row>
    <row r="577" spans="1:3" x14ac:dyDescent="0.3">
      <c r="A577" t="s">
        <v>1464</v>
      </c>
      <c r="B577" t="s">
        <v>1465</v>
      </c>
      <c r="C577" t="s">
        <v>1466</v>
      </c>
    </row>
    <row r="578" spans="1:3" x14ac:dyDescent="0.3">
      <c r="A578" t="s">
        <v>1467</v>
      </c>
      <c r="B578" t="s">
        <v>1468</v>
      </c>
      <c r="C578" t="s">
        <v>1469</v>
      </c>
    </row>
    <row r="579" spans="1:3" x14ac:dyDescent="0.3">
      <c r="A579" t="s">
        <v>1470</v>
      </c>
      <c r="B579" t="s">
        <v>1471</v>
      </c>
      <c r="C579" t="s">
        <v>1180</v>
      </c>
    </row>
    <row r="580" spans="1:3" x14ac:dyDescent="0.3">
      <c r="A580" t="s">
        <v>1472</v>
      </c>
      <c r="B580" t="s">
        <v>271</v>
      </c>
      <c r="C580" t="s">
        <v>312</v>
      </c>
    </row>
    <row r="581" spans="1:3" x14ac:dyDescent="0.3">
      <c r="A581" t="s">
        <v>1473</v>
      </c>
      <c r="B581" t="s">
        <v>1111</v>
      </c>
      <c r="C581" t="s">
        <v>494</v>
      </c>
    </row>
    <row r="582" spans="1:3" x14ac:dyDescent="0.3">
      <c r="A582" t="s">
        <v>1474</v>
      </c>
      <c r="B582" t="s">
        <v>1475</v>
      </c>
      <c r="C582" t="s">
        <v>1476</v>
      </c>
    </row>
    <row r="583" spans="1:3" x14ac:dyDescent="0.3">
      <c r="A583" t="s">
        <v>1477</v>
      </c>
      <c r="B583" t="s">
        <v>1478</v>
      </c>
      <c r="C583" t="s">
        <v>1479</v>
      </c>
    </row>
    <row r="584" spans="1:3" x14ac:dyDescent="0.3">
      <c r="A584" t="s">
        <v>1480</v>
      </c>
      <c r="B584" t="s">
        <v>152</v>
      </c>
      <c r="C584" t="s">
        <v>1479</v>
      </c>
    </row>
    <row r="585" spans="1:3" x14ac:dyDescent="0.3">
      <c r="A585" t="s">
        <v>1481</v>
      </c>
      <c r="B585" t="s">
        <v>1482</v>
      </c>
      <c r="C585" t="s">
        <v>1483</v>
      </c>
    </row>
    <row r="586" spans="1:3" x14ac:dyDescent="0.3">
      <c r="A586" t="s">
        <v>1484</v>
      </c>
      <c r="B586" t="s">
        <v>1214</v>
      </c>
      <c r="C586" t="s">
        <v>203</v>
      </c>
    </row>
    <row r="587" spans="1:3" x14ac:dyDescent="0.3">
      <c r="A587" t="s">
        <v>1485</v>
      </c>
      <c r="B587" t="s">
        <v>1486</v>
      </c>
      <c r="C587" t="s">
        <v>1487</v>
      </c>
    </row>
    <row r="588" spans="1:3" x14ac:dyDescent="0.3">
      <c r="A588" t="s">
        <v>1488</v>
      </c>
      <c r="B588" t="s">
        <v>1489</v>
      </c>
      <c r="C588" t="s">
        <v>511</v>
      </c>
    </row>
    <row r="589" spans="1:3" x14ac:dyDescent="0.3">
      <c r="A589" t="s">
        <v>1490</v>
      </c>
      <c r="B589" t="s">
        <v>1491</v>
      </c>
      <c r="C589" t="s">
        <v>1492</v>
      </c>
    </row>
    <row r="590" spans="1:3" x14ac:dyDescent="0.3">
      <c r="A590" t="s">
        <v>1493</v>
      </c>
      <c r="B590" t="s">
        <v>1494</v>
      </c>
      <c r="C590" t="s">
        <v>1495</v>
      </c>
    </row>
    <row r="591" spans="1:3" x14ac:dyDescent="0.3">
      <c r="A591" t="s">
        <v>1496</v>
      </c>
      <c r="B591" t="s">
        <v>1497</v>
      </c>
      <c r="C591" t="s">
        <v>1498</v>
      </c>
    </row>
    <row r="592" spans="1:3" x14ac:dyDescent="0.3">
      <c r="A592" t="s">
        <v>1499</v>
      </c>
      <c r="B592" t="s">
        <v>1500</v>
      </c>
      <c r="C592" t="s">
        <v>979</v>
      </c>
    </row>
    <row r="593" spans="1:3" x14ac:dyDescent="0.3">
      <c r="A593" t="s">
        <v>1501</v>
      </c>
      <c r="B593" t="s">
        <v>1502</v>
      </c>
      <c r="C593" t="s">
        <v>1503</v>
      </c>
    </row>
    <row r="594" spans="1:3" x14ac:dyDescent="0.3">
      <c r="A594" t="s">
        <v>1504</v>
      </c>
      <c r="B594" t="s">
        <v>1505</v>
      </c>
      <c r="C594" t="s">
        <v>1506</v>
      </c>
    </row>
    <row r="595" spans="1:3" x14ac:dyDescent="0.3">
      <c r="A595" t="s">
        <v>1507</v>
      </c>
      <c r="B595" t="s">
        <v>1508</v>
      </c>
      <c r="C595" t="s">
        <v>457</v>
      </c>
    </row>
    <row r="596" spans="1:3" x14ac:dyDescent="0.3">
      <c r="A596" t="s">
        <v>1509</v>
      </c>
      <c r="B596" t="s">
        <v>959</v>
      </c>
      <c r="C596" t="s">
        <v>447</v>
      </c>
    </row>
    <row r="597" spans="1:3" x14ac:dyDescent="0.3">
      <c r="A597" t="s">
        <v>1510</v>
      </c>
      <c r="B597" t="s">
        <v>1511</v>
      </c>
      <c r="C597" t="s">
        <v>1512</v>
      </c>
    </row>
    <row r="598" spans="1:3" x14ac:dyDescent="0.3">
      <c r="A598" t="s">
        <v>1513</v>
      </c>
      <c r="B598" t="s">
        <v>1514</v>
      </c>
      <c r="C598" t="s">
        <v>269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B614AA9C3F254D9A264B03EAEDB202" ma:contentTypeVersion="13" ma:contentTypeDescription="Create a new document." ma:contentTypeScope="" ma:versionID="fb6100e54377561603d8283fc808bf59">
  <xsd:schema xmlns:xsd="http://www.w3.org/2001/XMLSchema" xmlns:xs="http://www.w3.org/2001/XMLSchema" xmlns:p="http://schemas.microsoft.com/office/2006/metadata/properties" xmlns:ns2="09149449-70a8-4d88-a7de-ceff3bf7a80b" xmlns:ns3="6896d4a5-3dc5-471f-acdf-ad1932f31499" xmlns:ns4="http://schemas.microsoft.com/sharepoint/v4" targetNamespace="http://schemas.microsoft.com/office/2006/metadata/properties" ma:root="true" ma:fieldsID="586ad518ccf2dd53d089138a94cc8312" ns2:_="" ns3:_="" ns4:_="">
    <xsd:import namespace="09149449-70a8-4d88-a7de-ceff3bf7a80b"/>
    <xsd:import namespace="6896d4a5-3dc5-471f-acdf-ad1932f31499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4:IconOverlay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9449-70a8-4d88-a7de-ceff3bf7a8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96d4a5-3dc5-471f-acdf-ad1932f3149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BDFE6E79-73AE-4250-8968-EC9E454C90F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8BD96A4-885B-4366-9EC6-AC4C753EEC71}">
  <ds:schemaRefs>
    <ds:schemaRef ds:uri="http://schemas.microsoft.com/office/2006/metadata/properties"/>
    <ds:schemaRef ds:uri="http://schemas.microsoft.com/office/infopath/2007/PartnerControls"/>
    <ds:schemaRef ds:uri="http://schemas.microsoft.com/sharepoint/v4"/>
  </ds:schemaRefs>
</ds:datastoreItem>
</file>

<file path=customXml/itemProps3.xml><?xml version="1.0" encoding="utf-8"?>
<ds:datastoreItem xmlns:ds="http://schemas.openxmlformats.org/officeDocument/2006/customXml" ds:itemID="{587CBFD8-A2B8-4FF0-9DC7-8165BFC391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149449-70a8-4d88-a7de-ceff3bf7a80b"/>
    <ds:schemaRef ds:uri="6896d4a5-3dc5-471f-acdf-ad1932f31499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D4F2D50-E413-40BF-B9E5-3890B12933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Case 3 solution</vt:lpstr>
      <vt:lpstr>Sheet1</vt:lpstr>
      <vt:lpstr>Case 3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Wood</dc:creator>
  <cp:keywords/>
  <dc:description/>
  <cp:lastModifiedBy>Ruyi Zhong</cp:lastModifiedBy>
  <cp:revision/>
  <dcterms:created xsi:type="dcterms:W3CDTF">2018-01-03T22:41:50Z</dcterms:created>
  <dcterms:modified xsi:type="dcterms:W3CDTF">2026-04-13T21:14:07Z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0x010100A5B614AA9C3F254D9A264B03EAEDB202</vt:lpwstr>
  </property>
</Properties>
</file>